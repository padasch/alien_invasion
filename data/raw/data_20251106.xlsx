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scal/my_work/projects/2025 Group Experiment - Robinia Invasion/repository/alien_invasion/data/raw/"/>
    </mc:Choice>
  </mc:AlternateContent>
  <xr:revisionPtr revIDLastSave="0" documentId="13_ncr:1_{44895837-EB98-BD43-B89C-BF3BEBBEB150}" xr6:coauthVersionLast="47" xr6:coauthVersionMax="47" xr10:uidLastSave="{00000000-0000-0000-0000-000000000000}"/>
  <bookViews>
    <workbookView xWindow="-20" yWindow="880" windowWidth="36000" windowHeight="22500" activeTab="1" xr2:uid="{7A7F92BC-6505-E646-B089-B9DAC49747D8}"/>
  </bookViews>
  <sheets>
    <sheet name="All_labels" sheetId="1" r:id="rId1"/>
    <sheet name="Label_Compartment" sheetId="11" r:id="rId2"/>
    <sheet name="Soil Water" sheetId="2" r:id="rId3"/>
    <sheet name="Soil Respiration" sheetId="8" r:id="rId4"/>
    <sheet name="Soil isotope CN" sheetId="9" r:id="rId5"/>
    <sheet name="Litterfall_Bryophytes" sheetId="15" r:id="rId6"/>
    <sheet name="Phenology" sheetId="5" r:id="rId7"/>
    <sheet name="Growth_Measurements_D_H" sheetId="7" r:id="rId8"/>
    <sheet name="SLA" sheetId="12" r:id="rId9"/>
    <sheet name="Chlorophyll content" sheetId="10" r:id="rId10"/>
    <sheet name="Fluoropen QY" sheetId="14" r:id="rId11"/>
    <sheet name="Tree Condition" sheetId="13" r:id="rId12"/>
    <sheet name="Senescence" sheetId="17" r:id="rId13"/>
    <sheet name="Read me" sheetId="16" r:id="rId14"/>
  </sheets>
  <definedNames>
    <definedName name="_xlnm._FilterDatabase" localSheetId="0" hidden="1">All_labels!$A$1:$T$831</definedName>
    <definedName name="_xlnm._FilterDatabase" localSheetId="7" hidden="1">Growth_Measurements_D_H!$A$1:$AD$577</definedName>
    <definedName name="_xlnm._FilterDatabase" localSheetId="1" hidden="1">Label_Compartment!$A$1:$J$73</definedName>
    <definedName name="_xlnm._FilterDatabase" localSheetId="11" hidden="1">'Tree Condition'!$I$1:$AD$1</definedName>
    <definedName name="Area_stampa" localSheetId="0">All_labels!$C$1:$O$793</definedName>
    <definedName name="_xlnm.Print_Area" localSheetId="8">SLA!$A$1:$I$506</definedName>
    <definedName name="_xlnm.Print_Titles" localSheetId="0">All_labels!$1:$1</definedName>
    <definedName name="_xlnm.Print_Titles" localSheetId="7">Growth_Measurements_D_H!$1:$1</definedName>
    <definedName name="_xlnm.Print_Titles" localSheetId="6">Phenology!$1:$1</definedName>
    <definedName name="_xlnm.Print_Titles" localSheetId="8">SLA!$1:$1</definedName>
    <definedName name="_xlnm.Print_Titles" localSheetId="2">'Soil Water'!$1:$1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3" i="11" l="1"/>
  <c r="I73" i="11"/>
  <c r="H73" i="11"/>
  <c r="G73" i="11"/>
  <c r="J72" i="11"/>
  <c r="I72" i="11"/>
  <c r="H72" i="11"/>
  <c r="G72" i="11"/>
  <c r="J71" i="11"/>
  <c r="I71" i="11"/>
  <c r="H71" i="11"/>
  <c r="G71" i="11"/>
  <c r="J70" i="11"/>
  <c r="I70" i="11"/>
  <c r="H70" i="11"/>
  <c r="G70" i="11"/>
  <c r="J69" i="11"/>
  <c r="I69" i="11"/>
  <c r="H69" i="11"/>
  <c r="G69" i="11"/>
  <c r="J68" i="11"/>
  <c r="I68" i="11"/>
  <c r="H68" i="11"/>
  <c r="G68" i="11"/>
  <c r="J67" i="11"/>
  <c r="I67" i="11"/>
  <c r="H67" i="11"/>
  <c r="G67" i="11"/>
  <c r="J66" i="11"/>
  <c r="I66" i="11"/>
  <c r="H66" i="11"/>
  <c r="G66" i="11"/>
  <c r="J65" i="11"/>
  <c r="I65" i="11"/>
  <c r="H65" i="11"/>
  <c r="G65" i="11"/>
  <c r="J64" i="11"/>
  <c r="I64" i="11"/>
  <c r="H64" i="11"/>
  <c r="G64" i="11"/>
  <c r="J63" i="11"/>
  <c r="I63" i="11"/>
  <c r="H63" i="11"/>
  <c r="G63" i="11"/>
  <c r="J62" i="11"/>
  <c r="I62" i="11"/>
  <c r="H62" i="11"/>
  <c r="G62" i="11"/>
  <c r="J61" i="11"/>
  <c r="I61" i="11"/>
  <c r="H61" i="11"/>
  <c r="G61" i="11"/>
  <c r="J60" i="11"/>
  <c r="I60" i="11"/>
  <c r="H60" i="11"/>
  <c r="G60" i="11"/>
  <c r="J59" i="11"/>
  <c r="I59" i="11"/>
  <c r="H59" i="11"/>
  <c r="G59" i="11"/>
  <c r="J58" i="11"/>
  <c r="I58" i="11"/>
  <c r="H58" i="11"/>
  <c r="G58" i="11"/>
  <c r="J57" i="11"/>
  <c r="I57" i="11"/>
  <c r="H57" i="11"/>
  <c r="G57" i="11"/>
  <c r="J56" i="11"/>
  <c r="I56" i="11"/>
  <c r="H56" i="11"/>
  <c r="G56" i="11"/>
  <c r="J55" i="11"/>
  <c r="I55" i="11"/>
  <c r="H55" i="11"/>
  <c r="G55" i="11"/>
  <c r="J54" i="11"/>
  <c r="I54" i="11"/>
  <c r="H54" i="11"/>
  <c r="G54" i="11"/>
  <c r="J53" i="11"/>
  <c r="I53" i="11"/>
  <c r="H53" i="11"/>
  <c r="G53" i="11"/>
  <c r="J52" i="11"/>
  <c r="I52" i="11"/>
  <c r="H52" i="11"/>
  <c r="G52" i="11"/>
  <c r="J51" i="11"/>
  <c r="I51" i="11"/>
  <c r="H51" i="11"/>
  <c r="G51" i="11"/>
  <c r="J50" i="11"/>
  <c r="I50" i="11"/>
  <c r="H50" i="11"/>
  <c r="G50" i="11"/>
  <c r="J49" i="11"/>
  <c r="I49" i="11"/>
  <c r="H49" i="11"/>
  <c r="G49" i="11"/>
  <c r="J48" i="11"/>
  <c r="I48" i="11"/>
  <c r="H48" i="11"/>
  <c r="G48" i="11"/>
  <c r="J47" i="11"/>
  <c r="I47" i="11"/>
  <c r="H47" i="11"/>
  <c r="G47" i="11"/>
  <c r="J46" i="11"/>
  <c r="I46" i="11"/>
  <c r="H46" i="11"/>
  <c r="G46" i="11"/>
  <c r="J45" i="11"/>
  <c r="I45" i="11"/>
  <c r="H45" i="11"/>
  <c r="G45" i="11"/>
  <c r="J44" i="11"/>
  <c r="I44" i="11"/>
  <c r="H44" i="11"/>
  <c r="G44" i="11"/>
  <c r="J43" i="11"/>
  <c r="I43" i="11"/>
  <c r="H43" i="11"/>
  <c r="G43" i="11"/>
  <c r="J42" i="11"/>
  <c r="I42" i="11"/>
  <c r="H42" i="11"/>
  <c r="G42" i="11"/>
  <c r="J41" i="11"/>
  <c r="I41" i="11"/>
  <c r="H41" i="11"/>
  <c r="G41" i="11"/>
  <c r="J40" i="11"/>
  <c r="I40" i="11"/>
  <c r="H40" i="11"/>
  <c r="G40" i="11"/>
  <c r="J39" i="11"/>
  <c r="I39" i="11"/>
  <c r="H39" i="11"/>
  <c r="G39" i="11"/>
  <c r="J38" i="11"/>
  <c r="I38" i="11"/>
  <c r="H38" i="11"/>
  <c r="G38" i="11"/>
  <c r="J37" i="11"/>
  <c r="I37" i="11"/>
  <c r="H37" i="11"/>
  <c r="G37" i="11"/>
  <c r="J36" i="11"/>
  <c r="I36" i="11"/>
  <c r="H36" i="11"/>
  <c r="G36" i="11"/>
  <c r="J35" i="11"/>
  <c r="I35" i="11"/>
  <c r="H35" i="11"/>
  <c r="G35" i="11"/>
  <c r="J34" i="11"/>
  <c r="I34" i="11"/>
  <c r="H34" i="11"/>
  <c r="G34" i="11"/>
  <c r="J33" i="11"/>
  <c r="I33" i="11"/>
  <c r="H33" i="11"/>
  <c r="G33" i="11"/>
  <c r="J32" i="11"/>
  <c r="I32" i="11"/>
  <c r="H32" i="11"/>
  <c r="G32" i="11"/>
  <c r="J31" i="11"/>
  <c r="I31" i="11"/>
  <c r="H31" i="11"/>
  <c r="G31" i="11"/>
  <c r="J30" i="11"/>
  <c r="I30" i="11"/>
  <c r="H30" i="11"/>
  <c r="G30" i="11"/>
  <c r="J29" i="11"/>
  <c r="I29" i="11"/>
  <c r="H29" i="11"/>
  <c r="G29" i="11"/>
  <c r="J28" i="11"/>
  <c r="I28" i="11"/>
  <c r="H28" i="11"/>
  <c r="G28" i="11"/>
  <c r="J27" i="11"/>
  <c r="I27" i="11"/>
  <c r="H27" i="11"/>
  <c r="G27" i="11"/>
  <c r="J26" i="11"/>
  <c r="I26" i="11"/>
  <c r="H26" i="11"/>
  <c r="G26" i="11"/>
  <c r="J25" i="11"/>
  <c r="I25" i="11"/>
  <c r="H25" i="11"/>
  <c r="G25" i="11"/>
  <c r="J24" i="11"/>
  <c r="I24" i="11"/>
  <c r="H24" i="11"/>
  <c r="G24" i="11"/>
  <c r="J23" i="11"/>
  <c r="I23" i="11"/>
  <c r="H23" i="11"/>
  <c r="G23" i="11"/>
  <c r="J22" i="11"/>
  <c r="I22" i="11"/>
  <c r="H22" i="11"/>
  <c r="G22" i="11"/>
  <c r="J21" i="11"/>
  <c r="I21" i="11"/>
  <c r="H21" i="11"/>
  <c r="G21" i="11"/>
  <c r="J20" i="11"/>
  <c r="I20" i="11"/>
  <c r="H20" i="11"/>
  <c r="G20" i="11"/>
  <c r="J19" i="11"/>
  <c r="I19" i="11"/>
  <c r="H19" i="11"/>
  <c r="G19" i="11"/>
  <c r="J18" i="11"/>
  <c r="I18" i="11"/>
  <c r="H18" i="11"/>
  <c r="G18" i="11"/>
  <c r="J17" i="11"/>
  <c r="I17" i="11"/>
  <c r="H17" i="11"/>
  <c r="G17" i="11"/>
  <c r="J16" i="11"/>
  <c r="I16" i="11"/>
  <c r="H16" i="11"/>
  <c r="G16" i="11"/>
  <c r="J15" i="11"/>
  <c r="I15" i="11"/>
  <c r="H15" i="11"/>
  <c r="G15" i="11"/>
  <c r="J14" i="11"/>
  <c r="I14" i="11"/>
  <c r="H14" i="11"/>
  <c r="G14" i="11"/>
  <c r="J13" i="11"/>
  <c r="I13" i="11"/>
  <c r="H13" i="11"/>
  <c r="G13" i="11"/>
  <c r="J12" i="11"/>
  <c r="I12" i="11"/>
  <c r="H12" i="11"/>
  <c r="G12" i="11"/>
  <c r="J11" i="11"/>
  <c r="I11" i="11"/>
  <c r="H11" i="11"/>
  <c r="G11" i="11"/>
  <c r="J10" i="11"/>
  <c r="I10" i="11"/>
  <c r="H10" i="11"/>
  <c r="G10" i="11"/>
  <c r="J9" i="11"/>
  <c r="I9" i="11"/>
  <c r="H9" i="11"/>
  <c r="G9" i="11"/>
  <c r="J8" i="11"/>
  <c r="I8" i="11"/>
  <c r="H8" i="11"/>
  <c r="G8" i="11"/>
  <c r="J7" i="11"/>
  <c r="I7" i="11"/>
  <c r="H7" i="11"/>
  <c r="G7" i="11"/>
  <c r="J6" i="11"/>
  <c r="I6" i="11"/>
  <c r="H6" i="11"/>
  <c r="G6" i="11"/>
  <c r="J5" i="11"/>
  <c r="I5" i="11"/>
  <c r="H5" i="11"/>
  <c r="G5" i="11"/>
  <c r="J4" i="11"/>
  <c r="I4" i="11"/>
  <c r="H4" i="11"/>
  <c r="G4" i="11"/>
  <c r="J3" i="11"/>
  <c r="I3" i="11"/>
  <c r="H3" i="11"/>
  <c r="G3" i="11"/>
  <c r="J2" i="11"/>
  <c r="I2" i="11"/>
  <c r="H2" i="11"/>
  <c r="G2" i="11"/>
  <c r="O578" i="1"/>
  <c r="P578" i="1"/>
  <c r="Q578" i="1"/>
  <c r="O579" i="1"/>
  <c r="P579" i="1"/>
  <c r="Q579" i="1"/>
  <c r="O580" i="1"/>
  <c r="P580" i="1"/>
  <c r="Q580" i="1"/>
  <c r="O581" i="1"/>
  <c r="P581" i="1"/>
  <c r="Q581" i="1"/>
  <c r="O582" i="1"/>
  <c r="P582" i="1"/>
  <c r="Q582" i="1"/>
  <c r="O583" i="1"/>
  <c r="P583" i="1"/>
  <c r="Q583" i="1"/>
  <c r="O584" i="1"/>
  <c r="P584" i="1"/>
  <c r="Q584" i="1"/>
  <c r="O585" i="1"/>
  <c r="P585" i="1"/>
  <c r="Q585" i="1"/>
  <c r="O586" i="1"/>
  <c r="P586" i="1"/>
  <c r="Q586" i="1"/>
  <c r="O587" i="1"/>
  <c r="P587" i="1"/>
  <c r="Q587" i="1"/>
  <c r="O588" i="1"/>
  <c r="P588" i="1"/>
  <c r="Q588" i="1"/>
  <c r="O589" i="1"/>
  <c r="P589" i="1"/>
  <c r="Q589" i="1"/>
  <c r="O590" i="1"/>
  <c r="P590" i="1"/>
  <c r="Q590" i="1"/>
  <c r="O591" i="1"/>
  <c r="P591" i="1"/>
  <c r="Q591" i="1"/>
  <c r="O592" i="1"/>
  <c r="P592" i="1"/>
  <c r="Q592" i="1"/>
  <c r="O593" i="1"/>
  <c r="P593" i="1"/>
  <c r="Q593" i="1"/>
  <c r="O594" i="1"/>
  <c r="P594" i="1"/>
  <c r="Q594" i="1"/>
  <c r="O595" i="1"/>
  <c r="P595" i="1"/>
  <c r="Q595" i="1"/>
  <c r="O596" i="1"/>
  <c r="P596" i="1"/>
  <c r="Q596" i="1"/>
  <c r="O597" i="1"/>
  <c r="P597" i="1"/>
  <c r="Q597" i="1"/>
  <c r="O598" i="1"/>
  <c r="P598" i="1"/>
  <c r="Q598" i="1"/>
  <c r="O599" i="1"/>
  <c r="P599" i="1"/>
  <c r="Q599" i="1"/>
  <c r="O600" i="1"/>
  <c r="P600" i="1"/>
  <c r="Q600" i="1"/>
  <c r="O601" i="1"/>
  <c r="P601" i="1"/>
  <c r="Q601" i="1"/>
  <c r="O602" i="1"/>
  <c r="P602" i="1"/>
  <c r="Q602" i="1"/>
  <c r="O603" i="1"/>
  <c r="P603" i="1"/>
  <c r="Q603" i="1"/>
  <c r="O604" i="1"/>
  <c r="P604" i="1"/>
  <c r="Q604" i="1"/>
  <c r="O605" i="1"/>
  <c r="P605" i="1"/>
  <c r="Q605" i="1"/>
  <c r="O606" i="1"/>
  <c r="P606" i="1"/>
  <c r="Q606" i="1"/>
  <c r="O607" i="1"/>
  <c r="P607" i="1"/>
  <c r="Q607" i="1"/>
  <c r="O608" i="1"/>
  <c r="P608" i="1"/>
  <c r="Q608" i="1"/>
  <c r="O609" i="1"/>
  <c r="P609" i="1"/>
  <c r="Q609" i="1"/>
  <c r="O610" i="1"/>
  <c r="P610" i="1"/>
  <c r="Q610" i="1"/>
  <c r="O611" i="1"/>
  <c r="P611" i="1"/>
  <c r="Q611" i="1"/>
  <c r="O612" i="1"/>
  <c r="P612" i="1"/>
  <c r="Q612" i="1"/>
  <c r="O613" i="1"/>
  <c r="P613" i="1"/>
  <c r="Q613" i="1"/>
  <c r="O614" i="1"/>
  <c r="P614" i="1"/>
  <c r="Q614" i="1"/>
  <c r="O615" i="1"/>
  <c r="P615" i="1"/>
  <c r="Q615" i="1"/>
  <c r="O616" i="1"/>
  <c r="P616" i="1"/>
  <c r="Q616" i="1"/>
  <c r="O617" i="1"/>
  <c r="P617" i="1"/>
  <c r="Q617" i="1"/>
  <c r="O618" i="1"/>
  <c r="P618" i="1"/>
  <c r="Q618" i="1"/>
  <c r="O619" i="1"/>
  <c r="P619" i="1"/>
  <c r="Q619" i="1"/>
  <c r="O620" i="1"/>
  <c r="P620" i="1"/>
  <c r="Q620" i="1"/>
  <c r="O621" i="1"/>
  <c r="P621" i="1"/>
  <c r="Q621" i="1"/>
  <c r="O622" i="1"/>
  <c r="P622" i="1"/>
  <c r="Q622" i="1"/>
  <c r="O623" i="1"/>
  <c r="P623" i="1"/>
  <c r="Q623" i="1"/>
  <c r="O624" i="1"/>
  <c r="P624" i="1"/>
  <c r="Q624" i="1"/>
  <c r="O625" i="1"/>
  <c r="P625" i="1"/>
  <c r="Q625" i="1"/>
  <c r="O626" i="1"/>
  <c r="P626" i="1"/>
  <c r="Q626" i="1"/>
  <c r="O627" i="1"/>
  <c r="P627" i="1"/>
  <c r="Q627" i="1"/>
  <c r="O628" i="1"/>
  <c r="P628" i="1"/>
  <c r="Q628" i="1"/>
  <c r="O629" i="1"/>
  <c r="P629" i="1"/>
  <c r="Q629" i="1"/>
  <c r="O630" i="1"/>
  <c r="P630" i="1"/>
  <c r="Q630" i="1"/>
  <c r="O631" i="1"/>
  <c r="P631" i="1"/>
  <c r="Q631" i="1"/>
  <c r="O632" i="1"/>
  <c r="P632" i="1"/>
  <c r="Q632" i="1"/>
  <c r="O633" i="1"/>
  <c r="P633" i="1"/>
  <c r="Q633" i="1"/>
  <c r="O634" i="1"/>
  <c r="P634" i="1"/>
  <c r="Q634" i="1"/>
  <c r="O635" i="1"/>
  <c r="P635" i="1"/>
  <c r="Q635" i="1"/>
  <c r="O636" i="1"/>
  <c r="P636" i="1"/>
  <c r="Q636" i="1"/>
  <c r="O637" i="1"/>
  <c r="P637" i="1"/>
  <c r="Q637" i="1"/>
  <c r="O638" i="1"/>
  <c r="P638" i="1"/>
  <c r="Q638" i="1"/>
  <c r="O639" i="1"/>
  <c r="P639" i="1"/>
  <c r="Q639" i="1"/>
  <c r="O640" i="1"/>
  <c r="P640" i="1"/>
  <c r="Q640" i="1"/>
  <c r="O641" i="1"/>
  <c r="P641" i="1"/>
  <c r="Q641" i="1"/>
  <c r="O642" i="1"/>
  <c r="P642" i="1"/>
  <c r="Q642" i="1"/>
  <c r="O643" i="1"/>
  <c r="P643" i="1"/>
  <c r="Q643" i="1"/>
  <c r="O644" i="1"/>
  <c r="P644" i="1"/>
  <c r="Q644" i="1"/>
  <c r="O645" i="1"/>
  <c r="P645" i="1"/>
  <c r="Q645" i="1"/>
  <c r="O646" i="1"/>
  <c r="P646" i="1"/>
  <c r="Q646" i="1"/>
  <c r="O647" i="1"/>
  <c r="P647" i="1"/>
  <c r="Q647" i="1"/>
  <c r="O648" i="1"/>
  <c r="P648" i="1"/>
  <c r="Q648" i="1"/>
  <c r="O649" i="1"/>
  <c r="P649" i="1"/>
  <c r="Q649" i="1"/>
  <c r="O650" i="1"/>
  <c r="P650" i="1"/>
  <c r="Q650" i="1"/>
  <c r="O651" i="1"/>
  <c r="P651" i="1"/>
  <c r="Q651" i="1"/>
  <c r="O652" i="1"/>
  <c r="P652" i="1"/>
  <c r="Q652" i="1"/>
  <c r="O653" i="1"/>
  <c r="P653" i="1"/>
  <c r="Q653" i="1"/>
  <c r="O654" i="1"/>
  <c r="P654" i="1"/>
  <c r="Q654" i="1"/>
  <c r="O655" i="1"/>
  <c r="P655" i="1"/>
  <c r="Q655" i="1"/>
  <c r="O656" i="1"/>
  <c r="P656" i="1"/>
  <c r="Q656" i="1"/>
  <c r="O657" i="1"/>
  <c r="P657" i="1"/>
  <c r="Q657" i="1"/>
  <c r="O658" i="1"/>
  <c r="P658" i="1"/>
  <c r="Q658" i="1"/>
  <c r="O659" i="1"/>
  <c r="P659" i="1"/>
  <c r="Q659" i="1"/>
  <c r="O660" i="1"/>
  <c r="P660" i="1"/>
  <c r="Q660" i="1"/>
  <c r="O661" i="1"/>
  <c r="P661" i="1"/>
  <c r="Q661" i="1"/>
  <c r="O662" i="1"/>
  <c r="P662" i="1"/>
  <c r="Q662" i="1"/>
  <c r="O663" i="1"/>
  <c r="P663" i="1"/>
  <c r="Q663" i="1"/>
  <c r="O664" i="1"/>
  <c r="P664" i="1"/>
  <c r="Q664" i="1"/>
  <c r="O665" i="1"/>
  <c r="P665" i="1"/>
  <c r="Q665" i="1"/>
  <c r="O666" i="1"/>
  <c r="P666" i="1"/>
  <c r="Q666" i="1"/>
  <c r="O667" i="1"/>
  <c r="P667" i="1"/>
  <c r="Q667" i="1"/>
  <c r="O668" i="1"/>
  <c r="P668" i="1"/>
  <c r="Q668" i="1"/>
  <c r="O669" i="1"/>
  <c r="P669" i="1"/>
  <c r="Q669" i="1"/>
  <c r="O670" i="1"/>
  <c r="P670" i="1"/>
  <c r="Q670" i="1"/>
  <c r="O671" i="1"/>
  <c r="P671" i="1"/>
  <c r="Q671" i="1"/>
  <c r="O672" i="1"/>
  <c r="P672" i="1"/>
  <c r="Q672" i="1"/>
  <c r="O673" i="1"/>
  <c r="P673" i="1"/>
  <c r="Q673" i="1"/>
  <c r="O674" i="1"/>
  <c r="P674" i="1"/>
  <c r="Q674" i="1"/>
  <c r="O675" i="1"/>
  <c r="P675" i="1"/>
  <c r="Q675" i="1"/>
  <c r="O676" i="1"/>
  <c r="P676" i="1"/>
  <c r="Q676" i="1"/>
  <c r="O677" i="1"/>
  <c r="P677" i="1"/>
  <c r="Q677" i="1"/>
  <c r="O678" i="1"/>
  <c r="P678" i="1"/>
  <c r="Q678" i="1"/>
  <c r="O679" i="1"/>
  <c r="P679" i="1"/>
  <c r="Q679" i="1"/>
  <c r="O680" i="1"/>
  <c r="P680" i="1"/>
  <c r="Q680" i="1"/>
  <c r="O681" i="1"/>
  <c r="P681" i="1"/>
  <c r="Q681" i="1"/>
  <c r="O682" i="1"/>
  <c r="P682" i="1"/>
  <c r="Q682" i="1"/>
  <c r="O683" i="1"/>
  <c r="P683" i="1"/>
  <c r="Q683" i="1"/>
  <c r="O684" i="1"/>
  <c r="P684" i="1"/>
  <c r="Q684" i="1"/>
  <c r="O685" i="1"/>
  <c r="P685" i="1"/>
  <c r="Q685" i="1"/>
  <c r="O686" i="1"/>
  <c r="P686" i="1"/>
  <c r="Q686" i="1"/>
  <c r="O687" i="1"/>
  <c r="P687" i="1"/>
  <c r="Q687" i="1"/>
  <c r="O688" i="1"/>
  <c r="P688" i="1"/>
  <c r="Q688" i="1"/>
  <c r="O689" i="1"/>
  <c r="P689" i="1"/>
  <c r="Q689" i="1"/>
  <c r="O690" i="1"/>
  <c r="P690" i="1"/>
  <c r="Q690" i="1"/>
  <c r="O691" i="1"/>
  <c r="P691" i="1"/>
  <c r="Q691" i="1"/>
  <c r="O692" i="1"/>
  <c r="P692" i="1"/>
  <c r="Q692" i="1"/>
  <c r="O693" i="1"/>
  <c r="P693" i="1"/>
  <c r="Q693" i="1"/>
  <c r="O694" i="1"/>
  <c r="P694" i="1"/>
  <c r="Q694" i="1"/>
  <c r="O695" i="1"/>
  <c r="P695" i="1"/>
  <c r="Q695" i="1"/>
  <c r="O696" i="1"/>
  <c r="P696" i="1"/>
  <c r="Q696" i="1"/>
  <c r="O697" i="1"/>
  <c r="P697" i="1"/>
  <c r="Q697" i="1"/>
  <c r="O698" i="1"/>
  <c r="P698" i="1"/>
  <c r="Q698" i="1"/>
  <c r="O699" i="1"/>
  <c r="P699" i="1"/>
  <c r="Q699" i="1"/>
  <c r="O700" i="1"/>
  <c r="P700" i="1"/>
  <c r="Q700" i="1"/>
  <c r="O701" i="1"/>
  <c r="P701" i="1"/>
  <c r="Q701" i="1"/>
  <c r="O702" i="1"/>
  <c r="P702" i="1"/>
  <c r="Q702" i="1"/>
  <c r="O703" i="1"/>
  <c r="P703" i="1"/>
  <c r="Q703" i="1"/>
  <c r="O704" i="1"/>
  <c r="P704" i="1"/>
  <c r="Q704" i="1"/>
  <c r="O705" i="1"/>
  <c r="P705" i="1"/>
  <c r="Q705" i="1"/>
  <c r="O706" i="1"/>
  <c r="P706" i="1"/>
  <c r="Q706" i="1"/>
  <c r="O707" i="1"/>
  <c r="P707" i="1"/>
  <c r="Q707" i="1"/>
  <c r="O708" i="1"/>
  <c r="P708" i="1"/>
  <c r="Q708" i="1"/>
  <c r="O709" i="1"/>
  <c r="P709" i="1"/>
  <c r="Q709" i="1"/>
  <c r="O710" i="1"/>
  <c r="P710" i="1"/>
  <c r="Q710" i="1"/>
  <c r="O711" i="1"/>
  <c r="P711" i="1"/>
  <c r="Q711" i="1"/>
  <c r="O712" i="1"/>
  <c r="P712" i="1"/>
  <c r="Q712" i="1"/>
  <c r="O713" i="1"/>
  <c r="P713" i="1"/>
  <c r="Q713" i="1"/>
  <c r="O714" i="1"/>
  <c r="P714" i="1"/>
  <c r="Q714" i="1"/>
  <c r="O715" i="1"/>
  <c r="P715" i="1"/>
  <c r="Q715" i="1"/>
  <c r="O716" i="1"/>
  <c r="P716" i="1"/>
  <c r="Q716" i="1"/>
  <c r="O717" i="1"/>
  <c r="P717" i="1"/>
  <c r="Q717" i="1"/>
  <c r="O718" i="1"/>
  <c r="P718" i="1"/>
  <c r="Q718" i="1"/>
  <c r="O719" i="1"/>
  <c r="P719" i="1"/>
  <c r="Q719" i="1"/>
  <c r="O720" i="1"/>
  <c r="P720" i="1"/>
  <c r="Q720" i="1"/>
  <c r="O721" i="1"/>
  <c r="P721" i="1"/>
  <c r="Q721" i="1"/>
  <c r="O722" i="1"/>
  <c r="P722" i="1"/>
  <c r="Q722" i="1"/>
  <c r="O723" i="1"/>
  <c r="P723" i="1"/>
  <c r="Q723" i="1"/>
  <c r="O724" i="1"/>
  <c r="P724" i="1"/>
  <c r="Q724" i="1"/>
  <c r="O725" i="1"/>
  <c r="P725" i="1"/>
  <c r="Q725" i="1"/>
  <c r="O726" i="1"/>
  <c r="P726" i="1"/>
  <c r="Q726" i="1"/>
  <c r="O727" i="1"/>
  <c r="P727" i="1"/>
  <c r="Q727" i="1"/>
  <c r="O728" i="1"/>
  <c r="P728" i="1"/>
  <c r="Q728" i="1"/>
  <c r="O729" i="1"/>
  <c r="P729" i="1"/>
  <c r="Q729" i="1"/>
  <c r="O730" i="1"/>
  <c r="P730" i="1"/>
  <c r="Q730" i="1"/>
  <c r="O731" i="1"/>
  <c r="P731" i="1"/>
  <c r="Q731" i="1"/>
  <c r="O732" i="1"/>
  <c r="P732" i="1"/>
  <c r="Q732" i="1"/>
  <c r="O733" i="1"/>
  <c r="P733" i="1"/>
  <c r="Q733" i="1"/>
  <c r="O734" i="1"/>
  <c r="P734" i="1"/>
  <c r="Q734" i="1"/>
  <c r="O735" i="1"/>
  <c r="P735" i="1"/>
  <c r="Q735" i="1"/>
  <c r="O736" i="1"/>
  <c r="P736" i="1"/>
  <c r="Q736" i="1"/>
  <c r="O737" i="1"/>
  <c r="P737" i="1"/>
  <c r="Q737" i="1"/>
  <c r="O738" i="1"/>
  <c r="P738" i="1"/>
  <c r="Q738" i="1"/>
  <c r="O739" i="1"/>
  <c r="P739" i="1"/>
  <c r="Q739" i="1"/>
  <c r="O740" i="1"/>
  <c r="P740" i="1"/>
  <c r="Q740" i="1"/>
  <c r="O741" i="1"/>
  <c r="P741" i="1"/>
  <c r="Q741" i="1"/>
  <c r="O742" i="1"/>
  <c r="P742" i="1"/>
  <c r="Q742" i="1"/>
  <c r="O743" i="1"/>
  <c r="P743" i="1"/>
  <c r="Q743" i="1"/>
  <c r="O744" i="1"/>
  <c r="P744" i="1"/>
  <c r="Q744" i="1"/>
  <c r="O745" i="1"/>
  <c r="P745" i="1"/>
  <c r="Q745" i="1"/>
  <c r="O746" i="1"/>
  <c r="P746" i="1"/>
  <c r="Q746" i="1"/>
  <c r="O747" i="1"/>
  <c r="P747" i="1"/>
  <c r="Q747" i="1"/>
  <c r="O748" i="1"/>
  <c r="P748" i="1"/>
  <c r="Q748" i="1"/>
  <c r="O749" i="1"/>
  <c r="P749" i="1"/>
  <c r="Q749" i="1"/>
  <c r="O750" i="1"/>
  <c r="P750" i="1"/>
  <c r="Q750" i="1"/>
  <c r="O751" i="1"/>
  <c r="P751" i="1"/>
  <c r="Q751" i="1"/>
  <c r="O752" i="1"/>
  <c r="P752" i="1"/>
  <c r="Q752" i="1"/>
  <c r="O753" i="1"/>
  <c r="P753" i="1"/>
  <c r="Q753" i="1"/>
  <c r="O754" i="1"/>
  <c r="P754" i="1"/>
  <c r="Q754" i="1"/>
  <c r="O755" i="1"/>
  <c r="P755" i="1"/>
  <c r="Q755" i="1"/>
  <c r="O756" i="1"/>
  <c r="P756" i="1"/>
  <c r="Q756" i="1"/>
  <c r="O757" i="1"/>
  <c r="P757" i="1"/>
  <c r="Q757" i="1"/>
  <c r="O758" i="1"/>
  <c r="P758" i="1"/>
  <c r="Q758" i="1"/>
  <c r="O759" i="1"/>
  <c r="P759" i="1"/>
  <c r="Q759" i="1"/>
  <c r="O760" i="1"/>
  <c r="P760" i="1"/>
  <c r="Q760" i="1"/>
  <c r="O761" i="1"/>
  <c r="P761" i="1"/>
  <c r="Q761" i="1"/>
  <c r="O762" i="1"/>
  <c r="P762" i="1"/>
  <c r="Q762" i="1"/>
  <c r="O763" i="1"/>
  <c r="P763" i="1"/>
  <c r="Q763" i="1"/>
  <c r="O764" i="1"/>
  <c r="P764" i="1"/>
  <c r="Q764" i="1"/>
  <c r="O765" i="1"/>
  <c r="P765" i="1"/>
  <c r="Q765" i="1"/>
  <c r="O766" i="1"/>
  <c r="P766" i="1"/>
  <c r="Q766" i="1"/>
  <c r="O767" i="1"/>
  <c r="P767" i="1"/>
  <c r="Q767" i="1"/>
  <c r="O768" i="1"/>
  <c r="P768" i="1"/>
  <c r="Q768" i="1"/>
  <c r="O769" i="1"/>
  <c r="P769" i="1"/>
  <c r="Q769" i="1"/>
  <c r="O770" i="1"/>
  <c r="P770" i="1"/>
  <c r="Q770" i="1"/>
  <c r="O771" i="1"/>
  <c r="P771" i="1"/>
  <c r="Q771" i="1"/>
  <c r="O772" i="1"/>
  <c r="P772" i="1"/>
  <c r="Q772" i="1"/>
  <c r="O773" i="1"/>
  <c r="P773" i="1"/>
  <c r="Q773" i="1"/>
  <c r="O774" i="1"/>
  <c r="P774" i="1"/>
  <c r="Q774" i="1"/>
  <c r="O775" i="1"/>
  <c r="P775" i="1"/>
  <c r="Q775" i="1"/>
  <c r="O776" i="1"/>
  <c r="P776" i="1"/>
  <c r="Q776" i="1"/>
  <c r="O777" i="1"/>
  <c r="P777" i="1"/>
  <c r="Q777" i="1"/>
  <c r="O778" i="1"/>
  <c r="P778" i="1"/>
  <c r="Q778" i="1"/>
  <c r="O779" i="1"/>
  <c r="P779" i="1"/>
  <c r="Q779" i="1"/>
  <c r="O780" i="1"/>
  <c r="P780" i="1"/>
  <c r="Q780" i="1"/>
  <c r="O781" i="1"/>
  <c r="P781" i="1"/>
  <c r="Q781" i="1"/>
  <c r="O782" i="1"/>
  <c r="P782" i="1"/>
  <c r="Q782" i="1"/>
  <c r="O783" i="1"/>
  <c r="P783" i="1"/>
  <c r="Q783" i="1"/>
  <c r="O784" i="1"/>
  <c r="P784" i="1"/>
  <c r="Q784" i="1"/>
  <c r="O785" i="1"/>
  <c r="P785" i="1"/>
  <c r="Q785" i="1"/>
  <c r="O786" i="1"/>
  <c r="P786" i="1"/>
  <c r="Q786" i="1"/>
  <c r="O787" i="1"/>
  <c r="P787" i="1"/>
  <c r="Q787" i="1"/>
  <c r="O788" i="1"/>
  <c r="P788" i="1"/>
  <c r="Q788" i="1"/>
  <c r="O789" i="1"/>
  <c r="P789" i="1"/>
  <c r="Q789" i="1"/>
  <c r="O790" i="1"/>
  <c r="P790" i="1"/>
  <c r="Q790" i="1"/>
  <c r="O791" i="1"/>
  <c r="P791" i="1"/>
  <c r="Q791" i="1"/>
  <c r="O792" i="1"/>
  <c r="P792" i="1"/>
  <c r="Q792" i="1"/>
  <c r="O793" i="1"/>
  <c r="P793" i="1"/>
  <c r="Q793" i="1"/>
  <c r="O3" i="1"/>
  <c r="P3" i="1"/>
  <c r="Q3" i="1"/>
  <c r="O4" i="1"/>
  <c r="P4" i="1"/>
  <c r="Q4" i="1"/>
  <c r="O5" i="1"/>
  <c r="P5" i="1"/>
  <c r="Q5" i="1"/>
  <c r="O6" i="1"/>
  <c r="P6" i="1"/>
  <c r="Q6" i="1"/>
  <c r="O7" i="1"/>
  <c r="P7" i="1"/>
  <c r="Q7" i="1"/>
  <c r="O8" i="1"/>
  <c r="P8" i="1"/>
  <c r="Q8" i="1"/>
  <c r="O9" i="1"/>
  <c r="P9" i="1"/>
  <c r="Q9" i="1"/>
  <c r="O10" i="1"/>
  <c r="P10" i="1"/>
  <c r="Q10" i="1"/>
  <c r="O11" i="1"/>
  <c r="P11" i="1"/>
  <c r="Q11" i="1"/>
  <c r="O12" i="1"/>
  <c r="P12" i="1"/>
  <c r="Q12" i="1"/>
  <c r="O13" i="1"/>
  <c r="P13" i="1"/>
  <c r="Q13" i="1"/>
  <c r="O14" i="1"/>
  <c r="P14" i="1"/>
  <c r="Q14" i="1"/>
  <c r="O15" i="1"/>
  <c r="P15" i="1"/>
  <c r="Q15" i="1"/>
  <c r="O16" i="1"/>
  <c r="P16" i="1"/>
  <c r="Q16" i="1"/>
  <c r="O17" i="1"/>
  <c r="P17" i="1"/>
  <c r="Q17" i="1"/>
  <c r="O18" i="1"/>
  <c r="P18" i="1"/>
  <c r="Q18" i="1"/>
  <c r="O19" i="1"/>
  <c r="P19" i="1"/>
  <c r="Q19" i="1"/>
  <c r="O20" i="1"/>
  <c r="P20" i="1"/>
  <c r="Q20" i="1"/>
  <c r="O21" i="1"/>
  <c r="P21" i="1"/>
  <c r="Q21" i="1"/>
  <c r="O22" i="1"/>
  <c r="P22" i="1"/>
  <c r="Q22" i="1"/>
  <c r="O23" i="1"/>
  <c r="P23" i="1"/>
  <c r="Q23" i="1"/>
  <c r="O24" i="1"/>
  <c r="P24" i="1"/>
  <c r="Q24" i="1"/>
  <c r="O25" i="1"/>
  <c r="P25" i="1"/>
  <c r="Q25" i="1"/>
  <c r="O26" i="1"/>
  <c r="P26" i="1"/>
  <c r="Q26" i="1"/>
  <c r="O27" i="1"/>
  <c r="P27" i="1"/>
  <c r="Q27" i="1"/>
  <c r="O28" i="1"/>
  <c r="P28" i="1"/>
  <c r="Q28" i="1"/>
  <c r="O29" i="1"/>
  <c r="P29" i="1"/>
  <c r="Q29" i="1"/>
  <c r="O30" i="1"/>
  <c r="P30" i="1"/>
  <c r="Q30" i="1"/>
  <c r="O31" i="1"/>
  <c r="P31" i="1"/>
  <c r="Q31" i="1"/>
  <c r="O32" i="1"/>
  <c r="P32" i="1"/>
  <c r="Q32" i="1"/>
  <c r="O33" i="1"/>
  <c r="P33" i="1"/>
  <c r="Q33" i="1"/>
  <c r="O34" i="1"/>
  <c r="P34" i="1"/>
  <c r="Q34" i="1"/>
  <c r="O35" i="1"/>
  <c r="P35" i="1"/>
  <c r="Q35" i="1"/>
  <c r="O36" i="1"/>
  <c r="P36" i="1"/>
  <c r="Q36" i="1"/>
  <c r="O37" i="1"/>
  <c r="P37" i="1"/>
  <c r="Q37" i="1"/>
  <c r="O38" i="1"/>
  <c r="P38" i="1"/>
  <c r="Q38" i="1"/>
  <c r="O39" i="1"/>
  <c r="P39" i="1"/>
  <c r="Q39" i="1"/>
  <c r="O40" i="1"/>
  <c r="P40" i="1"/>
  <c r="Q40" i="1"/>
  <c r="O41" i="1"/>
  <c r="P41" i="1"/>
  <c r="Q41" i="1"/>
  <c r="O42" i="1"/>
  <c r="P42" i="1"/>
  <c r="Q42" i="1"/>
  <c r="O43" i="1"/>
  <c r="P43" i="1"/>
  <c r="Q43" i="1"/>
  <c r="O44" i="1"/>
  <c r="P44" i="1"/>
  <c r="Q44" i="1"/>
  <c r="O45" i="1"/>
  <c r="P45" i="1"/>
  <c r="Q45" i="1"/>
  <c r="O46" i="1"/>
  <c r="P46" i="1"/>
  <c r="Q46" i="1"/>
  <c r="O47" i="1"/>
  <c r="P47" i="1"/>
  <c r="Q47" i="1"/>
  <c r="O48" i="1"/>
  <c r="P48" i="1"/>
  <c r="Q48" i="1"/>
  <c r="O49" i="1"/>
  <c r="P49" i="1"/>
  <c r="Q49" i="1"/>
  <c r="O50" i="1"/>
  <c r="P50" i="1"/>
  <c r="Q50" i="1"/>
  <c r="O51" i="1"/>
  <c r="P51" i="1"/>
  <c r="Q51" i="1"/>
  <c r="O52" i="1"/>
  <c r="P52" i="1"/>
  <c r="Q52" i="1"/>
  <c r="O53" i="1"/>
  <c r="P53" i="1"/>
  <c r="Q53" i="1"/>
  <c r="O54" i="1"/>
  <c r="P54" i="1"/>
  <c r="Q54" i="1"/>
  <c r="O55" i="1"/>
  <c r="P55" i="1"/>
  <c r="Q55" i="1"/>
  <c r="O56" i="1"/>
  <c r="P56" i="1"/>
  <c r="Q56" i="1"/>
  <c r="O57" i="1"/>
  <c r="P57" i="1"/>
  <c r="Q57" i="1"/>
  <c r="O58" i="1"/>
  <c r="P58" i="1"/>
  <c r="Q58" i="1"/>
  <c r="O59" i="1"/>
  <c r="P59" i="1"/>
  <c r="Q59" i="1"/>
  <c r="O60" i="1"/>
  <c r="P60" i="1"/>
  <c r="Q60" i="1"/>
  <c r="O61" i="1"/>
  <c r="P61" i="1"/>
  <c r="Q61" i="1"/>
  <c r="O62" i="1"/>
  <c r="P62" i="1"/>
  <c r="Q62" i="1"/>
  <c r="O63" i="1"/>
  <c r="P63" i="1"/>
  <c r="Q63" i="1"/>
  <c r="O64" i="1"/>
  <c r="P64" i="1"/>
  <c r="Q64" i="1"/>
  <c r="O65" i="1"/>
  <c r="P65" i="1"/>
  <c r="Q65" i="1"/>
  <c r="O66" i="1"/>
  <c r="P66" i="1"/>
  <c r="Q66" i="1"/>
  <c r="O67" i="1"/>
  <c r="P67" i="1"/>
  <c r="Q67" i="1"/>
  <c r="O68" i="1"/>
  <c r="P68" i="1"/>
  <c r="Q68" i="1"/>
  <c r="O69" i="1"/>
  <c r="P69" i="1"/>
  <c r="Q69" i="1"/>
  <c r="O70" i="1"/>
  <c r="P70" i="1"/>
  <c r="Q70" i="1"/>
  <c r="O71" i="1"/>
  <c r="P71" i="1"/>
  <c r="Q71" i="1"/>
  <c r="O72" i="1"/>
  <c r="P72" i="1"/>
  <c r="Q72" i="1"/>
  <c r="O73" i="1"/>
  <c r="P73" i="1"/>
  <c r="Q73" i="1"/>
  <c r="O74" i="1"/>
  <c r="P74" i="1"/>
  <c r="Q74" i="1"/>
  <c r="O75" i="1"/>
  <c r="P75" i="1"/>
  <c r="Q75" i="1"/>
  <c r="O76" i="1"/>
  <c r="P76" i="1"/>
  <c r="Q76" i="1"/>
  <c r="O77" i="1"/>
  <c r="P77" i="1"/>
  <c r="Q77" i="1"/>
  <c r="O78" i="1"/>
  <c r="P78" i="1"/>
  <c r="Q78" i="1"/>
  <c r="O79" i="1"/>
  <c r="P79" i="1"/>
  <c r="Q79" i="1"/>
  <c r="O80" i="1"/>
  <c r="P80" i="1"/>
  <c r="Q80" i="1"/>
  <c r="O81" i="1"/>
  <c r="P81" i="1"/>
  <c r="Q81" i="1"/>
  <c r="O82" i="1"/>
  <c r="P82" i="1"/>
  <c r="Q82" i="1"/>
  <c r="O83" i="1"/>
  <c r="P83" i="1"/>
  <c r="Q83" i="1"/>
  <c r="O84" i="1"/>
  <c r="P84" i="1"/>
  <c r="Q84" i="1"/>
  <c r="O85" i="1"/>
  <c r="P85" i="1"/>
  <c r="Q85" i="1"/>
  <c r="O86" i="1"/>
  <c r="P86" i="1"/>
  <c r="Q86" i="1"/>
  <c r="O87" i="1"/>
  <c r="P87" i="1"/>
  <c r="Q87" i="1"/>
  <c r="O88" i="1"/>
  <c r="P88" i="1"/>
  <c r="Q88" i="1"/>
  <c r="O89" i="1"/>
  <c r="P89" i="1"/>
  <c r="Q89" i="1"/>
  <c r="O90" i="1"/>
  <c r="P90" i="1"/>
  <c r="Q90" i="1"/>
  <c r="O91" i="1"/>
  <c r="P91" i="1"/>
  <c r="Q91" i="1"/>
  <c r="O92" i="1"/>
  <c r="P92" i="1"/>
  <c r="Q92" i="1"/>
  <c r="O93" i="1"/>
  <c r="P93" i="1"/>
  <c r="Q93" i="1"/>
  <c r="O94" i="1"/>
  <c r="P94" i="1"/>
  <c r="Q94" i="1"/>
  <c r="O95" i="1"/>
  <c r="P95" i="1"/>
  <c r="Q95" i="1"/>
  <c r="O96" i="1"/>
  <c r="P96" i="1"/>
  <c r="Q96" i="1"/>
  <c r="O97" i="1"/>
  <c r="P97" i="1"/>
  <c r="Q97" i="1"/>
  <c r="O98" i="1"/>
  <c r="P98" i="1"/>
  <c r="Q98" i="1"/>
  <c r="O99" i="1"/>
  <c r="P99" i="1"/>
  <c r="Q99" i="1"/>
  <c r="O100" i="1"/>
  <c r="P100" i="1"/>
  <c r="Q100" i="1"/>
  <c r="O101" i="1"/>
  <c r="P101" i="1"/>
  <c r="Q101" i="1"/>
  <c r="O102" i="1"/>
  <c r="P102" i="1"/>
  <c r="Q102" i="1"/>
  <c r="O103" i="1"/>
  <c r="P103" i="1"/>
  <c r="Q103" i="1"/>
  <c r="O104" i="1"/>
  <c r="P104" i="1"/>
  <c r="Q104" i="1"/>
  <c r="O105" i="1"/>
  <c r="P105" i="1"/>
  <c r="Q105" i="1"/>
  <c r="O106" i="1"/>
  <c r="P106" i="1"/>
  <c r="Q106" i="1"/>
  <c r="O107" i="1"/>
  <c r="P107" i="1"/>
  <c r="Q107" i="1"/>
  <c r="O108" i="1"/>
  <c r="P108" i="1"/>
  <c r="Q108" i="1"/>
  <c r="O109" i="1"/>
  <c r="P109" i="1"/>
  <c r="Q109" i="1"/>
  <c r="O110" i="1"/>
  <c r="P110" i="1"/>
  <c r="Q110" i="1"/>
  <c r="O111" i="1"/>
  <c r="P111" i="1"/>
  <c r="Q111" i="1"/>
  <c r="O112" i="1"/>
  <c r="P112" i="1"/>
  <c r="Q112" i="1"/>
  <c r="O113" i="1"/>
  <c r="P113" i="1"/>
  <c r="Q113" i="1"/>
  <c r="O114" i="1"/>
  <c r="P114" i="1"/>
  <c r="Q114" i="1"/>
  <c r="O115" i="1"/>
  <c r="P115" i="1"/>
  <c r="Q115" i="1"/>
  <c r="O116" i="1"/>
  <c r="P116" i="1"/>
  <c r="Q116" i="1"/>
  <c r="O117" i="1"/>
  <c r="P117" i="1"/>
  <c r="Q117" i="1"/>
  <c r="O118" i="1"/>
  <c r="P118" i="1"/>
  <c r="Q118" i="1"/>
  <c r="O119" i="1"/>
  <c r="P119" i="1"/>
  <c r="Q119" i="1"/>
  <c r="O120" i="1"/>
  <c r="P120" i="1"/>
  <c r="Q120" i="1"/>
  <c r="O121" i="1"/>
  <c r="P121" i="1"/>
  <c r="Q121" i="1"/>
  <c r="O122" i="1"/>
  <c r="P122" i="1"/>
  <c r="Q122" i="1"/>
  <c r="O123" i="1"/>
  <c r="P123" i="1"/>
  <c r="Q123" i="1"/>
  <c r="O124" i="1"/>
  <c r="P124" i="1"/>
  <c r="Q124" i="1"/>
  <c r="O125" i="1"/>
  <c r="P125" i="1"/>
  <c r="Q125" i="1"/>
  <c r="O126" i="1"/>
  <c r="P126" i="1"/>
  <c r="Q126" i="1"/>
  <c r="O127" i="1"/>
  <c r="P127" i="1"/>
  <c r="Q127" i="1"/>
  <c r="O128" i="1"/>
  <c r="P128" i="1"/>
  <c r="Q128" i="1"/>
  <c r="O129" i="1"/>
  <c r="P129" i="1"/>
  <c r="Q129" i="1"/>
  <c r="O130" i="1"/>
  <c r="P130" i="1"/>
  <c r="Q130" i="1"/>
  <c r="O131" i="1"/>
  <c r="P131" i="1"/>
  <c r="Q131" i="1"/>
  <c r="O132" i="1"/>
  <c r="P132" i="1"/>
  <c r="Q132" i="1"/>
  <c r="O133" i="1"/>
  <c r="P133" i="1"/>
  <c r="Q133" i="1"/>
  <c r="O134" i="1"/>
  <c r="P134" i="1"/>
  <c r="Q134" i="1"/>
  <c r="O135" i="1"/>
  <c r="P135" i="1"/>
  <c r="Q135" i="1"/>
  <c r="O136" i="1"/>
  <c r="P136" i="1"/>
  <c r="Q136" i="1"/>
  <c r="O137" i="1"/>
  <c r="P137" i="1"/>
  <c r="Q137" i="1"/>
  <c r="O138" i="1"/>
  <c r="P138" i="1"/>
  <c r="Q138" i="1"/>
  <c r="O139" i="1"/>
  <c r="P139" i="1"/>
  <c r="Q139" i="1"/>
  <c r="O140" i="1"/>
  <c r="P140" i="1"/>
  <c r="Q140" i="1"/>
  <c r="O141" i="1"/>
  <c r="P141" i="1"/>
  <c r="Q141" i="1"/>
  <c r="O142" i="1"/>
  <c r="P142" i="1"/>
  <c r="Q142" i="1"/>
  <c r="O143" i="1"/>
  <c r="P143" i="1"/>
  <c r="Q143" i="1"/>
  <c r="O144" i="1"/>
  <c r="P144" i="1"/>
  <c r="Q144" i="1"/>
  <c r="O145" i="1"/>
  <c r="P145" i="1"/>
  <c r="Q145" i="1"/>
  <c r="O146" i="1"/>
  <c r="P146" i="1"/>
  <c r="Q146" i="1"/>
  <c r="O147" i="1"/>
  <c r="P147" i="1"/>
  <c r="Q147" i="1"/>
  <c r="O148" i="1"/>
  <c r="P148" i="1"/>
  <c r="Q148" i="1"/>
  <c r="O149" i="1"/>
  <c r="P149" i="1"/>
  <c r="Q149" i="1"/>
  <c r="O150" i="1"/>
  <c r="P150" i="1"/>
  <c r="Q150" i="1"/>
  <c r="O151" i="1"/>
  <c r="P151" i="1"/>
  <c r="Q151" i="1"/>
  <c r="O152" i="1"/>
  <c r="P152" i="1"/>
  <c r="Q152" i="1"/>
  <c r="O153" i="1"/>
  <c r="P153" i="1"/>
  <c r="Q153" i="1"/>
  <c r="O154" i="1"/>
  <c r="P154" i="1"/>
  <c r="Q154" i="1"/>
  <c r="O155" i="1"/>
  <c r="P155" i="1"/>
  <c r="Q155" i="1"/>
  <c r="O156" i="1"/>
  <c r="P156" i="1"/>
  <c r="Q156" i="1"/>
  <c r="O157" i="1"/>
  <c r="P157" i="1"/>
  <c r="Q157" i="1"/>
  <c r="O158" i="1"/>
  <c r="P158" i="1"/>
  <c r="Q158" i="1"/>
  <c r="O159" i="1"/>
  <c r="P159" i="1"/>
  <c r="Q159" i="1"/>
  <c r="O160" i="1"/>
  <c r="P160" i="1"/>
  <c r="Q160" i="1"/>
  <c r="O161" i="1"/>
  <c r="P161" i="1"/>
  <c r="Q161" i="1"/>
  <c r="O162" i="1"/>
  <c r="P162" i="1"/>
  <c r="Q162" i="1"/>
  <c r="O163" i="1"/>
  <c r="P163" i="1"/>
  <c r="Q163" i="1"/>
  <c r="O164" i="1"/>
  <c r="P164" i="1"/>
  <c r="Q164" i="1"/>
  <c r="O165" i="1"/>
  <c r="P165" i="1"/>
  <c r="Q165" i="1"/>
  <c r="O166" i="1"/>
  <c r="P166" i="1"/>
  <c r="Q166" i="1"/>
  <c r="O167" i="1"/>
  <c r="P167" i="1"/>
  <c r="Q167" i="1"/>
  <c r="O168" i="1"/>
  <c r="P168" i="1"/>
  <c r="Q168" i="1"/>
  <c r="O169" i="1"/>
  <c r="P169" i="1"/>
  <c r="Q169" i="1"/>
  <c r="O170" i="1"/>
  <c r="P170" i="1"/>
  <c r="Q170" i="1"/>
  <c r="O171" i="1"/>
  <c r="P171" i="1"/>
  <c r="Q171" i="1"/>
  <c r="O172" i="1"/>
  <c r="P172" i="1"/>
  <c r="Q172" i="1"/>
  <c r="O173" i="1"/>
  <c r="P173" i="1"/>
  <c r="Q173" i="1"/>
  <c r="O174" i="1"/>
  <c r="P174" i="1"/>
  <c r="Q174" i="1"/>
  <c r="O175" i="1"/>
  <c r="P175" i="1"/>
  <c r="Q175" i="1"/>
  <c r="O176" i="1"/>
  <c r="P176" i="1"/>
  <c r="Q176" i="1"/>
  <c r="O177" i="1"/>
  <c r="P177" i="1"/>
  <c r="Q177" i="1"/>
  <c r="O178" i="1"/>
  <c r="P178" i="1"/>
  <c r="Q178" i="1"/>
  <c r="O179" i="1"/>
  <c r="P179" i="1"/>
  <c r="Q179" i="1"/>
  <c r="O180" i="1"/>
  <c r="P180" i="1"/>
  <c r="Q180" i="1"/>
  <c r="O181" i="1"/>
  <c r="P181" i="1"/>
  <c r="Q181" i="1"/>
  <c r="O182" i="1"/>
  <c r="P182" i="1"/>
  <c r="Q182" i="1"/>
  <c r="O183" i="1"/>
  <c r="P183" i="1"/>
  <c r="Q183" i="1"/>
  <c r="O184" i="1"/>
  <c r="P184" i="1"/>
  <c r="Q184" i="1"/>
  <c r="O185" i="1"/>
  <c r="P185" i="1"/>
  <c r="Q185" i="1"/>
  <c r="O186" i="1"/>
  <c r="P186" i="1"/>
  <c r="Q186" i="1"/>
  <c r="O187" i="1"/>
  <c r="P187" i="1"/>
  <c r="Q187" i="1"/>
  <c r="O188" i="1"/>
  <c r="P188" i="1"/>
  <c r="Q188" i="1"/>
  <c r="O189" i="1"/>
  <c r="P189" i="1"/>
  <c r="Q189" i="1"/>
  <c r="O190" i="1"/>
  <c r="P190" i="1"/>
  <c r="Q190" i="1"/>
  <c r="O191" i="1"/>
  <c r="P191" i="1"/>
  <c r="Q191" i="1"/>
  <c r="O192" i="1"/>
  <c r="P192" i="1"/>
  <c r="Q192" i="1"/>
  <c r="O193" i="1"/>
  <c r="P193" i="1"/>
  <c r="Q193" i="1"/>
  <c r="O194" i="1"/>
  <c r="P194" i="1"/>
  <c r="Q194" i="1"/>
  <c r="O195" i="1"/>
  <c r="P195" i="1"/>
  <c r="Q195" i="1"/>
  <c r="O196" i="1"/>
  <c r="P196" i="1"/>
  <c r="Q196" i="1"/>
  <c r="O197" i="1"/>
  <c r="P197" i="1"/>
  <c r="Q197" i="1"/>
  <c r="O198" i="1"/>
  <c r="P198" i="1"/>
  <c r="Q198" i="1"/>
  <c r="O199" i="1"/>
  <c r="P199" i="1"/>
  <c r="Q199" i="1"/>
  <c r="O200" i="1"/>
  <c r="P200" i="1"/>
  <c r="Q200" i="1"/>
  <c r="O201" i="1"/>
  <c r="P201" i="1"/>
  <c r="Q201" i="1"/>
  <c r="O202" i="1"/>
  <c r="P202" i="1"/>
  <c r="Q202" i="1"/>
  <c r="O203" i="1"/>
  <c r="P203" i="1"/>
  <c r="Q203" i="1"/>
  <c r="O204" i="1"/>
  <c r="P204" i="1"/>
  <c r="Q204" i="1"/>
  <c r="O205" i="1"/>
  <c r="P205" i="1"/>
  <c r="Q205" i="1"/>
  <c r="O206" i="1"/>
  <c r="P206" i="1"/>
  <c r="Q206" i="1"/>
  <c r="O207" i="1"/>
  <c r="P207" i="1"/>
  <c r="Q207" i="1"/>
  <c r="O208" i="1"/>
  <c r="P208" i="1"/>
  <c r="Q208" i="1"/>
  <c r="O209" i="1"/>
  <c r="P209" i="1"/>
  <c r="Q209" i="1"/>
  <c r="O210" i="1"/>
  <c r="P210" i="1"/>
  <c r="Q210" i="1"/>
  <c r="O211" i="1"/>
  <c r="P211" i="1"/>
  <c r="Q211" i="1"/>
  <c r="O212" i="1"/>
  <c r="P212" i="1"/>
  <c r="Q212" i="1"/>
  <c r="O213" i="1"/>
  <c r="P213" i="1"/>
  <c r="Q213" i="1"/>
  <c r="O214" i="1"/>
  <c r="P214" i="1"/>
  <c r="Q214" i="1"/>
  <c r="O215" i="1"/>
  <c r="P215" i="1"/>
  <c r="Q215" i="1"/>
  <c r="O216" i="1"/>
  <c r="P216" i="1"/>
  <c r="Q216" i="1"/>
  <c r="O217" i="1"/>
  <c r="P217" i="1"/>
  <c r="Q217" i="1"/>
  <c r="O218" i="1"/>
  <c r="P218" i="1"/>
  <c r="Q218" i="1"/>
  <c r="O219" i="1"/>
  <c r="P219" i="1"/>
  <c r="Q219" i="1"/>
  <c r="O220" i="1"/>
  <c r="P220" i="1"/>
  <c r="Q220" i="1"/>
  <c r="O221" i="1"/>
  <c r="P221" i="1"/>
  <c r="Q221" i="1"/>
  <c r="O222" i="1"/>
  <c r="P222" i="1"/>
  <c r="Q222" i="1"/>
  <c r="O223" i="1"/>
  <c r="P223" i="1"/>
  <c r="Q223" i="1"/>
  <c r="O224" i="1"/>
  <c r="P224" i="1"/>
  <c r="Q224" i="1"/>
  <c r="O225" i="1"/>
  <c r="P225" i="1"/>
  <c r="Q225" i="1"/>
  <c r="O226" i="1"/>
  <c r="P226" i="1"/>
  <c r="Q226" i="1"/>
  <c r="O227" i="1"/>
  <c r="P227" i="1"/>
  <c r="Q227" i="1"/>
  <c r="O228" i="1"/>
  <c r="P228" i="1"/>
  <c r="Q228" i="1"/>
  <c r="O229" i="1"/>
  <c r="P229" i="1"/>
  <c r="Q229" i="1"/>
  <c r="O230" i="1"/>
  <c r="P230" i="1"/>
  <c r="Q230" i="1"/>
  <c r="O231" i="1"/>
  <c r="P231" i="1"/>
  <c r="Q231" i="1"/>
  <c r="O232" i="1"/>
  <c r="P232" i="1"/>
  <c r="Q232" i="1"/>
  <c r="O233" i="1"/>
  <c r="P233" i="1"/>
  <c r="Q233" i="1"/>
  <c r="O234" i="1"/>
  <c r="P234" i="1"/>
  <c r="Q234" i="1"/>
  <c r="O235" i="1"/>
  <c r="P235" i="1"/>
  <c r="Q235" i="1"/>
  <c r="O236" i="1"/>
  <c r="P236" i="1"/>
  <c r="Q236" i="1"/>
  <c r="O237" i="1"/>
  <c r="P237" i="1"/>
  <c r="Q237" i="1"/>
  <c r="O238" i="1"/>
  <c r="P238" i="1"/>
  <c r="Q238" i="1"/>
  <c r="O239" i="1"/>
  <c r="P239" i="1"/>
  <c r="Q239" i="1"/>
  <c r="O240" i="1"/>
  <c r="P240" i="1"/>
  <c r="Q240" i="1"/>
  <c r="O241" i="1"/>
  <c r="P241" i="1"/>
  <c r="Q241" i="1"/>
  <c r="O242" i="1"/>
  <c r="P242" i="1"/>
  <c r="Q242" i="1"/>
  <c r="O243" i="1"/>
  <c r="P243" i="1"/>
  <c r="Q243" i="1"/>
  <c r="O244" i="1"/>
  <c r="P244" i="1"/>
  <c r="Q244" i="1"/>
  <c r="O245" i="1"/>
  <c r="P245" i="1"/>
  <c r="Q245" i="1"/>
  <c r="O246" i="1"/>
  <c r="P246" i="1"/>
  <c r="Q246" i="1"/>
  <c r="O247" i="1"/>
  <c r="P247" i="1"/>
  <c r="Q247" i="1"/>
  <c r="O248" i="1"/>
  <c r="P248" i="1"/>
  <c r="Q248" i="1"/>
  <c r="O249" i="1"/>
  <c r="P249" i="1"/>
  <c r="Q249" i="1"/>
  <c r="O250" i="1"/>
  <c r="P250" i="1"/>
  <c r="Q250" i="1"/>
  <c r="O251" i="1"/>
  <c r="P251" i="1"/>
  <c r="Q251" i="1"/>
  <c r="O252" i="1"/>
  <c r="P252" i="1"/>
  <c r="Q252" i="1"/>
  <c r="O253" i="1"/>
  <c r="P253" i="1"/>
  <c r="Q253" i="1"/>
  <c r="O254" i="1"/>
  <c r="P254" i="1"/>
  <c r="Q254" i="1"/>
  <c r="O255" i="1"/>
  <c r="P255" i="1"/>
  <c r="Q255" i="1"/>
  <c r="O256" i="1"/>
  <c r="P256" i="1"/>
  <c r="Q256" i="1"/>
  <c r="O257" i="1"/>
  <c r="P257" i="1"/>
  <c r="Q257" i="1"/>
  <c r="O258" i="1"/>
  <c r="P258" i="1"/>
  <c r="Q258" i="1"/>
  <c r="O259" i="1"/>
  <c r="P259" i="1"/>
  <c r="Q259" i="1"/>
  <c r="O260" i="1"/>
  <c r="P260" i="1"/>
  <c r="Q260" i="1"/>
  <c r="O261" i="1"/>
  <c r="P261" i="1"/>
  <c r="Q261" i="1"/>
  <c r="O262" i="1"/>
  <c r="P262" i="1"/>
  <c r="Q262" i="1"/>
  <c r="O263" i="1"/>
  <c r="P263" i="1"/>
  <c r="Q263" i="1"/>
  <c r="O264" i="1"/>
  <c r="P264" i="1"/>
  <c r="Q264" i="1"/>
  <c r="O265" i="1"/>
  <c r="P265" i="1"/>
  <c r="Q265" i="1"/>
  <c r="O266" i="1"/>
  <c r="P266" i="1"/>
  <c r="Q266" i="1"/>
  <c r="O267" i="1"/>
  <c r="P267" i="1"/>
  <c r="Q267" i="1"/>
  <c r="O268" i="1"/>
  <c r="P268" i="1"/>
  <c r="Q268" i="1"/>
  <c r="O269" i="1"/>
  <c r="P269" i="1"/>
  <c r="Q269" i="1"/>
  <c r="O270" i="1"/>
  <c r="P270" i="1"/>
  <c r="Q270" i="1"/>
  <c r="O271" i="1"/>
  <c r="P271" i="1"/>
  <c r="Q271" i="1"/>
  <c r="O272" i="1"/>
  <c r="P272" i="1"/>
  <c r="Q272" i="1"/>
  <c r="O273" i="1"/>
  <c r="P273" i="1"/>
  <c r="Q273" i="1"/>
  <c r="O274" i="1"/>
  <c r="P274" i="1"/>
  <c r="Q274" i="1"/>
  <c r="O275" i="1"/>
  <c r="P275" i="1"/>
  <c r="Q275" i="1"/>
  <c r="O276" i="1"/>
  <c r="P276" i="1"/>
  <c r="Q276" i="1"/>
  <c r="O277" i="1"/>
  <c r="P277" i="1"/>
  <c r="Q277" i="1"/>
  <c r="O278" i="1"/>
  <c r="P278" i="1"/>
  <c r="Q278" i="1"/>
  <c r="O279" i="1"/>
  <c r="P279" i="1"/>
  <c r="Q279" i="1"/>
  <c r="O280" i="1"/>
  <c r="P280" i="1"/>
  <c r="Q280" i="1"/>
  <c r="O281" i="1"/>
  <c r="P281" i="1"/>
  <c r="Q281" i="1"/>
  <c r="O282" i="1"/>
  <c r="P282" i="1"/>
  <c r="Q282" i="1"/>
  <c r="O283" i="1"/>
  <c r="P283" i="1"/>
  <c r="Q283" i="1"/>
  <c r="O284" i="1"/>
  <c r="P284" i="1"/>
  <c r="Q284" i="1"/>
  <c r="O285" i="1"/>
  <c r="P285" i="1"/>
  <c r="Q285" i="1"/>
  <c r="O286" i="1"/>
  <c r="P286" i="1"/>
  <c r="Q286" i="1"/>
  <c r="O287" i="1"/>
  <c r="P287" i="1"/>
  <c r="Q287" i="1"/>
  <c r="O288" i="1"/>
  <c r="P288" i="1"/>
  <c r="Q288" i="1"/>
  <c r="O289" i="1"/>
  <c r="P289" i="1"/>
  <c r="Q289" i="1"/>
  <c r="O290" i="1"/>
  <c r="P290" i="1"/>
  <c r="Q290" i="1"/>
  <c r="O291" i="1"/>
  <c r="P291" i="1"/>
  <c r="Q291" i="1"/>
  <c r="O292" i="1"/>
  <c r="P292" i="1"/>
  <c r="Q292" i="1"/>
  <c r="O293" i="1"/>
  <c r="P293" i="1"/>
  <c r="Q293" i="1"/>
  <c r="O294" i="1"/>
  <c r="P294" i="1"/>
  <c r="Q294" i="1"/>
  <c r="O295" i="1"/>
  <c r="P295" i="1"/>
  <c r="Q295" i="1"/>
  <c r="O296" i="1"/>
  <c r="P296" i="1"/>
  <c r="Q296" i="1"/>
  <c r="O297" i="1"/>
  <c r="P297" i="1"/>
  <c r="Q297" i="1"/>
  <c r="O298" i="1"/>
  <c r="P298" i="1"/>
  <c r="Q298" i="1"/>
  <c r="O299" i="1"/>
  <c r="P299" i="1"/>
  <c r="Q299" i="1"/>
  <c r="O300" i="1"/>
  <c r="P300" i="1"/>
  <c r="Q300" i="1"/>
  <c r="O301" i="1"/>
  <c r="P301" i="1"/>
  <c r="Q301" i="1"/>
  <c r="O302" i="1"/>
  <c r="P302" i="1"/>
  <c r="Q302" i="1"/>
  <c r="O303" i="1"/>
  <c r="P303" i="1"/>
  <c r="Q303" i="1"/>
  <c r="O304" i="1"/>
  <c r="P304" i="1"/>
  <c r="Q304" i="1"/>
  <c r="O305" i="1"/>
  <c r="P305" i="1"/>
  <c r="Q305" i="1"/>
  <c r="O306" i="1"/>
  <c r="P306" i="1"/>
  <c r="Q306" i="1"/>
  <c r="O307" i="1"/>
  <c r="P307" i="1"/>
  <c r="Q307" i="1"/>
  <c r="O308" i="1"/>
  <c r="P308" i="1"/>
  <c r="Q308" i="1"/>
  <c r="O309" i="1"/>
  <c r="P309" i="1"/>
  <c r="Q309" i="1"/>
  <c r="O310" i="1"/>
  <c r="P310" i="1"/>
  <c r="Q310" i="1"/>
  <c r="O311" i="1"/>
  <c r="P311" i="1"/>
  <c r="Q311" i="1"/>
  <c r="O312" i="1"/>
  <c r="P312" i="1"/>
  <c r="Q312" i="1"/>
  <c r="O313" i="1"/>
  <c r="P313" i="1"/>
  <c r="Q313" i="1"/>
  <c r="O314" i="1"/>
  <c r="P314" i="1"/>
  <c r="Q314" i="1"/>
  <c r="O315" i="1"/>
  <c r="P315" i="1"/>
  <c r="Q315" i="1"/>
  <c r="O316" i="1"/>
  <c r="P316" i="1"/>
  <c r="Q316" i="1"/>
  <c r="O317" i="1"/>
  <c r="P317" i="1"/>
  <c r="Q317" i="1"/>
  <c r="O318" i="1"/>
  <c r="P318" i="1"/>
  <c r="Q318" i="1"/>
  <c r="O319" i="1"/>
  <c r="P319" i="1"/>
  <c r="Q319" i="1"/>
  <c r="O320" i="1"/>
  <c r="P320" i="1"/>
  <c r="Q320" i="1"/>
  <c r="O321" i="1"/>
  <c r="P321" i="1"/>
  <c r="Q321" i="1"/>
  <c r="O322" i="1"/>
  <c r="P322" i="1"/>
  <c r="Q322" i="1"/>
  <c r="O323" i="1"/>
  <c r="P323" i="1"/>
  <c r="Q323" i="1"/>
  <c r="O324" i="1"/>
  <c r="P324" i="1"/>
  <c r="Q324" i="1"/>
  <c r="O325" i="1"/>
  <c r="P325" i="1"/>
  <c r="Q325" i="1"/>
  <c r="O326" i="1"/>
  <c r="P326" i="1"/>
  <c r="Q326" i="1"/>
  <c r="O327" i="1"/>
  <c r="P327" i="1"/>
  <c r="Q327" i="1"/>
  <c r="O328" i="1"/>
  <c r="P328" i="1"/>
  <c r="Q328" i="1"/>
  <c r="O329" i="1"/>
  <c r="P329" i="1"/>
  <c r="Q329" i="1"/>
  <c r="O330" i="1"/>
  <c r="P330" i="1"/>
  <c r="Q330" i="1"/>
  <c r="O331" i="1"/>
  <c r="P331" i="1"/>
  <c r="Q331" i="1"/>
  <c r="O332" i="1"/>
  <c r="P332" i="1"/>
  <c r="Q332" i="1"/>
  <c r="O333" i="1"/>
  <c r="P333" i="1"/>
  <c r="Q333" i="1"/>
  <c r="O334" i="1"/>
  <c r="P334" i="1"/>
  <c r="Q334" i="1"/>
  <c r="O335" i="1"/>
  <c r="P335" i="1"/>
  <c r="Q335" i="1"/>
  <c r="O336" i="1"/>
  <c r="P336" i="1"/>
  <c r="Q336" i="1"/>
  <c r="O337" i="1"/>
  <c r="P337" i="1"/>
  <c r="Q337" i="1"/>
  <c r="O338" i="1"/>
  <c r="P338" i="1"/>
  <c r="Q338" i="1"/>
  <c r="O339" i="1"/>
  <c r="P339" i="1"/>
  <c r="Q339" i="1"/>
  <c r="O340" i="1"/>
  <c r="P340" i="1"/>
  <c r="Q340" i="1"/>
  <c r="O341" i="1"/>
  <c r="P341" i="1"/>
  <c r="Q341" i="1"/>
  <c r="O342" i="1"/>
  <c r="P342" i="1"/>
  <c r="Q342" i="1"/>
  <c r="O343" i="1"/>
  <c r="P343" i="1"/>
  <c r="Q343" i="1"/>
  <c r="O344" i="1"/>
  <c r="P344" i="1"/>
  <c r="Q344" i="1"/>
  <c r="O345" i="1"/>
  <c r="P345" i="1"/>
  <c r="Q345" i="1"/>
  <c r="O346" i="1"/>
  <c r="P346" i="1"/>
  <c r="Q346" i="1"/>
  <c r="O347" i="1"/>
  <c r="P347" i="1"/>
  <c r="Q347" i="1"/>
  <c r="O348" i="1"/>
  <c r="P348" i="1"/>
  <c r="Q348" i="1"/>
  <c r="O349" i="1"/>
  <c r="P349" i="1"/>
  <c r="Q349" i="1"/>
  <c r="O350" i="1"/>
  <c r="P350" i="1"/>
  <c r="Q350" i="1"/>
  <c r="O351" i="1"/>
  <c r="P351" i="1"/>
  <c r="Q351" i="1"/>
  <c r="O352" i="1"/>
  <c r="P352" i="1"/>
  <c r="Q352" i="1"/>
  <c r="O353" i="1"/>
  <c r="P353" i="1"/>
  <c r="Q353" i="1"/>
  <c r="O354" i="1"/>
  <c r="P354" i="1"/>
  <c r="Q354" i="1"/>
  <c r="O355" i="1"/>
  <c r="P355" i="1"/>
  <c r="Q355" i="1"/>
  <c r="O356" i="1"/>
  <c r="P356" i="1"/>
  <c r="Q356" i="1"/>
  <c r="O357" i="1"/>
  <c r="P357" i="1"/>
  <c r="Q357" i="1"/>
  <c r="O358" i="1"/>
  <c r="P358" i="1"/>
  <c r="Q358" i="1"/>
  <c r="O359" i="1"/>
  <c r="P359" i="1"/>
  <c r="Q359" i="1"/>
  <c r="O360" i="1"/>
  <c r="P360" i="1"/>
  <c r="Q360" i="1"/>
  <c r="O361" i="1"/>
  <c r="P361" i="1"/>
  <c r="Q361" i="1"/>
  <c r="O362" i="1"/>
  <c r="P362" i="1"/>
  <c r="Q362" i="1"/>
  <c r="O363" i="1"/>
  <c r="P363" i="1"/>
  <c r="Q363" i="1"/>
  <c r="O364" i="1"/>
  <c r="P364" i="1"/>
  <c r="Q364" i="1"/>
  <c r="O365" i="1"/>
  <c r="P365" i="1"/>
  <c r="Q365" i="1"/>
  <c r="O366" i="1"/>
  <c r="P366" i="1"/>
  <c r="Q366" i="1"/>
  <c r="O367" i="1"/>
  <c r="P367" i="1"/>
  <c r="Q367" i="1"/>
  <c r="O368" i="1"/>
  <c r="P368" i="1"/>
  <c r="Q368" i="1"/>
  <c r="O369" i="1"/>
  <c r="P369" i="1"/>
  <c r="Q369" i="1"/>
  <c r="O370" i="1"/>
  <c r="P370" i="1"/>
  <c r="Q370" i="1"/>
  <c r="O371" i="1"/>
  <c r="P371" i="1"/>
  <c r="Q371" i="1"/>
  <c r="O372" i="1"/>
  <c r="P372" i="1"/>
  <c r="Q372" i="1"/>
  <c r="O373" i="1"/>
  <c r="P373" i="1"/>
  <c r="Q373" i="1"/>
  <c r="O374" i="1"/>
  <c r="P374" i="1"/>
  <c r="Q374" i="1"/>
  <c r="O375" i="1"/>
  <c r="P375" i="1"/>
  <c r="Q375" i="1"/>
  <c r="O376" i="1"/>
  <c r="P376" i="1"/>
  <c r="Q376" i="1"/>
  <c r="O377" i="1"/>
  <c r="P377" i="1"/>
  <c r="Q377" i="1"/>
  <c r="O378" i="1"/>
  <c r="P378" i="1"/>
  <c r="Q378" i="1"/>
  <c r="O379" i="1"/>
  <c r="P379" i="1"/>
  <c r="Q379" i="1"/>
  <c r="O380" i="1"/>
  <c r="P380" i="1"/>
  <c r="Q380" i="1"/>
  <c r="O381" i="1"/>
  <c r="P381" i="1"/>
  <c r="Q381" i="1"/>
  <c r="O382" i="1"/>
  <c r="P382" i="1"/>
  <c r="Q382" i="1"/>
  <c r="O383" i="1"/>
  <c r="P383" i="1"/>
  <c r="Q383" i="1"/>
  <c r="O384" i="1"/>
  <c r="P384" i="1"/>
  <c r="Q384" i="1"/>
  <c r="O385" i="1"/>
  <c r="P385" i="1"/>
  <c r="Q385" i="1"/>
  <c r="O386" i="1"/>
  <c r="P386" i="1"/>
  <c r="Q386" i="1"/>
  <c r="O387" i="1"/>
  <c r="P387" i="1"/>
  <c r="Q387" i="1"/>
  <c r="O388" i="1"/>
  <c r="P388" i="1"/>
  <c r="Q388" i="1"/>
  <c r="O389" i="1"/>
  <c r="P389" i="1"/>
  <c r="Q389" i="1"/>
  <c r="O390" i="1"/>
  <c r="P390" i="1"/>
  <c r="Q390" i="1"/>
  <c r="O391" i="1"/>
  <c r="P391" i="1"/>
  <c r="Q391" i="1"/>
  <c r="O392" i="1"/>
  <c r="P392" i="1"/>
  <c r="Q392" i="1"/>
  <c r="O393" i="1"/>
  <c r="P393" i="1"/>
  <c r="Q393" i="1"/>
  <c r="O394" i="1"/>
  <c r="P394" i="1"/>
  <c r="Q394" i="1"/>
  <c r="O395" i="1"/>
  <c r="P395" i="1"/>
  <c r="Q395" i="1"/>
  <c r="O396" i="1"/>
  <c r="P396" i="1"/>
  <c r="Q396" i="1"/>
  <c r="O397" i="1"/>
  <c r="P397" i="1"/>
  <c r="Q397" i="1"/>
  <c r="O398" i="1"/>
  <c r="P398" i="1"/>
  <c r="Q398" i="1"/>
  <c r="O399" i="1"/>
  <c r="P399" i="1"/>
  <c r="Q399" i="1"/>
  <c r="O400" i="1"/>
  <c r="P400" i="1"/>
  <c r="Q400" i="1"/>
  <c r="O401" i="1"/>
  <c r="P401" i="1"/>
  <c r="Q401" i="1"/>
  <c r="O402" i="1"/>
  <c r="P402" i="1"/>
  <c r="Q402" i="1"/>
  <c r="O403" i="1"/>
  <c r="P403" i="1"/>
  <c r="Q403" i="1"/>
  <c r="O404" i="1"/>
  <c r="P404" i="1"/>
  <c r="Q404" i="1"/>
  <c r="O405" i="1"/>
  <c r="P405" i="1"/>
  <c r="Q405" i="1"/>
  <c r="O406" i="1"/>
  <c r="P406" i="1"/>
  <c r="Q406" i="1"/>
  <c r="O407" i="1"/>
  <c r="P407" i="1"/>
  <c r="Q407" i="1"/>
  <c r="O408" i="1"/>
  <c r="P408" i="1"/>
  <c r="Q408" i="1"/>
  <c r="O409" i="1"/>
  <c r="P409" i="1"/>
  <c r="Q409" i="1"/>
  <c r="O410" i="1"/>
  <c r="P410" i="1"/>
  <c r="Q410" i="1"/>
  <c r="O411" i="1"/>
  <c r="P411" i="1"/>
  <c r="Q411" i="1"/>
  <c r="O412" i="1"/>
  <c r="P412" i="1"/>
  <c r="Q412" i="1"/>
  <c r="O413" i="1"/>
  <c r="P413" i="1"/>
  <c r="Q413" i="1"/>
  <c r="O414" i="1"/>
  <c r="P414" i="1"/>
  <c r="Q414" i="1"/>
  <c r="O415" i="1"/>
  <c r="P415" i="1"/>
  <c r="Q415" i="1"/>
  <c r="O416" i="1"/>
  <c r="P416" i="1"/>
  <c r="Q416" i="1"/>
  <c r="O417" i="1"/>
  <c r="P417" i="1"/>
  <c r="Q417" i="1"/>
  <c r="O418" i="1"/>
  <c r="P418" i="1"/>
  <c r="Q418" i="1"/>
  <c r="O419" i="1"/>
  <c r="P419" i="1"/>
  <c r="Q419" i="1"/>
  <c r="O420" i="1"/>
  <c r="P420" i="1"/>
  <c r="Q420" i="1"/>
  <c r="O421" i="1"/>
  <c r="P421" i="1"/>
  <c r="Q421" i="1"/>
  <c r="O422" i="1"/>
  <c r="P422" i="1"/>
  <c r="Q422" i="1"/>
  <c r="O423" i="1"/>
  <c r="P423" i="1"/>
  <c r="Q423" i="1"/>
  <c r="O424" i="1"/>
  <c r="P424" i="1"/>
  <c r="Q424" i="1"/>
  <c r="O425" i="1"/>
  <c r="P425" i="1"/>
  <c r="Q425" i="1"/>
  <c r="O426" i="1"/>
  <c r="P426" i="1"/>
  <c r="Q426" i="1"/>
  <c r="O427" i="1"/>
  <c r="P427" i="1"/>
  <c r="Q427" i="1"/>
  <c r="O428" i="1"/>
  <c r="P428" i="1"/>
  <c r="Q428" i="1"/>
  <c r="O429" i="1"/>
  <c r="P429" i="1"/>
  <c r="Q429" i="1"/>
  <c r="O430" i="1"/>
  <c r="P430" i="1"/>
  <c r="Q430" i="1"/>
  <c r="O431" i="1"/>
  <c r="P431" i="1"/>
  <c r="Q431" i="1"/>
  <c r="O432" i="1"/>
  <c r="P432" i="1"/>
  <c r="Q432" i="1"/>
  <c r="O433" i="1"/>
  <c r="P433" i="1"/>
  <c r="Q433" i="1"/>
  <c r="O434" i="1"/>
  <c r="P434" i="1"/>
  <c r="Q434" i="1"/>
  <c r="O435" i="1"/>
  <c r="P435" i="1"/>
  <c r="Q435" i="1"/>
  <c r="O436" i="1"/>
  <c r="P436" i="1"/>
  <c r="Q436" i="1"/>
  <c r="O437" i="1"/>
  <c r="P437" i="1"/>
  <c r="Q437" i="1"/>
  <c r="O438" i="1"/>
  <c r="P438" i="1"/>
  <c r="Q438" i="1"/>
  <c r="O439" i="1"/>
  <c r="P439" i="1"/>
  <c r="Q439" i="1"/>
  <c r="O440" i="1"/>
  <c r="P440" i="1"/>
  <c r="Q440" i="1"/>
  <c r="O441" i="1"/>
  <c r="P441" i="1"/>
  <c r="Q441" i="1"/>
  <c r="O442" i="1"/>
  <c r="P442" i="1"/>
  <c r="Q442" i="1"/>
  <c r="O443" i="1"/>
  <c r="P443" i="1"/>
  <c r="Q443" i="1"/>
  <c r="O444" i="1"/>
  <c r="P444" i="1"/>
  <c r="Q444" i="1"/>
  <c r="O445" i="1"/>
  <c r="P445" i="1"/>
  <c r="Q445" i="1"/>
  <c r="O446" i="1"/>
  <c r="P446" i="1"/>
  <c r="Q446" i="1"/>
  <c r="O447" i="1"/>
  <c r="P447" i="1"/>
  <c r="Q447" i="1"/>
  <c r="O448" i="1"/>
  <c r="P448" i="1"/>
  <c r="Q448" i="1"/>
  <c r="O449" i="1"/>
  <c r="P449" i="1"/>
  <c r="Q449" i="1"/>
  <c r="O450" i="1"/>
  <c r="P450" i="1"/>
  <c r="Q450" i="1"/>
  <c r="O451" i="1"/>
  <c r="P451" i="1"/>
  <c r="Q451" i="1"/>
  <c r="O452" i="1"/>
  <c r="P452" i="1"/>
  <c r="Q452" i="1"/>
  <c r="O453" i="1"/>
  <c r="P453" i="1"/>
  <c r="Q453" i="1"/>
  <c r="O454" i="1"/>
  <c r="P454" i="1"/>
  <c r="Q454" i="1"/>
  <c r="O455" i="1"/>
  <c r="P455" i="1"/>
  <c r="Q455" i="1"/>
  <c r="O456" i="1"/>
  <c r="P456" i="1"/>
  <c r="Q456" i="1"/>
  <c r="O457" i="1"/>
  <c r="P457" i="1"/>
  <c r="Q457" i="1"/>
  <c r="O458" i="1"/>
  <c r="P458" i="1"/>
  <c r="Q458" i="1"/>
  <c r="O459" i="1"/>
  <c r="P459" i="1"/>
  <c r="Q459" i="1"/>
  <c r="O460" i="1"/>
  <c r="P460" i="1"/>
  <c r="Q460" i="1"/>
  <c r="O461" i="1"/>
  <c r="P461" i="1"/>
  <c r="Q461" i="1"/>
  <c r="O462" i="1"/>
  <c r="P462" i="1"/>
  <c r="Q462" i="1"/>
  <c r="O463" i="1"/>
  <c r="P463" i="1"/>
  <c r="Q463" i="1"/>
  <c r="O464" i="1"/>
  <c r="P464" i="1"/>
  <c r="Q464" i="1"/>
  <c r="O465" i="1"/>
  <c r="P465" i="1"/>
  <c r="Q465" i="1"/>
  <c r="O466" i="1"/>
  <c r="P466" i="1"/>
  <c r="Q466" i="1"/>
  <c r="O467" i="1"/>
  <c r="P467" i="1"/>
  <c r="Q467" i="1"/>
  <c r="O468" i="1"/>
  <c r="P468" i="1"/>
  <c r="Q468" i="1"/>
  <c r="O469" i="1"/>
  <c r="P469" i="1"/>
  <c r="Q469" i="1"/>
  <c r="O470" i="1"/>
  <c r="P470" i="1"/>
  <c r="Q470" i="1"/>
  <c r="O471" i="1"/>
  <c r="P471" i="1"/>
  <c r="Q471" i="1"/>
  <c r="O472" i="1"/>
  <c r="P472" i="1"/>
  <c r="Q472" i="1"/>
  <c r="O473" i="1"/>
  <c r="P473" i="1"/>
  <c r="Q473" i="1"/>
  <c r="O474" i="1"/>
  <c r="P474" i="1"/>
  <c r="Q474" i="1"/>
  <c r="O475" i="1"/>
  <c r="P475" i="1"/>
  <c r="Q475" i="1"/>
  <c r="O476" i="1"/>
  <c r="P476" i="1"/>
  <c r="Q476" i="1"/>
  <c r="O477" i="1"/>
  <c r="P477" i="1"/>
  <c r="Q477" i="1"/>
  <c r="O478" i="1"/>
  <c r="P478" i="1"/>
  <c r="Q478" i="1"/>
  <c r="O479" i="1"/>
  <c r="P479" i="1"/>
  <c r="Q479" i="1"/>
  <c r="O480" i="1"/>
  <c r="P480" i="1"/>
  <c r="Q480" i="1"/>
  <c r="O481" i="1"/>
  <c r="P481" i="1"/>
  <c r="Q481" i="1"/>
  <c r="O482" i="1"/>
  <c r="P482" i="1"/>
  <c r="Q482" i="1"/>
  <c r="O483" i="1"/>
  <c r="P483" i="1"/>
  <c r="Q483" i="1"/>
  <c r="O484" i="1"/>
  <c r="P484" i="1"/>
  <c r="Q484" i="1"/>
  <c r="O485" i="1"/>
  <c r="P485" i="1"/>
  <c r="Q485" i="1"/>
  <c r="O486" i="1"/>
  <c r="P486" i="1"/>
  <c r="Q486" i="1"/>
  <c r="O487" i="1"/>
  <c r="P487" i="1"/>
  <c r="Q487" i="1"/>
  <c r="O488" i="1"/>
  <c r="P488" i="1"/>
  <c r="Q488" i="1"/>
  <c r="O489" i="1"/>
  <c r="P489" i="1"/>
  <c r="Q489" i="1"/>
  <c r="O490" i="1"/>
  <c r="P490" i="1"/>
  <c r="Q490" i="1"/>
  <c r="O491" i="1"/>
  <c r="P491" i="1"/>
  <c r="Q491" i="1"/>
  <c r="O492" i="1"/>
  <c r="P492" i="1"/>
  <c r="Q492" i="1"/>
  <c r="O493" i="1"/>
  <c r="P493" i="1"/>
  <c r="Q493" i="1"/>
  <c r="O494" i="1"/>
  <c r="P494" i="1"/>
  <c r="Q494" i="1"/>
  <c r="O495" i="1"/>
  <c r="P495" i="1"/>
  <c r="Q495" i="1"/>
  <c r="O496" i="1"/>
  <c r="P496" i="1"/>
  <c r="Q496" i="1"/>
  <c r="O497" i="1"/>
  <c r="P497" i="1"/>
  <c r="Q497" i="1"/>
  <c r="O498" i="1"/>
  <c r="P498" i="1"/>
  <c r="Q498" i="1"/>
  <c r="O499" i="1"/>
  <c r="P499" i="1"/>
  <c r="Q499" i="1"/>
  <c r="O500" i="1"/>
  <c r="P500" i="1"/>
  <c r="Q500" i="1"/>
  <c r="O501" i="1"/>
  <c r="P501" i="1"/>
  <c r="Q501" i="1"/>
  <c r="O502" i="1"/>
  <c r="P502" i="1"/>
  <c r="Q502" i="1"/>
  <c r="O503" i="1"/>
  <c r="P503" i="1"/>
  <c r="Q503" i="1"/>
  <c r="O504" i="1"/>
  <c r="P504" i="1"/>
  <c r="Q504" i="1"/>
  <c r="O505" i="1"/>
  <c r="P505" i="1"/>
  <c r="Q505" i="1"/>
  <c r="O506" i="1"/>
  <c r="P506" i="1"/>
  <c r="Q506" i="1"/>
  <c r="O507" i="1"/>
  <c r="P507" i="1"/>
  <c r="Q507" i="1"/>
  <c r="O508" i="1"/>
  <c r="P508" i="1"/>
  <c r="Q508" i="1"/>
  <c r="O509" i="1"/>
  <c r="P509" i="1"/>
  <c r="Q509" i="1"/>
  <c r="O510" i="1"/>
  <c r="P510" i="1"/>
  <c r="Q510" i="1"/>
  <c r="O511" i="1"/>
  <c r="P511" i="1"/>
  <c r="Q511" i="1"/>
  <c r="O512" i="1"/>
  <c r="P512" i="1"/>
  <c r="Q512" i="1"/>
  <c r="O513" i="1"/>
  <c r="P513" i="1"/>
  <c r="Q513" i="1"/>
  <c r="O514" i="1"/>
  <c r="P514" i="1"/>
  <c r="Q514" i="1"/>
  <c r="O515" i="1"/>
  <c r="P515" i="1"/>
  <c r="Q515" i="1"/>
  <c r="O516" i="1"/>
  <c r="P516" i="1"/>
  <c r="Q516" i="1"/>
  <c r="O517" i="1"/>
  <c r="P517" i="1"/>
  <c r="Q517" i="1"/>
  <c r="O518" i="1"/>
  <c r="P518" i="1"/>
  <c r="Q518" i="1"/>
  <c r="O519" i="1"/>
  <c r="P519" i="1"/>
  <c r="Q519" i="1"/>
  <c r="O520" i="1"/>
  <c r="P520" i="1"/>
  <c r="Q520" i="1"/>
  <c r="O521" i="1"/>
  <c r="P521" i="1"/>
  <c r="Q521" i="1"/>
  <c r="O522" i="1"/>
  <c r="P522" i="1"/>
  <c r="Q522" i="1"/>
  <c r="O523" i="1"/>
  <c r="P523" i="1"/>
  <c r="Q523" i="1"/>
  <c r="O524" i="1"/>
  <c r="P524" i="1"/>
  <c r="Q524" i="1"/>
  <c r="O525" i="1"/>
  <c r="P525" i="1"/>
  <c r="Q525" i="1"/>
  <c r="O526" i="1"/>
  <c r="P526" i="1"/>
  <c r="Q526" i="1"/>
  <c r="O527" i="1"/>
  <c r="P527" i="1"/>
  <c r="Q527" i="1"/>
  <c r="O528" i="1"/>
  <c r="P528" i="1"/>
  <c r="Q528" i="1"/>
  <c r="O529" i="1"/>
  <c r="P529" i="1"/>
  <c r="Q529" i="1"/>
  <c r="O530" i="1"/>
  <c r="P530" i="1"/>
  <c r="Q530" i="1"/>
  <c r="O531" i="1"/>
  <c r="P531" i="1"/>
  <c r="Q531" i="1"/>
  <c r="O532" i="1"/>
  <c r="P532" i="1"/>
  <c r="Q532" i="1"/>
  <c r="O533" i="1"/>
  <c r="P533" i="1"/>
  <c r="Q533" i="1"/>
  <c r="O534" i="1"/>
  <c r="P534" i="1"/>
  <c r="Q534" i="1"/>
  <c r="O535" i="1"/>
  <c r="P535" i="1"/>
  <c r="Q535" i="1"/>
  <c r="O536" i="1"/>
  <c r="P536" i="1"/>
  <c r="Q536" i="1"/>
  <c r="O537" i="1"/>
  <c r="P537" i="1"/>
  <c r="Q537" i="1"/>
  <c r="O538" i="1"/>
  <c r="P538" i="1"/>
  <c r="Q538" i="1"/>
  <c r="O539" i="1"/>
  <c r="P539" i="1"/>
  <c r="Q539" i="1"/>
  <c r="O540" i="1"/>
  <c r="P540" i="1"/>
  <c r="Q540" i="1"/>
  <c r="O541" i="1"/>
  <c r="P541" i="1"/>
  <c r="Q541" i="1"/>
  <c r="O542" i="1"/>
  <c r="P542" i="1"/>
  <c r="Q542" i="1"/>
  <c r="O543" i="1"/>
  <c r="P543" i="1"/>
  <c r="Q543" i="1"/>
  <c r="O544" i="1"/>
  <c r="P544" i="1"/>
  <c r="Q544" i="1"/>
  <c r="O545" i="1"/>
  <c r="P545" i="1"/>
  <c r="Q545" i="1"/>
  <c r="O546" i="1"/>
  <c r="P546" i="1"/>
  <c r="Q546" i="1"/>
  <c r="O547" i="1"/>
  <c r="P547" i="1"/>
  <c r="Q547" i="1"/>
  <c r="O548" i="1"/>
  <c r="P548" i="1"/>
  <c r="Q548" i="1"/>
  <c r="O549" i="1"/>
  <c r="P549" i="1"/>
  <c r="Q549" i="1"/>
  <c r="O550" i="1"/>
  <c r="P550" i="1"/>
  <c r="Q550" i="1"/>
  <c r="O551" i="1"/>
  <c r="P551" i="1"/>
  <c r="Q551" i="1"/>
  <c r="O552" i="1"/>
  <c r="P552" i="1"/>
  <c r="Q552" i="1"/>
  <c r="O553" i="1"/>
  <c r="P553" i="1"/>
  <c r="Q553" i="1"/>
  <c r="O554" i="1"/>
  <c r="P554" i="1"/>
  <c r="Q554" i="1"/>
  <c r="O555" i="1"/>
  <c r="P555" i="1"/>
  <c r="Q555" i="1"/>
  <c r="O556" i="1"/>
  <c r="P556" i="1"/>
  <c r="Q556" i="1"/>
  <c r="O557" i="1"/>
  <c r="P557" i="1"/>
  <c r="Q557" i="1"/>
  <c r="O558" i="1"/>
  <c r="P558" i="1"/>
  <c r="Q558" i="1"/>
  <c r="O559" i="1"/>
  <c r="P559" i="1"/>
  <c r="Q559" i="1"/>
  <c r="O560" i="1"/>
  <c r="P560" i="1"/>
  <c r="Q560" i="1"/>
  <c r="O561" i="1"/>
  <c r="P561" i="1"/>
  <c r="Q561" i="1"/>
  <c r="O562" i="1"/>
  <c r="P562" i="1"/>
  <c r="Q562" i="1"/>
  <c r="O563" i="1"/>
  <c r="P563" i="1"/>
  <c r="Q563" i="1"/>
  <c r="O564" i="1"/>
  <c r="P564" i="1"/>
  <c r="Q564" i="1"/>
  <c r="O565" i="1"/>
  <c r="P565" i="1"/>
  <c r="Q565" i="1"/>
  <c r="O566" i="1"/>
  <c r="P566" i="1"/>
  <c r="Q566" i="1"/>
  <c r="O567" i="1"/>
  <c r="P567" i="1"/>
  <c r="Q567" i="1"/>
  <c r="O568" i="1"/>
  <c r="P568" i="1"/>
  <c r="Q568" i="1"/>
  <c r="O569" i="1"/>
  <c r="P569" i="1"/>
  <c r="Q569" i="1"/>
  <c r="O570" i="1"/>
  <c r="P570" i="1"/>
  <c r="Q570" i="1"/>
  <c r="O571" i="1"/>
  <c r="P571" i="1"/>
  <c r="Q571" i="1"/>
  <c r="O572" i="1"/>
  <c r="P572" i="1"/>
  <c r="Q572" i="1"/>
  <c r="O573" i="1"/>
  <c r="P573" i="1"/>
  <c r="Q573" i="1"/>
  <c r="O574" i="1"/>
  <c r="P574" i="1"/>
  <c r="Q574" i="1"/>
  <c r="O575" i="1"/>
  <c r="P575" i="1"/>
  <c r="Q575" i="1"/>
  <c r="O576" i="1"/>
  <c r="P576" i="1"/>
  <c r="Q576" i="1"/>
  <c r="O577" i="1"/>
  <c r="P577" i="1"/>
  <c r="Q577" i="1"/>
  <c r="Q2" i="1"/>
  <c r="P2" i="1"/>
  <c r="O2" i="1"/>
  <c r="D794" i="13" l="1"/>
  <c r="D793" i="13"/>
  <c r="D792" i="13"/>
  <c r="D791" i="13"/>
  <c r="D790" i="13"/>
  <c r="D789" i="13"/>
  <c r="D788" i="13"/>
  <c r="D787" i="13"/>
  <c r="D786" i="13"/>
  <c r="D785" i="13"/>
  <c r="D784" i="13"/>
  <c r="D783" i="13"/>
  <c r="D782" i="13"/>
  <c r="D781" i="13"/>
  <c r="D780" i="13"/>
  <c r="D779" i="13"/>
  <c r="D778" i="13"/>
  <c r="D777" i="13"/>
  <c r="D776" i="13"/>
  <c r="D775" i="13"/>
  <c r="D774" i="13"/>
  <c r="D773" i="13"/>
  <c r="D772" i="13"/>
  <c r="D771" i="13"/>
  <c r="D770" i="13"/>
  <c r="D769" i="13"/>
  <c r="D768" i="13"/>
  <c r="D767" i="13"/>
  <c r="D766" i="13"/>
  <c r="D765" i="13"/>
  <c r="D764" i="13"/>
  <c r="D763" i="13"/>
  <c r="D762" i="13"/>
  <c r="D761" i="13"/>
  <c r="D760" i="13"/>
  <c r="D759" i="13"/>
  <c r="D758" i="13"/>
  <c r="D757" i="13"/>
  <c r="D756" i="13"/>
  <c r="D755" i="13"/>
  <c r="D754" i="13"/>
  <c r="D753" i="13"/>
  <c r="D752" i="13"/>
  <c r="D751" i="13"/>
  <c r="D750" i="13"/>
  <c r="D749" i="13"/>
  <c r="D748" i="13"/>
  <c r="D747" i="13"/>
  <c r="D746" i="13"/>
  <c r="D745" i="13"/>
  <c r="D744" i="13"/>
  <c r="D743" i="13"/>
  <c r="D742" i="13"/>
  <c r="D741" i="13"/>
  <c r="D740" i="13"/>
  <c r="D739" i="13"/>
  <c r="D738" i="13"/>
  <c r="D737" i="13"/>
  <c r="D736" i="13"/>
  <c r="D735" i="13"/>
  <c r="D734" i="13"/>
  <c r="D733" i="13"/>
  <c r="D732" i="13"/>
  <c r="D731" i="13"/>
  <c r="D730" i="13"/>
  <c r="D729" i="13"/>
  <c r="D728" i="13"/>
  <c r="D727" i="13"/>
  <c r="D726" i="13"/>
  <c r="D725" i="13"/>
  <c r="D724" i="13"/>
  <c r="D723" i="13"/>
  <c r="D722" i="13"/>
  <c r="D721" i="13"/>
  <c r="D720" i="13"/>
  <c r="D719" i="13"/>
  <c r="D718" i="13"/>
  <c r="D717" i="13"/>
  <c r="D716" i="13"/>
  <c r="D715" i="13"/>
  <c r="D714" i="13"/>
  <c r="D713" i="13"/>
  <c r="D712" i="13"/>
  <c r="D711" i="13"/>
  <c r="D710" i="13"/>
  <c r="D709" i="13"/>
  <c r="D708" i="13"/>
  <c r="D707" i="13"/>
  <c r="D706" i="13"/>
  <c r="D705" i="13"/>
  <c r="D704" i="13"/>
  <c r="D703" i="13"/>
  <c r="D702" i="13"/>
  <c r="D701" i="13"/>
  <c r="D700" i="13"/>
  <c r="D699" i="13"/>
  <c r="D698" i="13"/>
  <c r="D697" i="13"/>
  <c r="D696" i="13"/>
  <c r="D695" i="13"/>
  <c r="D694" i="13"/>
  <c r="D693" i="13"/>
  <c r="D692" i="13"/>
  <c r="D691" i="13"/>
  <c r="D690" i="13"/>
  <c r="D689" i="13"/>
  <c r="D688" i="13"/>
  <c r="D687" i="13"/>
  <c r="D686" i="13"/>
  <c r="D685" i="13"/>
  <c r="D684" i="13"/>
  <c r="D683" i="13"/>
  <c r="D682" i="13"/>
  <c r="D681" i="13"/>
  <c r="D680" i="13"/>
  <c r="D679" i="13"/>
  <c r="D678" i="13"/>
  <c r="D677" i="13"/>
  <c r="D676" i="13"/>
  <c r="D675" i="13"/>
  <c r="D674" i="13"/>
  <c r="D673" i="13"/>
  <c r="D672" i="13"/>
  <c r="D671" i="13"/>
  <c r="D670" i="13"/>
  <c r="D669" i="13"/>
  <c r="D668" i="13"/>
  <c r="D667" i="13"/>
  <c r="D666" i="13"/>
  <c r="D665" i="13"/>
  <c r="D664" i="13"/>
  <c r="D663" i="13"/>
  <c r="D662" i="13"/>
  <c r="D661" i="13"/>
  <c r="D660" i="13"/>
  <c r="D659" i="13"/>
  <c r="D658" i="13"/>
  <c r="D657" i="13"/>
  <c r="D656" i="13"/>
  <c r="D655" i="13"/>
  <c r="D654" i="13"/>
  <c r="D653" i="13"/>
  <c r="D652" i="13"/>
  <c r="D651" i="13"/>
  <c r="D650" i="13"/>
  <c r="D649" i="13"/>
  <c r="D648" i="13"/>
  <c r="D647" i="13"/>
  <c r="D646" i="13"/>
  <c r="D645" i="13"/>
  <c r="D644" i="13"/>
  <c r="D643" i="13"/>
  <c r="D642" i="13"/>
  <c r="D641" i="13"/>
  <c r="D640" i="13"/>
  <c r="D639" i="13"/>
  <c r="D638" i="13"/>
  <c r="D637" i="13"/>
  <c r="D636" i="13"/>
  <c r="D635" i="13"/>
  <c r="D634" i="13"/>
  <c r="D633" i="13"/>
  <c r="D632" i="13"/>
  <c r="D631" i="13"/>
  <c r="D630" i="13"/>
  <c r="D629" i="13"/>
  <c r="D628" i="13"/>
  <c r="D627" i="13"/>
  <c r="D626" i="13"/>
  <c r="D625" i="13"/>
  <c r="D624" i="13"/>
  <c r="D623" i="13"/>
  <c r="D622" i="13"/>
  <c r="D621" i="13"/>
  <c r="D620" i="13"/>
  <c r="D619" i="13"/>
  <c r="D618" i="13"/>
  <c r="D617" i="13"/>
  <c r="D616" i="13"/>
  <c r="D615" i="13"/>
  <c r="D614" i="13"/>
  <c r="D613" i="13"/>
  <c r="D612" i="13"/>
  <c r="D611" i="13"/>
  <c r="D610" i="13"/>
  <c r="D609" i="13"/>
  <c r="D608" i="13"/>
  <c r="D607" i="13"/>
  <c r="D606" i="13"/>
  <c r="D605" i="13"/>
  <c r="D604" i="13"/>
  <c r="D603" i="13"/>
  <c r="D602" i="13"/>
  <c r="D601" i="13"/>
  <c r="D600" i="13"/>
  <c r="D599" i="13"/>
  <c r="D598" i="13"/>
  <c r="D597" i="13"/>
  <c r="D596" i="13"/>
  <c r="D595" i="13"/>
  <c r="D594" i="13"/>
  <c r="D593" i="13"/>
  <c r="D592" i="13"/>
  <c r="D591" i="13"/>
  <c r="D590" i="13"/>
  <c r="D589" i="13"/>
  <c r="D588" i="13"/>
  <c r="D587" i="13"/>
  <c r="D586" i="13"/>
  <c r="D585" i="13"/>
  <c r="D584" i="13"/>
  <c r="D583" i="13"/>
  <c r="D582" i="13"/>
  <c r="D581" i="13"/>
  <c r="D580" i="13"/>
  <c r="D579" i="13"/>
  <c r="D577" i="13"/>
  <c r="D576" i="13"/>
  <c r="D575" i="13"/>
  <c r="D574" i="13"/>
  <c r="D573" i="13"/>
  <c r="D572" i="13"/>
  <c r="D571" i="13"/>
  <c r="D570" i="13"/>
  <c r="D569" i="13"/>
  <c r="D568" i="13"/>
  <c r="D567" i="13"/>
  <c r="D566" i="13"/>
  <c r="D565" i="13"/>
  <c r="D564" i="13"/>
  <c r="D563" i="13"/>
  <c r="D562" i="13"/>
  <c r="D561" i="13"/>
  <c r="D560" i="13"/>
  <c r="D559" i="13"/>
  <c r="D558" i="13"/>
  <c r="D557" i="13"/>
  <c r="D556" i="13"/>
  <c r="D555" i="13"/>
  <c r="D554" i="13"/>
  <c r="D553" i="13"/>
  <c r="D552" i="13"/>
  <c r="D551" i="13"/>
  <c r="D550" i="13"/>
  <c r="D549" i="13"/>
  <c r="D548" i="13"/>
  <c r="D547" i="13"/>
  <c r="D546" i="13"/>
  <c r="D545" i="13"/>
  <c r="D544" i="13"/>
  <c r="D543" i="13"/>
  <c r="D542" i="13"/>
  <c r="D541" i="13"/>
  <c r="D540" i="13"/>
  <c r="D539" i="13"/>
  <c r="D538" i="13"/>
  <c r="D537" i="13"/>
  <c r="D536" i="13"/>
  <c r="D535" i="13"/>
  <c r="D534" i="13"/>
  <c r="D533" i="13"/>
  <c r="D532" i="13"/>
  <c r="D531" i="13"/>
  <c r="D530" i="13"/>
  <c r="D529" i="13"/>
  <c r="D528" i="13"/>
  <c r="D527" i="13"/>
  <c r="D526" i="13"/>
  <c r="D525" i="13"/>
  <c r="D524" i="13"/>
  <c r="D523" i="13"/>
  <c r="D522" i="13"/>
  <c r="D521" i="13"/>
  <c r="D520" i="13"/>
  <c r="D519" i="13"/>
  <c r="D518" i="13"/>
  <c r="D517" i="13"/>
  <c r="D516" i="13"/>
  <c r="D515" i="13"/>
  <c r="D514" i="13"/>
  <c r="D513" i="13"/>
  <c r="D512" i="13"/>
  <c r="D511" i="13"/>
  <c r="D510" i="13"/>
  <c r="D509" i="13"/>
  <c r="D508" i="13"/>
  <c r="D507" i="13"/>
  <c r="D506" i="13"/>
  <c r="D505" i="13"/>
  <c r="D504" i="13"/>
  <c r="D503" i="13"/>
  <c r="D502" i="13"/>
  <c r="D501" i="13"/>
  <c r="D500" i="13"/>
  <c r="D499" i="13"/>
  <c r="D498" i="13"/>
  <c r="D497" i="13"/>
  <c r="D496" i="13"/>
  <c r="D495" i="13"/>
  <c r="D494" i="13"/>
  <c r="D493" i="13"/>
  <c r="D492" i="13"/>
  <c r="D491" i="13"/>
  <c r="D490" i="13"/>
  <c r="D489" i="13"/>
  <c r="D488" i="13"/>
  <c r="D487" i="13"/>
  <c r="D486" i="13"/>
  <c r="D485" i="13"/>
  <c r="D484" i="13"/>
  <c r="D483" i="13"/>
  <c r="D482" i="13"/>
  <c r="D481" i="13"/>
  <c r="D480" i="13"/>
  <c r="D479" i="13"/>
  <c r="D478" i="13"/>
  <c r="D477" i="13"/>
  <c r="D476" i="13"/>
  <c r="D475" i="13"/>
  <c r="D474" i="13"/>
  <c r="D473" i="13"/>
  <c r="D472" i="13"/>
  <c r="D471" i="13"/>
  <c r="D470" i="13"/>
  <c r="D469" i="13"/>
  <c r="D468" i="13"/>
  <c r="D467" i="13"/>
  <c r="D466" i="13"/>
  <c r="D465" i="13"/>
  <c r="D464" i="13"/>
  <c r="D463" i="13"/>
  <c r="D462" i="13"/>
  <c r="D461" i="13"/>
  <c r="D460" i="13"/>
  <c r="D459" i="13"/>
  <c r="D458" i="13"/>
  <c r="D457" i="13"/>
  <c r="D456" i="13"/>
  <c r="D455" i="13"/>
  <c r="D454" i="13"/>
  <c r="D453" i="13"/>
  <c r="D452" i="13"/>
  <c r="D451" i="13"/>
  <c r="D450" i="13"/>
  <c r="D449" i="13"/>
  <c r="D448" i="13"/>
  <c r="D447" i="13"/>
  <c r="D446" i="13"/>
  <c r="D445" i="13"/>
  <c r="D444" i="13"/>
  <c r="D443" i="13"/>
  <c r="D442" i="13"/>
  <c r="D441" i="13"/>
  <c r="D440" i="13"/>
  <c r="D439" i="13"/>
  <c r="D438" i="13"/>
  <c r="D437" i="13"/>
  <c r="D436" i="13"/>
  <c r="D435" i="13"/>
  <c r="D434" i="13"/>
  <c r="D433" i="13"/>
  <c r="D432" i="13"/>
  <c r="D431" i="13"/>
  <c r="D430" i="13"/>
  <c r="D429" i="13"/>
  <c r="D428" i="13"/>
  <c r="D427" i="13"/>
  <c r="D426" i="13"/>
  <c r="D425" i="13"/>
  <c r="D424" i="13"/>
  <c r="D423" i="13"/>
  <c r="D422" i="13"/>
  <c r="D421" i="13"/>
  <c r="D420" i="13"/>
  <c r="D419" i="13"/>
  <c r="D418" i="13"/>
  <c r="D417" i="13"/>
  <c r="D416" i="13"/>
  <c r="D415" i="13"/>
  <c r="D414" i="13"/>
  <c r="D413" i="13"/>
  <c r="D412" i="13"/>
  <c r="D411" i="13"/>
  <c r="D410" i="13"/>
  <c r="D409" i="13"/>
  <c r="D408" i="13"/>
  <c r="D407" i="13"/>
  <c r="D406" i="13"/>
  <c r="D405" i="13"/>
  <c r="D404" i="13"/>
  <c r="D403" i="13"/>
  <c r="D402" i="13"/>
  <c r="D401" i="13"/>
  <c r="D400" i="13"/>
  <c r="D399" i="13"/>
  <c r="D398" i="13"/>
  <c r="D397" i="13"/>
  <c r="D396" i="13"/>
  <c r="D395" i="13"/>
  <c r="D394" i="13"/>
  <c r="D393" i="13"/>
  <c r="D392" i="13"/>
  <c r="D391" i="13"/>
  <c r="D390" i="13"/>
  <c r="D389" i="13"/>
  <c r="D388" i="13"/>
  <c r="D387" i="13"/>
  <c r="D386" i="13"/>
  <c r="D385" i="13"/>
  <c r="D384" i="13"/>
  <c r="D383" i="13"/>
  <c r="D382" i="13"/>
  <c r="D381" i="13"/>
  <c r="D380" i="13"/>
  <c r="D379" i="13"/>
  <c r="D378" i="13"/>
  <c r="D377" i="13"/>
  <c r="D376" i="13"/>
  <c r="D375" i="13"/>
  <c r="D374" i="13"/>
  <c r="D373" i="13"/>
  <c r="D372" i="13"/>
  <c r="D371" i="13"/>
  <c r="D370" i="13"/>
  <c r="D369" i="13"/>
  <c r="D368" i="13"/>
  <c r="D367" i="13"/>
  <c r="D366" i="13"/>
  <c r="D365" i="13"/>
  <c r="D364" i="13"/>
  <c r="D363" i="13"/>
  <c r="D362" i="13"/>
  <c r="D361" i="13"/>
  <c r="D360" i="13"/>
  <c r="D359" i="13"/>
  <c r="D358" i="13"/>
  <c r="D357" i="13"/>
  <c r="D356" i="13"/>
  <c r="D355" i="13"/>
  <c r="D354" i="13"/>
  <c r="D353" i="13"/>
  <c r="D352" i="13"/>
  <c r="D351" i="13"/>
  <c r="D350" i="13"/>
  <c r="D349" i="13"/>
  <c r="D348" i="13"/>
  <c r="D347" i="13"/>
  <c r="D346" i="13"/>
  <c r="D345" i="13"/>
  <c r="D344" i="13"/>
  <c r="D343" i="13"/>
  <c r="D342" i="13"/>
  <c r="D341" i="13"/>
  <c r="D340" i="13"/>
  <c r="D339" i="13"/>
  <c r="D338" i="13"/>
  <c r="D337" i="13"/>
  <c r="D336" i="13"/>
  <c r="D335" i="13"/>
  <c r="D334" i="13"/>
  <c r="D333" i="13"/>
  <c r="D332" i="13"/>
  <c r="D331" i="13"/>
  <c r="D330" i="13"/>
  <c r="D329" i="13"/>
  <c r="D328" i="13"/>
  <c r="D327" i="13"/>
  <c r="D326" i="13"/>
  <c r="D325" i="13"/>
  <c r="D324" i="13"/>
  <c r="D323" i="13"/>
  <c r="D322" i="13"/>
  <c r="D321" i="13"/>
  <c r="D320" i="13"/>
  <c r="D319" i="13"/>
  <c r="D318" i="13"/>
  <c r="D317" i="13"/>
  <c r="D316" i="13"/>
  <c r="D315" i="13"/>
  <c r="D314" i="13"/>
  <c r="D313" i="13"/>
  <c r="D312" i="13"/>
  <c r="D311" i="13"/>
  <c r="D310" i="13"/>
  <c r="D309" i="13"/>
  <c r="D308" i="13"/>
  <c r="D307" i="13"/>
  <c r="D306" i="13"/>
  <c r="D305" i="13"/>
  <c r="D304" i="13"/>
  <c r="D303" i="13"/>
  <c r="D302" i="13"/>
  <c r="D301" i="13"/>
  <c r="D300" i="13"/>
  <c r="D299" i="13"/>
  <c r="D298" i="13"/>
  <c r="D297" i="13"/>
  <c r="D296" i="13"/>
  <c r="D295" i="13"/>
  <c r="D294" i="13"/>
  <c r="D293" i="13"/>
  <c r="D292" i="13"/>
  <c r="D291" i="13"/>
  <c r="D290" i="13"/>
  <c r="D289" i="13"/>
  <c r="D288" i="13"/>
  <c r="D287" i="13"/>
  <c r="D286" i="13"/>
  <c r="D285" i="13"/>
  <c r="D284" i="13"/>
  <c r="D283" i="13"/>
  <c r="D282" i="13"/>
  <c r="D281" i="13"/>
  <c r="D280" i="13"/>
  <c r="D279" i="13"/>
  <c r="D278" i="13"/>
  <c r="D277" i="13"/>
  <c r="D276" i="13"/>
  <c r="D275" i="13"/>
  <c r="D274" i="13"/>
  <c r="D273" i="13"/>
  <c r="D272" i="13"/>
  <c r="D271" i="13"/>
  <c r="D270" i="13"/>
  <c r="D269" i="13"/>
  <c r="D268" i="13"/>
  <c r="D267" i="13"/>
  <c r="D266" i="13"/>
  <c r="D265" i="13"/>
  <c r="D264" i="13"/>
  <c r="D263" i="13"/>
  <c r="D262" i="13"/>
  <c r="D261" i="13"/>
  <c r="D260" i="13"/>
  <c r="D259" i="13"/>
  <c r="D258" i="13"/>
  <c r="D257" i="13"/>
  <c r="D256" i="13"/>
  <c r="D255" i="13"/>
  <c r="D254" i="13"/>
  <c r="D253" i="13"/>
  <c r="D252" i="13"/>
  <c r="D251" i="13"/>
  <c r="D250" i="13"/>
  <c r="D249" i="13"/>
  <c r="D248" i="13"/>
  <c r="D247" i="13"/>
  <c r="D246" i="13"/>
  <c r="D245" i="13"/>
  <c r="D244" i="13"/>
  <c r="D243" i="13"/>
  <c r="D242" i="13"/>
  <c r="D241" i="13"/>
  <c r="D240" i="13"/>
  <c r="D239" i="13"/>
  <c r="D238" i="13"/>
  <c r="D237" i="13"/>
  <c r="D236" i="13"/>
  <c r="D235" i="13"/>
  <c r="D234" i="13"/>
  <c r="D233" i="13"/>
  <c r="D232" i="13"/>
  <c r="D231" i="13"/>
  <c r="D230" i="13"/>
  <c r="D229" i="13"/>
  <c r="D228" i="13"/>
  <c r="D227" i="13"/>
  <c r="D226" i="13"/>
  <c r="D225" i="13"/>
  <c r="D224" i="13"/>
  <c r="D223" i="13"/>
  <c r="D222" i="13"/>
  <c r="D221" i="13"/>
  <c r="D220" i="13"/>
  <c r="D219" i="13"/>
  <c r="D218" i="13"/>
  <c r="D217" i="13"/>
  <c r="D216" i="13"/>
  <c r="D215" i="13"/>
  <c r="D214" i="13"/>
  <c r="D213" i="13"/>
  <c r="D212" i="13"/>
  <c r="D211" i="13"/>
  <c r="D210" i="13"/>
  <c r="D209" i="13"/>
  <c r="D208" i="13"/>
  <c r="D207" i="13"/>
  <c r="D206" i="13"/>
  <c r="D205" i="13"/>
  <c r="D204" i="13"/>
  <c r="D203" i="13"/>
  <c r="D202" i="13"/>
  <c r="D201" i="13"/>
  <c r="D200" i="13"/>
  <c r="D199" i="13"/>
  <c r="D198" i="13"/>
  <c r="D197" i="13"/>
  <c r="D196" i="13"/>
  <c r="D195" i="13"/>
  <c r="D194" i="13"/>
  <c r="D193" i="13"/>
  <c r="D192" i="13"/>
  <c r="D191" i="13"/>
  <c r="D190" i="13"/>
  <c r="D189" i="13"/>
  <c r="D188" i="13"/>
  <c r="D187" i="13"/>
  <c r="D186" i="13"/>
  <c r="D185" i="13"/>
  <c r="D184" i="13"/>
  <c r="D183" i="13"/>
  <c r="D182" i="13"/>
  <c r="D181" i="13"/>
  <c r="D180" i="13"/>
  <c r="D179" i="13"/>
  <c r="D178" i="13"/>
  <c r="D177" i="13"/>
  <c r="D176" i="13"/>
  <c r="D175" i="13"/>
  <c r="D174" i="13"/>
  <c r="D173" i="13"/>
  <c r="D172" i="13"/>
  <c r="D171" i="13"/>
  <c r="D170" i="13"/>
  <c r="D169" i="13"/>
  <c r="D168" i="13"/>
  <c r="D167" i="13"/>
  <c r="D166" i="13"/>
  <c r="D165" i="13"/>
  <c r="D164" i="13"/>
  <c r="D163" i="13"/>
  <c r="D162" i="13"/>
  <c r="D161" i="13"/>
  <c r="D160" i="13"/>
  <c r="D159" i="13"/>
  <c r="D158" i="13"/>
  <c r="D157" i="13"/>
  <c r="D156" i="13"/>
  <c r="D155" i="13"/>
  <c r="D154" i="13"/>
  <c r="D153" i="13"/>
  <c r="D152" i="13"/>
  <c r="D151" i="13"/>
  <c r="D150" i="13"/>
  <c r="D149" i="13"/>
  <c r="D148" i="13"/>
  <c r="D147" i="13"/>
  <c r="D146" i="13"/>
  <c r="D145" i="13"/>
  <c r="D144" i="13"/>
  <c r="D143" i="13"/>
  <c r="D142" i="13"/>
  <c r="D141" i="13"/>
  <c r="D140" i="13"/>
  <c r="D139" i="13"/>
  <c r="D138" i="13"/>
  <c r="D137" i="13"/>
  <c r="D136" i="13"/>
  <c r="D135" i="13"/>
  <c r="D134" i="13"/>
  <c r="D133" i="13"/>
  <c r="D132" i="13"/>
  <c r="D131" i="13"/>
  <c r="D130" i="13"/>
  <c r="D129" i="13"/>
  <c r="D128" i="13"/>
  <c r="D127" i="13"/>
  <c r="D126" i="13"/>
  <c r="D125" i="13"/>
  <c r="D124" i="13"/>
  <c r="D123" i="13"/>
  <c r="D122" i="13"/>
  <c r="D121" i="13"/>
  <c r="D120" i="13"/>
  <c r="D119" i="13"/>
  <c r="D118" i="13"/>
  <c r="D117" i="13"/>
  <c r="D116" i="13"/>
  <c r="D115" i="13"/>
  <c r="D114" i="13"/>
  <c r="D113" i="13"/>
  <c r="D112" i="13"/>
  <c r="D111" i="13"/>
  <c r="D110" i="13"/>
  <c r="D109" i="13"/>
  <c r="D108" i="13"/>
  <c r="D107" i="13"/>
  <c r="D106" i="13"/>
  <c r="D105" i="13"/>
  <c r="D104" i="13"/>
  <c r="D103" i="13"/>
  <c r="D102" i="13"/>
  <c r="D101" i="13"/>
  <c r="D100" i="13"/>
  <c r="D99" i="13"/>
  <c r="D98" i="13"/>
  <c r="D97" i="13"/>
  <c r="D96" i="13"/>
  <c r="D95" i="13"/>
  <c r="D94" i="13"/>
  <c r="D93" i="13"/>
  <c r="D92" i="13"/>
  <c r="D91" i="13"/>
  <c r="D90" i="13"/>
  <c r="D89" i="13"/>
  <c r="D88" i="13"/>
  <c r="D87" i="13"/>
  <c r="D86" i="13"/>
  <c r="D85" i="13"/>
  <c r="D84" i="13"/>
  <c r="D83" i="13"/>
  <c r="D82" i="13"/>
  <c r="D81" i="13"/>
  <c r="D80" i="13"/>
  <c r="D79" i="13"/>
  <c r="D78" i="13"/>
  <c r="D77" i="13"/>
  <c r="D76" i="13"/>
  <c r="D75" i="13"/>
  <c r="D74" i="13"/>
  <c r="D73" i="13"/>
  <c r="D72" i="13"/>
  <c r="D71" i="13"/>
  <c r="D70" i="13"/>
  <c r="D69" i="13"/>
  <c r="D68" i="13"/>
  <c r="D67" i="13"/>
  <c r="D66" i="13"/>
  <c r="D65" i="13"/>
  <c r="D64" i="13"/>
  <c r="D63" i="13"/>
  <c r="D62" i="13"/>
  <c r="D61" i="13"/>
  <c r="D60" i="13"/>
  <c r="D59" i="13"/>
  <c r="D58" i="13"/>
  <c r="D57" i="13"/>
  <c r="D56" i="13"/>
  <c r="D55" i="13"/>
  <c r="D54" i="13"/>
  <c r="D53" i="13"/>
  <c r="D52" i="13"/>
  <c r="D51" i="13"/>
  <c r="D50" i="13"/>
  <c r="D49" i="13"/>
  <c r="D48" i="13"/>
  <c r="D47" i="13"/>
  <c r="D46" i="13"/>
  <c r="D45" i="13"/>
  <c r="D44" i="13"/>
  <c r="D43" i="13"/>
  <c r="D42" i="13"/>
  <c r="D41" i="13"/>
  <c r="D40" i="13"/>
  <c r="D39" i="13"/>
  <c r="D38" i="13"/>
  <c r="D37" i="13"/>
  <c r="D36" i="13"/>
  <c r="D35" i="13"/>
  <c r="D34" i="13"/>
  <c r="D33" i="13"/>
  <c r="D32" i="13"/>
  <c r="D31" i="13"/>
  <c r="D30" i="13"/>
  <c r="D29" i="13"/>
  <c r="D28" i="13"/>
  <c r="D27" i="13"/>
  <c r="D26" i="13"/>
  <c r="D25" i="13"/>
  <c r="D24" i="13"/>
  <c r="D23" i="13"/>
  <c r="D22" i="13"/>
  <c r="D21" i="13"/>
  <c r="D20" i="13"/>
  <c r="D19" i="13"/>
  <c r="D18" i="13"/>
  <c r="D17" i="13"/>
  <c r="D16" i="13"/>
  <c r="D15" i="13"/>
  <c r="D14" i="13"/>
  <c r="D13" i="13"/>
  <c r="D12" i="13"/>
  <c r="D11" i="13"/>
  <c r="D10" i="13"/>
  <c r="D9" i="13"/>
  <c r="D8" i="13"/>
  <c r="D7" i="13"/>
  <c r="D6" i="13"/>
  <c r="D5" i="13"/>
  <c r="D4" i="13"/>
  <c r="D3" i="13"/>
  <c r="D2" i="13"/>
  <c r="K568" i="1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I368" i="7"/>
  <c r="I369" i="7"/>
  <c r="I370" i="7"/>
  <c r="I371" i="7"/>
  <c r="I372" i="7"/>
  <c r="I373" i="7"/>
  <c r="I374" i="7"/>
  <c r="I375" i="7"/>
  <c r="I376" i="7"/>
  <c r="I377" i="7"/>
  <c r="I378" i="7"/>
  <c r="I379" i="7"/>
  <c r="I380" i="7"/>
  <c r="I381" i="7"/>
  <c r="I382" i="7"/>
  <c r="I383" i="7"/>
  <c r="I384" i="7"/>
  <c r="I385" i="7"/>
  <c r="I386" i="7"/>
  <c r="I387" i="7"/>
  <c r="I388" i="7"/>
  <c r="I389" i="7"/>
  <c r="I390" i="7"/>
  <c r="I391" i="7"/>
  <c r="I392" i="7"/>
  <c r="I393" i="7"/>
  <c r="I394" i="7"/>
  <c r="I395" i="7"/>
  <c r="I396" i="7"/>
  <c r="I397" i="7"/>
  <c r="I398" i="7"/>
  <c r="I399" i="7"/>
  <c r="I400" i="7"/>
  <c r="I401" i="7"/>
  <c r="I402" i="7"/>
  <c r="I403" i="7"/>
  <c r="I404" i="7"/>
  <c r="I405" i="7"/>
  <c r="I406" i="7"/>
  <c r="I407" i="7"/>
  <c r="I408" i="7"/>
  <c r="I409" i="7"/>
  <c r="I410" i="7"/>
  <c r="I411" i="7"/>
  <c r="I412" i="7"/>
  <c r="I413" i="7"/>
  <c r="I414" i="7"/>
  <c r="I415" i="7"/>
  <c r="I416" i="7"/>
  <c r="I417" i="7"/>
  <c r="I418" i="7"/>
  <c r="I419" i="7"/>
  <c r="I420" i="7"/>
  <c r="I421" i="7"/>
  <c r="I422" i="7"/>
  <c r="I423" i="7"/>
  <c r="I424" i="7"/>
  <c r="I425" i="7"/>
  <c r="I426" i="7"/>
  <c r="I427" i="7"/>
  <c r="I428" i="7"/>
  <c r="I429" i="7"/>
  <c r="I430" i="7"/>
  <c r="I431" i="7"/>
  <c r="I432" i="7"/>
  <c r="I433" i="7"/>
  <c r="I434" i="7"/>
  <c r="I435" i="7"/>
  <c r="I436" i="7"/>
  <c r="I437" i="7"/>
  <c r="I438" i="7"/>
  <c r="I439" i="7"/>
  <c r="I440" i="7"/>
  <c r="I441" i="7"/>
  <c r="I442" i="7"/>
  <c r="I443" i="7"/>
  <c r="I444" i="7"/>
  <c r="I445" i="7"/>
  <c r="I446" i="7"/>
  <c r="I447" i="7"/>
  <c r="I448" i="7"/>
  <c r="I449" i="7"/>
  <c r="I450" i="7"/>
  <c r="I451" i="7"/>
  <c r="I452" i="7"/>
  <c r="I453" i="7"/>
  <c r="I454" i="7"/>
  <c r="I455" i="7"/>
  <c r="I456" i="7"/>
  <c r="I457" i="7"/>
  <c r="I458" i="7"/>
  <c r="I459" i="7"/>
  <c r="I460" i="7"/>
  <c r="I461" i="7"/>
  <c r="I462" i="7"/>
  <c r="I463" i="7"/>
  <c r="I464" i="7"/>
  <c r="I465" i="7"/>
  <c r="I466" i="7"/>
  <c r="I467" i="7"/>
  <c r="I468" i="7"/>
  <c r="I469" i="7"/>
  <c r="I470" i="7"/>
  <c r="I471" i="7"/>
  <c r="I472" i="7"/>
  <c r="I473" i="7"/>
  <c r="I474" i="7"/>
  <c r="I475" i="7"/>
  <c r="I476" i="7"/>
  <c r="I477" i="7"/>
  <c r="I478" i="7"/>
  <c r="I479" i="7"/>
  <c r="I480" i="7"/>
  <c r="I481" i="7"/>
  <c r="I482" i="7"/>
  <c r="I483" i="7"/>
  <c r="I484" i="7"/>
  <c r="I485" i="7"/>
  <c r="I486" i="7"/>
  <c r="I487" i="7"/>
  <c r="I488" i="7"/>
  <c r="I489" i="7"/>
  <c r="I490" i="7"/>
  <c r="I491" i="7"/>
  <c r="I492" i="7"/>
  <c r="I493" i="7"/>
  <c r="I494" i="7"/>
  <c r="I495" i="7"/>
  <c r="I496" i="7"/>
  <c r="I497" i="7"/>
  <c r="I498" i="7"/>
  <c r="I499" i="7"/>
  <c r="I500" i="7"/>
  <c r="I501" i="7"/>
  <c r="I502" i="7"/>
  <c r="I503" i="7"/>
  <c r="I504" i="7"/>
  <c r="I505" i="7"/>
  <c r="I506" i="7"/>
  <c r="I507" i="7"/>
  <c r="I508" i="7"/>
  <c r="I509" i="7"/>
  <c r="I510" i="7"/>
  <c r="I511" i="7"/>
  <c r="I512" i="7"/>
  <c r="I513" i="7"/>
  <c r="I514" i="7"/>
  <c r="I515" i="7"/>
  <c r="I516" i="7"/>
  <c r="I517" i="7"/>
  <c r="I518" i="7"/>
  <c r="I519" i="7"/>
  <c r="I520" i="7"/>
  <c r="I521" i="7"/>
  <c r="I522" i="7"/>
  <c r="I523" i="7"/>
  <c r="I524" i="7"/>
  <c r="I525" i="7"/>
  <c r="I526" i="7"/>
  <c r="I527" i="7"/>
  <c r="I528" i="7"/>
  <c r="I529" i="7"/>
  <c r="I530" i="7"/>
  <c r="I531" i="7"/>
  <c r="I532" i="7"/>
  <c r="I533" i="7"/>
  <c r="I534" i="7"/>
  <c r="I535" i="7"/>
  <c r="I536" i="7"/>
  <c r="I537" i="7"/>
  <c r="I538" i="7"/>
  <c r="I539" i="7"/>
  <c r="I540" i="7"/>
  <c r="I541" i="7"/>
  <c r="I542" i="7"/>
  <c r="I543" i="7"/>
  <c r="I544" i="7"/>
  <c r="I545" i="7"/>
  <c r="I546" i="7"/>
  <c r="I547" i="7"/>
  <c r="I548" i="7"/>
  <c r="I549" i="7"/>
  <c r="I550" i="7"/>
  <c r="I551" i="7"/>
  <c r="I552" i="7"/>
  <c r="I553" i="7"/>
  <c r="I554" i="7"/>
  <c r="I555" i="7"/>
  <c r="I556" i="7"/>
  <c r="I557" i="7"/>
  <c r="I558" i="7"/>
  <c r="I559" i="7"/>
  <c r="I560" i="7"/>
  <c r="I561" i="7"/>
  <c r="I562" i="7"/>
  <c r="I563" i="7"/>
  <c r="I564" i="7"/>
  <c r="I565" i="7"/>
  <c r="I566" i="7"/>
  <c r="I567" i="7"/>
  <c r="I568" i="7"/>
  <c r="I569" i="7"/>
  <c r="I570" i="7"/>
  <c r="I571" i="7"/>
  <c r="I572" i="7"/>
  <c r="I573" i="7"/>
  <c r="I574" i="7"/>
  <c r="I575" i="7"/>
  <c r="I576" i="7"/>
  <c r="I577" i="7"/>
  <c r="I579" i="7"/>
  <c r="I580" i="7"/>
  <c r="I581" i="7"/>
  <c r="I582" i="7"/>
  <c r="I583" i="7"/>
  <c r="I584" i="7"/>
  <c r="I585" i="7"/>
  <c r="I586" i="7"/>
  <c r="I587" i="7"/>
  <c r="I588" i="7"/>
  <c r="I589" i="7"/>
  <c r="I590" i="7"/>
  <c r="I591" i="7"/>
  <c r="I592" i="7"/>
  <c r="I593" i="7"/>
  <c r="I594" i="7"/>
  <c r="I595" i="7"/>
  <c r="I596" i="7"/>
  <c r="I597" i="7"/>
  <c r="I598" i="7"/>
  <c r="I599" i="7"/>
  <c r="I600" i="7"/>
  <c r="I601" i="7"/>
  <c r="I602" i="7"/>
  <c r="I603" i="7"/>
  <c r="I604" i="7"/>
  <c r="I605" i="7"/>
  <c r="I606" i="7"/>
  <c r="I607" i="7"/>
  <c r="I608" i="7"/>
  <c r="I609" i="7"/>
  <c r="I610" i="7"/>
  <c r="I611" i="7"/>
  <c r="I612" i="7"/>
  <c r="I613" i="7"/>
  <c r="I614" i="7"/>
  <c r="I615" i="7"/>
  <c r="I616" i="7"/>
  <c r="I617" i="7"/>
  <c r="I618" i="7"/>
  <c r="I619" i="7"/>
  <c r="I620" i="7"/>
  <c r="I621" i="7"/>
  <c r="I622" i="7"/>
  <c r="I623" i="7"/>
  <c r="I624" i="7"/>
  <c r="I625" i="7"/>
  <c r="I626" i="7"/>
  <c r="I627" i="7"/>
  <c r="I628" i="7"/>
  <c r="I629" i="7"/>
  <c r="I630" i="7"/>
  <c r="I631" i="7"/>
  <c r="I632" i="7"/>
  <c r="I633" i="7"/>
  <c r="I634" i="7"/>
  <c r="I635" i="7"/>
  <c r="I636" i="7"/>
  <c r="I637" i="7"/>
  <c r="I638" i="7"/>
  <c r="I639" i="7"/>
  <c r="I640" i="7"/>
  <c r="I641" i="7"/>
  <c r="I642" i="7"/>
  <c r="I643" i="7"/>
  <c r="I644" i="7"/>
  <c r="I645" i="7"/>
  <c r="I646" i="7"/>
  <c r="I647" i="7"/>
  <c r="I648" i="7"/>
  <c r="I649" i="7"/>
  <c r="I650" i="7"/>
  <c r="I651" i="7"/>
  <c r="I652" i="7"/>
  <c r="I653" i="7"/>
  <c r="I654" i="7"/>
  <c r="I655" i="7"/>
  <c r="I656" i="7"/>
  <c r="I657" i="7"/>
  <c r="I658" i="7"/>
  <c r="I659" i="7"/>
  <c r="I660" i="7"/>
  <c r="I661" i="7"/>
  <c r="I662" i="7"/>
  <c r="I663" i="7"/>
  <c r="I664" i="7"/>
  <c r="I665" i="7"/>
  <c r="I666" i="7"/>
  <c r="I667" i="7"/>
  <c r="I668" i="7"/>
  <c r="I669" i="7"/>
  <c r="I670" i="7"/>
  <c r="I671" i="7"/>
  <c r="I672" i="7"/>
  <c r="I673" i="7"/>
  <c r="I674" i="7"/>
  <c r="I675" i="7"/>
  <c r="I676" i="7"/>
  <c r="I677" i="7"/>
  <c r="I678" i="7"/>
  <c r="I679" i="7"/>
  <c r="I680" i="7"/>
  <c r="I681" i="7"/>
  <c r="I682" i="7"/>
  <c r="I683" i="7"/>
  <c r="I684" i="7"/>
  <c r="I685" i="7"/>
  <c r="I686" i="7"/>
  <c r="I687" i="7"/>
  <c r="I688" i="7"/>
  <c r="I689" i="7"/>
  <c r="I690" i="7"/>
  <c r="I691" i="7"/>
  <c r="I692" i="7"/>
  <c r="I693" i="7"/>
  <c r="I694" i="7"/>
  <c r="I695" i="7"/>
  <c r="I696" i="7"/>
  <c r="I697" i="7"/>
  <c r="I698" i="7"/>
  <c r="I699" i="7"/>
  <c r="I700" i="7"/>
  <c r="I701" i="7"/>
  <c r="I702" i="7"/>
  <c r="I703" i="7"/>
  <c r="I704" i="7"/>
  <c r="I705" i="7"/>
  <c r="I706" i="7"/>
  <c r="I707" i="7"/>
  <c r="I708" i="7"/>
  <c r="I709" i="7"/>
  <c r="I710" i="7"/>
  <c r="I711" i="7"/>
  <c r="I712" i="7"/>
  <c r="I713" i="7"/>
  <c r="I714" i="7"/>
  <c r="I715" i="7"/>
  <c r="I716" i="7"/>
  <c r="I717" i="7"/>
  <c r="I718" i="7"/>
  <c r="I719" i="7"/>
  <c r="I720" i="7"/>
  <c r="I721" i="7"/>
  <c r="I722" i="7"/>
  <c r="I723" i="7"/>
  <c r="I724" i="7"/>
  <c r="I725" i="7"/>
  <c r="I726" i="7"/>
  <c r="I727" i="7"/>
  <c r="I728" i="7"/>
  <c r="I729" i="7"/>
  <c r="I730" i="7"/>
  <c r="I731" i="7"/>
  <c r="I732" i="7"/>
  <c r="I733" i="7"/>
  <c r="I734" i="7"/>
  <c r="I735" i="7"/>
  <c r="I736" i="7"/>
  <c r="I737" i="7"/>
  <c r="I738" i="7"/>
  <c r="I739" i="7"/>
  <c r="I740" i="7"/>
  <c r="I741" i="7"/>
  <c r="I742" i="7"/>
  <c r="I743" i="7"/>
  <c r="I744" i="7"/>
  <c r="I745" i="7"/>
  <c r="I746" i="7"/>
  <c r="I747" i="7"/>
  <c r="I748" i="7"/>
  <c r="I749" i="7"/>
  <c r="I750" i="7"/>
  <c r="I751" i="7"/>
  <c r="I752" i="7"/>
  <c r="I753" i="7"/>
  <c r="I754" i="7"/>
  <c r="I755" i="7"/>
  <c r="I756" i="7"/>
  <c r="I757" i="7"/>
  <c r="I758" i="7"/>
  <c r="I759" i="7"/>
  <c r="I760" i="7"/>
  <c r="I761" i="7"/>
  <c r="I762" i="7"/>
  <c r="I763" i="7"/>
  <c r="I764" i="7"/>
  <c r="I765" i="7"/>
  <c r="I766" i="7"/>
  <c r="I767" i="7"/>
  <c r="I768" i="7"/>
  <c r="I769" i="7"/>
  <c r="I770" i="7"/>
  <c r="I771" i="7"/>
  <c r="I772" i="7"/>
  <c r="I773" i="7"/>
  <c r="I774" i="7"/>
  <c r="I775" i="7"/>
  <c r="I776" i="7"/>
  <c r="I777" i="7"/>
  <c r="I778" i="7"/>
  <c r="I779" i="7"/>
  <c r="I780" i="7"/>
  <c r="I781" i="7"/>
  <c r="I782" i="7"/>
  <c r="I783" i="7"/>
  <c r="I784" i="7"/>
  <c r="I785" i="7"/>
  <c r="I786" i="7"/>
  <c r="I787" i="7"/>
  <c r="I788" i="7"/>
  <c r="I789" i="7"/>
  <c r="I790" i="7"/>
  <c r="I791" i="7"/>
  <c r="I792" i="7"/>
  <c r="I793" i="7"/>
  <c r="I794" i="7"/>
  <c r="I2" i="7"/>
  <c r="F573" i="1"/>
  <c r="G289" i="12"/>
  <c r="F289" i="12"/>
  <c r="E289" i="12"/>
  <c r="G288" i="12"/>
  <c r="F288" i="12"/>
  <c r="E288" i="12"/>
  <c r="G287" i="12"/>
  <c r="F287" i="12"/>
  <c r="E287" i="12"/>
  <c r="G286" i="12"/>
  <c r="F286" i="12"/>
  <c r="E286" i="12"/>
  <c r="G285" i="12"/>
  <c r="F285" i="12"/>
  <c r="E285" i="12"/>
  <c r="G284" i="12"/>
  <c r="F284" i="12"/>
  <c r="E284" i="12"/>
  <c r="G283" i="12"/>
  <c r="F283" i="12"/>
  <c r="E283" i="12"/>
  <c r="G282" i="12"/>
  <c r="F282" i="12"/>
  <c r="E282" i="12"/>
  <c r="G281" i="12"/>
  <c r="F281" i="12"/>
  <c r="E281" i="12"/>
  <c r="G280" i="12"/>
  <c r="F280" i="12"/>
  <c r="E280" i="12"/>
  <c r="G279" i="12"/>
  <c r="F279" i="12"/>
  <c r="E279" i="12"/>
  <c r="G278" i="12"/>
  <c r="F278" i="12"/>
  <c r="E278" i="12"/>
  <c r="G277" i="12"/>
  <c r="F277" i="12"/>
  <c r="E277" i="12"/>
  <c r="G276" i="12"/>
  <c r="F276" i="12"/>
  <c r="E276" i="12"/>
  <c r="G275" i="12"/>
  <c r="F275" i="12"/>
  <c r="E275" i="12"/>
  <c r="G274" i="12"/>
  <c r="F274" i="12"/>
  <c r="E274" i="12"/>
  <c r="G273" i="12"/>
  <c r="F273" i="12"/>
  <c r="E273" i="12"/>
  <c r="G272" i="12"/>
  <c r="F272" i="12"/>
  <c r="E272" i="12"/>
  <c r="G271" i="12"/>
  <c r="F271" i="12"/>
  <c r="E271" i="12"/>
  <c r="G270" i="12"/>
  <c r="F270" i="12"/>
  <c r="E270" i="12"/>
  <c r="G269" i="12"/>
  <c r="F269" i="12"/>
  <c r="E269" i="12"/>
  <c r="G268" i="12"/>
  <c r="F268" i="12"/>
  <c r="E268" i="12"/>
  <c r="G267" i="12"/>
  <c r="F267" i="12"/>
  <c r="E267" i="12"/>
  <c r="G266" i="12"/>
  <c r="F266" i="12"/>
  <c r="E266" i="12"/>
  <c r="G265" i="12"/>
  <c r="F265" i="12"/>
  <c r="E265" i="12"/>
  <c r="G264" i="12"/>
  <c r="F264" i="12"/>
  <c r="E264" i="12"/>
  <c r="G263" i="12"/>
  <c r="F263" i="12"/>
  <c r="E263" i="12"/>
  <c r="G262" i="12"/>
  <c r="F262" i="12"/>
  <c r="E262" i="12"/>
  <c r="G261" i="12"/>
  <c r="F261" i="12"/>
  <c r="E261" i="12"/>
  <c r="G260" i="12"/>
  <c r="F260" i="12"/>
  <c r="E260" i="12"/>
  <c r="G259" i="12"/>
  <c r="F259" i="12"/>
  <c r="E259" i="12"/>
  <c r="G258" i="12"/>
  <c r="F258" i="12"/>
  <c r="E258" i="12"/>
  <c r="G257" i="12"/>
  <c r="F257" i="12"/>
  <c r="E257" i="12"/>
  <c r="G256" i="12"/>
  <c r="F256" i="12"/>
  <c r="E256" i="12"/>
  <c r="G255" i="12"/>
  <c r="F255" i="12"/>
  <c r="E255" i="12"/>
  <c r="G254" i="12"/>
  <c r="F254" i="12"/>
  <c r="E254" i="12"/>
  <c r="G253" i="12"/>
  <c r="F253" i="12"/>
  <c r="E253" i="12"/>
  <c r="G252" i="12"/>
  <c r="F252" i="12"/>
  <c r="E252" i="12"/>
  <c r="G251" i="12"/>
  <c r="F251" i="12"/>
  <c r="E251" i="12"/>
  <c r="G250" i="12"/>
  <c r="F250" i="12"/>
  <c r="E250" i="12"/>
  <c r="G249" i="12"/>
  <c r="F249" i="12"/>
  <c r="E249" i="12"/>
  <c r="G248" i="12"/>
  <c r="F248" i="12"/>
  <c r="E248" i="12"/>
  <c r="G247" i="12"/>
  <c r="F247" i="12"/>
  <c r="E247" i="12"/>
  <c r="G246" i="12"/>
  <c r="F246" i="12"/>
  <c r="E246" i="12"/>
  <c r="G245" i="12"/>
  <c r="F245" i="12"/>
  <c r="E245" i="12"/>
  <c r="G244" i="12"/>
  <c r="F244" i="12"/>
  <c r="E244" i="12"/>
  <c r="G243" i="12"/>
  <c r="F243" i="12"/>
  <c r="E243" i="12"/>
  <c r="G242" i="12"/>
  <c r="F242" i="12"/>
  <c r="E242" i="12"/>
  <c r="G241" i="12"/>
  <c r="F241" i="12"/>
  <c r="E241" i="12"/>
  <c r="G240" i="12"/>
  <c r="F240" i="12"/>
  <c r="E240" i="12"/>
  <c r="G239" i="12"/>
  <c r="F239" i="12"/>
  <c r="E239" i="12"/>
  <c r="G238" i="12"/>
  <c r="F238" i="12"/>
  <c r="E238" i="12"/>
  <c r="G237" i="12"/>
  <c r="F237" i="12"/>
  <c r="E237" i="12"/>
  <c r="G236" i="12"/>
  <c r="F236" i="12"/>
  <c r="E236" i="12"/>
  <c r="G235" i="12"/>
  <c r="F235" i="12"/>
  <c r="E235" i="12"/>
  <c r="G234" i="12"/>
  <c r="F234" i="12"/>
  <c r="E234" i="12"/>
  <c r="G233" i="12"/>
  <c r="F233" i="12"/>
  <c r="E233" i="12"/>
  <c r="G232" i="12"/>
  <c r="F232" i="12"/>
  <c r="E232" i="12"/>
  <c r="G231" i="12"/>
  <c r="F231" i="12"/>
  <c r="E231" i="12"/>
  <c r="G230" i="12"/>
  <c r="F230" i="12"/>
  <c r="E230" i="12"/>
  <c r="G229" i="12"/>
  <c r="F229" i="12"/>
  <c r="E229" i="12"/>
  <c r="G228" i="12"/>
  <c r="F228" i="12"/>
  <c r="E228" i="12"/>
  <c r="G227" i="12"/>
  <c r="F227" i="12"/>
  <c r="E227" i="12"/>
  <c r="G226" i="12"/>
  <c r="F226" i="12"/>
  <c r="E226" i="12"/>
  <c r="G225" i="12"/>
  <c r="F225" i="12"/>
  <c r="E225" i="12"/>
  <c r="G224" i="12"/>
  <c r="F224" i="12"/>
  <c r="E224" i="12"/>
  <c r="G223" i="12"/>
  <c r="F223" i="12"/>
  <c r="E223" i="12"/>
  <c r="G222" i="12"/>
  <c r="F222" i="12"/>
  <c r="E222" i="12"/>
  <c r="G221" i="12"/>
  <c r="F221" i="12"/>
  <c r="E221" i="12"/>
  <c r="G220" i="12"/>
  <c r="F220" i="12"/>
  <c r="E220" i="12"/>
  <c r="G219" i="12"/>
  <c r="F219" i="12"/>
  <c r="E219" i="12"/>
  <c r="G218" i="12"/>
  <c r="F218" i="12"/>
  <c r="E218" i="12"/>
  <c r="G217" i="12"/>
  <c r="F217" i="12"/>
  <c r="E217" i="12"/>
  <c r="G216" i="12"/>
  <c r="F216" i="12"/>
  <c r="E216" i="12"/>
  <c r="G215" i="12"/>
  <c r="F215" i="12"/>
  <c r="E215" i="12"/>
  <c r="G214" i="12"/>
  <c r="F214" i="12"/>
  <c r="E214" i="12"/>
  <c r="G213" i="12"/>
  <c r="F213" i="12"/>
  <c r="E213" i="12"/>
  <c r="G212" i="12"/>
  <c r="F212" i="12"/>
  <c r="E212" i="12"/>
  <c r="G211" i="12"/>
  <c r="F211" i="12"/>
  <c r="E211" i="12"/>
  <c r="G210" i="12"/>
  <c r="F210" i="12"/>
  <c r="E210" i="12"/>
  <c r="G209" i="12"/>
  <c r="F209" i="12"/>
  <c r="E209" i="12"/>
  <c r="G208" i="12"/>
  <c r="F208" i="12"/>
  <c r="E208" i="12"/>
  <c r="G207" i="12"/>
  <c r="F207" i="12"/>
  <c r="E207" i="12"/>
  <c r="G206" i="12"/>
  <c r="F206" i="12"/>
  <c r="E206" i="12"/>
  <c r="G205" i="12"/>
  <c r="F205" i="12"/>
  <c r="E205" i="12"/>
  <c r="G204" i="12"/>
  <c r="F204" i="12"/>
  <c r="E204" i="12"/>
  <c r="G203" i="12"/>
  <c r="F203" i="12"/>
  <c r="E203" i="12"/>
  <c r="G202" i="12"/>
  <c r="F202" i="12"/>
  <c r="E202" i="12"/>
  <c r="G201" i="12"/>
  <c r="F201" i="12"/>
  <c r="E201" i="12"/>
  <c r="G200" i="12"/>
  <c r="F200" i="12"/>
  <c r="E200" i="12"/>
  <c r="G199" i="12"/>
  <c r="F199" i="12"/>
  <c r="E199" i="12"/>
  <c r="G198" i="12"/>
  <c r="F198" i="12"/>
  <c r="E198" i="12"/>
  <c r="G197" i="12"/>
  <c r="F197" i="12"/>
  <c r="E197" i="12"/>
  <c r="G196" i="12"/>
  <c r="F196" i="12"/>
  <c r="E196" i="12"/>
  <c r="G195" i="12"/>
  <c r="F195" i="12"/>
  <c r="E195" i="12"/>
  <c r="G194" i="12"/>
  <c r="F194" i="12"/>
  <c r="E194" i="12"/>
  <c r="G193" i="12"/>
  <c r="F193" i="12"/>
  <c r="E193" i="12"/>
  <c r="G192" i="12"/>
  <c r="F192" i="12"/>
  <c r="E192" i="12"/>
  <c r="G191" i="12"/>
  <c r="F191" i="12"/>
  <c r="E191" i="12"/>
  <c r="G190" i="12"/>
  <c r="F190" i="12"/>
  <c r="E190" i="12"/>
  <c r="G189" i="12"/>
  <c r="F189" i="12"/>
  <c r="E189" i="12"/>
  <c r="G188" i="12"/>
  <c r="F188" i="12"/>
  <c r="E188" i="12"/>
  <c r="G187" i="12"/>
  <c r="F187" i="12"/>
  <c r="E187" i="12"/>
  <c r="G186" i="12"/>
  <c r="F186" i="12"/>
  <c r="E186" i="12"/>
  <c r="G185" i="12"/>
  <c r="F185" i="12"/>
  <c r="E185" i="12"/>
  <c r="G184" i="12"/>
  <c r="F184" i="12"/>
  <c r="E184" i="12"/>
  <c r="G183" i="12"/>
  <c r="F183" i="12"/>
  <c r="E183" i="12"/>
  <c r="G182" i="12"/>
  <c r="F182" i="12"/>
  <c r="E182" i="12"/>
  <c r="G181" i="12"/>
  <c r="F181" i="12"/>
  <c r="E181" i="12"/>
  <c r="G180" i="12"/>
  <c r="F180" i="12"/>
  <c r="E180" i="12"/>
  <c r="G179" i="12"/>
  <c r="F179" i="12"/>
  <c r="E179" i="12"/>
  <c r="G178" i="12"/>
  <c r="F178" i="12"/>
  <c r="E178" i="12"/>
  <c r="G177" i="12"/>
  <c r="F177" i="12"/>
  <c r="E177" i="12"/>
  <c r="G176" i="12"/>
  <c r="F176" i="12"/>
  <c r="E176" i="12"/>
  <c r="G175" i="12"/>
  <c r="F175" i="12"/>
  <c r="E175" i="12"/>
  <c r="G174" i="12"/>
  <c r="F174" i="12"/>
  <c r="E174" i="12"/>
  <c r="G173" i="12"/>
  <c r="F173" i="12"/>
  <c r="E173" i="12"/>
  <c r="G172" i="12"/>
  <c r="F172" i="12"/>
  <c r="E172" i="12"/>
  <c r="G171" i="12"/>
  <c r="F171" i="12"/>
  <c r="E171" i="12"/>
  <c r="G170" i="12"/>
  <c r="F170" i="12"/>
  <c r="E170" i="12"/>
  <c r="G169" i="12"/>
  <c r="F169" i="12"/>
  <c r="E169" i="12"/>
  <c r="G168" i="12"/>
  <c r="F168" i="12"/>
  <c r="E168" i="12"/>
  <c r="G167" i="12"/>
  <c r="F167" i="12"/>
  <c r="E167" i="12"/>
  <c r="G166" i="12"/>
  <c r="F166" i="12"/>
  <c r="E166" i="12"/>
  <c r="G165" i="12"/>
  <c r="F165" i="12"/>
  <c r="E165" i="12"/>
  <c r="G164" i="12"/>
  <c r="F164" i="12"/>
  <c r="E164" i="12"/>
  <c r="G163" i="12"/>
  <c r="F163" i="12"/>
  <c r="E163" i="12"/>
  <c r="G162" i="12"/>
  <c r="F162" i="12"/>
  <c r="E162" i="12"/>
  <c r="G161" i="12"/>
  <c r="F161" i="12"/>
  <c r="E161" i="12"/>
  <c r="G160" i="12"/>
  <c r="F160" i="12"/>
  <c r="E160" i="12"/>
  <c r="G159" i="12"/>
  <c r="F159" i="12"/>
  <c r="E159" i="12"/>
  <c r="G158" i="12"/>
  <c r="F158" i="12"/>
  <c r="E158" i="12"/>
  <c r="G157" i="12"/>
  <c r="F157" i="12"/>
  <c r="E157" i="12"/>
  <c r="G156" i="12"/>
  <c r="F156" i="12"/>
  <c r="E156" i="12"/>
  <c r="G155" i="12"/>
  <c r="F155" i="12"/>
  <c r="E155" i="12"/>
  <c r="G154" i="12"/>
  <c r="F154" i="12"/>
  <c r="E154" i="12"/>
  <c r="G153" i="12"/>
  <c r="F153" i="12"/>
  <c r="E153" i="12"/>
  <c r="G152" i="12"/>
  <c r="F152" i="12"/>
  <c r="E152" i="12"/>
  <c r="G151" i="12"/>
  <c r="F151" i="12"/>
  <c r="E151" i="12"/>
  <c r="G150" i="12"/>
  <c r="F150" i="12"/>
  <c r="E150" i="12"/>
  <c r="G149" i="12"/>
  <c r="F149" i="12"/>
  <c r="E149" i="12"/>
  <c r="G148" i="12"/>
  <c r="F148" i="12"/>
  <c r="E148" i="12"/>
  <c r="G147" i="12"/>
  <c r="F147" i="12"/>
  <c r="E147" i="12"/>
  <c r="G146" i="12"/>
  <c r="F146" i="12"/>
  <c r="E146" i="12"/>
  <c r="G145" i="12"/>
  <c r="F145" i="12"/>
  <c r="E145" i="12"/>
  <c r="G144" i="12"/>
  <c r="F144" i="12"/>
  <c r="E144" i="12"/>
  <c r="G143" i="12"/>
  <c r="F143" i="12"/>
  <c r="E143" i="12"/>
  <c r="G142" i="12"/>
  <c r="F142" i="12"/>
  <c r="E142" i="12"/>
  <c r="G141" i="12"/>
  <c r="F141" i="12"/>
  <c r="E141" i="12"/>
  <c r="G140" i="12"/>
  <c r="F140" i="12"/>
  <c r="E140" i="12"/>
  <c r="G139" i="12"/>
  <c r="F139" i="12"/>
  <c r="E139" i="12"/>
  <c r="G138" i="12"/>
  <c r="F138" i="12"/>
  <c r="E138" i="12"/>
  <c r="G137" i="12"/>
  <c r="F137" i="12"/>
  <c r="E137" i="12"/>
  <c r="G136" i="12"/>
  <c r="F136" i="12"/>
  <c r="E136" i="12"/>
  <c r="G135" i="12"/>
  <c r="F135" i="12"/>
  <c r="E135" i="12"/>
  <c r="G134" i="12"/>
  <c r="F134" i="12"/>
  <c r="E134" i="12"/>
  <c r="G133" i="12"/>
  <c r="F133" i="12"/>
  <c r="E133" i="12"/>
  <c r="G132" i="12"/>
  <c r="F132" i="12"/>
  <c r="E132" i="12"/>
  <c r="G131" i="12"/>
  <c r="F131" i="12"/>
  <c r="E131" i="12"/>
  <c r="G130" i="12"/>
  <c r="F130" i="12"/>
  <c r="E130" i="12"/>
  <c r="G129" i="12"/>
  <c r="F129" i="12"/>
  <c r="E129" i="12"/>
  <c r="G128" i="12"/>
  <c r="F128" i="12"/>
  <c r="E128" i="12"/>
  <c r="G127" i="12"/>
  <c r="F127" i="12"/>
  <c r="E127" i="12"/>
  <c r="G126" i="12"/>
  <c r="F126" i="12"/>
  <c r="E126" i="12"/>
  <c r="G125" i="12"/>
  <c r="F125" i="12"/>
  <c r="E125" i="12"/>
  <c r="G124" i="12"/>
  <c r="F124" i="12"/>
  <c r="E124" i="12"/>
  <c r="G123" i="12"/>
  <c r="F123" i="12"/>
  <c r="E123" i="12"/>
  <c r="G122" i="12"/>
  <c r="F122" i="12"/>
  <c r="E122" i="12"/>
  <c r="G121" i="12"/>
  <c r="F121" i="12"/>
  <c r="E121" i="12"/>
  <c r="G120" i="12"/>
  <c r="F120" i="12"/>
  <c r="E120" i="12"/>
  <c r="G119" i="12"/>
  <c r="F119" i="12"/>
  <c r="E119" i="12"/>
  <c r="G118" i="12"/>
  <c r="F118" i="12"/>
  <c r="E118" i="12"/>
  <c r="G117" i="12"/>
  <c r="F117" i="12"/>
  <c r="E117" i="12"/>
  <c r="G116" i="12"/>
  <c r="F116" i="12"/>
  <c r="E116" i="12"/>
  <c r="G115" i="12"/>
  <c r="F115" i="12"/>
  <c r="E115" i="12"/>
  <c r="G114" i="12"/>
  <c r="F114" i="12"/>
  <c r="E114" i="12"/>
  <c r="G113" i="12"/>
  <c r="F113" i="12"/>
  <c r="E113" i="12"/>
  <c r="G112" i="12"/>
  <c r="F112" i="12"/>
  <c r="E112" i="12"/>
  <c r="G111" i="12"/>
  <c r="F111" i="12"/>
  <c r="E111" i="12"/>
  <c r="G110" i="12"/>
  <c r="F110" i="12"/>
  <c r="E110" i="12"/>
  <c r="G109" i="12"/>
  <c r="F109" i="12"/>
  <c r="E109" i="12"/>
  <c r="G108" i="12"/>
  <c r="F108" i="12"/>
  <c r="E108" i="12"/>
  <c r="G107" i="12"/>
  <c r="F107" i="12"/>
  <c r="E107" i="12"/>
  <c r="G106" i="12"/>
  <c r="F106" i="12"/>
  <c r="E106" i="12"/>
  <c r="G105" i="12"/>
  <c r="F105" i="12"/>
  <c r="E105" i="12"/>
  <c r="G104" i="12"/>
  <c r="F104" i="12"/>
  <c r="E104" i="12"/>
  <c r="G103" i="12"/>
  <c r="F103" i="12"/>
  <c r="E103" i="12"/>
  <c r="G102" i="12"/>
  <c r="F102" i="12"/>
  <c r="E102" i="12"/>
  <c r="G101" i="12"/>
  <c r="F101" i="12"/>
  <c r="E101" i="12"/>
  <c r="G100" i="12"/>
  <c r="F100" i="12"/>
  <c r="E100" i="12"/>
  <c r="G99" i="12"/>
  <c r="F99" i="12"/>
  <c r="E99" i="12"/>
  <c r="G98" i="12"/>
  <c r="F98" i="12"/>
  <c r="E98" i="12"/>
  <c r="G97" i="12"/>
  <c r="F97" i="12"/>
  <c r="E97" i="12"/>
  <c r="G96" i="12"/>
  <c r="F96" i="12"/>
  <c r="E96" i="12"/>
  <c r="G95" i="12"/>
  <c r="F95" i="12"/>
  <c r="E95" i="12"/>
  <c r="G94" i="12"/>
  <c r="F94" i="12"/>
  <c r="E94" i="12"/>
  <c r="G93" i="12"/>
  <c r="F93" i="12"/>
  <c r="E93" i="12"/>
  <c r="G92" i="12"/>
  <c r="F92" i="12"/>
  <c r="E92" i="12"/>
  <c r="G91" i="12"/>
  <c r="F91" i="12"/>
  <c r="E91" i="12"/>
  <c r="G90" i="12"/>
  <c r="F90" i="12"/>
  <c r="E90" i="12"/>
  <c r="G89" i="12"/>
  <c r="F89" i="12"/>
  <c r="E89" i="12"/>
  <c r="G88" i="12"/>
  <c r="F88" i="12"/>
  <c r="E88" i="12"/>
  <c r="G87" i="12"/>
  <c r="F87" i="12"/>
  <c r="E87" i="12"/>
  <c r="G86" i="12"/>
  <c r="F86" i="12"/>
  <c r="E86" i="12"/>
  <c r="G85" i="12"/>
  <c r="F85" i="12"/>
  <c r="E85" i="12"/>
  <c r="G84" i="12"/>
  <c r="F84" i="12"/>
  <c r="E84" i="12"/>
  <c r="G83" i="12"/>
  <c r="F83" i="12"/>
  <c r="E83" i="12"/>
  <c r="G82" i="12"/>
  <c r="F82" i="12"/>
  <c r="E82" i="12"/>
  <c r="G81" i="12"/>
  <c r="F81" i="12"/>
  <c r="E81" i="12"/>
  <c r="G80" i="12"/>
  <c r="F80" i="12"/>
  <c r="E80" i="12"/>
  <c r="G79" i="12"/>
  <c r="F79" i="12"/>
  <c r="E79" i="12"/>
  <c r="G78" i="12"/>
  <c r="F78" i="12"/>
  <c r="E78" i="12"/>
  <c r="G77" i="12"/>
  <c r="F77" i="12"/>
  <c r="E77" i="12"/>
  <c r="G76" i="12"/>
  <c r="F76" i="12"/>
  <c r="E76" i="12"/>
  <c r="G75" i="12"/>
  <c r="F75" i="12"/>
  <c r="E75" i="12"/>
  <c r="G74" i="12"/>
  <c r="F74" i="12"/>
  <c r="E74" i="12"/>
  <c r="G73" i="12"/>
  <c r="F73" i="12"/>
  <c r="E73" i="12"/>
  <c r="G72" i="12"/>
  <c r="F72" i="12"/>
  <c r="E72" i="12"/>
  <c r="G71" i="12"/>
  <c r="F71" i="12"/>
  <c r="E71" i="12"/>
  <c r="G70" i="12"/>
  <c r="F70" i="12"/>
  <c r="E70" i="12"/>
  <c r="G69" i="12"/>
  <c r="F69" i="12"/>
  <c r="E69" i="12"/>
  <c r="G68" i="12"/>
  <c r="F68" i="12"/>
  <c r="E68" i="12"/>
  <c r="G67" i="12"/>
  <c r="F67" i="12"/>
  <c r="E67" i="12"/>
  <c r="G66" i="12"/>
  <c r="F66" i="12"/>
  <c r="E66" i="12"/>
  <c r="G65" i="12"/>
  <c r="F65" i="12"/>
  <c r="E65" i="12"/>
  <c r="G64" i="12"/>
  <c r="F64" i="12"/>
  <c r="E64" i="12"/>
  <c r="G63" i="12"/>
  <c r="F63" i="12"/>
  <c r="E63" i="12"/>
  <c r="G62" i="12"/>
  <c r="F62" i="12"/>
  <c r="E62" i="12"/>
  <c r="G61" i="12"/>
  <c r="F61" i="12"/>
  <c r="E61" i="12"/>
  <c r="G60" i="12"/>
  <c r="F60" i="12"/>
  <c r="E60" i="12"/>
  <c r="G59" i="12"/>
  <c r="F59" i="12"/>
  <c r="E59" i="12"/>
  <c r="G58" i="12"/>
  <c r="F58" i="12"/>
  <c r="E58" i="12"/>
  <c r="G57" i="12"/>
  <c r="F57" i="12"/>
  <c r="E57" i="12"/>
  <c r="G56" i="12"/>
  <c r="F56" i="12"/>
  <c r="E56" i="12"/>
  <c r="G55" i="12"/>
  <c r="F55" i="12"/>
  <c r="E55" i="12"/>
  <c r="G54" i="12"/>
  <c r="F54" i="12"/>
  <c r="E54" i="12"/>
  <c r="G53" i="12"/>
  <c r="F53" i="12"/>
  <c r="E53" i="12"/>
  <c r="G52" i="12"/>
  <c r="F52" i="12"/>
  <c r="E52" i="12"/>
  <c r="G51" i="12"/>
  <c r="F51" i="12"/>
  <c r="E51" i="12"/>
  <c r="G50" i="12"/>
  <c r="F50" i="12"/>
  <c r="E50" i="12"/>
  <c r="G49" i="12"/>
  <c r="F49" i="12"/>
  <c r="E49" i="12"/>
  <c r="G48" i="12"/>
  <c r="F48" i="12"/>
  <c r="E48" i="12"/>
  <c r="G47" i="12"/>
  <c r="F47" i="12"/>
  <c r="E47" i="12"/>
  <c r="G46" i="12"/>
  <c r="F46" i="12"/>
  <c r="E46" i="12"/>
  <c r="G45" i="12"/>
  <c r="F45" i="12"/>
  <c r="E45" i="12"/>
  <c r="G44" i="12"/>
  <c r="F44" i="12"/>
  <c r="E44" i="12"/>
  <c r="G43" i="12"/>
  <c r="F43" i="12"/>
  <c r="E43" i="12"/>
  <c r="G42" i="12"/>
  <c r="F42" i="12"/>
  <c r="E42" i="12"/>
  <c r="G41" i="12"/>
  <c r="F41" i="12"/>
  <c r="E41" i="12"/>
  <c r="G40" i="12"/>
  <c r="F40" i="12"/>
  <c r="E40" i="12"/>
  <c r="G39" i="12"/>
  <c r="F39" i="12"/>
  <c r="E39" i="12"/>
  <c r="G38" i="12"/>
  <c r="F38" i="12"/>
  <c r="E38" i="12"/>
  <c r="G37" i="12"/>
  <c r="F37" i="12"/>
  <c r="E37" i="12"/>
  <c r="G36" i="12"/>
  <c r="F36" i="12"/>
  <c r="E36" i="12"/>
  <c r="G35" i="12"/>
  <c r="F35" i="12"/>
  <c r="E35" i="12"/>
  <c r="G34" i="12"/>
  <c r="F34" i="12"/>
  <c r="E34" i="12"/>
  <c r="G33" i="12"/>
  <c r="F33" i="12"/>
  <c r="E33" i="12"/>
  <c r="G32" i="12"/>
  <c r="F32" i="12"/>
  <c r="E32" i="12"/>
  <c r="G31" i="12"/>
  <c r="F31" i="12"/>
  <c r="E31" i="12"/>
  <c r="G30" i="12"/>
  <c r="F30" i="12"/>
  <c r="E30" i="12"/>
  <c r="G29" i="12"/>
  <c r="F29" i="12"/>
  <c r="E29" i="12"/>
  <c r="G28" i="12"/>
  <c r="F28" i="12"/>
  <c r="E28" i="12"/>
  <c r="G27" i="12"/>
  <c r="F27" i="12"/>
  <c r="E27" i="12"/>
  <c r="G26" i="12"/>
  <c r="F26" i="12"/>
  <c r="E26" i="12"/>
  <c r="G25" i="12"/>
  <c r="F25" i="12"/>
  <c r="E25" i="12"/>
  <c r="G24" i="12"/>
  <c r="F24" i="12"/>
  <c r="E24" i="12"/>
  <c r="G23" i="12"/>
  <c r="F23" i="12"/>
  <c r="E23" i="12"/>
  <c r="G22" i="12"/>
  <c r="F22" i="12"/>
  <c r="E22" i="12"/>
  <c r="G21" i="12"/>
  <c r="F21" i="12"/>
  <c r="E21" i="12"/>
  <c r="G20" i="12"/>
  <c r="F20" i="12"/>
  <c r="E20" i="12"/>
  <c r="G19" i="12"/>
  <c r="F19" i="12"/>
  <c r="E19" i="12"/>
  <c r="G18" i="12"/>
  <c r="F18" i="12"/>
  <c r="E18" i="12"/>
  <c r="G17" i="12"/>
  <c r="F17" i="12"/>
  <c r="E17" i="12"/>
  <c r="G16" i="12"/>
  <c r="F16" i="12"/>
  <c r="E16" i="12"/>
  <c r="G15" i="12"/>
  <c r="F15" i="12"/>
  <c r="E15" i="12"/>
  <c r="G14" i="12"/>
  <c r="F14" i="12"/>
  <c r="E14" i="12"/>
  <c r="G13" i="12"/>
  <c r="F13" i="12"/>
  <c r="E13" i="12"/>
  <c r="G12" i="12"/>
  <c r="F12" i="12"/>
  <c r="E12" i="12"/>
  <c r="G11" i="12"/>
  <c r="F11" i="12"/>
  <c r="E11" i="12"/>
  <c r="G10" i="12"/>
  <c r="F10" i="12"/>
  <c r="E10" i="12"/>
  <c r="G9" i="12"/>
  <c r="F9" i="12"/>
  <c r="E9" i="12"/>
  <c r="G8" i="12"/>
  <c r="F8" i="12"/>
  <c r="E8" i="12"/>
  <c r="G7" i="12"/>
  <c r="F7" i="12"/>
  <c r="E7" i="12"/>
  <c r="G6" i="12"/>
  <c r="F6" i="12"/>
  <c r="E6" i="12"/>
  <c r="G5" i="12"/>
  <c r="F5" i="12"/>
  <c r="E5" i="12"/>
  <c r="G4" i="12"/>
  <c r="F4" i="12"/>
  <c r="E4" i="12"/>
  <c r="G3" i="12"/>
  <c r="F3" i="12"/>
  <c r="E3" i="12"/>
  <c r="G2" i="12"/>
  <c r="F2" i="12"/>
  <c r="E2" i="12"/>
  <c r="H252" i="12" l="1"/>
  <c r="H2" i="12"/>
  <c r="H224" i="12"/>
  <c r="H257" i="12"/>
  <c r="H270" i="12"/>
  <c r="H171" i="12"/>
  <c r="H203" i="12"/>
  <c r="H209" i="12"/>
  <c r="H228" i="12"/>
  <c r="H218" i="12"/>
  <c r="H234" i="12"/>
  <c r="H237" i="12"/>
  <c r="H152" i="12"/>
  <c r="H135" i="12"/>
  <c r="H162" i="12"/>
  <c r="H165" i="12"/>
  <c r="H178" i="12"/>
  <c r="H182" i="12"/>
  <c r="H188" i="12"/>
  <c r="H100" i="12"/>
  <c r="H103" i="12"/>
  <c r="H115" i="12"/>
  <c r="H118" i="12"/>
  <c r="H124" i="12"/>
  <c r="H130" i="12"/>
  <c r="H133" i="12"/>
  <c r="H208" i="12"/>
  <c r="H240" i="12"/>
  <c r="H251" i="12"/>
  <c r="H256" i="12"/>
  <c r="H275" i="12"/>
  <c r="H136" i="12"/>
  <c r="H276" i="12"/>
  <c r="H280" i="12"/>
  <c r="H285" i="12"/>
  <c r="H289" i="12"/>
  <c r="H90" i="12"/>
  <c r="H101" i="12"/>
  <c r="H105" i="12"/>
  <c r="H117" i="12"/>
  <c r="H120" i="12"/>
  <c r="H126" i="12"/>
  <c r="H131" i="12"/>
  <c r="H77" i="12"/>
  <c r="H82" i="12"/>
  <c r="H150" i="12"/>
  <c r="H156" i="12"/>
  <c r="H159" i="12"/>
  <c r="H168" i="12"/>
  <c r="H92" i="12"/>
  <c r="H61" i="12"/>
  <c r="H76" i="12"/>
  <c r="H78" i="12"/>
  <c r="H59" i="12"/>
  <c r="H80" i="12"/>
  <c r="H9" i="12"/>
  <c r="H22" i="12"/>
  <c r="H27" i="12"/>
  <c r="H33" i="12"/>
  <c r="H37" i="12"/>
  <c r="H54" i="12"/>
  <c r="H14" i="12"/>
  <c r="H21" i="12"/>
  <c r="H26" i="12"/>
  <c r="H29" i="12"/>
  <c r="H39" i="12"/>
  <c r="H44" i="12"/>
  <c r="H53" i="12"/>
  <c r="H62" i="12"/>
  <c r="H70" i="12"/>
  <c r="H74" i="12"/>
  <c r="H6" i="12"/>
  <c r="H12" i="12"/>
  <c r="H18" i="12"/>
  <c r="H24" i="12"/>
  <c r="H38" i="12"/>
  <c r="H42" i="12"/>
  <c r="H51" i="12"/>
  <c r="H57" i="12"/>
  <c r="H67" i="12"/>
  <c r="H85" i="12"/>
  <c r="H87" i="12"/>
  <c r="H97" i="12"/>
  <c r="H139" i="12"/>
  <c r="H10" i="12"/>
  <c r="H16" i="12"/>
  <c r="H28" i="12"/>
  <c r="H55" i="12"/>
  <c r="H65" i="12"/>
  <c r="H89" i="12"/>
  <c r="H98" i="12"/>
  <c r="H148" i="12"/>
  <c r="H8" i="12"/>
  <c r="H30" i="12"/>
  <c r="H45" i="12"/>
  <c r="H49" i="12"/>
  <c r="H64" i="12"/>
  <c r="H68" i="12"/>
  <c r="H72" i="12"/>
  <c r="H86" i="12"/>
  <c r="H91" i="12"/>
  <c r="H94" i="12"/>
  <c r="H99" i="12"/>
  <c r="H109" i="12"/>
  <c r="H114" i="12"/>
  <c r="H123" i="12"/>
  <c r="H129" i="12"/>
  <c r="H141" i="12"/>
  <c r="H3" i="12"/>
  <c r="H7" i="12"/>
  <c r="H13" i="12"/>
  <c r="H25" i="12"/>
  <c r="H32" i="12"/>
  <c r="H36" i="12"/>
  <c r="H43" i="12"/>
  <c r="H48" i="12"/>
  <c r="H52" i="12"/>
  <c r="H58" i="12"/>
  <c r="H63" i="12"/>
  <c r="H71" i="12"/>
  <c r="H79" i="12"/>
  <c r="H88" i="12"/>
  <c r="H108" i="12"/>
  <c r="H112" i="12"/>
  <c r="H173" i="12"/>
  <c r="H180" i="12"/>
  <c r="H186" i="12"/>
  <c r="H191" i="12"/>
  <c r="H194" i="12"/>
  <c r="H197" i="12"/>
  <c r="H201" i="12"/>
  <c r="H207" i="12"/>
  <c r="H212" i="12"/>
  <c r="H233" i="12"/>
  <c r="H236" i="12"/>
  <c r="H242" i="12"/>
  <c r="H249" i="12"/>
  <c r="H255" i="12"/>
  <c r="H261" i="12"/>
  <c r="H267" i="12"/>
  <c r="H273" i="12"/>
  <c r="H279" i="12"/>
  <c r="H282" i="12"/>
  <c r="H287" i="12"/>
  <c r="H5" i="12"/>
  <c r="H11" i="12"/>
  <c r="H17" i="12"/>
  <c r="H20" i="12"/>
  <c r="H23" i="12"/>
  <c r="H35" i="12"/>
  <c r="H41" i="12"/>
  <c r="H47" i="12"/>
  <c r="H50" i="12"/>
  <c r="H56" i="12"/>
  <c r="H75" i="12"/>
  <c r="H84" i="12"/>
  <c r="H96" i="12"/>
  <c r="H102" i="12"/>
  <c r="H106" i="12"/>
  <c r="H111" i="12"/>
  <c r="H121" i="12"/>
  <c r="H127" i="12"/>
  <c r="H134" i="12"/>
  <c r="H142" i="12"/>
  <c r="H83" i="12"/>
  <c r="H93" i="12"/>
  <c r="H113" i="12"/>
  <c r="H132" i="12"/>
  <c r="H138" i="12"/>
  <c r="H143" i="12"/>
  <c r="H154" i="12"/>
  <c r="H160" i="12"/>
  <c r="H166" i="12"/>
  <c r="H172" i="12"/>
  <c r="H175" i="12"/>
  <c r="H184" i="12"/>
  <c r="H190" i="12"/>
  <c r="H214" i="12"/>
  <c r="H226" i="12"/>
  <c r="H232" i="12"/>
  <c r="H238" i="12"/>
  <c r="H253" i="12"/>
  <c r="H259" i="12"/>
  <c r="H265" i="12"/>
  <c r="H268" i="12"/>
  <c r="H271" i="12"/>
  <c r="H277" i="12"/>
  <c r="H286" i="12"/>
  <c r="H4" i="12"/>
  <c r="H15" i="12"/>
  <c r="H19" i="12"/>
  <c r="H31" i="12"/>
  <c r="H34" i="12"/>
  <c r="H40" i="12"/>
  <c r="H46" i="12"/>
  <c r="H66" i="12"/>
  <c r="H69" i="12"/>
  <c r="H73" i="12"/>
  <c r="H81" i="12"/>
  <c r="H95" i="12"/>
  <c r="H104" i="12"/>
  <c r="H110" i="12"/>
  <c r="H116" i="12"/>
  <c r="H119" i="12"/>
  <c r="H125" i="12"/>
  <c r="H137" i="12"/>
  <c r="H140" i="12"/>
  <c r="H144" i="12"/>
  <c r="H147" i="12"/>
  <c r="H169" i="12"/>
  <c r="H174" i="12"/>
  <c r="H177" i="12"/>
  <c r="H181" i="12"/>
  <c r="H187" i="12"/>
  <c r="H192" i="12"/>
  <c r="H213" i="12"/>
  <c r="H216" i="12"/>
  <c r="H222" i="12"/>
  <c r="H243" i="12"/>
  <c r="H246" i="12"/>
  <c r="H250" i="12"/>
  <c r="H274" i="12"/>
  <c r="H283" i="12"/>
  <c r="H288" i="12"/>
  <c r="H60" i="12"/>
  <c r="H145" i="12"/>
  <c r="H107" i="12"/>
  <c r="H122" i="12"/>
  <c r="H128" i="12"/>
  <c r="H149" i="12"/>
  <c r="H155" i="12"/>
  <c r="H158" i="12"/>
  <c r="H161" i="12"/>
  <c r="H164" i="12"/>
  <c r="H167" i="12"/>
  <c r="H176" i="12"/>
  <c r="H179" i="12"/>
  <c r="H185" i="12"/>
  <c r="H200" i="12"/>
  <c r="H153" i="12"/>
  <c r="H157" i="12"/>
  <c r="H183" i="12"/>
  <c r="H189" i="12"/>
  <c r="H193" i="12"/>
  <c r="H198" i="12"/>
  <c r="H146" i="12"/>
  <c r="H151" i="12"/>
  <c r="H163" i="12"/>
  <c r="H170" i="12"/>
  <c r="H195" i="12"/>
  <c r="H202" i="12"/>
  <c r="H196" i="12"/>
  <c r="H199" i="12"/>
  <c r="H205" i="12"/>
  <c r="H211" i="12"/>
  <c r="H220" i="12"/>
  <c r="H229" i="12"/>
  <c r="H206" i="12"/>
  <c r="H215" i="12"/>
  <c r="H221" i="12"/>
  <c r="H227" i="12"/>
  <c r="H230" i="12"/>
  <c r="H239" i="12"/>
  <c r="H245" i="12"/>
  <c r="H248" i="12"/>
  <c r="H254" i="12"/>
  <c r="H260" i="12"/>
  <c r="H263" i="12"/>
  <c r="H266" i="12"/>
  <c r="H269" i="12"/>
  <c r="H272" i="12"/>
  <c r="H278" i="12"/>
  <c r="H281" i="12"/>
  <c r="H204" i="12"/>
  <c r="H210" i="12"/>
  <c r="H219" i="12"/>
  <c r="H225" i="12"/>
  <c r="H231" i="12"/>
  <c r="H235" i="12"/>
  <c r="H241" i="12"/>
  <c r="H244" i="12"/>
  <c r="H247" i="12"/>
  <c r="H258" i="12"/>
  <c r="H262" i="12"/>
  <c r="H264" i="12"/>
  <c r="H217" i="12"/>
  <c r="H223" i="12"/>
  <c r="H284" i="12"/>
  <c r="V116" i="5"/>
  <c r="U116" i="5"/>
  <c r="V115" i="5"/>
  <c r="T116" i="5"/>
  <c r="V26" i="5"/>
  <c r="V27" i="5"/>
  <c r="V28" i="5"/>
  <c r="S718" i="5"/>
  <c r="T718" i="5"/>
  <c r="U718" i="5"/>
  <c r="V718" i="5"/>
  <c r="S105" i="5"/>
  <c r="S3" i="5"/>
  <c r="U3" i="5"/>
  <c r="V3" i="5"/>
  <c r="S4" i="5"/>
  <c r="U4" i="5"/>
  <c r="V4" i="5"/>
  <c r="S5" i="5"/>
  <c r="T5" i="5"/>
  <c r="U5" i="5"/>
  <c r="V5" i="5"/>
  <c r="S6" i="5"/>
  <c r="T6" i="5"/>
  <c r="U6" i="5"/>
  <c r="V6" i="5"/>
  <c r="S7" i="5"/>
  <c r="T7" i="5"/>
  <c r="U7" i="5"/>
  <c r="V7" i="5"/>
  <c r="S8" i="5"/>
  <c r="T8" i="5"/>
  <c r="U8" i="5"/>
  <c r="V8" i="5"/>
  <c r="S9" i="5"/>
  <c r="U9" i="5"/>
  <c r="V9" i="5"/>
  <c r="S10" i="5"/>
  <c r="U10" i="5"/>
  <c r="V10" i="5"/>
  <c r="S11" i="5"/>
  <c r="T11" i="5"/>
  <c r="V11" i="5"/>
  <c r="S12" i="5"/>
  <c r="T12" i="5"/>
  <c r="U12" i="5"/>
  <c r="V12" i="5"/>
  <c r="S13" i="5"/>
  <c r="T13" i="5"/>
  <c r="U13" i="5"/>
  <c r="V13" i="5"/>
  <c r="S14" i="5"/>
  <c r="T14" i="5"/>
  <c r="U14" i="5"/>
  <c r="V14" i="5"/>
  <c r="S15" i="5"/>
  <c r="U15" i="5"/>
  <c r="V15" i="5"/>
  <c r="S16" i="5"/>
  <c r="T16" i="5"/>
  <c r="V16" i="5"/>
  <c r="S17" i="5"/>
  <c r="T17" i="5"/>
  <c r="U17" i="5"/>
  <c r="V17" i="5"/>
  <c r="S18" i="5"/>
  <c r="T18" i="5"/>
  <c r="U18" i="5"/>
  <c r="V18" i="5"/>
  <c r="S19" i="5"/>
  <c r="T19" i="5"/>
  <c r="U19" i="5"/>
  <c r="V19" i="5"/>
  <c r="S20" i="5"/>
  <c r="T20" i="5"/>
  <c r="V20" i="5"/>
  <c r="S21" i="5"/>
  <c r="T21" i="5"/>
  <c r="U21" i="5"/>
  <c r="V21" i="5"/>
  <c r="S22" i="5"/>
  <c r="T22" i="5"/>
  <c r="U22" i="5"/>
  <c r="V22" i="5"/>
  <c r="S23" i="5"/>
  <c r="T23" i="5"/>
  <c r="U23" i="5"/>
  <c r="V23" i="5"/>
  <c r="S24" i="5"/>
  <c r="T24" i="5"/>
  <c r="U24" i="5"/>
  <c r="V24" i="5"/>
  <c r="S25" i="5"/>
  <c r="T25" i="5"/>
  <c r="U25" i="5"/>
  <c r="V25" i="5"/>
  <c r="S26" i="5"/>
  <c r="T26" i="5"/>
  <c r="U26" i="5"/>
  <c r="S27" i="5"/>
  <c r="T27" i="5"/>
  <c r="U27" i="5"/>
  <c r="S28" i="5"/>
  <c r="T28" i="5"/>
  <c r="U28" i="5"/>
  <c r="S29" i="5"/>
  <c r="T29" i="5"/>
  <c r="U29" i="5"/>
  <c r="V29" i="5"/>
  <c r="S30" i="5"/>
  <c r="T30" i="5"/>
  <c r="U30" i="5"/>
  <c r="V30" i="5"/>
  <c r="S31" i="5"/>
  <c r="T31" i="5"/>
  <c r="U31" i="5"/>
  <c r="V31" i="5"/>
  <c r="S32" i="5"/>
  <c r="T32" i="5"/>
  <c r="U32" i="5"/>
  <c r="V32" i="5"/>
  <c r="S33" i="5"/>
  <c r="T33" i="5"/>
  <c r="U33" i="5"/>
  <c r="V33" i="5"/>
  <c r="S34" i="5"/>
  <c r="T34" i="5"/>
  <c r="U34" i="5"/>
  <c r="V34" i="5"/>
  <c r="S35" i="5"/>
  <c r="T35" i="5"/>
  <c r="V35" i="5"/>
  <c r="S36" i="5"/>
  <c r="T36" i="5"/>
  <c r="U36" i="5"/>
  <c r="V36" i="5"/>
  <c r="S37" i="5"/>
  <c r="T37" i="5"/>
  <c r="U37" i="5"/>
  <c r="V37" i="5"/>
  <c r="S38" i="5"/>
  <c r="T38" i="5"/>
  <c r="U38" i="5"/>
  <c r="V38" i="5"/>
  <c r="S39" i="5"/>
  <c r="T39" i="5"/>
  <c r="U39" i="5"/>
  <c r="V39" i="5"/>
  <c r="S40" i="5"/>
  <c r="U40" i="5"/>
  <c r="V40" i="5"/>
  <c r="S41" i="5"/>
  <c r="T41" i="5"/>
  <c r="U41" i="5"/>
  <c r="V41" i="5"/>
  <c r="S42" i="5"/>
  <c r="T42" i="5"/>
  <c r="U42" i="5"/>
  <c r="V42" i="5"/>
  <c r="S43" i="5"/>
  <c r="T43" i="5"/>
  <c r="U43" i="5"/>
  <c r="V43" i="5"/>
  <c r="S44" i="5"/>
  <c r="T44" i="5"/>
  <c r="U44" i="5"/>
  <c r="V44" i="5"/>
  <c r="S45" i="5"/>
  <c r="U45" i="5"/>
  <c r="V45" i="5"/>
  <c r="S46" i="5"/>
  <c r="T46" i="5"/>
  <c r="U46" i="5"/>
  <c r="V46" i="5"/>
  <c r="S47" i="5"/>
  <c r="T47" i="5"/>
  <c r="U47" i="5"/>
  <c r="V47" i="5"/>
  <c r="S48" i="5"/>
  <c r="T48" i="5"/>
  <c r="U48" i="5"/>
  <c r="V48" i="5"/>
  <c r="S49" i="5"/>
  <c r="T49" i="5"/>
  <c r="U49" i="5"/>
  <c r="V49" i="5"/>
  <c r="S50" i="5"/>
  <c r="T50" i="5"/>
  <c r="U50" i="5"/>
  <c r="V50" i="5"/>
  <c r="S51" i="5"/>
  <c r="T51" i="5"/>
  <c r="U51" i="5"/>
  <c r="V51" i="5"/>
  <c r="S52" i="5"/>
  <c r="T52" i="5"/>
  <c r="U52" i="5"/>
  <c r="V52" i="5"/>
  <c r="S53" i="5"/>
  <c r="T53" i="5"/>
  <c r="U53" i="5"/>
  <c r="V53" i="5"/>
  <c r="S54" i="5"/>
  <c r="T54" i="5"/>
  <c r="U54" i="5"/>
  <c r="V54" i="5"/>
  <c r="S55" i="5"/>
  <c r="T55" i="5"/>
  <c r="U55" i="5"/>
  <c r="V55" i="5"/>
  <c r="S56" i="5"/>
  <c r="T56" i="5"/>
  <c r="U56" i="5"/>
  <c r="V56" i="5"/>
  <c r="S57" i="5"/>
  <c r="T57" i="5"/>
  <c r="U57" i="5"/>
  <c r="V57" i="5"/>
  <c r="S58" i="5"/>
  <c r="T58" i="5"/>
  <c r="U58" i="5"/>
  <c r="V58" i="5"/>
  <c r="S59" i="5"/>
  <c r="U59" i="5"/>
  <c r="V59" i="5"/>
  <c r="S60" i="5"/>
  <c r="T60" i="5"/>
  <c r="U60" i="5"/>
  <c r="V60" i="5"/>
  <c r="S61" i="5"/>
  <c r="T61" i="5"/>
  <c r="U61" i="5"/>
  <c r="V61" i="5"/>
  <c r="S62" i="5"/>
  <c r="T62" i="5"/>
  <c r="U62" i="5"/>
  <c r="V62" i="5"/>
  <c r="S63" i="5"/>
  <c r="T63" i="5"/>
  <c r="U63" i="5"/>
  <c r="V63" i="5"/>
  <c r="S64" i="5"/>
  <c r="T64" i="5"/>
  <c r="U64" i="5"/>
  <c r="V64" i="5"/>
  <c r="S65" i="5"/>
  <c r="T65" i="5"/>
  <c r="U65" i="5"/>
  <c r="V65" i="5"/>
  <c r="S66" i="5"/>
  <c r="T66" i="5"/>
  <c r="U66" i="5"/>
  <c r="V66" i="5"/>
  <c r="S67" i="5"/>
  <c r="T67" i="5"/>
  <c r="U67" i="5"/>
  <c r="V67" i="5"/>
  <c r="S68" i="5"/>
  <c r="T68" i="5"/>
  <c r="U68" i="5"/>
  <c r="V68" i="5"/>
  <c r="S69" i="5"/>
  <c r="T69" i="5"/>
  <c r="U69" i="5"/>
  <c r="V69" i="5"/>
  <c r="S70" i="5"/>
  <c r="T70" i="5"/>
  <c r="U70" i="5"/>
  <c r="V70" i="5"/>
  <c r="S71" i="5"/>
  <c r="T71" i="5"/>
  <c r="U71" i="5"/>
  <c r="V71" i="5"/>
  <c r="S72" i="5"/>
  <c r="T72" i="5"/>
  <c r="U72" i="5"/>
  <c r="V72" i="5"/>
  <c r="S73" i="5"/>
  <c r="T73" i="5"/>
  <c r="U73" i="5"/>
  <c r="V73" i="5"/>
  <c r="S74" i="5"/>
  <c r="T74" i="5"/>
  <c r="U74" i="5"/>
  <c r="V74" i="5"/>
  <c r="S75" i="5"/>
  <c r="T75" i="5"/>
  <c r="U75" i="5"/>
  <c r="V75" i="5"/>
  <c r="S76" i="5"/>
  <c r="T76" i="5"/>
  <c r="U76" i="5"/>
  <c r="V76" i="5"/>
  <c r="S77" i="5"/>
  <c r="T77" i="5"/>
  <c r="U77" i="5"/>
  <c r="V77" i="5"/>
  <c r="S78" i="5"/>
  <c r="U78" i="5"/>
  <c r="V78" i="5"/>
  <c r="S79" i="5"/>
  <c r="T79" i="5"/>
  <c r="U79" i="5"/>
  <c r="V79" i="5"/>
  <c r="S80" i="5"/>
  <c r="T80" i="5"/>
  <c r="U80" i="5"/>
  <c r="V80" i="5"/>
  <c r="S81" i="5"/>
  <c r="T81" i="5"/>
  <c r="U81" i="5"/>
  <c r="V81" i="5"/>
  <c r="S82" i="5"/>
  <c r="T82" i="5"/>
  <c r="U82" i="5"/>
  <c r="V82" i="5"/>
  <c r="S83" i="5"/>
  <c r="T83" i="5"/>
  <c r="U83" i="5"/>
  <c r="V83" i="5"/>
  <c r="S84" i="5"/>
  <c r="T84" i="5"/>
  <c r="U84" i="5"/>
  <c r="V84" i="5"/>
  <c r="S85" i="5"/>
  <c r="U85" i="5"/>
  <c r="V85" i="5"/>
  <c r="S86" i="5"/>
  <c r="T86" i="5"/>
  <c r="U86" i="5"/>
  <c r="V86" i="5"/>
  <c r="S87" i="5"/>
  <c r="T87" i="5"/>
  <c r="U87" i="5"/>
  <c r="V87" i="5"/>
  <c r="S88" i="5"/>
  <c r="T88" i="5"/>
  <c r="U88" i="5"/>
  <c r="V88" i="5"/>
  <c r="S89" i="5"/>
  <c r="T89" i="5"/>
  <c r="U89" i="5"/>
  <c r="V89" i="5"/>
  <c r="S90" i="5"/>
  <c r="T90" i="5"/>
  <c r="U90" i="5"/>
  <c r="V90" i="5"/>
  <c r="S91" i="5"/>
  <c r="U91" i="5"/>
  <c r="V91" i="5"/>
  <c r="S92" i="5"/>
  <c r="T92" i="5"/>
  <c r="U92" i="5"/>
  <c r="V92" i="5"/>
  <c r="S93" i="5"/>
  <c r="U93" i="5"/>
  <c r="V93" i="5"/>
  <c r="S94" i="5"/>
  <c r="T94" i="5"/>
  <c r="U94" i="5"/>
  <c r="V94" i="5"/>
  <c r="S95" i="5"/>
  <c r="T95" i="5"/>
  <c r="U95" i="5"/>
  <c r="V95" i="5"/>
  <c r="S96" i="5"/>
  <c r="U96" i="5"/>
  <c r="V96" i="5"/>
  <c r="S97" i="5"/>
  <c r="T97" i="5"/>
  <c r="U97" i="5"/>
  <c r="V97" i="5"/>
  <c r="S98" i="5"/>
  <c r="T98" i="5"/>
  <c r="U98" i="5"/>
  <c r="V98" i="5"/>
  <c r="S99" i="5"/>
  <c r="T99" i="5"/>
  <c r="U99" i="5"/>
  <c r="V99" i="5"/>
  <c r="S100" i="5"/>
  <c r="T100" i="5"/>
  <c r="U100" i="5"/>
  <c r="V100" i="5"/>
  <c r="S101" i="5"/>
  <c r="T101" i="5"/>
  <c r="U101" i="5"/>
  <c r="V101" i="5"/>
  <c r="S102" i="5"/>
  <c r="U102" i="5"/>
  <c r="V102" i="5"/>
  <c r="S103" i="5"/>
  <c r="T103" i="5"/>
  <c r="U103" i="5"/>
  <c r="V103" i="5"/>
  <c r="S104" i="5"/>
  <c r="T104" i="5"/>
  <c r="U104" i="5"/>
  <c r="V104" i="5"/>
  <c r="T105" i="5"/>
  <c r="U105" i="5"/>
  <c r="V105" i="5"/>
  <c r="S106" i="5"/>
  <c r="T106" i="5"/>
  <c r="U106" i="5"/>
  <c r="V106" i="5"/>
  <c r="S107" i="5"/>
  <c r="T107" i="5"/>
  <c r="U107" i="5"/>
  <c r="V107" i="5"/>
  <c r="S108" i="5"/>
  <c r="T108" i="5"/>
  <c r="U108" i="5"/>
  <c r="V108" i="5"/>
  <c r="S109" i="5"/>
  <c r="T109" i="5"/>
  <c r="U109" i="5"/>
  <c r="V109" i="5"/>
  <c r="S110" i="5"/>
  <c r="T110" i="5"/>
  <c r="U110" i="5"/>
  <c r="V110" i="5"/>
  <c r="S111" i="5"/>
  <c r="T111" i="5"/>
  <c r="U111" i="5"/>
  <c r="V111" i="5"/>
  <c r="S112" i="5"/>
  <c r="U112" i="5"/>
  <c r="V112" i="5"/>
  <c r="S113" i="5"/>
  <c r="T113" i="5"/>
  <c r="U113" i="5"/>
  <c r="V113" i="5"/>
  <c r="S114" i="5"/>
  <c r="T114" i="5"/>
  <c r="U114" i="5"/>
  <c r="V114" i="5"/>
  <c r="S115" i="5"/>
  <c r="T115" i="5"/>
  <c r="U115" i="5"/>
  <c r="S116" i="5"/>
  <c r="S117" i="5"/>
  <c r="T117" i="5"/>
  <c r="U117" i="5"/>
  <c r="V117" i="5"/>
  <c r="S118" i="5"/>
  <c r="T118" i="5"/>
  <c r="U118" i="5"/>
  <c r="V118" i="5"/>
  <c r="S119" i="5"/>
  <c r="T119" i="5"/>
  <c r="U119" i="5"/>
  <c r="V119" i="5"/>
  <c r="S120" i="5"/>
  <c r="T120" i="5"/>
  <c r="U120" i="5"/>
  <c r="V120" i="5"/>
  <c r="S121" i="5"/>
  <c r="T121" i="5"/>
  <c r="U121" i="5"/>
  <c r="V121" i="5"/>
  <c r="S122" i="5"/>
  <c r="T122" i="5"/>
  <c r="U122" i="5"/>
  <c r="V122" i="5"/>
  <c r="S123" i="5"/>
  <c r="T123" i="5"/>
  <c r="U123" i="5"/>
  <c r="V123" i="5"/>
  <c r="S124" i="5"/>
  <c r="T124" i="5"/>
  <c r="U124" i="5"/>
  <c r="V124" i="5"/>
  <c r="S125" i="5"/>
  <c r="U125" i="5"/>
  <c r="V125" i="5"/>
  <c r="S126" i="5"/>
  <c r="T126" i="5"/>
  <c r="U126" i="5"/>
  <c r="V126" i="5"/>
  <c r="S127" i="5"/>
  <c r="T127" i="5"/>
  <c r="U127" i="5"/>
  <c r="V127" i="5"/>
  <c r="S128" i="5"/>
  <c r="T128" i="5"/>
  <c r="U128" i="5"/>
  <c r="V128" i="5"/>
  <c r="S129" i="5"/>
  <c r="T129" i="5"/>
  <c r="U129" i="5"/>
  <c r="V129" i="5"/>
  <c r="S130" i="5"/>
  <c r="T130" i="5"/>
  <c r="U130" i="5"/>
  <c r="V130" i="5"/>
  <c r="S131" i="5"/>
  <c r="T131" i="5"/>
  <c r="U131" i="5"/>
  <c r="V131" i="5"/>
  <c r="S132" i="5"/>
  <c r="T132" i="5"/>
  <c r="U132" i="5"/>
  <c r="V132" i="5"/>
  <c r="S133" i="5"/>
  <c r="T133" i="5"/>
  <c r="U133" i="5"/>
  <c r="V133" i="5"/>
  <c r="S134" i="5"/>
  <c r="U134" i="5"/>
  <c r="V134" i="5"/>
  <c r="S135" i="5"/>
  <c r="T135" i="5"/>
  <c r="U135" i="5"/>
  <c r="V135" i="5"/>
  <c r="S136" i="5"/>
  <c r="T136" i="5"/>
  <c r="U136" i="5"/>
  <c r="V136" i="5"/>
  <c r="S137" i="5"/>
  <c r="T137" i="5"/>
  <c r="U137" i="5"/>
  <c r="V137" i="5"/>
  <c r="S138" i="5"/>
  <c r="T138" i="5"/>
  <c r="U138" i="5"/>
  <c r="V138" i="5"/>
  <c r="S139" i="5"/>
  <c r="T139" i="5"/>
  <c r="U139" i="5"/>
  <c r="V139" i="5"/>
  <c r="S140" i="5"/>
  <c r="T140" i="5"/>
  <c r="U140" i="5"/>
  <c r="V140" i="5"/>
  <c r="S141" i="5"/>
  <c r="T141" i="5"/>
  <c r="U141" i="5"/>
  <c r="V141" i="5"/>
  <c r="S142" i="5"/>
  <c r="T142" i="5"/>
  <c r="U142" i="5"/>
  <c r="V142" i="5"/>
  <c r="S143" i="5"/>
  <c r="T143" i="5"/>
  <c r="U143" i="5"/>
  <c r="V143" i="5"/>
  <c r="S144" i="5"/>
  <c r="T144" i="5"/>
  <c r="U144" i="5"/>
  <c r="V144" i="5"/>
  <c r="S145" i="5"/>
  <c r="U145" i="5"/>
  <c r="V145" i="5"/>
  <c r="S146" i="5"/>
  <c r="T146" i="5"/>
  <c r="U146" i="5"/>
  <c r="V146" i="5"/>
  <c r="S147" i="5"/>
  <c r="T147" i="5"/>
  <c r="U147" i="5"/>
  <c r="V147" i="5"/>
  <c r="S148" i="5"/>
  <c r="U148" i="5"/>
  <c r="V148" i="5"/>
  <c r="S149" i="5"/>
  <c r="T149" i="5"/>
  <c r="U149" i="5"/>
  <c r="V149" i="5"/>
  <c r="S150" i="5"/>
  <c r="T150" i="5"/>
  <c r="U150" i="5"/>
  <c r="V150" i="5"/>
  <c r="S151" i="5"/>
  <c r="T151" i="5"/>
  <c r="U151" i="5"/>
  <c r="V151" i="5"/>
  <c r="S152" i="5"/>
  <c r="T152" i="5"/>
  <c r="V152" i="5"/>
  <c r="S153" i="5"/>
  <c r="U153" i="5"/>
  <c r="V153" i="5"/>
  <c r="S154" i="5"/>
  <c r="T154" i="5"/>
  <c r="U154" i="5"/>
  <c r="V154" i="5"/>
  <c r="S155" i="5"/>
  <c r="T155" i="5"/>
  <c r="U155" i="5"/>
  <c r="V155" i="5"/>
  <c r="S156" i="5"/>
  <c r="T156" i="5"/>
  <c r="U156" i="5"/>
  <c r="V156" i="5"/>
  <c r="S157" i="5"/>
  <c r="T157" i="5"/>
  <c r="U157" i="5"/>
  <c r="V157" i="5"/>
  <c r="S158" i="5"/>
  <c r="T158" i="5"/>
  <c r="U158" i="5"/>
  <c r="V158" i="5"/>
  <c r="S159" i="5"/>
  <c r="T159" i="5"/>
  <c r="U159" i="5"/>
  <c r="V159" i="5"/>
  <c r="S160" i="5"/>
  <c r="T160" i="5"/>
  <c r="U160" i="5"/>
  <c r="V160" i="5"/>
  <c r="S161" i="5"/>
  <c r="T161" i="5"/>
  <c r="U161" i="5"/>
  <c r="V161" i="5"/>
  <c r="S162" i="5"/>
  <c r="U162" i="5"/>
  <c r="V162" i="5"/>
  <c r="S163" i="5"/>
  <c r="T163" i="5"/>
  <c r="U163" i="5"/>
  <c r="V163" i="5"/>
  <c r="S164" i="5"/>
  <c r="T164" i="5"/>
  <c r="U164" i="5"/>
  <c r="V164" i="5"/>
  <c r="S165" i="5"/>
  <c r="T165" i="5"/>
  <c r="U165" i="5"/>
  <c r="V165" i="5"/>
  <c r="S166" i="5"/>
  <c r="U166" i="5"/>
  <c r="V166" i="5"/>
  <c r="S167" i="5"/>
  <c r="T167" i="5"/>
  <c r="U167" i="5"/>
  <c r="V167" i="5"/>
  <c r="S168" i="5"/>
  <c r="T168" i="5"/>
  <c r="U168" i="5"/>
  <c r="V168" i="5"/>
  <c r="S169" i="5"/>
  <c r="U169" i="5"/>
  <c r="V169" i="5"/>
  <c r="S170" i="5"/>
  <c r="T170" i="5"/>
  <c r="U170" i="5"/>
  <c r="V170" i="5"/>
  <c r="S171" i="5"/>
  <c r="T171" i="5"/>
  <c r="U171" i="5"/>
  <c r="V171" i="5"/>
  <c r="S172" i="5"/>
  <c r="T172" i="5"/>
  <c r="U172" i="5"/>
  <c r="V172" i="5"/>
  <c r="S173" i="5"/>
  <c r="T173" i="5"/>
  <c r="U173" i="5"/>
  <c r="V173" i="5"/>
  <c r="S174" i="5"/>
  <c r="T174" i="5"/>
  <c r="U174" i="5"/>
  <c r="V174" i="5"/>
  <c r="S175" i="5"/>
  <c r="T175" i="5"/>
  <c r="U175" i="5"/>
  <c r="V175" i="5"/>
  <c r="S176" i="5"/>
  <c r="T176" i="5"/>
  <c r="U176" i="5"/>
  <c r="V176" i="5"/>
  <c r="S177" i="5"/>
  <c r="T177" i="5"/>
  <c r="U177" i="5"/>
  <c r="V177" i="5"/>
  <c r="S178" i="5"/>
  <c r="T178" i="5"/>
  <c r="U178" i="5"/>
  <c r="V178" i="5"/>
  <c r="S179" i="5"/>
  <c r="T179" i="5"/>
  <c r="U179" i="5"/>
  <c r="V179" i="5"/>
  <c r="S180" i="5"/>
  <c r="T180" i="5"/>
  <c r="U180" i="5"/>
  <c r="V180" i="5"/>
  <c r="S181" i="5"/>
  <c r="U181" i="5"/>
  <c r="V181" i="5"/>
  <c r="S182" i="5"/>
  <c r="U182" i="5"/>
  <c r="V182" i="5"/>
  <c r="S183" i="5"/>
  <c r="T183" i="5"/>
  <c r="U183" i="5"/>
  <c r="V183" i="5"/>
  <c r="S184" i="5"/>
  <c r="T184" i="5"/>
  <c r="U184" i="5"/>
  <c r="V184" i="5"/>
  <c r="S185" i="5"/>
  <c r="U185" i="5"/>
  <c r="V185" i="5"/>
  <c r="S186" i="5"/>
  <c r="T186" i="5"/>
  <c r="U186" i="5"/>
  <c r="V186" i="5"/>
  <c r="S187" i="5"/>
  <c r="T187" i="5"/>
  <c r="U187" i="5"/>
  <c r="V187" i="5"/>
  <c r="S188" i="5"/>
  <c r="T188" i="5"/>
  <c r="U188" i="5"/>
  <c r="V188" i="5"/>
  <c r="S189" i="5"/>
  <c r="T189" i="5"/>
  <c r="U189" i="5"/>
  <c r="V189" i="5"/>
  <c r="S190" i="5"/>
  <c r="T190" i="5"/>
  <c r="U190" i="5"/>
  <c r="V190" i="5"/>
  <c r="S191" i="5"/>
  <c r="T191" i="5"/>
  <c r="U191" i="5"/>
  <c r="V191" i="5"/>
  <c r="S192" i="5"/>
  <c r="T192" i="5"/>
  <c r="U192" i="5"/>
  <c r="V192" i="5"/>
  <c r="S193" i="5"/>
  <c r="T193" i="5"/>
  <c r="U193" i="5"/>
  <c r="V193" i="5"/>
  <c r="S194" i="5"/>
  <c r="U194" i="5"/>
  <c r="V194" i="5"/>
  <c r="S195" i="5"/>
  <c r="T195" i="5"/>
  <c r="U195" i="5"/>
  <c r="V195" i="5"/>
  <c r="S196" i="5"/>
  <c r="T196" i="5"/>
  <c r="U196" i="5"/>
  <c r="V196" i="5"/>
  <c r="S197" i="5"/>
  <c r="T197" i="5"/>
  <c r="U197" i="5"/>
  <c r="V197" i="5"/>
  <c r="S198" i="5"/>
  <c r="T198" i="5"/>
  <c r="U198" i="5"/>
  <c r="V198" i="5"/>
  <c r="S199" i="5"/>
  <c r="U199" i="5"/>
  <c r="V199" i="5"/>
  <c r="S200" i="5"/>
  <c r="T200" i="5"/>
  <c r="U200" i="5"/>
  <c r="V200" i="5"/>
  <c r="S201" i="5"/>
  <c r="T201" i="5"/>
  <c r="U201" i="5"/>
  <c r="V201" i="5"/>
  <c r="S202" i="5"/>
  <c r="T202" i="5"/>
  <c r="U202" i="5"/>
  <c r="V202" i="5"/>
  <c r="S203" i="5"/>
  <c r="U203" i="5"/>
  <c r="V203" i="5"/>
  <c r="S204" i="5"/>
  <c r="T204" i="5"/>
  <c r="U204" i="5"/>
  <c r="V204" i="5"/>
  <c r="S205" i="5"/>
  <c r="T205" i="5"/>
  <c r="U205" i="5"/>
  <c r="V205" i="5"/>
  <c r="S206" i="5"/>
  <c r="T206" i="5"/>
  <c r="U206" i="5"/>
  <c r="V206" i="5"/>
  <c r="S207" i="5"/>
  <c r="T207" i="5"/>
  <c r="U207" i="5"/>
  <c r="V207" i="5"/>
  <c r="S208" i="5"/>
  <c r="U208" i="5"/>
  <c r="V208" i="5"/>
  <c r="S209" i="5"/>
  <c r="T209" i="5"/>
  <c r="U209" i="5"/>
  <c r="V209" i="5"/>
  <c r="S210" i="5"/>
  <c r="T210" i="5"/>
  <c r="U210" i="5"/>
  <c r="V210" i="5"/>
  <c r="S211" i="5"/>
  <c r="T211" i="5"/>
  <c r="U211" i="5"/>
  <c r="V211" i="5"/>
  <c r="S212" i="5"/>
  <c r="T212" i="5"/>
  <c r="U212" i="5"/>
  <c r="V212" i="5"/>
  <c r="S213" i="5"/>
  <c r="T213" i="5"/>
  <c r="U213" i="5"/>
  <c r="V213" i="5"/>
  <c r="S214" i="5"/>
  <c r="T214" i="5"/>
  <c r="U214" i="5"/>
  <c r="V214" i="5"/>
  <c r="S215" i="5"/>
  <c r="T215" i="5"/>
  <c r="U215" i="5"/>
  <c r="V215" i="5"/>
  <c r="S216" i="5"/>
  <c r="T216" i="5"/>
  <c r="U216" i="5"/>
  <c r="V216" i="5"/>
  <c r="S217" i="5"/>
  <c r="U217" i="5"/>
  <c r="V217" i="5"/>
  <c r="S218" i="5"/>
  <c r="U218" i="5"/>
  <c r="V218" i="5"/>
  <c r="S219" i="5"/>
  <c r="T219" i="5"/>
  <c r="U219" i="5"/>
  <c r="V219" i="5"/>
  <c r="S220" i="5"/>
  <c r="T220" i="5"/>
  <c r="U220" i="5"/>
  <c r="V220" i="5"/>
  <c r="S221" i="5"/>
  <c r="T221" i="5"/>
  <c r="U221" i="5"/>
  <c r="V221" i="5"/>
  <c r="S222" i="5"/>
  <c r="T222" i="5"/>
  <c r="U222" i="5"/>
  <c r="V222" i="5"/>
  <c r="S223" i="5"/>
  <c r="T223" i="5"/>
  <c r="U223" i="5"/>
  <c r="V223" i="5"/>
  <c r="S224" i="5"/>
  <c r="T224" i="5"/>
  <c r="U224" i="5"/>
  <c r="V224" i="5"/>
  <c r="S225" i="5"/>
  <c r="T225" i="5"/>
  <c r="U225" i="5"/>
  <c r="V225" i="5"/>
  <c r="S226" i="5"/>
  <c r="T226" i="5"/>
  <c r="U226" i="5"/>
  <c r="V226" i="5"/>
  <c r="S227" i="5"/>
  <c r="T227" i="5"/>
  <c r="U227" i="5"/>
  <c r="V227" i="5"/>
  <c r="S228" i="5"/>
  <c r="T228" i="5"/>
  <c r="U228" i="5"/>
  <c r="V228" i="5"/>
  <c r="S229" i="5"/>
  <c r="T229" i="5"/>
  <c r="U229" i="5"/>
  <c r="V229" i="5"/>
  <c r="S230" i="5"/>
  <c r="T230" i="5"/>
  <c r="U230" i="5"/>
  <c r="V230" i="5"/>
  <c r="S231" i="5"/>
  <c r="T231" i="5"/>
  <c r="U231" i="5"/>
  <c r="V231" i="5"/>
  <c r="S232" i="5"/>
  <c r="T232" i="5"/>
  <c r="U232" i="5"/>
  <c r="V232" i="5"/>
  <c r="S233" i="5"/>
  <c r="T233" i="5"/>
  <c r="U233" i="5"/>
  <c r="V233" i="5"/>
  <c r="S234" i="5"/>
  <c r="T234" i="5"/>
  <c r="U234" i="5"/>
  <c r="V234" i="5"/>
  <c r="S235" i="5"/>
  <c r="T235" i="5"/>
  <c r="U235" i="5"/>
  <c r="V235" i="5"/>
  <c r="S236" i="5"/>
  <c r="T236" i="5"/>
  <c r="V236" i="5"/>
  <c r="S237" i="5"/>
  <c r="T237" i="5"/>
  <c r="U237" i="5"/>
  <c r="V237" i="5"/>
  <c r="S238" i="5"/>
  <c r="U238" i="5"/>
  <c r="V238" i="5"/>
  <c r="S239" i="5"/>
  <c r="T239" i="5"/>
  <c r="U239" i="5"/>
  <c r="V239" i="5"/>
  <c r="S240" i="5"/>
  <c r="T240" i="5"/>
  <c r="U240" i="5"/>
  <c r="V240" i="5"/>
  <c r="S241" i="5"/>
  <c r="T241" i="5"/>
  <c r="U241" i="5"/>
  <c r="V241" i="5"/>
  <c r="S242" i="5"/>
  <c r="T242" i="5"/>
  <c r="U242" i="5"/>
  <c r="V242" i="5"/>
  <c r="S243" i="5"/>
  <c r="T243" i="5"/>
  <c r="U243" i="5"/>
  <c r="V243" i="5"/>
  <c r="S244" i="5"/>
  <c r="T244" i="5"/>
  <c r="U244" i="5"/>
  <c r="V244" i="5"/>
  <c r="S245" i="5"/>
  <c r="T245" i="5"/>
  <c r="U245" i="5"/>
  <c r="V245" i="5"/>
  <c r="S246" i="5"/>
  <c r="T246" i="5"/>
  <c r="U246" i="5"/>
  <c r="V246" i="5"/>
  <c r="S247" i="5"/>
  <c r="T247" i="5"/>
  <c r="U247" i="5"/>
  <c r="V247" i="5"/>
  <c r="S248" i="5"/>
  <c r="T248" i="5"/>
  <c r="U248" i="5"/>
  <c r="V248" i="5"/>
  <c r="S249" i="5"/>
  <c r="T249" i="5"/>
  <c r="U249" i="5"/>
  <c r="V249" i="5"/>
  <c r="S250" i="5"/>
  <c r="T250" i="5"/>
  <c r="U250" i="5"/>
  <c r="V250" i="5"/>
  <c r="S251" i="5"/>
  <c r="T251" i="5"/>
  <c r="U251" i="5"/>
  <c r="V251" i="5"/>
  <c r="S252" i="5"/>
  <c r="T252" i="5"/>
  <c r="U252" i="5"/>
  <c r="V252" i="5"/>
  <c r="S253" i="5"/>
  <c r="T253" i="5"/>
  <c r="V253" i="5"/>
  <c r="S254" i="5"/>
  <c r="T254" i="5"/>
  <c r="U254" i="5"/>
  <c r="V254" i="5"/>
  <c r="S255" i="5"/>
  <c r="T255" i="5"/>
  <c r="U255" i="5"/>
  <c r="V255" i="5"/>
  <c r="S256" i="5"/>
  <c r="T256" i="5"/>
  <c r="U256" i="5"/>
  <c r="V256" i="5"/>
  <c r="S257" i="5"/>
  <c r="T257" i="5"/>
  <c r="U257" i="5"/>
  <c r="V257" i="5"/>
  <c r="S258" i="5"/>
  <c r="T258" i="5"/>
  <c r="U258" i="5"/>
  <c r="V258" i="5"/>
  <c r="S259" i="5"/>
  <c r="T259" i="5"/>
  <c r="U259" i="5"/>
  <c r="V259" i="5"/>
  <c r="S260" i="5"/>
  <c r="T260" i="5"/>
  <c r="U260" i="5"/>
  <c r="V260" i="5"/>
  <c r="S261" i="5"/>
  <c r="T261" i="5"/>
  <c r="U261" i="5"/>
  <c r="V261" i="5"/>
  <c r="S262" i="5"/>
  <c r="T262" i="5"/>
  <c r="U262" i="5"/>
  <c r="V262" i="5"/>
  <c r="S263" i="5"/>
  <c r="T263" i="5"/>
  <c r="U263" i="5"/>
  <c r="V263" i="5"/>
  <c r="S264" i="5"/>
  <c r="T264" i="5"/>
  <c r="U264" i="5"/>
  <c r="V264" i="5"/>
  <c r="S265" i="5"/>
  <c r="T265" i="5"/>
  <c r="U265" i="5"/>
  <c r="V265" i="5"/>
  <c r="S266" i="5"/>
  <c r="T266" i="5"/>
  <c r="U266" i="5"/>
  <c r="V266" i="5"/>
  <c r="S267" i="5"/>
  <c r="T267" i="5"/>
  <c r="U267" i="5"/>
  <c r="V267" i="5"/>
  <c r="S268" i="5"/>
  <c r="T268" i="5"/>
  <c r="U268" i="5"/>
  <c r="V268" i="5"/>
  <c r="S269" i="5"/>
  <c r="T269" i="5"/>
  <c r="U269" i="5"/>
  <c r="V269" i="5"/>
  <c r="S270" i="5"/>
  <c r="T270" i="5"/>
  <c r="U270" i="5"/>
  <c r="V270" i="5"/>
  <c r="S271" i="5"/>
  <c r="T271" i="5"/>
  <c r="U271" i="5"/>
  <c r="V271" i="5"/>
  <c r="S272" i="5"/>
  <c r="T272" i="5"/>
  <c r="U272" i="5"/>
  <c r="V272" i="5"/>
  <c r="S273" i="5"/>
  <c r="T273" i="5"/>
  <c r="U273" i="5"/>
  <c r="V273" i="5"/>
  <c r="S274" i="5"/>
  <c r="T274" i="5"/>
  <c r="V274" i="5"/>
  <c r="S275" i="5"/>
  <c r="T275" i="5"/>
  <c r="U275" i="5"/>
  <c r="V275" i="5"/>
  <c r="S276" i="5"/>
  <c r="T276" i="5"/>
  <c r="U276" i="5"/>
  <c r="V276" i="5"/>
  <c r="S277" i="5"/>
  <c r="T277" i="5"/>
  <c r="U277" i="5"/>
  <c r="V277" i="5"/>
  <c r="S278" i="5"/>
  <c r="T278" i="5"/>
  <c r="U278" i="5"/>
  <c r="V278" i="5"/>
  <c r="S279" i="5"/>
  <c r="T279" i="5"/>
  <c r="U279" i="5"/>
  <c r="V279" i="5"/>
  <c r="S280" i="5"/>
  <c r="T280" i="5"/>
  <c r="U280" i="5"/>
  <c r="V280" i="5"/>
  <c r="S281" i="5"/>
  <c r="T281" i="5"/>
  <c r="U281" i="5"/>
  <c r="V281" i="5"/>
  <c r="S282" i="5"/>
  <c r="T282" i="5"/>
  <c r="U282" i="5"/>
  <c r="V282" i="5"/>
  <c r="S283" i="5"/>
  <c r="T283" i="5"/>
  <c r="V283" i="5"/>
  <c r="S284" i="5"/>
  <c r="T284" i="5"/>
  <c r="V284" i="5"/>
  <c r="S285" i="5"/>
  <c r="T285" i="5"/>
  <c r="U285" i="5"/>
  <c r="V285" i="5"/>
  <c r="S286" i="5"/>
  <c r="T286" i="5"/>
  <c r="U286" i="5"/>
  <c r="V286" i="5"/>
  <c r="S287" i="5"/>
  <c r="T287" i="5"/>
  <c r="U287" i="5"/>
  <c r="V287" i="5"/>
  <c r="S288" i="5"/>
  <c r="T288" i="5"/>
  <c r="U288" i="5"/>
  <c r="V288" i="5"/>
  <c r="S289" i="5"/>
  <c r="T289" i="5"/>
  <c r="U289" i="5"/>
  <c r="V289" i="5"/>
  <c r="S290" i="5"/>
  <c r="T290" i="5"/>
  <c r="U290" i="5"/>
  <c r="V290" i="5"/>
  <c r="S291" i="5"/>
  <c r="T291" i="5"/>
  <c r="U291" i="5"/>
  <c r="V291" i="5"/>
  <c r="S292" i="5"/>
  <c r="T292" i="5"/>
  <c r="U292" i="5"/>
  <c r="V292" i="5"/>
  <c r="S293" i="5"/>
  <c r="T293" i="5"/>
  <c r="U293" i="5"/>
  <c r="V293" i="5"/>
  <c r="S294" i="5"/>
  <c r="T294" i="5"/>
  <c r="U294" i="5"/>
  <c r="V294" i="5"/>
  <c r="S295" i="5"/>
  <c r="T295" i="5"/>
  <c r="U295" i="5"/>
  <c r="V295" i="5"/>
  <c r="S296" i="5"/>
  <c r="T296" i="5"/>
  <c r="U296" i="5"/>
  <c r="V296" i="5"/>
  <c r="S297" i="5"/>
  <c r="T297" i="5"/>
  <c r="U297" i="5"/>
  <c r="V297" i="5"/>
  <c r="S298" i="5"/>
  <c r="T298" i="5"/>
  <c r="U298" i="5"/>
  <c r="V298" i="5"/>
  <c r="S299" i="5"/>
  <c r="T299" i="5"/>
  <c r="U299" i="5"/>
  <c r="V299" i="5"/>
  <c r="S300" i="5"/>
  <c r="T300" i="5"/>
  <c r="V300" i="5"/>
  <c r="S301" i="5"/>
  <c r="T301" i="5"/>
  <c r="U301" i="5"/>
  <c r="V301" i="5"/>
  <c r="S302" i="5"/>
  <c r="T302" i="5"/>
  <c r="U302" i="5"/>
  <c r="V302" i="5"/>
  <c r="S303" i="5"/>
  <c r="T303" i="5"/>
  <c r="U303" i="5"/>
  <c r="V303" i="5"/>
  <c r="S304" i="5"/>
  <c r="T304" i="5"/>
  <c r="U304" i="5"/>
  <c r="V304" i="5"/>
  <c r="S305" i="5"/>
  <c r="T305" i="5"/>
  <c r="U305" i="5"/>
  <c r="V305" i="5"/>
  <c r="S306" i="5"/>
  <c r="U306" i="5"/>
  <c r="V306" i="5"/>
  <c r="S307" i="5"/>
  <c r="T307" i="5"/>
  <c r="U307" i="5"/>
  <c r="V307" i="5"/>
  <c r="S308" i="5"/>
  <c r="T308" i="5"/>
  <c r="U308" i="5"/>
  <c r="V308" i="5"/>
  <c r="S309" i="5"/>
  <c r="T309" i="5"/>
  <c r="U309" i="5"/>
  <c r="V309" i="5"/>
  <c r="S310" i="5"/>
  <c r="T310" i="5"/>
  <c r="U310" i="5"/>
  <c r="V310" i="5"/>
  <c r="S311" i="5"/>
  <c r="U311" i="5"/>
  <c r="V311" i="5"/>
  <c r="S312" i="5"/>
  <c r="T312" i="5"/>
  <c r="U312" i="5"/>
  <c r="V312" i="5"/>
  <c r="S313" i="5"/>
  <c r="T313" i="5"/>
  <c r="U313" i="5"/>
  <c r="V313" i="5"/>
  <c r="S314" i="5"/>
  <c r="T314" i="5"/>
  <c r="U314" i="5"/>
  <c r="V314" i="5"/>
  <c r="S315" i="5"/>
  <c r="T315" i="5"/>
  <c r="U315" i="5"/>
  <c r="V315" i="5"/>
  <c r="S316" i="5"/>
  <c r="T316" i="5"/>
  <c r="U316" i="5"/>
  <c r="V316" i="5"/>
  <c r="S317" i="5"/>
  <c r="T317" i="5"/>
  <c r="U317" i="5"/>
  <c r="V317" i="5"/>
  <c r="S318" i="5"/>
  <c r="T318" i="5"/>
  <c r="U318" i="5"/>
  <c r="V318" i="5"/>
  <c r="S319" i="5"/>
  <c r="T319" i="5"/>
  <c r="U319" i="5"/>
  <c r="V319" i="5"/>
  <c r="S320" i="5"/>
  <c r="U320" i="5"/>
  <c r="V320" i="5"/>
  <c r="S321" i="5"/>
  <c r="T321" i="5"/>
  <c r="U321" i="5"/>
  <c r="V321" i="5"/>
  <c r="S322" i="5"/>
  <c r="T322" i="5"/>
  <c r="U322" i="5"/>
  <c r="V322" i="5"/>
  <c r="S323" i="5"/>
  <c r="T323" i="5"/>
  <c r="V323" i="5"/>
  <c r="S324" i="5"/>
  <c r="T324" i="5"/>
  <c r="U324" i="5"/>
  <c r="V324" i="5"/>
  <c r="S325" i="5"/>
  <c r="T325" i="5"/>
  <c r="U325" i="5"/>
  <c r="V325" i="5"/>
  <c r="S326" i="5"/>
  <c r="U326" i="5"/>
  <c r="V326" i="5"/>
  <c r="S327" i="5"/>
  <c r="T327" i="5"/>
  <c r="U327" i="5"/>
  <c r="V327" i="5"/>
  <c r="S328" i="5"/>
  <c r="T328" i="5"/>
  <c r="U328" i="5"/>
  <c r="V328" i="5"/>
  <c r="S329" i="5"/>
  <c r="T329" i="5"/>
  <c r="U329" i="5"/>
  <c r="V329" i="5"/>
  <c r="S330" i="5"/>
  <c r="T330" i="5"/>
  <c r="U330" i="5"/>
  <c r="V330" i="5"/>
  <c r="S331" i="5"/>
  <c r="T331" i="5"/>
  <c r="U331" i="5"/>
  <c r="V331" i="5"/>
  <c r="S332" i="5"/>
  <c r="T332" i="5"/>
  <c r="U332" i="5"/>
  <c r="V332" i="5"/>
  <c r="S333" i="5"/>
  <c r="T333" i="5"/>
  <c r="U333" i="5"/>
  <c r="V333" i="5"/>
  <c r="S334" i="5"/>
  <c r="T334" i="5"/>
  <c r="U334" i="5"/>
  <c r="V334" i="5"/>
  <c r="S335" i="5"/>
  <c r="T335" i="5"/>
  <c r="U335" i="5"/>
  <c r="V335" i="5"/>
  <c r="S336" i="5"/>
  <c r="T336" i="5"/>
  <c r="U336" i="5"/>
  <c r="V336" i="5"/>
  <c r="S337" i="5"/>
  <c r="U337" i="5"/>
  <c r="V337" i="5"/>
  <c r="S338" i="5"/>
  <c r="T338" i="5"/>
  <c r="U338" i="5"/>
  <c r="V338" i="5"/>
  <c r="S339" i="5"/>
  <c r="T339" i="5"/>
  <c r="U339" i="5"/>
  <c r="V339" i="5"/>
  <c r="S340" i="5"/>
  <c r="T340" i="5"/>
  <c r="U340" i="5"/>
  <c r="V340" i="5"/>
  <c r="S341" i="5"/>
  <c r="T341" i="5"/>
  <c r="U341" i="5"/>
  <c r="V341" i="5"/>
  <c r="S342" i="5"/>
  <c r="T342" i="5"/>
  <c r="U342" i="5"/>
  <c r="V342" i="5"/>
  <c r="S343" i="5"/>
  <c r="T343" i="5"/>
  <c r="U343" i="5"/>
  <c r="V343" i="5"/>
  <c r="S344" i="5"/>
  <c r="T344" i="5"/>
  <c r="U344" i="5"/>
  <c r="V344" i="5"/>
  <c r="S345" i="5"/>
  <c r="T345" i="5"/>
  <c r="U345" i="5"/>
  <c r="V345" i="5"/>
  <c r="S346" i="5"/>
  <c r="T346" i="5"/>
  <c r="U346" i="5"/>
  <c r="V346" i="5"/>
  <c r="S347" i="5"/>
  <c r="T347" i="5"/>
  <c r="U347" i="5"/>
  <c r="V347" i="5"/>
  <c r="S348" i="5"/>
  <c r="T348" i="5"/>
  <c r="U348" i="5"/>
  <c r="V348" i="5"/>
  <c r="S349" i="5"/>
  <c r="T349" i="5"/>
  <c r="U349" i="5"/>
  <c r="V349" i="5"/>
  <c r="S350" i="5"/>
  <c r="T350" i="5"/>
  <c r="U350" i="5"/>
  <c r="V350" i="5"/>
  <c r="S351" i="5"/>
  <c r="T351" i="5"/>
  <c r="U351" i="5"/>
  <c r="V351" i="5"/>
  <c r="S352" i="5"/>
  <c r="T352" i="5"/>
  <c r="U352" i="5"/>
  <c r="V352" i="5"/>
  <c r="S353" i="5"/>
  <c r="T353" i="5"/>
  <c r="U353" i="5"/>
  <c r="V353" i="5"/>
  <c r="S354" i="5"/>
  <c r="U354" i="5"/>
  <c r="V354" i="5"/>
  <c r="S355" i="5"/>
  <c r="T355" i="5"/>
  <c r="U355" i="5"/>
  <c r="V355" i="5"/>
  <c r="S356" i="5"/>
  <c r="U356" i="5"/>
  <c r="V356" i="5"/>
  <c r="S357" i="5"/>
  <c r="T357" i="5"/>
  <c r="U357" i="5"/>
  <c r="V357" i="5"/>
  <c r="S358" i="5"/>
  <c r="U358" i="5"/>
  <c r="V358" i="5"/>
  <c r="S359" i="5"/>
  <c r="T359" i="5"/>
  <c r="V359" i="5"/>
  <c r="S360" i="5"/>
  <c r="T360" i="5"/>
  <c r="U360" i="5"/>
  <c r="V360" i="5"/>
  <c r="S361" i="5"/>
  <c r="T361" i="5"/>
  <c r="U361" i="5"/>
  <c r="V361" i="5"/>
  <c r="S362" i="5"/>
  <c r="T362" i="5"/>
  <c r="U362" i="5"/>
  <c r="V362" i="5"/>
  <c r="S363" i="5"/>
  <c r="T363" i="5"/>
  <c r="U363" i="5"/>
  <c r="V363" i="5"/>
  <c r="S364" i="5"/>
  <c r="T364" i="5"/>
  <c r="U364" i="5"/>
  <c r="V364" i="5"/>
  <c r="S365" i="5"/>
  <c r="T365" i="5"/>
  <c r="U365" i="5"/>
  <c r="V365" i="5"/>
  <c r="S366" i="5"/>
  <c r="T366" i="5"/>
  <c r="U366" i="5"/>
  <c r="V366" i="5"/>
  <c r="S367" i="5"/>
  <c r="T367" i="5"/>
  <c r="V367" i="5"/>
  <c r="S368" i="5"/>
  <c r="T368" i="5"/>
  <c r="U368" i="5"/>
  <c r="V368" i="5"/>
  <c r="S369" i="5"/>
  <c r="T369" i="5"/>
  <c r="U369" i="5"/>
  <c r="V369" i="5"/>
  <c r="S370" i="5"/>
  <c r="T370" i="5"/>
  <c r="U370" i="5"/>
  <c r="V370" i="5"/>
  <c r="S371" i="5"/>
  <c r="T371" i="5"/>
  <c r="U371" i="5"/>
  <c r="V371" i="5"/>
  <c r="S372" i="5"/>
  <c r="T372" i="5"/>
  <c r="V372" i="5"/>
  <c r="S373" i="5"/>
  <c r="T373" i="5"/>
  <c r="V373" i="5"/>
  <c r="S374" i="5"/>
  <c r="T374" i="5"/>
  <c r="U374" i="5"/>
  <c r="V374" i="5"/>
  <c r="S375" i="5"/>
  <c r="T375" i="5"/>
  <c r="U375" i="5"/>
  <c r="V375" i="5"/>
  <c r="S376" i="5"/>
  <c r="T376" i="5"/>
  <c r="U376" i="5"/>
  <c r="V376" i="5"/>
  <c r="S377" i="5"/>
  <c r="T377" i="5"/>
  <c r="U377" i="5"/>
  <c r="V377" i="5"/>
  <c r="S378" i="5"/>
  <c r="T378" i="5"/>
  <c r="U378" i="5"/>
  <c r="V378" i="5"/>
  <c r="S379" i="5"/>
  <c r="T379" i="5"/>
  <c r="U379" i="5"/>
  <c r="V379" i="5"/>
  <c r="S380" i="5"/>
  <c r="T380" i="5"/>
  <c r="U380" i="5"/>
  <c r="V380" i="5"/>
  <c r="S381" i="5"/>
  <c r="T381" i="5"/>
  <c r="U381" i="5"/>
  <c r="V381" i="5"/>
  <c r="S382" i="5"/>
  <c r="T382" i="5"/>
  <c r="U382" i="5"/>
  <c r="V382" i="5"/>
  <c r="S383" i="5"/>
  <c r="T383" i="5"/>
  <c r="U383" i="5"/>
  <c r="V383" i="5"/>
  <c r="S384" i="5"/>
  <c r="T384" i="5"/>
  <c r="U384" i="5"/>
  <c r="V384" i="5"/>
  <c r="S385" i="5"/>
  <c r="T385" i="5"/>
  <c r="U385" i="5"/>
  <c r="V385" i="5"/>
  <c r="S386" i="5"/>
  <c r="U386" i="5"/>
  <c r="V386" i="5"/>
  <c r="S387" i="5"/>
  <c r="T387" i="5"/>
  <c r="U387" i="5"/>
  <c r="V387" i="5"/>
  <c r="S388" i="5"/>
  <c r="T388" i="5"/>
  <c r="U388" i="5"/>
  <c r="V388" i="5"/>
  <c r="S389" i="5"/>
  <c r="T389" i="5"/>
  <c r="U389" i="5"/>
  <c r="V389" i="5"/>
  <c r="S390" i="5"/>
  <c r="T390" i="5"/>
  <c r="U390" i="5"/>
  <c r="V390" i="5"/>
  <c r="S391" i="5"/>
  <c r="T391" i="5"/>
  <c r="U391" i="5"/>
  <c r="V391" i="5"/>
  <c r="S392" i="5"/>
  <c r="T392" i="5"/>
  <c r="U392" i="5"/>
  <c r="V392" i="5"/>
  <c r="S393" i="5"/>
  <c r="T393" i="5"/>
  <c r="U393" i="5"/>
  <c r="V393" i="5"/>
  <c r="S394" i="5"/>
  <c r="T394" i="5"/>
  <c r="U394" i="5"/>
  <c r="V394" i="5"/>
  <c r="S395" i="5"/>
  <c r="T395" i="5"/>
  <c r="U395" i="5"/>
  <c r="V395" i="5"/>
  <c r="S396" i="5"/>
  <c r="T396" i="5"/>
  <c r="U396" i="5"/>
  <c r="V396" i="5"/>
  <c r="S397" i="5"/>
  <c r="T397" i="5"/>
  <c r="U397" i="5"/>
  <c r="V397" i="5"/>
  <c r="S398" i="5"/>
  <c r="T398" i="5"/>
  <c r="U398" i="5"/>
  <c r="V398" i="5"/>
  <c r="S399" i="5"/>
  <c r="T399" i="5"/>
  <c r="U399" i="5"/>
  <c r="V399" i="5"/>
  <c r="S400" i="5"/>
  <c r="T400" i="5"/>
  <c r="U400" i="5"/>
  <c r="V400" i="5"/>
  <c r="S401" i="5"/>
  <c r="T401" i="5"/>
  <c r="U401" i="5"/>
  <c r="V401" i="5"/>
  <c r="S402" i="5"/>
  <c r="T402" i="5"/>
  <c r="U402" i="5"/>
  <c r="V402" i="5"/>
  <c r="S403" i="5"/>
  <c r="T403" i="5"/>
  <c r="U403" i="5"/>
  <c r="V403" i="5"/>
  <c r="S404" i="5"/>
  <c r="T404" i="5"/>
  <c r="U404" i="5"/>
  <c r="V404" i="5"/>
  <c r="S405" i="5"/>
  <c r="T405" i="5"/>
  <c r="U405" i="5"/>
  <c r="V405" i="5"/>
  <c r="S406" i="5"/>
  <c r="T406" i="5"/>
  <c r="U406" i="5"/>
  <c r="V406" i="5"/>
  <c r="S407" i="5"/>
  <c r="T407" i="5"/>
  <c r="U407" i="5"/>
  <c r="V407" i="5"/>
  <c r="S408" i="5"/>
  <c r="T408" i="5"/>
  <c r="U408" i="5"/>
  <c r="V408" i="5"/>
  <c r="S409" i="5"/>
  <c r="T409" i="5"/>
  <c r="U409" i="5"/>
  <c r="V409" i="5"/>
  <c r="S410" i="5"/>
  <c r="T410" i="5"/>
  <c r="U410" i="5"/>
  <c r="V410" i="5"/>
  <c r="S411" i="5"/>
  <c r="U411" i="5"/>
  <c r="V411" i="5"/>
  <c r="S412" i="5"/>
  <c r="T412" i="5"/>
  <c r="U412" i="5"/>
  <c r="V412" i="5"/>
  <c r="S413" i="5"/>
  <c r="T413" i="5"/>
  <c r="U413" i="5"/>
  <c r="V413" i="5"/>
  <c r="S414" i="5"/>
  <c r="T414" i="5"/>
  <c r="U414" i="5"/>
  <c r="V414" i="5"/>
  <c r="S415" i="5"/>
  <c r="T415" i="5"/>
  <c r="U415" i="5"/>
  <c r="V415" i="5"/>
  <c r="S416" i="5"/>
  <c r="T416" i="5"/>
  <c r="U416" i="5"/>
  <c r="V416" i="5"/>
  <c r="S417" i="5"/>
  <c r="U417" i="5"/>
  <c r="V417" i="5"/>
  <c r="S418" i="5"/>
  <c r="U418" i="5"/>
  <c r="V418" i="5"/>
  <c r="S419" i="5"/>
  <c r="T419" i="5"/>
  <c r="U419" i="5"/>
  <c r="V419" i="5"/>
  <c r="S420" i="5"/>
  <c r="T420" i="5"/>
  <c r="U420" i="5"/>
  <c r="V420" i="5"/>
  <c r="S421" i="5"/>
  <c r="T421" i="5"/>
  <c r="U421" i="5"/>
  <c r="V421" i="5"/>
  <c r="S422" i="5"/>
  <c r="T422" i="5"/>
  <c r="U422" i="5"/>
  <c r="V422" i="5"/>
  <c r="S423" i="5"/>
  <c r="T423" i="5"/>
  <c r="U423" i="5"/>
  <c r="V423" i="5"/>
  <c r="S424" i="5"/>
  <c r="T424" i="5"/>
  <c r="U424" i="5"/>
  <c r="V424" i="5"/>
  <c r="S425" i="5"/>
  <c r="T425" i="5"/>
  <c r="U425" i="5"/>
  <c r="V425" i="5"/>
  <c r="S426" i="5"/>
  <c r="T426" i="5"/>
  <c r="U426" i="5"/>
  <c r="V426" i="5"/>
  <c r="S427" i="5"/>
  <c r="T427" i="5"/>
  <c r="U427" i="5"/>
  <c r="V427" i="5"/>
  <c r="S428" i="5"/>
  <c r="T428" i="5"/>
  <c r="U428" i="5"/>
  <c r="V428" i="5"/>
  <c r="S429" i="5"/>
  <c r="T429" i="5"/>
  <c r="U429" i="5"/>
  <c r="V429" i="5"/>
  <c r="S430" i="5"/>
  <c r="U430" i="5"/>
  <c r="V430" i="5"/>
  <c r="S431" i="5"/>
  <c r="T431" i="5"/>
  <c r="V431" i="5"/>
  <c r="S432" i="5"/>
  <c r="T432" i="5"/>
  <c r="U432" i="5"/>
  <c r="V432" i="5"/>
  <c r="S433" i="5"/>
  <c r="T433" i="5"/>
  <c r="U433" i="5"/>
  <c r="V433" i="5"/>
  <c r="S434" i="5"/>
  <c r="T434" i="5"/>
  <c r="U434" i="5"/>
  <c r="V434" i="5"/>
  <c r="S435" i="5"/>
  <c r="T435" i="5"/>
  <c r="U435" i="5"/>
  <c r="V435" i="5"/>
  <c r="S436" i="5"/>
  <c r="T436" i="5"/>
  <c r="U436" i="5"/>
  <c r="V436" i="5"/>
  <c r="S437" i="5"/>
  <c r="T437" i="5"/>
  <c r="U437" i="5"/>
  <c r="V437" i="5"/>
  <c r="S438" i="5"/>
  <c r="T438" i="5"/>
  <c r="U438" i="5"/>
  <c r="V438" i="5"/>
  <c r="S439" i="5"/>
  <c r="T439" i="5"/>
  <c r="U439" i="5"/>
  <c r="V439" i="5"/>
  <c r="S440" i="5"/>
  <c r="T440" i="5"/>
  <c r="U440" i="5"/>
  <c r="V440" i="5"/>
  <c r="S441" i="5"/>
  <c r="U441" i="5"/>
  <c r="V441" i="5"/>
  <c r="S442" i="5"/>
  <c r="T442" i="5"/>
  <c r="U442" i="5"/>
  <c r="V442" i="5"/>
  <c r="S443" i="5"/>
  <c r="T443" i="5"/>
  <c r="U443" i="5"/>
  <c r="V443" i="5"/>
  <c r="S444" i="5"/>
  <c r="T444" i="5"/>
  <c r="U444" i="5"/>
  <c r="V444" i="5"/>
  <c r="S445" i="5"/>
  <c r="T445" i="5"/>
  <c r="U445" i="5"/>
  <c r="V445" i="5"/>
  <c r="S446" i="5"/>
  <c r="T446" i="5"/>
  <c r="U446" i="5"/>
  <c r="V446" i="5"/>
  <c r="S447" i="5"/>
  <c r="T447" i="5"/>
  <c r="U447" i="5"/>
  <c r="V447" i="5"/>
  <c r="S448" i="5"/>
  <c r="T448" i="5"/>
  <c r="U448" i="5"/>
  <c r="V448" i="5"/>
  <c r="S449" i="5"/>
  <c r="T449" i="5"/>
  <c r="U449" i="5"/>
  <c r="V449" i="5"/>
  <c r="S450" i="5"/>
  <c r="T450" i="5"/>
  <c r="U450" i="5"/>
  <c r="V450" i="5"/>
  <c r="S451" i="5"/>
  <c r="T451" i="5"/>
  <c r="U451" i="5"/>
  <c r="V451" i="5"/>
  <c r="S452" i="5"/>
  <c r="T452" i="5"/>
  <c r="V452" i="5"/>
  <c r="S453" i="5"/>
  <c r="T453" i="5"/>
  <c r="U453" i="5"/>
  <c r="V453" i="5"/>
  <c r="S454" i="5"/>
  <c r="T454" i="5"/>
  <c r="U454" i="5"/>
  <c r="V454" i="5"/>
  <c r="S455" i="5"/>
  <c r="T455" i="5"/>
  <c r="U455" i="5"/>
  <c r="V455" i="5"/>
  <c r="S456" i="5"/>
  <c r="T456" i="5"/>
  <c r="U456" i="5"/>
  <c r="V456" i="5"/>
  <c r="S457" i="5"/>
  <c r="T457" i="5"/>
  <c r="U457" i="5"/>
  <c r="V457" i="5"/>
  <c r="S458" i="5"/>
  <c r="T458" i="5"/>
  <c r="U458" i="5"/>
  <c r="V458" i="5"/>
  <c r="S459" i="5"/>
  <c r="T459" i="5"/>
  <c r="V459" i="5"/>
  <c r="S460" i="5"/>
  <c r="T460" i="5"/>
  <c r="U460" i="5"/>
  <c r="V460" i="5"/>
  <c r="S461" i="5"/>
  <c r="T461" i="5"/>
  <c r="U461" i="5"/>
  <c r="V461" i="5"/>
  <c r="S462" i="5"/>
  <c r="T462" i="5"/>
  <c r="U462" i="5"/>
  <c r="V462" i="5"/>
  <c r="S463" i="5"/>
  <c r="T463" i="5"/>
  <c r="U463" i="5"/>
  <c r="V463" i="5"/>
  <c r="S464" i="5"/>
  <c r="T464" i="5"/>
  <c r="U464" i="5"/>
  <c r="V464" i="5"/>
  <c r="S465" i="5"/>
  <c r="T465" i="5"/>
  <c r="U465" i="5"/>
  <c r="V465" i="5"/>
  <c r="S466" i="5"/>
  <c r="T466" i="5"/>
  <c r="U466" i="5"/>
  <c r="V466" i="5"/>
  <c r="S467" i="5"/>
  <c r="T467" i="5"/>
  <c r="U467" i="5"/>
  <c r="V467" i="5"/>
  <c r="S468" i="5"/>
  <c r="T468" i="5"/>
  <c r="U468" i="5"/>
  <c r="V468" i="5"/>
  <c r="S469" i="5"/>
  <c r="T469" i="5"/>
  <c r="U469" i="5"/>
  <c r="V469" i="5"/>
  <c r="S470" i="5"/>
  <c r="T470" i="5"/>
  <c r="U470" i="5"/>
  <c r="V470" i="5"/>
  <c r="S471" i="5"/>
  <c r="T471" i="5"/>
  <c r="U471" i="5"/>
  <c r="V471" i="5"/>
  <c r="S472" i="5"/>
  <c r="T472" i="5"/>
  <c r="U472" i="5"/>
  <c r="V472" i="5"/>
  <c r="S473" i="5"/>
  <c r="T473" i="5"/>
  <c r="U473" i="5"/>
  <c r="V473" i="5"/>
  <c r="S474" i="5"/>
  <c r="T474" i="5"/>
  <c r="U474" i="5"/>
  <c r="V474" i="5"/>
  <c r="S475" i="5"/>
  <c r="T475" i="5"/>
  <c r="U475" i="5"/>
  <c r="V475" i="5"/>
  <c r="S476" i="5"/>
  <c r="T476" i="5"/>
  <c r="U476" i="5"/>
  <c r="V476" i="5"/>
  <c r="S477" i="5"/>
  <c r="T477" i="5"/>
  <c r="U477" i="5"/>
  <c r="V477" i="5"/>
  <c r="S478" i="5"/>
  <c r="T478" i="5"/>
  <c r="U478" i="5"/>
  <c r="V478" i="5"/>
  <c r="S479" i="5"/>
  <c r="T479" i="5"/>
  <c r="U479" i="5"/>
  <c r="V479" i="5"/>
  <c r="S480" i="5"/>
  <c r="T480" i="5"/>
  <c r="U480" i="5"/>
  <c r="V480" i="5"/>
  <c r="S481" i="5"/>
  <c r="T481" i="5"/>
  <c r="U481" i="5"/>
  <c r="V481" i="5"/>
  <c r="S482" i="5"/>
  <c r="T482" i="5"/>
  <c r="U482" i="5"/>
  <c r="V482" i="5"/>
  <c r="S483" i="5"/>
  <c r="T483" i="5"/>
  <c r="U483" i="5"/>
  <c r="V483" i="5"/>
  <c r="S484" i="5"/>
  <c r="T484" i="5"/>
  <c r="U484" i="5"/>
  <c r="V484" i="5"/>
  <c r="S485" i="5"/>
  <c r="T485" i="5"/>
  <c r="U485" i="5"/>
  <c r="V485" i="5"/>
  <c r="S486" i="5"/>
  <c r="T486" i="5"/>
  <c r="U486" i="5"/>
  <c r="V486" i="5"/>
  <c r="S487" i="5"/>
  <c r="T487" i="5"/>
  <c r="U487" i="5"/>
  <c r="V487" i="5"/>
  <c r="S488" i="5"/>
  <c r="T488" i="5"/>
  <c r="U488" i="5"/>
  <c r="V488" i="5"/>
  <c r="S489" i="5"/>
  <c r="T489" i="5"/>
  <c r="U489" i="5"/>
  <c r="V489" i="5"/>
  <c r="S490" i="5"/>
  <c r="T490" i="5"/>
  <c r="U490" i="5"/>
  <c r="V490" i="5"/>
  <c r="S491" i="5"/>
  <c r="T491" i="5"/>
  <c r="U491" i="5"/>
  <c r="V491" i="5"/>
  <c r="S492" i="5"/>
  <c r="T492" i="5"/>
  <c r="U492" i="5"/>
  <c r="V492" i="5"/>
  <c r="S493" i="5"/>
  <c r="T493" i="5"/>
  <c r="U493" i="5"/>
  <c r="V493" i="5"/>
  <c r="S494" i="5"/>
  <c r="T494" i="5"/>
  <c r="U494" i="5"/>
  <c r="V494" i="5"/>
  <c r="S495" i="5"/>
  <c r="T495" i="5"/>
  <c r="U495" i="5"/>
  <c r="V495" i="5"/>
  <c r="S496" i="5"/>
  <c r="T496" i="5"/>
  <c r="U496" i="5"/>
  <c r="V496" i="5"/>
  <c r="S497" i="5"/>
  <c r="T497" i="5"/>
  <c r="U497" i="5"/>
  <c r="V497" i="5"/>
  <c r="S498" i="5"/>
  <c r="U498" i="5"/>
  <c r="V498" i="5"/>
  <c r="S499" i="5"/>
  <c r="T499" i="5"/>
  <c r="U499" i="5"/>
  <c r="V499" i="5"/>
  <c r="S500" i="5"/>
  <c r="T500" i="5"/>
  <c r="U500" i="5"/>
  <c r="V500" i="5"/>
  <c r="S501" i="5"/>
  <c r="T501" i="5"/>
  <c r="U501" i="5"/>
  <c r="V501" i="5"/>
  <c r="S502" i="5"/>
  <c r="T502" i="5"/>
  <c r="U502" i="5"/>
  <c r="V502" i="5"/>
  <c r="S503" i="5"/>
  <c r="T503" i="5"/>
  <c r="U503" i="5"/>
  <c r="V503" i="5"/>
  <c r="S504" i="5"/>
  <c r="T504" i="5"/>
  <c r="U504" i="5"/>
  <c r="V504" i="5"/>
  <c r="S505" i="5"/>
  <c r="T505" i="5"/>
  <c r="U505" i="5"/>
  <c r="V505" i="5"/>
  <c r="S506" i="5"/>
  <c r="T506" i="5"/>
  <c r="U506" i="5"/>
  <c r="V506" i="5"/>
  <c r="S507" i="5"/>
  <c r="T507" i="5"/>
  <c r="U507" i="5"/>
  <c r="V507" i="5"/>
  <c r="S508" i="5"/>
  <c r="T508" i="5"/>
  <c r="U508" i="5"/>
  <c r="V508" i="5"/>
  <c r="S509" i="5"/>
  <c r="T509" i="5"/>
  <c r="U509" i="5"/>
  <c r="V509" i="5"/>
  <c r="S510" i="5"/>
  <c r="T510" i="5"/>
  <c r="U510" i="5"/>
  <c r="V510" i="5"/>
  <c r="S511" i="5"/>
  <c r="U511" i="5"/>
  <c r="V511" i="5"/>
  <c r="S512" i="5"/>
  <c r="T512" i="5"/>
  <c r="V512" i="5"/>
  <c r="S513" i="5"/>
  <c r="T513" i="5"/>
  <c r="U513" i="5"/>
  <c r="V513" i="5"/>
  <c r="S514" i="5"/>
  <c r="T514" i="5"/>
  <c r="U514" i="5"/>
  <c r="V514" i="5"/>
  <c r="S515" i="5"/>
  <c r="T515" i="5"/>
  <c r="U515" i="5"/>
  <c r="V515" i="5"/>
  <c r="S516" i="5"/>
  <c r="T516" i="5"/>
  <c r="U516" i="5"/>
  <c r="V516" i="5"/>
  <c r="S517" i="5"/>
  <c r="T517" i="5"/>
  <c r="U517" i="5"/>
  <c r="V517" i="5"/>
  <c r="S518" i="5"/>
  <c r="T518" i="5"/>
  <c r="U518" i="5"/>
  <c r="V518" i="5"/>
  <c r="S519" i="5"/>
  <c r="T519" i="5"/>
  <c r="U519" i="5"/>
  <c r="V519" i="5"/>
  <c r="S520" i="5"/>
  <c r="T520" i="5"/>
  <c r="U520" i="5"/>
  <c r="V520" i="5"/>
  <c r="S521" i="5"/>
  <c r="T521" i="5"/>
  <c r="U521" i="5"/>
  <c r="V521" i="5"/>
  <c r="S522" i="5"/>
  <c r="T522" i="5"/>
  <c r="U522" i="5"/>
  <c r="V522" i="5"/>
  <c r="S523" i="5"/>
  <c r="T523" i="5"/>
  <c r="U523" i="5"/>
  <c r="V523" i="5"/>
  <c r="S524" i="5"/>
  <c r="T524" i="5"/>
  <c r="U524" i="5"/>
  <c r="V524" i="5"/>
  <c r="S525" i="5"/>
  <c r="T525" i="5"/>
  <c r="U525" i="5"/>
  <c r="V525" i="5"/>
  <c r="S526" i="5"/>
  <c r="T526" i="5"/>
  <c r="U526" i="5"/>
  <c r="V526" i="5"/>
  <c r="S527" i="5"/>
  <c r="U527" i="5"/>
  <c r="V527" i="5"/>
  <c r="S528" i="5"/>
  <c r="T528" i="5"/>
  <c r="U528" i="5"/>
  <c r="V528" i="5"/>
  <c r="S529" i="5"/>
  <c r="T529" i="5"/>
  <c r="U529" i="5"/>
  <c r="V529" i="5"/>
  <c r="S530" i="5"/>
  <c r="T530" i="5"/>
  <c r="U530" i="5"/>
  <c r="V530" i="5"/>
  <c r="S531" i="5"/>
  <c r="T531" i="5"/>
  <c r="U531" i="5"/>
  <c r="V531" i="5"/>
  <c r="S532" i="5"/>
  <c r="T532" i="5"/>
  <c r="U532" i="5"/>
  <c r="V532" i="5"/>
  <c r="S533" i="5"/>
  <c r="U533" i="5"/>
  <c r="V533" i="5"/>
  <c r="S534" i="5"/>
  <c r="T534" i="5"/>
  <c r="U534" i="5"/>
  <c r="V534" i="5"/>
  <c r="S535" i="5"/>
  <c r="T535" i="5"/>
  <c r="U535" i="5"/>
  <c r="V535" i="5"/>
  <c r="S536" i="5"/>
  <c r="T536" i="5"/>
  <c r="U536" i="5"/>
  <c r="V536" i="5"/>
  <c r="S537" i="5"/>
  <c r="T537" i="5"/>
  <c r="U537" i="5"/>
  <c r="V537" i="5"/>
  <c r="S538" i="5"/>
  <c r="T538" i="5"/>
  <c r="U538" i="5"/>
  <c r="V538" i="5"/>
  <c r="S539" i="5"/>
  <c r="T539" i="5"/>
  <c r="U539" i="5"/>
  <c r="V539" i="5"/>
  <c r="S540" i="5"/>
  <c r="T540" i="5"/>
  <c r="U540" i="5"/>
  <c r="V540" i="5"/>
  <c r="S541" i="5"/>
  <c r="T541" i="5"/>
  <c r="U541" i="5"/>
  <c r="V541" i="5"/>
  <c r="S542" i="5"/>
  <c r="T542" i="5"/>
  <c r="U542" i="5"/>
  <c r="V542" i="5"/>
  <c r="S543" i="5"/>
  <c r="T543" i="5"/>
  <c r="U543" i="5"/>
  <c r="V543" i="5"/>
  <c r="S544" i="5"/>
  <c r="T544" i="5"/>
  <c r="U544" i="5"/>
  <c r="V544" i="5"/>
  <c r="S545" i="5"/>
  <c r="T545" i="5"/>
  <c r="U545" i="5"/>
  <c r="V545" i="5"/>
  <c r="S546" i="5"/>
  <c r="T546" i="5"/>
  <c r="U546" i="5"/>
  <c r="V546" i="5"/>
  <c r="S547" i="5"/>
  <c r="T547" i="5"/>
  <c r="U547" i="5"/>
  <c r="V547" i="5"/>
  <c r="S548" i="5"/>
  <c r="T548" i="5"/>
  <c r="U548" i="5"/>
  <c r="V548" i="5"/>
  <c r="S549" i="5"/>
  <c r="T549" i="5"/>
  <c r="U549" i="5"/>
  <c r="V549" i="5"/>
  <c r="S550" i="5"/>
  <c r="T550" i="5"/>
  <c r="U550" i="5"/>
  <c r="V550" i="5"/>
  <c r="S551" i="5"/>
  <c r="T551" i="5"/>
  <c r="U551" i="5"/>
  <c r="V551" i="5"/>
  <c r="S552" i="5"/>
  <c r="T552" i="5"/>
  <c r="U552" i="5"/>
  <c r="V552" i="5"/>
  <c r="S553" i="5"/>
  <c r="U553" i="5"/>
  <c r="V553" i="5"/>
  <c r="S554" i="5"/>
  <c r="T554" i="5"/>
  <c r="U554" i="5"/>
  <c r="V554" i="5"/>
  <c r="S555" i="5"/>
  <c r="T555" i="5"/>
  <c r="U555" i="5"/>
  <c r="V555" i="5"/>
  <c r="S556" i="5"/>
  <c r="T556" i="5"/>
  <c r="U556" i="5"/>
  <c r="V556" i="5"/>
  <c r="S557" i="5"/>
  <c r="T557" i="5"/>
  <c r="U557" i="5"/>
  <c r="V557" i="5"/>
  <c r="S558" i="5"/>
  <c r="T558" i="5"/>
  <c r="U558" i="5"/>
  <c r="V558" i="5"/>
  <c r="S559" i="5"/>
  <c r="U559" i="5"/>
  <c r="V559" i="5"/>
  <c r="S560" i="5"/>
  <c r="U560" i="5"/>
  <c r="V560" i="5"/>
  <c r="S561" i="5"/>
  <c r="T561" i="5"/>
  <c r="U561" i="5"/>
  <c r="V561" i="5"/>
  <c r="S562" i="5"/>
  <c r="T562" i="5"/>
  <c r="U562" i="5"/>
  <c r="V562" i="5"/>
  <c r="S563" i="5"/>
  <c r="T563" i="5"/>
  <c r="U563" i="5"/>
  <c r="V563" i="5"/>
  <c r="S564" i="5"/>
  <c r="T564" i="5"/>
  <c r="U564" i="5"/>
  <c r="V564" i="5"/>
  <c r="S565" i="5"/>
  <c r="T565" i="5"/>
  <c r="U565" i="5"/>
  <c r="V565" i="5"/>
  <c r="S566" i="5"/>
  <c r="U566" i="5"/>
  <c r="V566" i="5"/>
  <c r="S567" i="5"/>
  <c r="T567" i="5"/>
  <c r="U567" i="5"/>
  <c r="V567" i="5"/>
  <c r="S568" i="5"/>
  <c r="T568" i="5"/>
  <c r="U568" i="5"/>
  <c r="V568" i="5"/>
  <c r="S569" i="5"/>
  <c r="T569" i="5"/>
  <c r="U569" i="5"/>
  <c r="V569" i="5"/>
  <c r="S570" i="5"/>
  <c r="T570" i="5"/>
  <c r="U570" i="5"/>
  <c r="V570" i="5"/>
  <c r="S571" i="5"/>
  <c r="T571" i="5"/>
  <c r="U571" i="5"/>
  <c r="V571" i="5"/>
  <c r="S572" i="5"/>
  <c r="T572" i="5"/>
  <c r="U572" i="5"/>
  <c r="V572" i="5"/>
  <c r="S573" i="5"/>
  <c r="T573" i="5"/>
  <c r="U573" i="5"/>
  <c r="V573" i="5"/>
  <c r="S574" i="5"/>
  <c r="T574" i="5"/>
  <c r="U574" i="5"/>
  <c r="V574" i="5"/>
  <c r="S575" i="5"/>
  <c r="T575" i="5"/>
  <c r="U575" i="5"/>
  <c r="V575" i="5"/>
  <c r="S576" i="5"/>
  <c r="T576" i="5"/>
  <c r="U576" i="5"/>
  <c r="V576" i="5"/>
  <c r="S577" i="5"/>
  <c r="T577" i="5"/>
  <c r="U577" i="5"/>
  <c r="V577" i="5"/>
  <c r="S579" i="5"/>
  <c r="T579" i="5"/>
  <c r="U579" i="5"/>
  <c r="V579" i="5"/>
  <c r="S580" i="5"/>
  <c r="T580" i="5"/>
  <c r="U580" i="5"/>
  <c r="V580" i="5"/>
  <c r="S581" i="5"/>
  <c r="T581" i="5"/>
  <c r="U581" i="5"/>
  <c r="V581" i="5"/>
  <c r="S582" i="5"/>
  <c r="T582" i="5"/>
  <c r="U582" i="5"/>
  <c r="V582" i="5"/>
  <c r="S583" i="5"/>
  <c r="T583" i="5"/>
  <c r="U583" i="5"/>
  <c r="V583" i="5"/>
  <c r="S584" i="5"/>
  <c r="T584" i="5"/>
  <c r="U584" i="5"/>
  <c r="V584" i="5"/>
  <c r="S585" i="5"/>
  <c r="T585" i="5"/>
  <c r="U585" i="5"/>
  <c r="V585" i="5"/>
  <c r="S586" i="5"/>
  <c r="T586" i="5"/>
  <c r="U586" i="5"/>
  <c r="V586" i="5"/>
  <c r="S587" i="5"/>
  <c r="T587" i="5"/>
  <c r="U587" i="5"/>
  <c r="V587" i="5"/>
  <c r="S588" i="5"/>
  <c r="T588" i="5"/>
  <c r="U588" i="5"/>
  <c r="V588" i="5"/>
  <c r="S589" i="5"/>
  <c r="T589" i="5"/>
  <c r="U589" i="5"/>
  <c r="V589" i="5"/>
  <c r="S590" i="5"/>
  <c r="T590" i="5"/>
  <c r="U590" i="5"/>
  <c r="V590" i="5"/>
  <c r="S591" i="5"/>
  <c r="T591" i="5"/>
  <c r="U591" i="5"/>
  <c r="V591" i="5"/>
  <c r="S592" i="5"/>
  <c r="T592" i="5"/>
  <c r="U592" i="5"/>
  <c r="V592" i="5"/>
  <c r="S593" i="5"/>
  <c r="T593" i="5"/>
  <c r="U593" i="5"/>
  <c r="V593" i="5"/>
  <c r="S594" i="5"/>
  <c r="T594" i="5"/>
  <c r="U594" i="5"/>
  <c r="V594" i="5"/>
  <c r="S595" i="5"/>
  <c r="T595" i="5"/>
  <c r="U595" i="5"/>
  <c r="V595" i="5"/>
  <c r="S596" i="5"/>
  <c r="T596" i="5"/>
  <c r="U596" i="5"/>
  <c r="V596" i="5"/>
  <c r="S597" i="5"/>
  <c r="T597" i="5"/>
  <c r="U597" i="5"/>
  <c r="V597" i="5"/>
  <c r="S598" i="5"/>
  <c r="T598" i="5"/>
  <c r="U598" i="5"/>
  <c r="V598" i="5"/>
  <c r="S599" i="5"/>
  <c r="T599" i="5"/>
  <c r="U599" i="5"/>
  <c r="V599" i="5"/>
  <c r="S600" i="5"/>
  <c r="T600" i="5"/>
  <c r="U600" i="5"/>
  <c r="V600" i="5"/>
  <c r="S601" i="5"/>
  <c r="T601" i="5"/>
  <c r="U601" i="5"/>
  <c r="V601" i="5"/>
  <c r="S602" i="5"/>
  <c r="T602" i="5"/>
  <c r="U602" i="5"/>
  <c r="V602" i="5"/>
  <c r="S603" i="5"/>
  <c r="T603" i="5"/>
  <c r="U603" i="5"/>
  <c r="V603" i="5"/>
  <c r="S604" i="5"/>
  <c r="T604" i="5"/>
  <c r="U604" i="5"/>
  <c r="V604" i="5"/>
  <c r="S605" i="5"/>
  <c r="T605" i="5"/>
  <c r="U605" i="5"/>
  <c r="V605" i="5"/>
  <c r="S606" i="5"/>
  <c r="T606" i="5"/>
  <c r="U606" i="5"/>
  <c r="V606" i="5"/>
  <c r="S607" i="5"/>
  <c r="T607" i="5"/>
  <c r="U607" i="5"/>
  <c r="V607" i="5"/>
  <c r="S608" i="5"/>
  <c r="T608" i="5"/>
  <c r="U608" i="5"/>
  <c r="V608" i="5"/>
  <c r="S609" i="5"/>
  <c r="T609" i="5"/>
  <c r="U609" i="5"/>
  <c r="V609" i="5"/>
  <c r="S610" i="5"/>
  <c r="T610" i="5"/>
  <c r="U610" i="5"/>
  <c r="V610" i="5"/>
  <c r="S611" i="5"/>
  <c r="T611" i="5"/>
  <c r="U611" i="5"/>
  <c r="V611" i="5"/>
  <c r="S612" i="5"/>
  <c r="T612" i="5"/>
  <c r="U612" i="5"/>
  <c r="V612" i="5"/>
  <c r="S613" i="5"/>
  <c r="T613" i="5"/>
  <c r="U613" i="5"/>
  <c r="V613" i="5"/>
  <c r="S614" i="5"/>
  <c r="T614" i="5"/>
  <c r="U614" i="5"/>
  <c r="V614" i="5"/>
  <c r="S615" i="5"/>
  <c r="T615" i="5"/>
  <c r="U615" i="5"/>
  <c r="V615" i="5"/>
  <c r="S616" i="5"/>
  <c r="T616" i="5"/>
  <c r="U616" i="5"/>
  <c r="V616" i="5"/>
  <c r="S617" i="5"/>
  <c r="T617" i="5"/>
  <c r="U617" i="5"/>
  <c r="V617" i="5"/>
  <c r="S618" i="5"/>
  <c r="T618" i="5"/>
  <c r="U618" i="5"/>
  <c r="V618" i="5"/>
  <c r="S619" i="5"/>
  <c r="T619" i="5"/>
  <c r="U619" i="5"/>
  <c r="V619" i="5"/>
  <c r="S620" i="5"/>
  <c r="T620" i="5"/>
  <c r="U620" i="5"/>
  <c r="V620" i="5"/>
  <c r="S622" i="5"/>
  <c r="T622" i="5"/>
  <c r="U622" i="5"/>
  <c r="V622" i="5"/>
  <c r="S623" i="5"/>
  <c r="T623" i="5"/>
  <c r="U623" i="5"/>
  <c r="V623" i="5"/>
  <c r="S625" i="5"/>
  <c r="T625" i="5"/>
  <c r="U625" i="5"/>
  <c r="V625" i="5"/>
  <c r="S626" i="5"/>
  <c r="T626" i="5"/>
  <c r="U626" i="5"/>
  <c r="V626" i="5"/>
  <c r="S627" i="5"/>
  <c r="T627" i="5"/>
  <c r="U627" i="5"/>
  <c r="V627" i="5"/>
  <c r="S628" i="5"/>
  <c r="T628" i="5"/>
  <c r="U628" i="5"/>
  <c r="V628" i="5"/>
  <c r="S629" i="5"/>
  <c r="T629" i="5"/>
  <c r="U629" i="5"/>
  <c r="V629" i="5"/>
  <c r="S630" i="5"/>
  <c r="T630" i="5"/>
  <c r="U630" i="5"/>
  <c r="V630" i="5"/>
  <c r="S631" i="5"/>
  <c r="T631" i="5"/>
  <c r="U631" i="5"/>
  <c r="V631" i="5"/>
  <c r="S633" i="5"/>
  <c r="T633" i="5"/>
  <c r="U633" i="5"/>
  <c r="V633" i="5"/>
  <c r="S634" i="5"/>
  <c r="T634" i="5"/>
  <c r="U634" i="5"/>
  <c r="V634" i="5"/>
  <c r="S635" i="5"/>
  <c r="T635" i="5"/>
  <c r="U635" i="5"/>
  <c r="V635" i="5"/>
  <c r="S636" i="5"/>
  <c r="T636" i="5"/>
  <c r="U636" i="5"/>
  <c r="V636" i="5"/>
  <c r="S637" i="5"/>
  <c r="T637" i="5"/>
  <c r="U637" i="5"/>
  <c r="V637" i="5"/>
  <c r="S638" i="5"/>
  <c r="T638" i="5"/>
  <c r="U638" i="5"/>
  <c r="V638" i="5"/>
  <c r="S639" i="5"/>
  <c r="T639" i="5"/>
  <c r="U639" i="5"/>
  <c r="V639" i="5"/>
  <c r="S640" i="5"/>
  <c r="T640" i="5"/>
  <c r="U640" i="5"/>
  <c r="V640" i="5"/>
  <c r="S641" i="5"/>
  <c r="T641" i="5"/>
  <c r="U641" i="5"/>
  <c r="V641" i="5"/>
  <c r="S642" i="5"/>
  <c r="T642" i="5"/>
  <c r="U642" i="5"/>
  <c r="V642" i="5"/>
  <c r="S643" i="5"/>
  <c r="T643" i="5"/>
  <c r="U643" i="5"/>
  <c r="V643" i="5"/>
  <c r="S644" i="5"/>
  <c r="T644" i="5"/>
  <c r="U644" i="5"/>
  <c r="V644" i="5"/>
  <c r="S645" i="5"/>
  <c r="T645" i="5"/>
  <c r="U645" i="5"/>
  <c r="V645" i="5"/>
  <c r="S646" i="5"/>
  <c r="T646" i="5"/>
  <c r="U646" i="5"/>
  <c r="V646" i="5"/>
  <c r="S647" i="5"/>
  <c r="T647" i="5"/>
  <c r="U647" i="5"/>
  <c r="V647" i="5"/>
  <c r="S648" i="5"/>
  <c r="T648" i="5"/>
  <c r="U648" i="5"/>
  <c r="V648" i="5"/>
  <c r="S649" i="5"/>
  <c r="T649" i="5"/>
  <c r="U649" i="5"/>
  <c r="V649" i="5"/>
  <c r="S650" i="5"/>
  <c r="T650" i="5"/>
  <c r="U650" i="5"/>
  <c r="V650" i="5"/>
  <c r="S651" i="5"/>
  <c r="T651" i="5"/>
  <c r="U651" i="5"/>
  <c r="V651" i="5"/>
  <c r="S652" i="5"/>
  <c r="T652" i="5"/>
  <c r="V652" i="5"/>
  <c r="S653" i="5"/>
  <c r="T653" i="5"/>
  <c r="U653" i="5"/>
  <c r="V653" i="5"/>
  <c r="S654" i="5"/>
  <c r="T654" i="5"/>
  <c r="U654" i="5"/>
  <c r="V654" i="5"/>
  <c r="S655" i="5"/>
  <c r="T655" i="5"/>
  <c r="V655" i="5"/>
  <c r="S656" i="5"/>
  <c r="T656" i="5"/>
  <c r="U656" i="5"/>
  <c r="V656" i="5"/>
  <c r="S658" i="5"/>
  <c r="T658" i="5"/>
  <c r="U658" i="5"/>
  <c r="V658" i="5"/>
  <c r="S659" i="5"/>
  <c r="T659" i="5"/>
  <c r="U659" i="5"/>
  <c r="V659" i="5"/>
  <c r="S660" i="5"/>
  <c r="T660" i="5"/>
  <c r="U660" i="5"/>
  <c r="V660" i="5"/>
  <c r="S661" i="5"/>
  <c r="T661" i="5"/>
  <c r="U661" i="5"/>
  <c r="V661" i="5"/>
  <c r="S662" i="5"/>
  <c r="T662" i="5"/>
  <c r="U662" i="5"/>
  <c r="V662" i="5"/>
  <c r="S664" i="5"/>
  <c r="T664" i="5"/>
  <c r="U664" i="5"/>
  <c r="V664" i="5"/>
  <c r="S665" i="5"/>
  <c r="T665" i="5"/>
  <c r="U665" i="5"/>
  <c r="V665" i="5"/>
  <c r="S666" i="5"/>
  <c r="T666" i="5"/>
  <c r="U666" i="5"/>
  <c r="V666" i="5"/>
  <c r="S667" i="5"/>
  <c r="T667" i="5"/>
  <c r="U667" i="5"/>
  <c r="V667" i="5"/>
  <c r="S668" i="5"/>
  <c r="T668" i="5"/>
  <c r="U668" i="5"/>
  <c r="V668" i="5"/>
  <c r="S669" i="5"/>
  <c r="T669" i="5"/>
  <c r="U669" i="5"/>
  <c r="V669" i="5"/>
  <c r="S670" i="5"/>
  <c r="T670" i="5"/>
  <c r="U670" i="5"/>
  <c r="V670" i="5"/>
  <c r="S671" i="5"/>
  <c r="T671" i="5"/>
  <c r="U671" i="5"/>
  <c r="V671" i="5"/>
  <c r="S672" i="5"/>
  <c r="T672" i="5"/>
  <c r="U672" i="5"/>
  <c r="V672" i="5"/>
  <c r="S673" i="5"/>
  <c r="T673" i="5"/>
  <c r="U673" i="5"/>
  <c r="V673" i="5"/>
  <c r="S675" i="5"/>
  <c r="U675" i="5"/>
  <c r="V675" i="5"/>
  <c r="S676" i="5"/>
  <c r="T676" i="5"/>
  <c r="S677" i="5"/>
  <c r="T677" i="5"/>
  <c r="U677" i="5"/>
  <c r="V677" i="5"/>
  <c r="S678" i="5"/>
  <c r="T678" i="5"/>
  <c r="U678" i="5"/>
  <c r="V678" i="5"/>
  <c r="S679" i="5"/>
  <c r="T679" i="5"/>
  <c r="U679" i="5"/>
  <c r="V679" i="5"/>
  <c r="S680" i="5"/>
  <c r="T680" i="5"/>
  <c r="U680" i="5"/>
  <c r="V680" i="5"/>
  <c r="S681" i="5"/>
  <c r="T681" i="5"/>
  <c r="U681" i="5"/>
  <c r="V681" i="5"/>
  <c r="S682" i="5"/>
  <c r="T682" i="5"/>
  <c r="U682" i="5"/>
  <c r="V682" i="5"/>
  <c r="S683" i="5"/>
  <c r="T683" i="5"/>
  <c r="U683" i="5"/>
  <c r="V683" i="5"/>
  <c r="S684" i="5"/>
  <c r="T684" i="5"/>
  <c r="U684" i="5"/>
  <c r="V684" i="5"/>
  <c r="S685" i="5"/>
  <c r="T685" i="5"/>
  <c r="U685" i="5"/>
  <c r="V685" i="5"/>
  <c r="S686" i="5"/>
  <c r="T686" i="5"/>
  <c r="U686" i="5"/>
  <c r="V686" i="5"/>
  <c r="S687" i="5"/>
  <c r="T687" i="5"/>
  <c r="U687" i="5"/>
  <c r="V687" i="5"/>
  <c r="S688" i="5"/>
  <c r="T688" i="5"/>
  <c r="U688" i="5"/>
  <c r="V688" i="5"/>
  <c r="S689" i="5"/>
  <c r="T689" i="5"/>
  <c r="U689" i="5"/>
  <c r="V689" i="5"/>
  <c r="S690" i="5"/>
  <c r="T690" i="5"/>
  <c r="U690" i="5"/>
  <c r="V690" i="5"/>
  <c r="S691" i="5"/>
  <c r="T691" i="5"/>
  <c r="U691" i="5"/>
  <c r="V691" i="5"/>
  <c r="S692" i="5"/>
  <c r="T692" i="5"/>
  <c r="U692" i="5"/>
  <c r="V692" i="5"/>
  <c r="S693" i="5"/>
  <c r="T693" i="5"/>
  <c r="U693" i="5"/>
  <c r="V693" i="5"/>
  <c r="S694" i="5"/>
  <c r="T694" i="5"/>
  <c r="U694" i="5"/>
  <c r="V694" i="5"/>
  <c r="S695" i="5"/>
  <c r="T695" i="5"/>
  <c r="U695" i="5"/>
  <c r="V695" i="5"/>
  <c r="S696" i="5"/>
  <c r="T696" i="5"/>
  <c r="U696" i="5"/>
  <c r="V696" i="5"/>
  <c r="S697" i="5"/>
  <c r="T697" i="5"/>
  <c r="U697" i="5"/>
  <c r="V697" i="5"/>
  <c r="S698" i="5"/>
  <c r="T698" i="5"/>
  <c r="U698" i="5"/>
  <c r="V698" i="5"/>
  <c r="S699" i="5"/>
  <c r="T699" i="5"/>
  <c r="U699" i="5"/>
  <c r="V699" i="5"/>
  <c r="S700" i="5"/>
  <c r="T700" i="5"/>
  <c r="U700" i="5"/>
  <c r="V700" i="5"/>
  <c r="S701" i="5"/>
  <c r="T701" i="5"/>
  <c r="U701" i="5"/>
  <c r="V701" i="5"/>
  <c r="S702" i="5"/>
  <c r="T702" i="5"/>
  <c r="U702" i="5"/>
  <c r="V702" i="5"/>
  <c r="S703" i="5"/>
  <c r="T703" i="5"/>
  <c r="U703" i="5"/>
  <c r="V703" i="5"/>
  <c r="S704" i="5"/>
  <c r="T704" i="5"/>
  <c r="U704" i="5"/>
  <c r="V704" i="5"/>
  <c r="S705" i="5"/>
  <c r="T705" i="5"/>
  <c r="U705" i="5"/>
  <c r="V705" i="5"/>
  <c r="S706" i="5"/>
  <c r="T706" i="5"/>
  <c r="U706" i="5"/>
  <c r="V706" i="5"/>
  <c r="S707" i="5"/>
  <c r="T707" i="5"/>
  <c r="U707" i="5"/>
  <c r="V707" i="5"/>
  <c r="S709" i="5"/>
  <c r="T709" i="5"/>
  <c r="U709" i="5"/>
  <c r="V709" i="5"/>
  <c r="S710" i="5"/>
  <c r="T710" i="5"/>
  <c r="U710" i="5"/>
  <c r="V710" i="5"/>
  <c r="S711" i="5"/>
  <c r="U711" i="5"/>
  <c r="V711" i="5"/>
  <c r="S712" i="5"/>
  <c r="T712" i="5"/>
  <c r="U712" i="5"/>
  <c r="V712" i="5"/>
  <c r="S713" i="5"/>
  <c r="T713" i="5"/>
  <c r="V713" i="5"/>
  <c r="S714" i="5"/>
  <c r="T714" i="5"/>
  <c r="U714" i="5"/>
  <c r="V714" i="5"/>
  <c r="S715" i="5"/>
  <c r="T715" i="5"/>
  <c r="U715" i="5"/>
  <c r="V715" i="5"/>
  <c r="S716" i="5"/>
  <c r="T716" i="5"/>
  <c r="U716" i="5"/>
  <c r="V716" i="5"/>
  <c r="S717" i="5"/>
  <c r="T717" i="5"/>
  <c r="U717" i="5"/>
  <c r="V717" i="5"/>
  <c r="S719" i="5"/>
  <c r="T719" i="5"/>
  <c r="U719" i="5"/>
  <c r="V719" i="5"/>
  <c r="S720" i="5"/>
  <c r="T720" i="5"/>
  <c r="U720" i="5"/>
  <c r="V720" i="5"/>
  <c r="S721" i="5"/>
  <c r="T721" i="5"/>
  <c r="U721" i="5"/>
  <c r="V721" i="5"/>
  <c r="S722" i="5"/>
  <c r="T722" i="5"/>
  <c r="U722" i="5"/>
  <c r="V722" i="5"/>
  <c r="S723" i="5"/>
  <c r="T723" i="5"/>
  <c r="U723" i="5"/>
  <c r="V723" i="5"/>
  <c r="S724" i="5"/>
  <c r="T724" i="5"/>
  <c r="U724" i="5"/>
  <c r="V724" i="5"/>
  <c r="S725" i="5"/>
  <c r="T725" i="5"/>
  <c r="U725" i="5"/>
  <c r="V725" i="5"/>
  <c r="S726" i="5"/>
  <c r="T726" i="5"/>
  <c r="U726" i="5"/>
  <c r="V726" i="5"/>
  <c r="S727" i="5"/>
  <c r="T727" i="5"/>
  <c r="U727" i="5"/>
  <c r="V727" i="5"/>
  <c r="S728" i="5"/>
  <c r="T728" i="5"/>
  <c r="U728" i="5"/>
  <c r="V728" i="5"/>
  <c r="S729" i="5"/>
  <c r="T729" i="5"/>
  <c r="U729" i="5"/>
  <c r="V729" i="5"/>
  <c r="S730" i="5"/>
  <c r="T730" i="5"/>
  <c r="U730" i="5"/>
  <c r="V730" i="5"/>
  <c r="S731" i="5"/>
  <c r="T731" i="5"/>
  <c r="U731" i="5"/>
  <c r="V731" i="5"/>
  <c r="S732" i="5"/>
  <c r="T732" i="5"/>
  <c r="U732" i="5"/>
  <c r="V732" i="5"/>
  <c r="S733" i="5"/>
  <c r="T733" i="5"/>
  <c r="U733" i="5"/>
  <c r="V733" i="5"/>
  <c r="S734" i="5"/>
  <c r="T734" i="5"/>
  <c r="U734" i="5"/>
  <c r="V734" i="5"/>
  <c r="S735" i="5"/>
  <c r="T735" i="5"/>
  <c r="U735" i="5"/>
  <c r="V735" i="5"/>
  <c r="S736" i="5"/>
  <c r="T736" i="5"/>
  <c r="U736" i="5"/>
  <c r="V736" i="5"/>
  <c r="S737" i="5"/>
  <c r="T737" i="5"/>
  <c r="U737" i="5"/>
  <c r="V737" i="5"/>
  <c r="S738" i="5"/>
  <c r="T738" i="5"/>
  <c r="U738" i="5"/>
  <c r="V738" i="5"/>
  <c r="S739" i="5"/>
  <c r="T739" i="5"/>
  <c r="U739" i="5"/>
  <c r="V739" i="5"/>
  <c r="S740" i="5"/>
  <c r="T740" i="5"/>
  <c r="U740" i="5"/>
  <c r="V740" i="5"/>
  <c r="S741" i="5"/>
  <c r="T741" i="5"/>
  <c r="U741" i="5"/>
  <c r="V741" i="5"/>
  <c r="S742" i="5"/>
  <c r="T742" i="5"/>
  <c r="U742" i="5"/>
  <c r="V742" i="5"/>
  <c r="S743" i="5"/>
  <c r="T743" i="5"/>
  <c r="V743" i="5"/>
  <c r="S744" i="5"/>
  <c r="T744" i="5"/>
  <c r="U744" i="5"/>
  <c r="V744" i="5"/>
  <c r="S745" i="5"/>
  <c r="T745" i="5"/>
  <c r="U745" i="5"/>
  <c r="V745" i="5"/>
  <c r="S746" i="5"/>
  <c r="T746" i="5"/>
  <c r="U746" i="5"/>
  <c r="V746" i="5"/>
  <c r="S747" i="5"/>
  <c r="T747" i="5"/>
  <c r="U747" i="5"/>
  <c r="V747" i="5"/>
  <c r="S748" i="5"/>
  <c r="T748" i="5"/>
  <c r="U748" i="5"/>
  <c r="V748" i="5"/>
  <c r="S749" i="5"/>
  <c r="T749" i="5"/>
  <c r="U749" i="5"/>
  <c r="V749" i="5"/>
  <c r="S750" i="5"/>
  <c r="T750" i="5"/>
  <c r="U750" i="5"/>
  <c r="V750" i="5"/>
  <c r="S751" i="5"/>
  <c r="T751" i="5"/>
  <c r="U751" i="5"/>
  <c r="V751" i="5"/>
  <c r="S752" i="5"/>
  <c r="T752" i="5"/>
  <c r="U752" i="5"/>
  <c r="V752" i="5"/>
  <c r="S753" i="5"/>
  <c r="T753" i="5"/>
  <c r="U753" i="5"/>
  <c r="V753" i="5"/>
  <c r="S754" i="5"/>
  <c r="T754" i="5"/>
  <c r="U754" i="5"/>
  <c r="V754" i="5"/>
  <c r="S755" i="5"/>
  <c r="T755" i="5"/>
  <c r="U755" i="5"/>
  <c r="V755" i="5"/>
  <c r="S756" i="5"/>
  <c r="T756" i="5"/>
  <c r="U756" i="5"/>
  <c r="V756" i="5"/>
  <c r="S757" i="5"/>
  <c r="T757" i="5"/>
  <c r="U757" i="5"/>
  <c r="V757" i="5"/>
  <c r="S758" i="5"/>
  <c r="T758" i="5"/>
  <c r="U758" i="5"/>
  <c r="V758" i="5"/>
  <c r="S759" i="5"/>
  <c r="T759" i="5"/>
  <c r="U759" i="5"/>
  <c r="V759" i="5"/>
  <c r="S760" i="5"/>
  <c r="T760" i="5"/>
  <c r="U760" i="5"/>
  <c r="V760" i="5"/>
  <c r="S761" i="5"/>
  <c r="T761" i="5"/>
  <c r="U761" i="5"/>
  <c r="V761" i="5"/>
  <c r="S762" i="5"/>
  <c r="T762" i="5"/>
  <c r="U762" i="5"/>
  <c r="V762" i="5"/>
  <c r="S763" i="5"/>
  <c r="T763" i="5"/>
  <c r="U763" i="5"/>
  <c r="V763" i="5"/>
  <c r="S764" i="5"/>
  <c r="T764" i="5"/>
  <c r="U764" i="5"/>
  <c r="V764" i="5"/>
  <c r="S765" i="5"/>
  <c r="T765" i="5"/>
  <c r="U765" i="5"/>
  <c r="V765" i="5"/>
  <c r="S766" i="5"/>
  <c r="T766" i="5"/>
  <c r="U766" i="5"/>
  <c r="V766" i="5"/>
  <c r="S767" i="5"/>
  <c r="T767" i="5"/>
  <c r="U767" i="5"/>
  <c r="V767" i="5"/>
  <c r="S768" i="5"/>
  <c r="T768" i="5"/>
  <c r="U768" i="5"/>
  <c r="V768" i="5"/>
  <c r="S769" i="5"/>
  <c r="T769" i="5"/>
  <c r="U769" i="5"/>
  <c r="V769" i="5"/>
  <c r="S770" i="5"/>
  <c r="T770" i="5"/>
  <c r="U770" i="5"/>
  <c r="V770" i="5"/>
  <c r="S771" i="5"/>
  <c r="T771" i="5"/>
  <c r="U771" i="5"/>
  <c r="V771" i="5"/>
  <c r="S772" i="5"/>
  <c r="T772" i="5"/>
  <c r="U772" i="5"/>
  <c r="V772" i="5"/>
  <c r="S773" i="5"/>
  <c r="T773" i="5"/>
  <c r="U773" i="5"/>
  <c r="V773" i="5"/>
  <c r="S774" i="5"/>
  <c r="T774" i="5"/>
  <c r="U774" i="5"/>
  <c r="V774" i="5"/>
  <c r="S775" i="5"/>
  <c r="T775" i="5"/>
  <c r="U775" i="5"/>
  <c r="V775" i="5"/>
  <c r="S776" i="5"/>
  <c r="T776" i="5"/>
  <c r="U776" i="5"/>
  <c r="V776" i="5"/>
  <c r="S777" i="5"/>
  <c r="T777" i="5"/>
  <c r="U777" i="5"/>
  <c r="V777" i="5"/>
  <c r="S778" i="5"/>
  <c r="T778" i="5"/>
  <c r="U778" i="5"/>
  <c r="V778" i="5"/>
  <c r="S779" i="5"/>
  <c r="T779" i="5"/>
  <c r="U779" i="5"/>
  <c r="V779" i="5"/>
  <c r="S780" i="5"/>
  <c r="T780" i="5"/>
  <c r="U780" i="5"/>
  <c r="V780" i="5"/>
  <c r="S781" i="5"/>
  <c r="T781" i="5"/>
  <c r="U781" i="5"/>
  <c r="V781" i="5"/>
  <c r="S782" i="5"/>
  <c r="T782" i="5"/>
  <c r="U782" i="5"/>
  <c r="V782" i="5"/>
  <c r="S783" i="5"/>
  <c r="T783" i="5"/>
  <c r="U783" i="5"/>
  <c r="V783" i="5"/>
  <c r="S784" i="5"/>
  <c r="T784" i="5"/>
  <c r="U784" i="5"/>
  <c r="V784" i="5"/>
  <c r="S785" i="5"/>
  <c r="T785" i="5"/>
  <c r="U785" i="5"/>
  <c r="V785" i="5"/>
  <c r="S786" i="5"/>
  <c r="T786" i="5"/>
  <c r="U786" i="5"/>
  <c r="V786" i="5"/>
  <c r="S787" i="5"/>
  <c r="T787" i="5"/>
  <c r="U787" i="5"/>
  <c r="V787" i="5"/>
  <c r="S788" i="5"/>
  <c r="T788" i="5"/>
  <c r="U788" i="5"/>
  <c r="V788" i="5"/>
  <c r="S789" i="5"/>
  <c r="T789" i="5"/>
  <c r="U789" i="5"/>
  <c r="V789" i="5"/>
  <c r="S790" i="5"/>
  <c r="T790" i="5"/>
  <c r="U790" i="5"/>
  <c r="V790" i="5"/>
  <c r="S791" i="5"/>
  <c r="T791" i="5"/>
  <c r="U791" i="5"/>
  <c r="V791" i="5"/>
  <c r="S792" i="5"/>
  <c r="T792" i="5"/>
  <c r="V792" i="5"/>
  <c r="S793" i="5"/>
  <c r="T793" i="5"/>
  <c r="U793" i="5"/>
  <c r="V793" i="5"/>
  <c r="S794" i="5"/>
  <c r="T794" i="5"/>
  <c r="U794" i="5"/>
  <c r="V794" i="5"/>
  <c r="T2" i="5"/>
  <c r="U2" i="5"/>
  <c r="V2" i="5"/>
  <c r="S2" i="5"/>
  <c r="T326" i="5" l="1"/>
  <c r="T15" i="5"/>
  <c r="U373" i="5"/>
  <c r="T96" i="5"/>
  <c r="U152" i="5"/>
  <c r="T148" i="5"/>
  <c r="T112" i="5"/>
  <c r="T93" i="5"/>
  <c r="T675" i="5"/>
  <c r="T430" i="5"/>
  <c r="T337" i="5"/>
  <c r="T203" i="5"/>
  <c r="T182" i="5"/>
  <c r="T153" i="5"/>
  <c r="T91" i="5"/>
  <c r="U16" i="5"/>
  <c r="U452" i="5"/>
  <c r="U743" i="5"/>
  <c r="T560" i="5"/>
  <c r="T527" i="5"/>
  <c r="U431" i="5"/>
  <c r="T386" i="5"/>
  <c r="U367" i="5"/>
  <c r="T311" i="5"/>
  <c r="U284" i="5"/>
  <c r="T4" i="5"/>
  <c r="T559" i="5"/>
  <c r="T199" i="5"/>
  <c r="T3" i="5"/>
  <c r="U274" i="5"/>
  <c r="U652" i="5"/>
  <c r="T566" i="5"/>
  <c r="T533" i="5"/>
  <c r="T498" i="5"/>
  <c r="T354" i="5"/>
  <c r="U323" i="5"/>
  <c r="U300" i="5"/>
  <c r="U253" i="5"/>
  <c r="T208" i="5"/>
  <c r="T185" i="5"/>
  <c r="T166" i="5"/>
  <c r="T59" i="5"/>
  <c r="T45" i="5"/>
  <c r="U359" i="5"/>
  <c r="T181" i="5"/>
  <c r="T162" i="5"/>
  <c r="T145" i="5"/>
  <c r="T553" i="5"/>
  <c r="U512" i="5"/>
  <c r="T441" i="5"/>
  <c r="T356" i="5"/>
  <c r="T10" i="5"/>
  <c r="U713" i="5"/>
  <c r="T711" i="5"/>
  <c r="U459" i="5"/>
  <c r="T418" i="5"/>
  <c r="T358" i="5"/>
  <c r="T306" i="5"/>
  <c r="U283" i="5"/>
  <c r="U236" i="5"/>
  <c r="T218" i="5"/>
  <c r="T134" i="5"/>
  <c r="T102" i="5"/>
  <c r="T85" i="5"/>
  <c r="T40" i="5"/>
  <c r="U792" i="5"/>
  <c r="T411" i="5"/>
  <c r="U372" i="5"/>
  <c r="T320" i="5"/>
  <c r="T238" i="5"/>
  <c r="U35" i="5"/>
  <c r="U20" i="5"/>
  <c r="T9" i="5"/>
  <c r="U655" i="5"/>
  <c r="T511" i="5"/>
  <c r="T417" i="5"/>
  <c r="T217" i="5"/>
  <c r="T194" i="5"/>
  <c r="T169" i="5"/>
  <c r="T125" i="5"/>
  <c r="T78" i="5"/>
  <c r="U11" i="5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2" i="2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3" i="1"/>
  <c r="F4" i="1"/>
  <c r="F5" i="1"/>
  <c r="F6" i="1"/>
  <c r="F7" i="1"/>
  <c r="F8" i="1"/>
  <c r="F9" i="1"/>
  <c r="F10" i="1"/>
  <c r="F2" i="1"/>
  <c r="M794" i="7"/>
  <c r="J794" i="7"/>
  <c r="F794" i="7"/>
  <c r="M793" i="7"/>
  <c r="J793" i="7"/>
  <c r="F793" i="7"/>
  <c r="M792" i="7"/>
  <c r="J792" i="7"/>
  <c r="F792" i="7"/>
  <c r="M791" i="7"/>
  <c r="J791" i="7"/>
  <c r="F791" i="7"/>
  <c r="M790" i="7"/>
  <c r="J790" i="7"/>
  <c r="F790" i="7"/>
  <c r="M789" i="7"/>
  <c r="J789" i="7"/>
  <c r="F789" i="7"/>
  <c r="M788" i="7"/>
  <c r="J788" i="7"/>
  <c r="F788" i="7"/>
  <c r="M787" i="7"/>
  <c r="J787" i="7"/>
  <c r="F787" i="7"/>
  <c r="M786" i="7"/>
  <c r="J786" i="7"/>
  <c r="F786" i="7"/>
  <c r="M785" i="7"/>
  <c r="J785" i="7"/>
  <c r="F785" i="7"/>
  <c r="M784" i="7"/>
  <c r="J784" i="7"/>
  <c r="F784" i="7"/>
  <c r="M783" i="7"/>
  <c r="J783" i="7"/>
  <c r="F783" i="7"/>
  <c r="M782" i="7"/>
  <c r="J782" i="7"/>
  <c r="F782" i="7"/>
  <c r="M781" i="7"/>
  <c r="J781" i="7"/>
  <c r="F781" i="7"/>
  <c r="M780" i="7"/>
  <c r="J780" i="7"/>
  <c r="F780" i="7"/>
  <c r="M779" i="7"/>
  <c r="J779" i="7"/>
  <c r="F779" i="7"/>
  <c r="M778" i="7"/>
  <c r="J778" i="7"/>
  <c r="F778" i="7"/>
  <c r="M777" i="7"/>
  <c r="J777" i="7"/>
  <c r="F777" i="7"/>
  <c r="M776" i="7"/>
  <c r="J776" i="7"/>
  <c r="F776" i="7"/>
  <c r="M775" i="7"/>
  <c r="J775" i="7"/>
  <c r="F775" i="7"/>
  <c r="M774" i="7"/>
  <c r="J774" i="7"/>
  <c r="F774" i="7"/>
  <c r="M773" i="7"/>
  <c r="J773" i="7"/>
  <c r="F773" i="7"/>
  <c r="M772" i="7"/>
  <c r="J772" i="7"/>
  <c r="F772" i="7"/>
  <c r="M771" i="7"/>
  <c r="J771" i="7"/>
  <c r="F771" i="7"/>
  <c r="M770" i="7"/>
  <c r="J770" i="7"/>
  <c r="F770" i="7"/>
  <c r="M769" i="7"/>
  <c r="J769" i="7"/>
  <c r="F769" i="7"/>
  <c r="M768" i="7"/>
  <c r="J768" i="7"/>
  <c r="F768" i="7"/>
  <c r="M767" i="7"/>
  <c r="J767" i="7"/>
  <c r="F767" i="7"/>
  <c r="M766" i="7"/>
  <c r="J766" i="7"/>
  <c r="F766" i="7"/>
  <c r="M765" i="7"/>
  <c r="J765" i="7"/>
  <c r="F765" i="7"/>
  <c r="M764" i="7"/>
  <c r="J764" i="7"/>
  <c r="F764" i="7"/>
  <c r="M763" i="7"/>
  <c r="J763" i="7"/>
  <c r="F763" i="7"/>
  <c r="M762" i="7"/>
  <c r="J762" i="7"/>
  <c r="F762" i="7"/>
  <c r="M761" i="7"/>
  <c r="J761" i="7"/>
  <c r="F761" i="7"/>
  <c r="M760" i="7"/>
  <c r="J760" i="7"/>
  <c r="F760" i="7"/>
  <c r="M759" i="7"/>
  <c r="J759" i="7"/>
  <c r="F759" i="7"/>
  <c r="M758" i="7"/>
  <c r="J758" i="7"/>
  <c r="F758" i="7"/>
  <c r="M757" i="7"/>
  <c r="J757" i="7"/>
  <c r="F757" i="7"/>
  <c r="M756" i="7"/>
  <c r="J756" i="7"/>
  <c r="F756" i="7"/>
  <c r="M755" i="7"/>
  <c r="J755" i="7"/>
  <c r="F755" i="7"/>
  <c r="M754" i="7"/>
  <c r="J754" i="7"/>
  <c r="F754" i="7"/>
  <c r="M753" i="7"/>
  <c r="J753" i="7"/>
  <c r="F753" i="7"/>
  <c r="M752" i="7"/>
  <c r="J752" i="7"/>
  <c r="F752" i="7"/>
  <c r="M751" i="7"/>
  <c r="J751" i="7"/>
  <c r="F751" i="7"/>
  <c r="M750" i="7"/>
  <c r="J750" i="7"/>
  <c r="F750" i="7"/>
  <c r="M749" i="7"/>
  <c r="J749" i="7"/>
  <c r="F749" i="7"/>
  <c r="M748" i="7"/>
  <c r="J748" i="7"/>
  <c r="F748" i="7"/>
  <c r="M747" i="7"/>
  <c r="J747" i="7"/>
  <c r="F747" i="7"/>
  <c r="M746" i="7"/>
  <c r="J746" i="7"/>
  <c r="F746" i="7"/>
  <c r="M745" i="7"/>
  <c r="J745" i="7"/>
  <c r="F745" i="7"/>
  <c r="M744" i="7"/>
  <c r="J744" i="7"/>
  <c r="F744" i="7"/>
  <c r="M743" i="7"/>
  <c r="J743" i="7"/>
  <c r="F743" i="7"/>
  <c r="M742" i="7"/>
  <c r="J742" i="7"/>
  <c r="F742" i="7"/>
  <c r="M741" i="7"/>
  <c r="J741" i="7"/>
  <c r="F741" i="7"/>
  <c r="M740" i="7"/>
  <c r="J740" i="7"/>
  <c r="F740" i="7"/>
  <c r="M739" i="7"/>
  <c r="J739" i="7"/>
  <c r="F739" i="7"/>
  <c r="M738" i="7"/>
  <c r="J738" i="7"/>
  <c r="F738" i="7"/>
  <c r="M737" i="7"/>
  <c r="J737" i="7"/>
  <c r="F737" i="7"/>
  <c r="M736" i="7"/>
  <c r="J736" i="7"/>
  <c r="F736" i="7"/>
  <c r="M735" i="7"/>
  <c r="J735" i="7"/>
  <c r="F735" i="7"/>
  <c r="M734" i="7"/>
  <c r="J734" i="7"/>
  <c r="F734" i="7"/>
  <c r="M733" i="7"/>
  <c r="J733" i="7"/>
  <c r="F733" i="7"/>
  <c r="M732" i="7"/>
  <c r="J732" i="7"/>
  <c r="F732" i="7"/>
  <c r="M731" i="7"/>
  <c r="J731" i="7"/>
  <c r="F731" i="7"/>
  <c r="M730" i="7"/>
  <c r="J730" i="7"/>
  <c r="F730" i="7"/>
  <c r="M729" i="7"/>
  <c r="J729" i="7"/>
  <c r="F729" i="7"/>
  <c r="M728" i="7"/>
  <c r="J728" i="7"/>
  <c r="F728" i="7"/>
  <c r="M727" i="7"/>
  <c r="J727" i="7"/>
  <c r="F727" i="7"/>
  <c r="M726" i="7"/>
  <c r="J726" i="7"/>
  <c r="F726" i="7"/>
  <c r="M725" i="7"/>
  <c r="J725" i="7"/>
  <c r="F725" i="7"/>
  <c r="M724" i="7"/>
  <c r="J724" i="7"/>
  <c r="F724" i="7"/>
  <c r="M723" i="7"/>
  <c r="J723" i="7"/>
  <c r="F723" i="7"/>
  <c r="M722" i="7"/>
  <c r="J722" i="7"/>
  <c r="F722" i="7"/>
  <c r="M721" i="7"/>
  <c r="J721" i="7"/>
  <c r="F721" i="7"/>
  <c r="M720" i="7"/>
  <c r="J720" i="7"/>
  <c r="F720" i="7"/>
  <c r="M719" i="7"/>
  <c r="J719" i="7"/>
  <c r="F719" i="7"/>
  <c r="M718" i="7"/>
  <c r="J718" i="7"/>
  <c r="F718" i="7"/>
  <c r="M717" i="7"/>
  <c r="J717" i="7"/>
  <c r="F717" i="7"/>
  <c r="M716" i="7"/>
  <c r="J716" i="7"/>
  <c r="F716" i="7"/>
  <c r="M715" i="7"/>
  <c r="J715" i="7"/>
  <c r="F715" i="7"/>
  <c r="M714" i="7"/>
  <c r="J714" i="7"/>
  <c r="F714" i="7"/>
  <c r="M713" i="7"/>
  <c r="J713" i="7"/>
  <c r="F713" i="7"/>
  <c r="M712" i="7"/>
  <c r="J712" i="7"/>
  <c r="F712" i="7"/>
  <c r="M711" i="7"/>
  <c r="J711" i="7"/>
  <c r="F711" i="7"/>
  <c r="M710" i="7"/>
  <c r="J710" i="7"/>
  <c r="F710" i="7"/>
  <c r="M709" i="7"/>
  <c r="J709" i="7"/>
  <c r="F709" i="7"/>
  <c r="M708" i="7"/>
  <c r="J708" i="7"/>
  <c r="F708" i="7"/>
  <c r="M707" i="7"/>
  <c r="J707" i="7"/>
  <c r="F707" i="7"/>
  <c r="M706" i="7"/>
  <c r="J706" i="7"/>
  <c r="F706" i="7"/>
  <c r="M705" i="7"/>
  <c r="J705" i="7"/>
  <c r="F705" i="7"/>
  <c r="M704" i="7"/>
  <c r="J704" i="7"/>
  <c r="F704" i="7"/>
  <c r="M703" i="7"/>
  <c r="J703" i="7"/>
  <c r="F703" i="7"/>
  <c r="M702" i="7"/>
  <c r="J702" i="7"/>
  <c r="F702" i="7"/>
  <c r="M701" i="7"/>
  <c r="J701" i="7"/>
  <c r="F701" i="7"/>
  <c r="M700" i="7"/>
  <c r="J700" i="7"/>
  <c r="F700" i="7"/>
  <c r="M699" i="7"/>
  <c r="J699" i="7"/>
  <c r="F699" i="7"/>
  <c r="M698" i="7"/>
  <c r="J698" i="7"/>
  <c r="F698" i="7"/>
  <c r="M697" i="7"/>
  <c r="J697" i="7"/>
  <c r="F697" i="7"/>
  <c r="M696" i="7"/>
  <c r="J696" i="7"/>
  <c r="F696" i="7"/>
  <c r="M695" i="7"/>
  <c r="J695" i="7"/>
  <c r="F695" i="7"/>
  <c r="M694" i="7"/>
  <c r="J694" i="7"/>
  <c r="F694" i="7"/>
  <c r="M693" i="7"/>
  <c r="J693" i="7"/>
  <c r="F693" i="7"/>
  <c r="M692" i="7"/>
  <c r="J692" i="7"/>
  <c r="F692" i="7"/>
  <c r="M691" i="7"/>
  <c r="J691" i="7"/>
  <c r="F691" i="7"/>
  <c r="M690" i="7"/>
  <c r="J690" i="7"/>
  <c r="F690" i="7"/>
  <c r="M689" i="7"/>
  <c r="J689" i="7"/>
  <c r="F689" i="7"/>
  <c r="M688" i="7"/>
  <c r="J688" i="7"/>
  <c r="F688" i="7"/>
  <c r="M687" i="7"/>
  <c r="J687" i="7"/>
  <c r="F687" i="7"/>
  <c r="M686" i="7"/>
  <c r="J686" i="7"/>
  <c r="F686" i="7"/>
  <c r="M685" i="7"/>
  <c r="J685" i="7"/>
  <c r="F685" i="7"/>
  <c r="M684" i="7"/>
  <c r="J684" i="7"/>
  <c r="F684" i="7"/>
  <c r="M683" i="7"/>
  <c r="J683" i="7"/>
  <c r="F683" i="7"/>
  <c r="M682" i="7"/>
  <c r="J682" i="7"/>
  <c r="F682" i="7"/>
  <c r="M681" i="7"/>
  <c r="J681" i="7"/>
  <c r="F681" i="7"/>
  <c r="M680" i="7"/>
  <c r="J680" i="7"/>
  <c r="F680" i="7"/>
  <c r="M679" i="7"/>
  <c r="J679" i="7"/>
  <c r="F679" i="7"/>
  <c r="M678" i="7"/>
  <c r="J678" i="7"/>
  <c r="F678" i="7"/>
  <c r="M677" i="7"/>
  <c r="J677" i="7"/>
  <c r="F677" i="7"/>
  <c r="M676" i="7"/>
  <c r="J676" i="7"/>
  <c r="F676" i="7"/>
  <c r="M675" i="7"/>
  <c r="J675" i="7"/>
  <c r="F675" i="7"/>
  <c r="M674" i="7"/>
  <c r="J674" i="7"/>
  <c r="F674" i="7"/>
  <c r="M673" i="7"/>
  <c r="J673" i="7"/>
  <c r="F673" i="7"/>
  <c r="M672" i="7"/>
  <c r="J672" i="7"/>
  <c r="F672" i="7"/>
  <c r="M671" i="7"/>
  <c r="J671" i="7"/>
  <c r="F671" i="7"/>
  <c r="M670" i="7"/>
  <c r="J670" i="7"/>
  <c r="F670" i="7"/>
  <c r="M669" i="7"/>
  <c r="J669" i="7"/>
  <c r="F669" i="7"/>
  <c r="M668" i="7"/>
  <c r="J668" i="7"/>
  <c r="F668" i="7"/>
  <c r="M667" i="7"/>
  <c r="J667" i="7"/>
  <c r="F667" i="7"/>
  <c r="M666" i="7"/>
  <c r="J666" i="7"/>
  <c r="F666" i="7"/>
  <c r="M665" i="7"/>
  <c r="J665" i="7"/>
  <c r="F665" i="7"/>
  <c r="M664" i="7"/>
  <c r="J664" i="7"/>
  <c r="F664" i="7"/>
  <c r="M663" i="7"/>
  <c r="J663" i="7"/>
  <c r="F663" i="7"/>
  <c r="M662" i="7"/>
  <c r="J662" i="7"/>
  <c r="F662" i="7"/>
  <c r="M661" i="7"/>
  <c r="J661" i="7"/>
  <c r="F661" i="7"/>
  <c r="M660" i="7"/>
  <c r="J660" i="7"/>
  <c r="F660" i="7"/>
  <c r="M659" i="7"/>
  <c r="J659" i="7"/>
  <c r="F659" i="7"/>
  <c r="M658" i="7"/>
  <c r="J658" i="7"/>
  <c r="F658" i="7"/>
  <c r="M657" i="7"/>
  <c r="J657" i="7"/>
  <c r="F657" i="7"/>
  <c r="M656" i="7"/>
  <c r="J656" i="7"/>
  <c r="F656" i="7"/>
  <c r="M655" i="7"/>
  <c r="J655" i="7"/>
  <c r="F655" i="7"/>
  <c r="M654" i="7"/>
  <c r="J654" i="7"/>
  <c r="F654" i="7"/>
  <c r="M653" i="7"/>
  <c r="J653" i="7"/>
  <c r="F653" i="7"/>
  <c r="M652" i="7"/>
  <c r="J652" i="7"/>
  <c r="F652" i="7"/>
  <c r="M651" i="7"/>
  <c r="J651" i="7"/>
  <c r="F651" i="7"/>
  <c r="M650" i="7"/>
  <c r="J650" i="7"/>
  <c r="F650" i="7"/>
  <c r="M649" i="7"/>
  <c r="J649" i="7"/>
  <c r="F649" i="7"/>
  <c r="M648" i="7"/>
  <c r="J648" i="7"/>
  <c r="F648" i="7"/>
  <c r="M647" i="7"/>
  <c r="J647" i="7"/>
  <c r="F647" i="7"/>
  <c r="M646" i="7"/>
  <c r="J646" i="7"/>
  <c r="F646" i="7"/>
  <c r="M645" i="7"/>
  <c r="J645" i="7"/>
  <c r="F645" i="7"/>
  <c r="M644" i="7"/>
  <c r="J644" i="7"/>
  <c r="F644" i="7"/>
  <c r="M643" i="7"/>
  <c r="J643" i="7"/>
  <c r="F643" i="7"/>
  <c r="M642" i="7"/>
  <c r="J642" i="7"/>
  <c r="F642" i="7"/>
  <c r="M641" i="7"/>
  <c r="J641" i="7"/>
  <c r="F641" i="7"/>
  <c r="M640" i="7"/>
  <c r="J640" i="7"/>
  <c r="F640" i="7"/>
  <c r="M639" i="7"/>
  <c r="J639" i="7"/>
  <c r="F639" i="7"/>
  <c r="M638" i="7"/>
  <c r="J638" i="7"/>
  <c r="F638" i="7"/>
  <c r="M637" i="7"/>
  <c r="J637" i="7"/>
  <c r="F637" i="7"/>
  <c r="M636" i="7"/>
  <c r="J636" i="7"/>
  <c r="F636" i="7"/>
  <c r="M635" i="7"/>
  <c r="J635" i="7"/>
  <c r="F635" i="7"/>
  <c r="M634" i="7"/>
  <c r="J634" i="7"/>
  <c r="F634" i="7"/>
  <c r="M633" i="7"/>
  <c r="J633" i="7"/>
  <c r="F633" i="7"/>
  <c r="M632" i="7"/>
  <c r="J632" i="7"/>
  <c r="F632" i="7"/>
  <c r="M631" i="7"/>
  <c r="J631" i="7"/>
  <c r="F631" i="7"/>
  <c r="M630" i="7"/>
  <c r="J630" i="7"/>
  <c r="F630" i="7"/>
  <c r="M629" i="7"/>
  <c r="J629" i="7"/>
  <c r="F629" i="7"/>
  <c r="M628" i="7"/>
  <c r="J628" i="7"/>
  <c r="F628" i="7"/>
  <c r="M627" i="7"/>
  <c r="J627" i="7"/>
  <c r="F627" i="7"/>
  <c r="M626" i="7"/>
  <c r="J626" i="7"/>
  <c r="F626" i="7"/>
  <c r="M625" i="7"/>
  <c r="J625" i="7"/>
  <c r="F625" i="7"/>
  <c r="M624" i="7"/>
  <c r="J624" i="7"/>
  <c r="F624" i="7"/>
  <c r="M623" i="7"/>
  <c r="J623" i="7"/>
  <c r="F623" i="7"/>
  <c r="M622" i="7"/>
  <c r="J622" i="7"/>
  <c r="F622" i="7"/>
  <c r="M621" i="7"/>
  <c r="J621" i="7"/>
  <c r="F621" i="7"/>
  <c r="M620" i="7"/>
  <c r="J620" i="7"/>
  <c r="F620" i="7"/>
  <c r="M619" i="7"/>
  <c r="J619" i="7"/>
  <c r="F619" i="7"/>
  <c r="M618" i="7"/>
  <c r="J618" i="7"/>
  <c r="F618" i="7"/>
  <c r="M617" i="7"/>
  <c r="J617" i="7"/>
  <c r="F617" i="7"/>
  <c r="M616" i="7"/>
  <c r="J616" i="7"/>
  <c r="F616" i="7"/>
  <c r="M615" i="7"/>
  <c r="J615" i="7"/>
  <c r="F615" i="7"/>
  <c r="M614" i="7"/>
  <c r="J614" i="7"/>
  <c r="F614" i="7"/>
  <c r="M613" i="7"/>
  <c r="J613" i="7"/>
  <c r="F613" i="7"/>
  <c r="M612" i="7"/>
  <c r="J612" i="7"/>
  <c r="F612" i="7"/>
  <c r="M611" i="7"/>
  <c r="J611" i="7"/>
  <c r="F611" i="7"/>
  <c r="M610" i="7"/>
  <c r="J610" i="7"/>
  <c r="F610" i="7"/>
  <c r="M609" i="7"/>
  <c r="J609" i="7"/>
  <c r="F609" i="7"/>
  <c r="M608" i="7"/>
  <c r="J608" i="7"/>
  <c r="F608" i="7"/>
  <c r="M607" i="7"/>
  <c r="J607" i="7"/>
  <c r="F607" i="7"/>
  <c r="M606" i="7"/>
  <c r="J606" i="7"/>
  <c r="F606" i="7"/>
  <c r="M605" i="7"/>
  <c r="J605" i="7"/>
  <c r="F605" i="7"/>
  <c r="M604" i="7"/>
  <c r="J604" i="7"/>
  <c r="F604" i="7"/>
  <c r="M603" i="7"/>
  <c r="J603" i="7"/>
  <c r="F603" i="7"/>
  <c r="M602" i="7"/>
  <c r="J602" i="7"/>
  <c r="F602" i="7"/>
  <c r="M601" i="7"/>
  <c r="J601" i="7"/>
  <c r="F601" i="7"/>
  <c r="M600" i="7"/>
  <c r="J600" i="7"/>
  <c r="F600" i="7"/>
  <c r="M599" i="7"/>
  <c r="J599" i="7"/>
  <c r="F599" i="7"/>
  <c r="M598" i="7"/>
  <c r="J598" i="7"/>
  <c r="F598" i="7"/>
  <c r="M597" i="7"/>
  <c r="J597" i="7"/>
  <c r="F597" i="7"/>
  <c r="M596" i="7"/>
  <c r="J596" i="7"/>
  <c r="F596" i="7"/>
  <c r="M595" i="7"/>
  <c r="J595" i="7"/>
  <c r="F595" i="7"/>
  <c r="M594" i="7"/>
  <c r="J594" i="7"/>
  <c r="F594" i="7"/>
  <c r="M593" i="7"/>
  <c r="J593" i="7"/>
  <c r="F593" i="7"/>
  <c r="M592" i="7"/>
  <c r="J592" i="7"/>
  <c r="F592" i="7"/>
  <c r="M591" i="7"/>
  <c r="J591" i="7"/>
  <c r="F591" i="7"/>
  <c r="M590" i="7"/>
  <c r="J590" i="7"/>
  <c r="F590" i="7"/>
  <c r="M589" i="7"/>
  <c r="J589" i="7"/>
  <c r="F589" i="7"/>
  <c r="M588" i="7"/>
  <c r="J588" i="7"/>
  <c r="F588" i="7"/>
  <c r="M587" i="7"/>
  <c r="J587" i="7"/>
  <c r="F587" i="7"/>
  <c r="M586" i="7"/>
  <c r="J586" i="7"/>
  <c r="F586" i="7"/>
  <c r="M585" i="7"/>
  <c r="J585" i="7"/>
  <c r="F585" i="7"/>
  <c r="M584" i="7"/>
  <c r="J584" i="7"/>
  <c r="F584" i="7"/>
  <c r="M583" i="7"/>
  <c r="J583" i="7"/>
  <c r="F583" i="7"/>
  <c r="M582" i="7"/>
  <c r="J582" i="7"/>
  <c r="F582" i="7"/>
  <c r="M581" i="7"/>
  <c r="J581" i="7"/>
  <c r="F581" i="7"/>
  <c r="M580" i="7"/>
  <c r="J580" i="7"/>
  <c r="F580" i="7"/>
  <c r="M579" i="7"/>
  <c r="J579" i="7"/>
  <c r="F579" i="7"/>
  <c r="J577" i="7"/>
  <c r="J576" i="7"/>
  <c r="J575" i="7"/>
  <c r="J574" i="7"/>
  <c r="J573" i="7"/>
  <c r="J572" i="7"/>
  <c r="J571" i="7"/>
  <c r="J570" i="7"/>
  <c r="J569" i="7"/>
  <c r="J568" i="7"/>
  <c r="J567" i="7"/>
  <c r="J566" i="7"/>
  <c r="J565" i="7"/>
  <c r="J564" i="7"/>
  <c r="J563" i="7"/>
  <c r="J562" i="7"/>
  <c r="J561" i="7"/>
  <c r="J560" i="7"/>
  <c r="J559" i="7"/>
  <c r="J558" i="7"/>
  <c r="J557" i="7"/>
  <c r="J556" i="7"/>
  <c r="J555" i="7"/>
  <c r="J554" i="7"/>
  <c r="J553" i="7"/>
  <c r="J552" i="7"/>
  <c r="J551" i="7"/>
  <c r="J550" i="7"/>
  <c r="J549" i="7"/>
  <c r="J548" i="7"/>
  <c r="J547" i="7"/>
  <c r="J546" i="7"/>
  <c r="J545" i="7"/>
  <c r="J544" i="7"/>
  <c r="J543" i="7"/>
  <c r="J542" i="7"/>
  <c r="J541" i="7"/>
  <c r="J540" i="7"/>
  <c r="J539" i="7"/>
  <c r="J538" i="7"/>
  <c r="J537" i="7"/>
  <c r="J536" i="7"/>
  <c r="J535" i="7"/>
  <c r="J534" i="7"/>
  <c r="J533" i="7"/>
  <c r="J532" i="7"/>
  <c r="J531" i="7"/>
  <c r="J530" i="7"/>
  <c r="J529" i="7"/>
  <c r="J528" i="7"/>
  <c r="J527" i="7"/>
  <c r="J526" i="7"/>
  <c r="J525" i="7"/>
  <c r="J524" i="7"/>
  <c r="J523" i="7"/>
  <c r="J522" i="7"/>
  <c r="J521" i="7"/>
  <c r="J520" i="7"/>
  <c r="J519" i="7"/>
  <c r="J518" i="7"/>
  <c r="J517" i="7"/>
  <c r="J516" i="7"/>
  <c r="J515" i="7"/>
  <c r="J514" i="7"/>
  <c r="J513" i="7"/>
  <c r="J512" i="7"/>
  <c r="J511" i="7"/>
  <c r="J510" i="7"/>
  <c r="J509" i="7"/>
  <c r="J508" i="7"/>
  <c r="J507" i="7"/>
  <c r="J506" i="7"/>
  <c r="J505" i="7"/>
  <c r="J504" i="7"/>
  <c r="J503" i="7"/>
  <c r="J502" i="7"/>
  <c r="J501" i="7"/>
  <c r="J500" i="7"/>
  <c r="J499" i="7"/>
  <c r="J498" i="7"/>
  <c r="J497" i="7"/>
  <c r="J496" i="7"/>
  <c r="J495" i="7"/>
  <c r="J494" i="7"/>
  <c r="J493" i="7"/>
  <c r="J492" i="7"/>
  <c r="J491" i="7"/>
  <c r="J490" i="7"/>
  <c r="J489" i="7"/>
  <c r="J488" i="7"/>
  <c r="J487" i="7"/>
  <c r="J486" i="7"/>
  <c r="J485" i="7"/>
  <c r="J484" i="7"/>
  <c r="J483" i="7"/>
  <c r="J482" i="7"/>
  <c r="J481" i="7"/>
  <c r="J480" i="7"/>
  <c r="J479" i="7"/>
  <c r="J478" i="7"/>
  <c r="J477" i="7"/>
  <c r="J476" i="7"/>
  <c r="J475" i="7"/>
  <c r="J474" i="7"/>
  <c r="J473" i="7"/>
  <c r="J472" i="7"/>
  <c r="J471" i="7"/>
  <c r="J470" i="7"/>
  <c r="J469" i="7"/>
  <c r="J468" i="7"/>
  <c r="J467" i="7"/>
  <c r="J466" i="7"/>
  <c r="J465" i="7"/>
  <c r="J464" i="7"/>
  <c r="J463" i="7"/>
  <c r="J462" i="7"/>
  <c r="J461" i="7"/>
  <c r="J460" i="7"/>
  <c r="J459" i="7"/>
  <c r="J458" i="7"/>
  <c r="J457" i="7"/>
  <c r="J456" i="7"/>
  <c r="J455" i="7"/>
  <c r="J454" i="7"/>
  <c r="J453" i="7"/>
  <c r="J452" i="7"/>
  <c r="J451" i="7"/>
  <c r="J450" i="7"/>
  <c r="J449" i="7"/>
  <c r="J448" i="7"/>
  <c r="J447" i="7"/>
  <c r="J446" i="7"/>
  <c r="J445" i="7"/>
  <c r="J444" i="7"/>
  <c r="J443" i="7"/>
  <c r="J442" i="7"/>
  <c r="J441" i="7"/>
  <c r="J440" i="7"/>
  <c r="J439" i="7"/>
  <c r="J438" i="7"/>
  <c r="J437" i="7"/>
  <c r="J436" i="7"/>
  <c r="J435" i="7"/>
  <c r="J434" i="7"/>
  <c r="J433" i="7"/>
  <c r="J432" i="7"/>
  <c r="J431" i="7"/>
  <c r="J430" i="7"/>
  <c r="J429" i="7"/>
  <c r="J428" i="7"/>
  <c r="J427" i="7"/>
  <c r="J426" i="7"/>
  <c r="J425" i="7"/>
  <c r="J424" i="7"/>
  <c r="J423" i="7"/>
  <c r="J422" i="7"/>
  <c r="J421" i="7"/>
  <c r="J420" i="7"/>
  <c r="J419" i="7"/>
  <c r="J418" i="7"/>
  <c r="J417" i="7"/>
  <c r="J416" i="7"/>
  <c r="J415" i="7"/>
  <c r="J414" i="7"/>
  <c r="J413" i="7"/>
  <c r="J412" i="7"/>
  <c r="J411" i="7"/>
  <c r="J410" i="7"/>
  <c r="J409" i="7"/>
  <c r="J408" i="7"/>
  <c r="J407" i="7"/>
  <c r="J406" i="7"/>
  <c r="J405" i="7"/>
  <c r="J404" i="7"/>
  <c r="J403" i="7"/>
  <c r="J402" i="7"/>
  <c r="J401" i="7"/>
  <c r="J400" i="7"/>
  <c r="J399" i="7"/>
  <c r="J398" i="7"/>
  <c r="J397" i="7"/>
  <c r="J396" i="7"/>
  <c r="J395" i="7"/>
  <c r="J394" i="7"/>
  <c r="J393" i="7"/>
  <c r="J392" i="7"/>
  <c r="J391" i="7"/>
  <c r="J390" i="7"/>
  <c r="J389" i="7"/>
  <c r="J388" i="7"/>
  <c r="J387" i="7"/>
  <c r="J386" i="7"/>
  <c r="J385" i="7"/>
  <c r="J384" i="7"/>
  <c r="J383" i="7"/>
  <c r="J382" i="7"/>
  <c r="J381" i="7"/>
  <c r="J380" i="7"/>
  <c r="J379" i="7"/>
  <c r="J378" i="7"/>
  <c r="J377" i="7"/>
  <c r="J376" i="7"/>
  <c r="J375" i="7"/>
  <c r="J374" i="7"/>
  <c r="J373" i="7"/>
  <c r="J372" i="7"/>
  <c r="J371" i="7"/>
  <c r="J370" i="7"/>
  <c r="J369" i="7"/>
  <c r="J368" i="7"/>
  <c r="J367" i="7"/>
  <c r="J366" i="7"/>
  <c r="J365" i="7"/>
  <c r="J364" i="7"/>
  <c r="J363" i="7"/>
  <c r="J362" i="7"/>
  <c r="J361" i="7"/>
  <c r="J360" i="7"/>
  <c r="J359" i="7"/>
  <c r="J358" i="7"/>
  <c r="J357" i="7"/>
  <c r="J356" i="7"/>
  <c r="J355" i="7"/>
  <c r="J354" i="7"/>
  <c r="J353" i="7"/>
  <c r="J352" i="7"/>
  <c r="J351" i="7"/>
  <c r="J350" i="7"/>
  <c r="J349" i="7"/>
  <c r="J348" i="7"/>
  <c r="J347" i="7"/>
  <c r="J346" i="7"/>
  <c r="J345" i="7"/>
  <c r="J344" i="7"/>
  <c r="J343" i="7"/>
  <c r="J342" i="7"/>
  <c r="J341" i="7"/>
  <c r="J340" i="7"/>
  <c r="J339" i="7"/>
  <c r="J338" i="7"/>
  <c r="J337" i="7"/>
  <c r="J336" i="7"/>
  <c r="J335" i="7"/>
  <c r="J334" i="7"/>
  <c r="J333" i="7"/>
  <c r="J332" i="7"/>
  <c r="J331" i="7"/>
  <c r="J330" i="7"/>
  <c r="J329" i="7"/>
  <c r="J328" i="7"/>
  <c r="J327" i="7"/>
  <c r="J326" i="7"/>
  <c r="J325" i="7"/>
  <c r="J324" i="7"/>
  <c r="J323" i="7"/>
  <c r="J322" i="7"/>
  <c r="J321" i="7"/>
  <c r="J320" i="7"/>
  <c r="J319" i="7"/>
  <c r="J318" i="7"/>
  <c r="J317" i="7"/>
  <c r="J316" i="7"/>
  <c r="J315" i="7"/>
  <c r="J314" i="7"/>
  <c r="J313" i="7"/>
  <c r="J312" i="7"/>
  <c r="J311" i="7"/>
  <c r="J310" i="7"/>
  <c r="J309" i="7"/>
  <c r="J308" i="7"/>
  <c r="J307" i="7"/>
  <c r="J306" i="7"/>
  <c r="J305" i="7"/>
  <c r="J304" i="7"/>
  <c r="J303" i="7"/>
  <c r="J302" i="7"/>
  <c r="J301" i="7"/>
  <c r="J300" i="7"/>
  <c r="J299" i="7"/>
  <c r="J298" i="7"/>
  <c r="J297" i="7"/>
  <c r="J296" i="7"/>
  <c r="J295" i="7"/>
  <c r="J294" i="7"/>
  <c r="J293" i="7"/>
  <c r="J292" i="7"/>
  <c r="J291" i="7"/>
  <c r="J290" i="7"/>
  <c r="J289" i="7"/>
  <c r="J288" i="7"/>
  <c r="J287" i="7"/>
  <c r="J286" i="7"/>
  <c r="J285" i="7"/>
  <c r="J284" i="7"/>
  <c r="J283" i="7"/>
  <c r="J282" i="7"/>
  <c r="J281" i="7"/>
  <c r="J280" i="7"/>
  <c r="J279" i="7"/>
  <c r="J278" i="7"/>
  <c r="J277" i="7"/>
  <c r="J276" i="7"/>
  <c r="J275" i="7"/>
  <c r="J274" i="7"/>
  <c r="J273" i="7"/>
  <c r="J272" i="7"/>
  <c r="J271" i="7"/>
  <c r="J270" i="7"/>
  <c r="J269" i="7"/>
  <c r="J268" i="7"/>
  <c r="J267" i="7"/>
  <c r="J266" i="7"/>
  <c r="J265" i="7"/>
  <c r="J264" i="7"/>
  <c r="J263" i="7"/>
  <c r="J262" i="7"/>
  <c r="J261" i="7"/>
  <c r="J260" i="7"/>
  <c r="J259" i="7"/>
  <c r="J258" i="7"/>
  <c r="J257" i="7"/>
  <c r="J256" i="7"/>
  <c r="J255" i="7"/>
  <c r="J254" i="7"/>
  <c r="J253" i="7"/>
  <c r="J252" i="7"/>
  <c r="J251" i="7"/>
  <c r="J250" i="7"/>
  <c r="J249" i="7"/>
  <c r="J248" i="7"/>
  <c r="J247" i="7"/>
  <c r="J246" i="7"/>
  <c r="J245" i="7"/>
  <c r="J244" i="7"/>
  <c r="J243" i="7"/>
  <c r="J242" i="7"/>
  <c r="J241" i="7"/>
  <c r="J240" i="7"/>
  <c r="J239" i="7"/>
  <c r="J238" i="7"/>
  <c r="J237" i="7"/>
  <c r="J236" i="7"/>
  <c r="J235" i="7"/>
  <c r="J234" i="7"/>
  <c r="J233" i="7"/>
  <c r="J232" i="7"/>
  <c r="J231" i="7"/>
  <c r="J230" i="7"/>
  <c r="J229" i="7"/>
  <c r="J228" i="7"/>
  <c r="J227" i="7"/>
  <c r="J226" i="7"/>
  <c r="J225" i="7"/>
  <c r="J224" i="7"/>
  <c r="J223" i="7"/>
  <c r="J222" i="7"/>
  <c r="J221" i="7"/>
  <c r="J220" i="7"/>
  <c r="J219" i="7"/>
  <c r="J218" i="7"/>
  <c r="J217" i="7"/>
  <c r="J216" i="7"/>
  <c r="J215" i="7"/>
  <c r="J214" i="7"/>
  <c r="J213" i="7"/>
  <c r="J212" i="7"/>
  <c r="J211" i="7"/>
  <c r="J210" i="7"/>
  <c r="J209" i="7"/>
  <c r="J208" i="7"/>
  <c r="J207" i="7"/>
  <c r="J206" i="7"/>
  <c r="J205" i="7"/>
  <c r="J204" i="7"/>
  <c r="J203" i="7"/>
  <c r="J202" i="7"/>
  <c r="J201" i="7"/>
  <c r="J200" i="7"/>
  <c r="J199" i="7"/>
  <c r="J198" i="7"/>
  <c r="J197" i="7"/>
  <c r="J196" i="7"/>
  <c r="J195" i="7"/>
  <c r="J194" i="7"/>
  <c r="J193" i="7"/>
  <c r="J192" i="7"/>
  <c r="J191" i="7"/>
  <c r="J190" i="7"/>
  <c r="J189" i="7"/>
  <c r="J188" i="7"/>
  <c r="J187" i="7"/>
  <c r="J186" i="7"/>
  <c r="J185" i="7"/>
  <c r="J184" i="7"/>
  <c r="J183" i="7"/>
  <c r="J182" i="7"/>
  <c r="J181" i="7"/>
  <c r="J180" i="7"/>
  <c r="J179" i="7"/>
  <c r="J178" i="7"/>
  <c r="J177" i="7"/>
  <c r="J176" i="7"/>
  <c r="J175" i="7"/>
  <c r="J174" i="7"/>
  <c r="J173" i="7"/>
  <c r="J172" i="7"/>
  <c r="J171" i="7"/>
  <c r="J170" i="7"/>
  <c r="J169" i="7"/>
  <c r="J168" i="7"/>
  <c r="J167" i="7"/>
  <c r="J166" i="7"/>
  <c r="J165" i="7"/>
  <c r="J164" i="7"/>
  <c r="J163" i="7"/>
  <c r="J162" i="7"/>
  <c r="J161" i="7"/>
  <c r="J160" i="7"/>
  <c r="J159" i="7"/>
  <c r="J158" i="7"/>
  <c r="J157" i="7"/>
  <c r="J156" i="7"/>
  <c r="J155" i="7"/>
  <c r="J154" i="7"/>
  <c r="J153" i="7"/>
  <c r="J152" i="7"/>
  <c r="J151" i="7"/>
  <c r="J150" i="7"/>
  <c r="J149" i="7"/>
  <c r="J148" i="7"/>
  <c r="J147" i="7"/>
  <c r="J146" i="7"/>
  <c r="J145" i="7"/>
  <c r="J144" i="7"/>
  <c r="J143" i="7"/>
  <c r="J142" i="7"/>
  <c r="J141" i="7"/>
  <c r="J140" i="7"/>
  <c r="J139" i="7"/>
  <c r="J138" i="7"/>
  <c r="J137" i="7"/>
  <c r="J136" i="7"/>
  <c r="J135" i="7"/>
  <c r="J134" i="7"/>
  <c r="J133" i="7"/>
  <c r="J132" i="7"/>
  <c r="J131" i="7"/>
  <c r="J130" i="7"/>
  <c r="J129" i="7"/>
  <c r="J128" i="7"/>
  <c r="J127" i="7"/>
  <c r="J126" i="7"/>
  <c r="J125" i="7"/>
  <c r="J124" i="7"/>
  <c r="J123" i="7"/>
  <c r="J122" i="7"/>
  <c r="J121" i="7"/>
  <c r="J120" i="7"/>
  <c r="J119" i="7"/>
  <c r="J118" i="7"/>
  <c r="J117" i="7"/>
  <c r="J116" i="7"/>
  <c r="J115" i="7"/>
  <c r="J114" i="7"/>
  <c r="J113" i="7"/>
  <c r="J112" i="7"/>
  <c r="J111" i="7"/>
  <c r="J110" i="7"/>
  <c r="J109" i="7"/>
  <c r="J108" i="7"/>
  <c r="J107" i="7"/>
  <c r="J106" i="7"/>
  <c r="J105" i="7"/>
  <c r="J104" i="7"/>
  <c r="J103" i="7"/>
  <c r="J102" i="7"/>
  <c r="J101" i="7"/>
  <c r="J100" i="7"/>
  <c r="J99" i="7"/>
  <c r="J98" i="7"/>
  <c r="J97" i="7"/>
  <c r="J96" i="7"/>
  <c r="J95" i="7"/>
  <c r="J94" i="7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8" i="7"/>
  <c r="J67" i="7"/>
  <c r="J66" i="7"/>
  <c r="J65" i="7"/>
  <c r="J64" i="7"/>
  <c r="J63" i="7"/>
  <c r="J62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J4" i="7"/>
  <c r="J3" i="7"/>
  <c r="J2" i="7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578" i="1"/>
  <c r="K662" i="1"/>
  <c r="K663" i="1"/>
  <c r="K664" i="1"/>
  <c r="K665" i="1"/>
  <c r="K666" i="1"/>
  <c r="K667" i="1"/>
  <c r="I662" i="1"/>
  <c r="I663" i="1"/>
  <c r="I664" i="1"/>
  <c r="I665" i="1"/>
  <c r="I666" i="1"/>
  <c r="I667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578" i="1"/>
  <c r="I638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N752" i="1"/>
  <c r="N753" i="1"/>
  <c r="N754" i="1"/>
  <c r="N755" i="1"/>
  <c r="N756" i="1"/>
  <c r="N757" i="1"/>
  <c r="K752" i="1"/>
  <c r="K753" i="1"/>
  <c r="K754" i="1"/>
  <c r="K755" i="1"/>
  <c r="K756" i="1"/>
  <c r="K757" i="1"/>
  <c r="I752" i="1"/>
  <c r="I753" i="1"/>
  <c r="I754" i="1"/>
  <c r="I755" i="1"/>
  <c r="I756" i="1"/>
  <c r="I757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9" i="1"/>
  <c r="K570" i="1"/>
  <c r="K571" i="1"/>
  <c r="K572" i="1"/>
  <c r="K573" i="1"/>
  <c r="K574" i="1"/>
  <c r="K575" i="1"/>
  <c r="K576" i="1"/>
  <c r="K577" i="1"/>
  <c r="K10" i="1"/>
  <c r="K11" i="1"/>
  <c r="K12" i="1"/>
  <c r="K13" i="1"/>
  <c r="K14" i="1"/>
  <c r="K15" i="1"/>
  <c r="K16" i="1"/>
  <c r="K17" i="1"/>
  <c r="K3" i="1"/>
  <c r="K4" i="1"/>
  <c r="K5" i="1"/>
  <c r="K6" i="1"/>
  <c r="K7" i="1"/>
  <c r="K8" i="1"/>
  <c r="K9" i="1"/>
  <c r="K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tc={37AD812F-5CF6-4327-91F2-6D0576634CA9}</author>
    <author>tc={B394CB04-5423-411C-A45A-D94B7E995646}</author>
  </authors>
  <commentList>
    <comment ref="A1" authorId="0" shapeId="0" xr:uid="{37AD812F-5CF6-4327-91F2-6D0576634CA9}">
      <text>
        <t>[Threaded comment]
Your version of Excel allows you to read this threaded comment; however, any edits to it will get removed if the file is opened in a newer version of Excel. Learn more: https://go.microsoft.com/fwlink/?linkid=870924
Comment:
    Lables to be filled
Reply:
    All trees need a lable  (see plastic lables on my desk which need printing in the shop)
Reply:
    lable every box</t>
      </text>
    </comment>
    <comment ref="A578" authorId="1" shapeId="0" xr:uid="{B394CB04-5423-411C-A45A-D94B7E99564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Robinia need lable from 600 on 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tc={3AC1A537-BAB7-431A-AD46-9ACF341E55DC}</author>
  </authors>
  <commentList>
    <comment ref="J1" authorId="0" shapeId="0" xr:uid="{3AC1A537-BAB7-431A-AD46-9ACF341E55DC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measurement to be done every month (maybe more often in summer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tc={0735944E-C200-4485-96B6-4D580F4C8993}</author>
    <author>tc={7D39D697-154F-4226-A2FE-73D53CAFB558}</author>
  </authors>
  <commentList>
    <comment ref="N1" authorId="0" shapeId="0" xr:uid="{0735944E-C200-4485-96B6-4D580F4C8993}">
      <text>
        <t>[Threaded comment]
Your version of Excel allows you to read this threaded comment; however, any edits to it will get removed if the file is opened in a newer version of Excel. Learn more: https://go.microsoft.com/fwlink/?linkid=870924
Comment:
    Lables to be filled
Reply:
    All trees need a lable  (see plastic lables on my desk which need printing in the shop)
Reply:
    lable every box</t>
      </text>
    </comment>
    <comment ref="N579" authorId="1" shapeId="0" xr:uid="{7D39D697-154F-4226-A2FE-73D53CAFB55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Robinia need lable from 600 on 
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tc={605643A9-D16D-4E03-A450-7CA9C5AAF538}</author>
    <author>tc={1469BCE2-67EF-4ADC-85DD-61CBECE0FED1}</author>
  </authors>
  <commentList>
    <comment ref="N1" authorId="0" shapeId="0" xr:uid="{605643A9-D16D-4E03-A450-7CA9C5AAF538}">
      <text>
        <t>[Threaded comment]
Your version of Excel allows you to read this threaded comment; however, any edits to it will get removed if the file is opened in a newer version of Excel. Learn more: https://go.microsoft.com/fwlink/?linkid=870924
Comment:
    Lables to be filled
Reply:
    All trees need a lable  (see plastic lables on my desk which need printing in the shop)
Reply:
    lable every box</t>
      </text>
    </comment>
    <comment ref="N579" authorId="1" shapeId="0" xr:uid="{1469BCE2-67EF-4ADC-85DD-61CBECE0FED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Robinia need lable from 600 on 
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tc={3C6BC66E-47B9-7E44-9870-36A89F6ACFAE}</author>
  </authors>
  <commentList>
    <comment ref="B1" authorId="0" shapeId="0" xr:uid="{3C6BC66E-47B9-7E44-9870-36A89F6ACFAE}">
      <text>
        <t>[Threaded comment]
Your version of Excel allows you to read this threaded comment; however, any edits to it will get removed if the file is opened in a newer version of Excel. Learn more: https://go.microsoft.com/fwlink/?linkid=870924
Comment:
    Lables to be filled
Reply:
    All trees need a lable  (see plastic lables on my desk which need printing in the shop)
Reply:
    lable every box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tc={512C2B34-4C48-44D4-AF2C-DC2DFCB19104}</author>
  </authors>
  <commentList>
    <comment ref="B1" authorId="0" shapeId="0" xr:uid="{512C2B34-4C48-44D4-AF2C-DC2DFCB19104}">
      <text>
        <t>[Threaded comment]
Your version of Excel allows you to read this threaded comment; however, any edits to it will get removed if the file is opened in a newer version of Excel. Learn more: https://go.microsoft.com/fwlink/?linkid=870924
Comment:
    Lables to be filled
Reply:
    All trees need a lable  (see plastic lables on my desk which need printing in the shop)
Reply:
    lable every box</t>
      </text>
    </comment>
  </commentList>
</comments>
</file>

<file path=xl/sharedStrings.xml><?xml version="1.0" encoding="utf-8"?>
<sst xmlns="http://schemas.openxmlformats.org/spreadsheetml/2006/main" count="38078" uniqueCount="2077">
  <si>
    <t>Bloc</t>
  </si>
  <si>
    <t>Plot</t>
  </si>
  <si>
    <t>Compartment</t>
  </si>
  <si>
    <t>Box label</t>
  </si>
  <si>
    <t>Col</t>
  </si>
  <si>
    <t>Raw</t>
  </si>
  <si>
    <t>TreeID</t>
  </si>
  <si>
    <t>Species</t>
  </si>
  <si>
    <t>Precipitation</t>
  </si>
  <si>
    <t xml:space="preserve">Label </t>
  </si>
  <si>
    <t>Soil</t>
  </si>
  <si>
    <t>Robinia</t>
  </si>
  <si>
    <t>Treatment</t>
  </si>
  <si>
    <t>ID_number</t>
  </si>
  <si>
    <t>B1</t>
  </si>
  <si>
    <t>P1</t>
  </si>
  <si>
    <t>C1</t>
  </si>
  <si>
    <t>A</t>
  </si>
  <si>
    <t>B1_P1_C1_A1</t>
  </si>
  <si>
    <t>Fagus</t>
  </si>
  <si>
    <t>Drought</t>
  </si>
  <si>
    <t>Yellow</t>
  </si>
  <si>
    <t>No</t>
  </si>
  <si>
    <t>Drought_Yellow_No</t>
  </si>
  <si>
    <t>B</t>
  </si>
  <si>
    <t>B1_P1_C1_B1</t>
  </si>
  <si>
    <t>B1_P1_C1_A2</t>
  </si>
  <si>
    <t>B1_P1_C1_B2</t>
  </si>
  <si>
    <t>B1_P1_C1_A3</t>
  </si>
  <si>
    <t>B1_P1_C1_B3</t>
  </si>
  <si>
    <t>B1_P1_C1_A4</t>
  </si>
  <si>
    <t>B1_P1_C1_B4</t>
  </si>
  <si>
    <t>C2</t>
  </si>
  <si>
    <t>B1_P1_C2_A1</t>
  </si>
  <si>
    <t>B1_P1_C2_B1</t>
  </si>
  <si>
    <t>Quercus</t>
  </si>
  <si>
    <t>B1_P1_C2_A2</t>
  </si>
  <si>
    <t>B1_P1_C2_B2</t>
  </si>
  <si>
    <t>B1_P1_C2_A3</t>
  </si>
  <si>
    <t>B1_P1_C2_B3</t>
  </si>
  <si>
    <t>B1_P1_C2_A4</t>
  </si>
  <si>
    <t>B1_P1_C2_B4</t>
  </si>
  <si>
    <t>C3</t>
  </si>
  <si>
    <t>B1_P1_C3_A1</t>
  </si>
  <si>
    <t>Yes</t>
  </si>
  <si>
    <t>Drought_Yellow_Yes</t>
  </si>
  <si>
    <t>B1_P1_C3_B1</t>
  </si>
  <si>
    <t>B1_P1_C3_A2</t>
  </si>
  <si>
    <t>B1_P1_C3_B2</t>
  </si>
  <si>
    <t>B1_P1_C3_A3</t>
  </si>
  <si>
    <t>B1_P1_C3_B3</t>
  </si>
  <si>
    <t>B1_P1_C3_A4</t>
  </si>
  <si>
    <t>B1_P1_C3_B4</t>
  </si>
  <si>
    <t>C4</t>
  </si>
  <si>
    <t>B1_P1_C4_A1</t>
  </si>
  <si>
    <t>B1_P1_C4_B1</t>
  </si>
  <si>
    <t>B1_P1_C4_A2</t>
  </si>
  <si>
    <t>B1_P1_C4_B2</t>
  </si>
  <si>
    <t>B1_P1_C4_A3</t>
  </si>
  <si>
    <t>B1_P1_C4_B3</t>
  </si>
  <si>
    <t>B1_P1_C4_A4</t>
  </si>
  <si>
    <t>B1_P1_C4_B4</t>
  </si>
  <si>
    <t>P2</t>
  </si>
  <si>
    <t>B1_P2_C1_A1</t>
  </si>
  <si>
    <t>Grey</t>
  </si>
  <si>
    <t>Drought_Grey_Yes</t>
  </si>
  <si>
    <t>B1_P2_C1_B1</t>
  </si>
  <si>
    <t>B1_P2_C1_A2</t>
  </si>
  <si>
    <t>B1_P2_C1_B2</t>
  </si>
  <si>
    <t>B1_P2_C1_A3</t>
  </si>
  <si>
    <t>B1_P2_C1_B3</t>
  </si>
  <si>
    <t>B1_P2_C1_A4</t>
  </si>
  <si>
    <t>B1_P2_C1_B4</t>
  </si>
  <si>
    <t>B1_P2_C2_A1</t>
  </si>
  <si>
    <t>Drought_Grey_No</t>
  </si>
  <si>
    <t>B1_P2_C2_B1</t>
  </si>
  <si>
    <t>B1_P2_C2_A2</t>
  </si>
  <si>
    <t>B1_P2_C2_B2</t>
  </si>
  <si>
    <t>B1_P2_C2_A3</t>
  </si>
  <si>
    <t>B1_P2_C2_B3</t>
  </si>
  <si>
    <t>B1_P2_C2_A4</t>
  </si>
  <si>
    <t>B1_P2_C2_B4</t>
  </si>
  <si>
    <t>B1_P2_C3_A1</t>
  </si>
  <si>
    <t>B1_P2_C3_B1</t>
  </si>
  <si>
    <t>B1_P2_C3_A2</t>
  </si>
  <si>
    <t>B1_P2_C3_B2</t>
  </si>
  <si>
    <t>B1_P2_C3_A3</t>
  </si>
  <si>
    <t>B1_P2_C3_B3</t>
  </si>
  <si>
    <t>B1_P2_C3_A4</t>
  </si>
  <si>
    <t>B1_P2_C3_B4</t>
  </si>
  <si>
    <t>B1_P2_C4_A1</t>
  </si>
  <si>
    <t>B1_P2_C4_B1</t>
  </si>
  <si>
    <t>B1_P2_C4_A2</t>
  </si>
  <si>
    <t>B1_P2_C4_B2</t>
  </si>
  <si>
    <t>B1_P2_C4_A3</t>
  </si>
  <si>
    <t>B1_P2_C4_B3</t>
  </si>
  <si>
    <t>B1_P2_C4_A4</t>
  </si>
  <si>
    <t>B1_P2_C4_B4</t>
  </si>
  <si>
    <t>P3</t>
  </si>
  <si>
    <t>B1_P3_C1_A1</t>
  </si>
  <si>
    <t>B1_P3_C1_B1</t>
  </si>
  <si>
    <t>B1_P3_C1_A2</t>
  </si>
  <si>
    <t>B1_P3_C1_B2</t>
  </si>
  <si>
    <t>B1_P3_C1_A3</t>
  </si>
  <si>
    <t>B1_P3_C1_B3</t>
  </si>
  <si>
    <t>B1_P3_C1_A4</t>
  </si>
  <si>
    <t>B1_P3_C1_B4</t>
  </si>
  <si>
    <t>B1_P3_C2_A1</t>
  </si>
  <si>
    <t>B1_P3_C2_B1</t>
  </si>
  <si>
    <t>B1_P3_C2_A2</t>
  </si>
  <si>
    <t>B1_P3_C2_B2</t>
  </si>
  <si>
    <t>B1_P3_C2_A3</t>
  </si>
  <si>
    <t>B1_P3_C2_B3</t>
  </si>
  <si>
    <t>B1_P3_C2_A4</t>
  </si>
  <si>
    <t>B1_P3_C2_B4</t>
  </si>
  <si>
    <t>B1_P3_C3_A1</t>
  </si>
  <si>
    <t>B1_P3_C3_B1</t>
  </si>
  <si>
    <t>B1_P3_C3_A2</t>
  </si>
  <si>
    <t>B1_P3_C3_B2</t>
  </si>
  <si>
    <t>B1_P3_C3_A3</t>
  </si>
  <si>
    <t>B1_P3_C3_B3</t>
  </si>
  <si>
    <t>B1_P3_C3_A4</t>
  </si>
  <si>
    <t>B1_P3_C3_B4</t>
  </si>
  <si>
    <t>B1_P3_C4_A1</t>
  </si>
  <si>
    <t>B1_P3_C4_B1</t>
  </si>
  <si>
    <t>B1_P3_C4_A2</t>
  </si>
  <si>
    <t>B1_P3_C4_B2</t>
  </si>
  <si>
    <t>B1_P3_C4_A3</t>
  </si>
  <si>
    <t>B1_P3_C4_B3</t>
  </si>
  <si>
    <t>B1_P3_C4_A4</t>
  </si>
  <si>
    <t>B1_P3_C4_B4</t>
  </si>
  <si>
    <t>P4</t>
  </si>
  <si>
    <t>B1_P4_C1_A1</t>
  </si>
  <si>
    <t>Control</t>
  </si>
  <si>
    <t>Control_Yellow_No</t>
  </si>
  <si>
    <t>B1_P4_C1_B1</t>
  </si>
  <si>
    <t>B1_P4_C1_A2</t>
  </si>
  <si>
    <t>B1_P4_C1_B2</t>
  </si>
  <si>
    <t>B1_P4_C1_A3</t>
  </si>
  <si>
    <t>B1_P4_C1_B3</t>
  </si>
  <si>
    <t>B1_P4_C1_A4</t>
  </si>
  <si>
    <t>B1_P4_C1_B4</t>
  </si>
  <si>
    <t>B1_P4_C2_A1</t>
  </si>
  <si>
    <t>Control_Yellow_Yes</t>
  </si>
  <si>
    <t>B1_P4_C2_B1</t>
  </si>
  <si>
    <t>B1_P4_C2_A2</t>
  </si>
  <si>
    <t>B1_P4_C2_B2</t>
  </si>
  <si>
    <t>B1_P4_C2_A3</t>
  </si>
  <si>
    <t>B1_P4_C2_B3</t>
  </si>
  <si>
    <t>B1_P4_C2_A4</t>
  </si>
  <si>
    <t>B1_P4_C2_B4</t>
  </si>
  <si>
    <t>B1_P4_C3_A1</t>
  </si>
  <si>
    <t>B1_P4_C3_B1</t>
  </si>
  <si>
    <t>B1_P4_C3_A2</t>
  </si>
  <si>
    <t>B1_P4_C3_B2</t>
  </si>
  <si>
    <t>B1_P4_C3_A3</t>
  </si>
  <si>
    <t>B1_P4_C3_B3</t>
  </si>
  <si>
    <t>B1_P4_C3_A4</t>
  </si>
  <si>
    <t>B1_P4_C3_B4</t>
  </si>
  <si>
    <t>B1_P4_C4_A1</t>
  </si>
  <si>
    <t>B1_P4_C4_B1</t>
  </si>
  <si>
    <t>B1_P4_C4_A2</t>
  </si>
  <si>
    <t>B1_P4_C4_B2</t>
  </si>
  <si>
    <t>B1_P4_C4_A3</t>
  </si>
  <si>
    <t>B1_P4_C4_B3</t>
  </si>
  <si>
    <t>B1_P4_C4_A4</t>
  </si>
  <si>
    <t>B1_P4_C4_B4</t>
  </si>
  <si>
    <t>P5</t>
  </si>
  <si>
    <t>B1_P5_C1_A1</t>
  </si>
  <si>
    <t>Control_Grey_Yes</t>
  </si>
  <si>
    <t>B1_P5_C1_B1</t>
  </si>
  <si>
    <t>B1_P5_C1_A2</t>
  </si>
  <si>
    <t>B1_P5_C1_B2</t>
  </si>
  <si>
    <t>B1_P5_C1_A3</t>
  </si>
  <si>
    <t>B1_P5_C1_B3</t>
  </si>
  <si>
    <t>B1_P5_C1_A4</t>
  </si>
  <si>
    <t>B1_P5_C1_B4</t>
  </si>
  <si>
    <t>B1_P5_C2_A1</t>
  </si>
  <si>
    <t>B1_P5_C2_B1</t>
  </si>
  <si>
    <t>B1_P5_C2_A2</t>
  </si>
  <si>
    <t>B1_P5_C2_B2</t>
  </si>
  <si>
    <t>B1_P5_C2_A3</t>
  </si>
  <si>
    <t>B1_P5_C2_B3</t>
  </si>
  <si>
    <t>B1_P5_C2_A4</t>
  </si>
  <si>
    <t>B1_P5_C2_B4</t>
  </si>
  <si>
    <t>B1_P5_C3_A1</t>
  </si>
  <si>
    <t>B1_P5_C3_B1</t>
  </si>
  <si>
    <t>B1_P5_C3_A2</t>
  </si>
  <si>
    <t>B1_P5_C3_B2</t>
  </si>
  <si>
    <t>B1_P5_C3_A3</t>
  </si>
  <si>
    <t>B1_P5_C3_B3</t>
  </si>
  <si>
    <t>B1_P5_C3_A4</t>
  </si>
  <si>
    <t>B1_P5_C3_B4</t>
  </si>
  <si>
    <t>B1_P5_C4_A1</t>
  </si>
  <si>
    <t>B1_P5_C4_B1</t>
  </si>
  <si>
    <t>B1_P5_C4_A2</t>
  </si>
  <si>
    <t>B1_P5_C4_B2</t>
  </si>
  <si>
    <t>B1_P5_C4_A3</t>
  </si>
  <si>
    <t>B1_P5_C4_B3</t>
  </si>
  <si>
    <t>B1_P5_C4_A4</t>
  </si>
  <si>
    <t>P6</t>
  </si>
  <si>
    <t>B1_P6_C1_A1</t>
  </si>
  <si>
    <t>Control_Grey_No</t>
  </si>
  <si>
    <t>B1_P6_C1_B1</t>
  </si>
  <si>
    <t>B1_P6_C1_A2</t>
  </si>
  <si>
    <t>B1_P6_C1_B2</t>
  </si>
  <si>
    <t>B1_P6_C1_A3</t>
  </si>
  <si>
    <t>B1_P6_C1_B3</t>
  </si>
  <si>
    <t>B1_P6_C1_A4</t>
  </si>
  <si>
    <t>B1_P6_C1_B4</t>
  </si>
  <si>
    <t>B1_P6_C2_A1</t>
  </si>
  <si>
    <t>B1_P6_C2_B1</t>
  </si>
  <si>
    <t>B1_P6_C2_A2</t>
  </si>
  <si>
    <t>B1_P6_C2_B2</t>
  </si>
  <si>
    <t>B1_P6_C2_A3</t>
  </si>
  <si>
    <t>B1_P6_C2_B3</t>
  </si>
  <si>
    <t>B1_P6_C2_A4</t>
  </si>
  <si>
    <t>B1_P6_C2_B4</t>
  </si>
  <si>
    <t>B1_P6_C3_A1</t>
  </si>
  <si>
    <t>B1_P6_C3_B1</t>
  </si>
  <si>
    <t>B1_P6_C3_A2</t>
  </si>
  <si>
    <t>B1_P6_C3_B2</t>
  </si>
  <si>
    <t>B1_P6_C3_A3</t>
  </si>
  <si>
    <t>B1_P6_C3_B3</t>
  </si>
  <si>
    <t>B1_P6_C3_A4</t>
  </si>
  <si>
    <t>B1_P6_C3_B4</t>
  </si>
  <si>
    <t>B1_P6_C4_A1</t>
  </si>
  <si>
    <t>B1_P6_C4_B1</t>
  </si>
  <si>
    <t>B1_P6_C4_A2</t>
  </si>
  <si>
    <t>B1_P6_C4_B2</t>
  </si>
  <si>
    <t>B1_P6_C4_A3</t>
  </si>
  <si>
    <t>B1_P6_C4_B3</t>
  </si>
  <si>
    <t>B1_P6_C4_A4</t>
  </si>
  <si>
    <t>B1_P6_C4_B4</t>
  </si>
  <si>
    <t>B2</t>
  </si>
  <si>
    <t>B2_P1_C1_A1</t>
  </si>
  <si>
    <t>B2_P1_C1_B1</t>
  </si>
  <si>
    <t>B2_P1_C1_A2</t>
  </si>
  <si>
    <t>B2_P1_C1_B2</t>
  </si>
  <si>
    <t>B2_P1_C1_A3</t>
  </si>
  <si>
    <t>B2_P1_C1_B3</t>
  </si>
  <si>
    <t>B2_P1_C1_A4</t>
  </si>
  <si>
    <t>B2_P1_C1_B4</t>
  </si>
  <si>
    <t>B2_P1_C2_A1</t>
  </si>
  <si>
    <t>B2_P1_C2_B1</t>
  </si>
  <si>
    <t>B2_P1_C2_A2</t>
  </si>
  <si>
    <t>B2_P1_C2_B2</t>
  </si>
  <si>
    <t>B2_P1_C2_A3</t>
  </si>
  <si>
    <t>B2_P1_C2_B3</t>
  </si>
  <si>
    <t>B2_P1_C2_A4</t>
  </si>
  <si>
    <t>B2_P1_C2_B4</t>
  </si>
  <si>
    <t>B2_P1_C3_A1</t>
  </si>
  <si>
    <t>B2_P1_C3_B1</t>
  </si>
  <si>
    <t>B2_P1_C3_A2</t>
  </si>
  <si>
    <t>B2_P1_C3_B2</t>
  </si>
  <si>
    <t>B2_P1_C3_A3</t>
  </si>
  <si>
    <t>B2_P1_C3_B3</t>
  </si>
  <si>
    <t>B2_P1_C3_A4</t>
  </si>
  <si>
    <t>B2_P1_C3_B4</t>
  </si>
  <si>
    <t>B2_P1_C4_A1</t>
  </si>
  <si>
    <t>B2_P1_C4_B1</t>
  </si>
  <si>
    <t>B2_P1_C4_A2</t>
  </si>
  <si>
    <t>B2_P1_C4_B2</t>
  </si>
  <si>
    <t>B2_P1_C4_A3</t>
  </si>
  <si>
    <t>B2_P1_C4_B3</t>
  </si>
  <si>
    <t>B2_P1_C4_A4</t>
  </si>
  <si>
    <t>B2_P1_C4_B4</t>
  </si>
  <si>
    <t>B2_P2_C1_A1</t>
  </si>
  <si>
    <t>B2_P2_C1_B1</t>
  </si>
  <si>
    <t>B2_P2_C1_A2</t>
  </si>
  <si>
    <t>B2_P2_C1_B2</t>
  </si>
  <si>
    <t>B2_P2_C1_A3</t>
  </si>
  <si>
    <t>B2_P2_C1_B3</t>
  </si>
  <si>
    <t>B2_P2_C1_A4</t>
  </si>
  <si>
    <t>B2_P2_C1_B4</t>
  </si>
  <si>
    <t>B2_P2_C2_A1</t>
  </si>
  <si>
    <t>B2_P2_C2_B1</t>
  </si>
  <si>
    <t>B2_P2_C2_A2</t>
  </si>
  <si>
    <t>B2_P2_C2_B2</t>
  </si>
  <si>
    <t>B2_P2_C2_A3</t>
  </si>
  <si>
    <t>B2_P2_C2_B3</t>
  </si>
  <si>
    <t>B2_P2_C2_A4</t>
  </si>
  <si>
    <t>B2_P2_C2_B4</t>
  </si>
  <si>
    <t>B2_P2_C3_A1</t>
  </si>
  <si>
    <t>B2_P2_C3_B1</t>
  </si>
  <si>
    <t>B2_P2_C3_A2</t>
  </si>
  <si>
    <t>B2_P2_C3_B2</t>
  </si>
  <si>
    <t>B2_P2_C3_A3</t>
  </si>
  <si>
    <t>B2_P2_C3_B3</t>
  </si>
  <si>
    <t>B2_P2_C3_A4</t>
  </si>
  <si>
    <t>B2_P2_C3_B4</t>
  </si>
  <si>
    <t>B2_P2_C4_A1</t>
  </si>
  <si>
    <t>B2_P2_C4_B1</t>
  </si>
  <si>
    <t>B2_P2_C4_A2</t>
  </si>
  <si>
    <t>B2_P2_C4_B2</t>
  </si>
  <si>
    <t>B2_P2_C4_A3</t>
  </si>
  <si>
    <t>B2_P2_C4_B3</t>
  </si>
  <si>
    <t>B2_P2_C4_A4</t>
  </si>
  <si>
    <t>B2_P2_C4_B4</t>
  </si>
  <si>
    <t>B2_P3_C1_A1</t>
  </si>
  <si>
    <t>B2_P3_C1_B1</t>
  </si>
  <si>
    <t>B2_P3_C1_A2</t>
  </si>
  <si>
    <t>B2_P3_C1_B2</t>
  </si>
  <si>
    <t>B2_P3_C1_A3</t>
  </si>
  <si>
    <t>B2_P3_C1_B3</t>
  </si>
  <si>
    <t>B2_P3_C1_A4</t>
  </si>
  <si>
    <t>B2_P3_C1_B4</t>
  </si>
  <si>
    <t>B2_P3_C2_A1</t>
  </si>
  <si>
    <t>B2_P3_C2_B1</t>
  </si>
  <si>
    <t>B2_P3_C2_A2</t>
  </si>
  <si>
    <t>B2_P3_C2_B2</t>
  </si>
  <si>
    <t>B2_P3_C2_A3</t>
  </si>
  <si>
    <t>B2_P3_C2_B3</t>
  </si>
  <si>
    <t>B2_P3_C2_A4</t>
  </si>
  <si>
    <t>B2_P3_C2_B4</t>
  </si>
  <si>
    <t>B2_P3_C3_A1</t>
  </si>
  <si>
    <t>B2_P3_C3_B1</t>
  </si>
  <si>
    <t>B2_P3_C3_A2</t>
  </si>
  <si>
    <t>B2_P3_C3_B2</t>
  </si>
  <si>
    <t>B2_P3_C3_A3</t>
  </si>
  <si>
    <t>B2_P3_C3_B3</t>
  </si>
  <si>
    <t>B2_P3_C3_A4</t>
  </si>
  <si>
    <t>B2_P3_C3_B4</t>
  </si>
  <si>
    <t>B2_P3_C4_A1</t>
  </si>
  <si>
    <t>B2_P3_C4_B1</t>
  </si>
  <si>
    <t>B2_P3_C4_A2</t>
  </si>
  <si>
    <t>B2_P3_C4_B2</t>
  </si>
  <si>
    <t>B2_P3_C4_A3</t>
  </si>
  <si>
    <t>B2_P3_C4_B3</t>
  </si>
  <si>
    <t>B2_P3_C4_A4</t>
  </si>
  <si>
    <t>B2_P3_C4_B4</t>
  </si>
  <si>
    <t>B2_P4_C1_A1</t>
  </si>
  <si>
    <t>B2_P4_C1_B1</t>
  </si>
  <si>
    <t>B2_P4_C1_A2</t>
  </si>
  <si>
    <t>B2_P4_C1_B2</t>
  </si>
  <si>
    <t>B2_P4_C1_A3</t>
  </si>
  <si>
    <t>B2_P4_C1_B3</t>
  </si>
  <si>
    <t>B2_P4_C1_A4</t>
  </si>
  <si>
    <t>B2_P4_C1_B4</t>
  </si>
  <si>
    <t>B2_P4_C2_A1</t>
  </si>
  <si>
    <t>B2_P4_C2_B1</t>
  </si>
  <si>
    <t>B2_P4_C2_A2</t>
  </si>
  <si>
    <t>B2_P4_C2_B2</t>
  </si>
  <si>
    <t>B2_P4_C2_A3</t>
  </si>
  <si>
    <t>B2_P4_C2_B3</t>
  </si>
  <si>
    <t>B2_P4_C2_A4</t>
  </si>
  <si>
    <t>B2_P4_C2_B4</t>
  </si>
  <si>
    <t>B2_P4_C3_A1</t>
  </si>
  <si>
    <t>B2_P4_C3_B1</t>
  </si>
  <si>
    <t>B2_P4_C3_A2</t>
  </si>
  <si>
    <t>B2_P4_C3_B2</t>
  </si>
  <si>
    <t>B2_P4_C3_A3</t>
  </si>
  <si>
    <t>B2_P4_C3_B3</t>
  </si>
  <si>
    <t>B2_P4_C3_A4</t>
  </si>
  <si>
    <t>B2_P4_C3_B4</t>
  </si>
  <si>
    <t>B2_P4_C4_A1</t>
  </si>
  <si>
    <t>B2_P4_C4_B1</t>
  </si>
  <si>
    <t>B2_P4_C4_A2</t>
  </si>
  <si>
    <t>B2_P4_C4_B2</t>
  </si>
  <si>
    <t>B2_P4_C4_A3</t>
  </si>
  <si>
    <t>B2_P4_C4_B3</t>
  </si>
  <si>
    <t>B2_P4_C4_A4</t>
  </si>
  <si>
    <t>B2_P4_C4_B4</t>
  </si>
  <si>
    <t>B2_P5_C1_A1</t>
  </si>
  <si>
    <t>B2_P5_C1_B1</t>
  </si>
  <si>
    <t>B2_P5_C1_A2</t>
  </si>
  <si>
    <t>B2_P5_C1_B2</t>
  </si>
  <si>
    <t>B2_P5_C1_A3</t>
  </si>
  <si>
    <t>B2_P5_C1_B3</t>
  </si>
  <si>
    <t>B2_P5_C1_A4</t>
  </si>
  <si>
    <t>B2_P5_C1_B4</t>
  </si>
  <si>
    <t>B2_P5_C2_A1</t>
  </si>
  <si>
    <t>B2_P5_C2_B1</t>
  </si>
  <si>
    <t>B2_P5_C2_A2</t>
  </si>
  <si>
    <t>B2_P5_C2_B2</t>
  </si>
  <si>
    <t>B2_P5_C2_A3</t>
  </si>
  <si>
    <t>B2_P5_C2_B3</t>
  </si>
  <si>
    <t>B2_P5_C2_A4</t>
  </si>
  <si>
    <t>B2_P5_C2_B4</t>
  </si>
  <si>
    <t>B2_P5_C3_A1</t>
  </si>
  <si>
    <t>B2_P5_C3_B1</t>
  </si>
  <si>
    <t>B2_P5_C3_A2</t>
  </si>
  <si>
    <t>B2_P5_C3_B2</t>
  </si>
  <si>
    <t>B2_P5_C3_A3</t>
  </si>
  <si>
    <t>B2_P5_C3_B3</t>
  </si>
  <si>
    <t>B2_P5_C3_A4</t>
  </si>
  <si>
    <t>B2_P5_C3_B4</t>
  </si>
  <si>
    <t>B2_P5_C4_A1</t>
  </si>
  <si>
    <t>B2_P5_C4_B1</t>
  </si>
  <si>
    <t>B2_P5_C4_A2</t>
  </si>
  <si>
    <t>B2_P5_C4_B2</t>
  </si>
  <si>
    <t>B2_P5_C4_A3</t>
  </si>
  <si>
    <t>B2_P5_C4_B3</t>
  </si>
  <si>
    <t>B2_P5_C4_A4</t>
  </si>
  <si>
    <t>B2_P6_C1_A1</t>
  </si>
  <si>
    <t>B2_P6_C1_B1</t>
  </si>
  <si>
    <t>B2_P6_C1_A2</t>
  </si>
  <si>
    <t>B2_P6_C1_B2</t>
  </si>
  <si>
    <t>B2_P6_C1_A3</t>
  </si>
  <si>
    <t>B2_P6_C1_B3</t>
  </si>
  <si>
    <t>B2_P6_C1_A4</t>
  </si>
  <si>
    <t>B2_P6_C1_B4</t>
  </si>
  <si>
    <t>B2_P6_C2_A1</t>
  </si>
  <si>
    <t>B2_P6_C2_B1</t>
  </si>
  <si>
    <t>B2_P6_C2_A2</t>
  </si>
  <si>
    <t>B2_P6_C2_B2</t>
  </si>
  <si>
    <t>B2_P6_C2_A3</t>
  </si>
  <si>
    <t>B2_P6_C2_B3</t>
  </si>
  <si>
    <t>B2_P6_C2_A4</t>
  </si>
  <si>
    <t>B2_P6_C2_B4</t>
  </si>
  <si>
    <t>B2_P6_C3_A1</t>
  </si>
  <si>
    <t>B2_P6_C3_B1</t>
  </si>
  <si>
    <t>B2_P6_C3_A2</t>
  </si>
  <si>
    <t>B2_P6_C3_B2</t>
  </si>
  <si>
    <t>B2_P6_C3_A3</t>
  </si>
  <si>
    <t>B2_P6_C3_B3</t>
  </si>
  <si>
    <t>B2_P6_C3_A4</t>
  </si>
  <si>
    <t>B2_P6_C3_B4</t>
  </si>
  <si>
    <t>B2_P6_C4_A1</t>
  </si>
  <si>
    <t>B2_P6_C4_B1</t>
  </si>
  <si>
    <t>B2_P6_C4_A2</t>
  </si>
  <si>
    <t>B2_P6_C4_B2</t>
  </si>
  <si>
    <t>B2_P6_C4_A3</t>
  </si>
  <si>
    <t>B2_P6_C4_B3</t>
  </si>
  <si>
    <t>B2_P6_C4_A4</t>
  </si>
  <si>
    <t>B2_P6_C4_B4</t>
  </si>
  <si>
    <t>B3</t>
  </si>
  <si>
    <t>B3_P1_C1_A1</t>
  </si>
  <si>
    <t>B3_P1_C1_B1</t>
  </si>
  <si>
    <t>B3_P1_C1_A2</t>
  </si>
  <si>
    <t>B3_P1_C1_B2</t>
  </si>
  <si>
    <t>B3_P1_C1_A3</t>
  </si>
  <si>
    <t>B3_P1_C1_B3</t>
  </si>
  <si>
    <t>B3_P1_C1_A4</t>
  </si>
  <si>
    <t>B3_P1_C1_B4</t>
  </si>
  <si>
    <t>B3_P1_C2_A1</t>
  </si>
  <si>
    <t>B3_P1_C2_B1</t>
  </si>
  <si>
    <t>B3_P1_C2_A2</t>
  </si>
  <si>
    <t>B3_P1_C2_B2</t>
  </si>
  <si>
    <t>B3_P1_C2_A3</t>
  </si>
  <si>
    <t>B3_P1_C2_B3</t>
  </si>
  <si>
    <t>B3_P1_C2_A4</t>
  </si>
  <si>
    <t>B3_P1_C2_B4</t>
  </si>
  <si>
    <t>B3_P1_C3_A1</t>
  </si>
  <si>
    <t>B3_P1_C3_B1</t>
  </si>
  <si>
    <t>B3_P1_C3_A2</t>
  </si>
  <si>
    <t>B3_P1_C3_B2</t>
  </si>
  <si>
    <t>B3_P1_C3_A3</t>
  </si>
  <si>
    <t>B3_P1_C3_B3</t>
  </si>
  <si>
    <t>B3_P1_C3_A4</t>
  </si>
  <si>
    <t>B3_P1_C3_B4</t>
  </si>
  <si>
    <t>B3_P1_C4_A1</t>
  </si>
  <si>
    <t>B3_P1_C4_B1</t>
  </si>
  <si>
    <t>B3_P1_C4_A2</t>
  </si>
  <si>
    <t>B3_P1_C4_B2</t>
  </si>
  <si>
    <t>B3_P1_C4_A3</t>
  </si>
  <si>
    <t>B3_P1_C4_B3</t>
  </si>
  <si>
    <t>B3_P1_C4_A4</t>
  </si>
  <si>
    <t>B3_P1_C4_B4</t>
  </si>
  <si>
    <t>B3_P2_C1_A1</t>
  </si>
  <si>
    <t>B3_P2_C1_B1</t>
  </si>
  <si>
    <t>B3_P2_C1_A2</t>
  </si>
  <si>
    <t>B3_P2_C1_B2</t>
  </si>
  <si>
    <t>B3_P2_C1_A3</t>
  </si>
  <si>
    <t>B3_P2_C1_B3</t>
  </si>
  <si>
    <t>B3_P2_C1_A4</t>
  </si>
  <si>
    <t>B3_P2_C1_B4</t>
  </si>
  <si>
    <t>B3_P2_C2_A1</t>
  </si>
  <si>
    <t>B3_P2_C2_B1</t>
  </si>
  <si>
    <t>B3_P2_C2_A2</t>
  </si>
  <si>
    <t>B3_P2_C2_B2</t>
  </si>
  <si>
    <t>B3_P2_C2_A3</t>
  </si>
  <si>
    <t>B3_P2_C2_B3</t>
  </si>
  <si>
    <t>B3_P2_C2_A4</t>
  </si>
  <si>
    <t>B3_P2_C2_B4</t>
  </si>
  <si>
    <t>B3_P2_C3_A1</t>
  </si>
  <si>
    <t>B3_P2_C3_B1</t>
  </si>
  <si>
    <t>B3_P2_C3_A2</t>
  </si>
  <si>
    <t>B3_P2_C3_B2</t>
  </si>
  <si>
    <t>B3_P2_C3_A3</t>
  </si>
  <si>
    <t>B3_P2_C3_B3</t>
  </si>
  <si>
    <t>B3_P2_C3_A4</t>
  </si>
  <si>
    <t>B3_P2_C3_B4</t>
  </si>
  <si>
    <t>B3_P2_C4_A1</t>
  </si>
  <si>
    <t>B3_P2_C4_B1</t>
  </si>
  <si>
    <t>B3_P2_C4_A2</t>
  </si>
  <si>
    <t>B3_P2_C4_B2</t>
  </si>
  <si>
    <t>B3_P2_C4_A3</t>
  </si>
  <si>
    <t>B3_P2_C4_B3</t>
  </si>
  <si>
    <t>B3_P2_C4_A4</t>
  </si>
  <si>
    <t>B3_P2_C4_B4</t>
  </si>
  <si>
    <t>B3_P3_C1_A1</t>
  </si>
  <si>
    <t>B3_P3_C1_B1</t>
  </si>
  <si>
    <t>B3_P3_C1_A2</t>
  </si>
  <si>
    <t>B3_P3_C1_B2</t>
  </si>
  <si>
    <t>B3_P3_C1_A3</t>
  </si>
  <si>
    <t>B3_P3_C1_B3</t>
  </si>
  <si>
    <t>B3_P3_C1_A4</t>
  </si>
  <si>
    <t>B3_P3_C1_B4</t>
  </si>
  <si>
    <t>B3_P3_C2_A1</t>
  </si>
  <si>
    <t>B3_P3_C2_B1</t>
  </si>
  <si>
    <t>B3_P3_C2_A2</t>
  </si>
  <si>
    <t>B3_P3_C2_B2</t>
  </si>
  <si>
    <t>B3_P3_C2_A3</t>
  </si>
  <si>
    <t>B3_P3_C2_B3</t>
  </si>
  <si>
    <t>B3_P3_C2_A4</t>
  </si>
  <si>
    <t>B3_P3_C2_B4</t>
  </si>
  <si>
    <t>B3_P3_C3_A1</t>
  </si>
  <si>
    <t>B3_P3_C3_B1</t>
  </si>
  <si>
    <t>B3_P3_C3_A2</t>
  </si>
  <si>
    <t>B3_P3_C3_B2</t>
  </si>
  <si>
    <t>B3_P3_C3_A3</t>
  </si>
  <si>
    <t>B3_P3_C3_B3</t>
  </si>
  <si>
    <t>B3_P3_C3_A4</t>
  </si>
  <si>
    <t>B3_P3_C3_B4</t>
  </si>
  <si>
    <t>B3_P3_C4_A1</t>
  </si>
  <si>
    <t>B3_P3_C4_B1</t>
  </si>
  <si>
    <t>B3_P3_C4_A2</t>
  </si>
  <si>
    <t>B3_P3_C4_B2</t>
  </si>
  <si>
    <t>B3_P3_C4_A3</t>
  </si>
  <si>
    <t>B3_P3_C4_B3</t>
  </si>
  <si>
    <t>B3_P3_C4_A4</t>
  </si>
  <si>
    <t>B3_P3_C4_B4</t>
  </si>
  <si>
    <t>B3_P4_C1_A1</t>
  </si>
  <si>
    <t>B3_P4_C1_B1</t>
  </si>
  <si>
    <t>B3_P4_C1_A2</t>
  </si>
  <si>
    <t>B3_P4_C1_B2</t>
  </si>
  <si>
    <t>B3_P4_C1_A3</t>
  </si>
  <si>
    <t>B3_P4_C1_B3</t>
  </si>
  <si>
    <t>B3_P4_C1_A4</t>
  </si>
  <si>
    <t>B3_P4_C1_B4</t>
  </si>
  <si>
    <t>B3_P4_C2_A1</t>
  </si>
  <si>
    <t>B3_P4_C2_B1</t>
  </si>
  <si>
    <t>B3_P4_C2_A2</t>
  </si>
  <si>
    <t>B3_P4_C2_B2</t>
  </si>
  <si>
    <t>B3_P4_C2_A3</t>
  </si>
  <si>
    <t>B3_P4_C2_B3</t>
  </si>
  <si>
    <t>B3_P4_C2_A4</t>
  </si>
  <si>
    <t>B3_P4_C2_B4</t>
  </si>
  <si>
    <t>B3_P4_C3_A1</t>
  </si>
  <si>
    <t>B3_P4_C3_B1</t>
  </si>
  <si>
    <t>B3_P4_C3_A2</t>
  </si>
  <si>
    <t>B3_P4_C3_B2</t>
  </si>
  <si>
    <t>B3_P4_C3_A3</t>
  </si>
  <si>
    <t>B3_P4_C3_B3</t>
  </si>
  <si>
    <t>B3_P4_C3_A4</t>
  </si>
  <si>
    <t>B3_P4_C3_B4</t>
  </si>
  <si>
    <t>B3_P4_C4_A1</t>
  </si>
  <si>
    <t>B3_P4_C4_B1</t>
  </si>
  <si>
    <t>B3_P4_C4_A2</t>
  </si>
  <si>
    <t>B3_P4_C4_B2</t>
  </si>
  <si>
    <t>B3_P4_C4_A3</t>
  </si>
  <si>
    <t>B3_P4_C4_B3</t>
  </si>
  <si>
    <t>B3_P4_C4_A4</t>
  </si>
  <si>
    <t>B3_P4_C4_B4</t>
  </si>
  <si>
    <t>B3_P5_C1_A1</t>
  </si>
  <si>
    <t>B3_P5_C1_B1</t>
  </si>
  <si>
    <t>B3_P5_C1_A2</t>
  </si>
  <si>
    <t>B3_P5_C1_B2</t>
  </si>
  <si>
    <t>B3_P5_C1_A3</t>
  </si>
  <si>
    <t>B3_P5_C1_B3</t>
  </si>
  <si>
    <t>B3_P5_C1_A4</t>
  </si>
  <si>
    <t>B3_P5_C1_B4</t>
  </si>
  <si>
    <t>B3_P5_C2_A1</t>
  </si>
  <si>
    <t>B3_P5_C2_B1</t>
  </si>
  <si>
    <t>B3_P5_C2_A2</t>
  </si>
  <si>
    <t>B3_P5_C2_B2</t>
  </si>
  <si>
    <t>B3_P5_C2_A3</t>
  </si>
  <si>
    <t>B3_P5_C2_B3</t>
  </si>
  <si>
    <t>B3_P5_C2_A4</t>
  </si>
  <si>
    <t>B3_P5_C2_B4</t>
  </si>
  <si>
    <t>B3_P5_C3_A1</t>
  </si>
  <si>
    <t>B3_P5_C3_B1</t>
  </si>
  <si>
    <t>B3_P5_C3_A2</t>
  </si>
  <si>
    <t>B3_P5_C3_B2</t>
  </si>
  <si>
    <t>B3_P5_C3_A3</t>
  </si>
  <si>
    <t>B3_P5_C3_B3</t>
  </si>
  <si>
    <t>B3_P5_C3_A4</t>
  </si>
  <si>
    <t>B3_P5_C3_B4</t>
  </si>
  <si>
    <t>B3_P5_C4_A1</t>
  </si>
  <si>
    <t>B3_P5_C4_B1</t>
  </si>
  <si>
    <t>B3_P5_C4_A2</t>
  </si>
  <si>
    <t>B3_P5_C4_B2</t>
  </si>
  <si>
    <t>B3_P5_C4_A3</t>
  </si>
  <si>
    <t>B3_P5_C4_B3</t>
  </si>
  <si>
    <t>B3_P5_C4_A4</t>
  </si>
  <si>
    <t>B3_P6_C1_A1</t>
  </si>
  <si>
    <t>B3_P6_C1_B1</t>
  </si>
  <si>
    <t>B3_P6_C1_A2</t>
  </si>
  <si>
    <t>B3_P6_C1_B2</t>
  </si>
  <si>
    <t>B3_P6_C1_A3</t>
  </si>
  <si>
    <t>B3_P6_C1_B3</t>
  </si>
  <si>
    <t>B3_P6_C1_A4</t>
  </si>
  <si>
    <t>B3_P6_C1_B4</t>
  </si>
  <si>
    <t>B3_P6_C2_A1</t>
  </si>
  <si>
    <t>B3_P6_C2_B1</t>
  </si>
  <si>
    <t>B3_P6_C2_A2</t>
  </si>
  <si>
    <t>B3_P6_C2_B2</t>
  </si>
  <si>
    <t>B3_P6_C2_A3</t>
  </si>
  <si>
    <t>B3_P6_C2_B3</t>
  </si>
  <si>
    <t>B3_P6_C2_A4</t>
  </si>
  <si>
    <t>B3_P6_C2_B4</t>
  </si>
  <si>
    <t>B3_P6_C3_A1</t>
  </si>
  <si>
    <t>B3_P6_C3_B1</t>
  </si>
  <si>
    <t>B3_P6_C3_A2</t>
  </si>
  <si>
    <t>B3_P6_C3_B2</t>
  </si>
  <si>
    <t>B3_P6_C3_A3</t>
  </si>
  <si>
    <t>B3_P6_C3_B3</t>
  </si>
  <si>
    <t>B3_P6_C3_A4</t>
  </si>
  <si>
    <t>B3_P6_C3_B4</t>
  </si>
  <si>
    <t>B3_P6_C4_A1</t>
  </si>
  <si>
    <t>B3_P6_C4_B1</t>
  </si>
  <si>
    <t>B3_P6_C4_A2</t>
  </si>
  <si>
    <t>B3_P6_C4_B2</t>
  </si>
  <si>
    <t>B3_P6_C4_A3</t>
  </si>
  <si>
    <t>B3_P6_C4_B3</t>
  </si>
  <si>
    <t>B3_P6_C4_A4</t>
  </si>
  <si>
    <t>B3_P6_C4_B4</t>
  </si>
  <si>
    <t>D</t>
  </si>
  <si>
    <t>E</t>
  </si>
  <si>
    <t>F</t>
  </si>
  <si>
    <t>BoxLabel</t>
  </si>
  <si>
    <t>B1_P1_C1</t>
  </si>
  <si>
    <t>B1_P1_C2</t>
  </si>
  <si>
    <t>Quercus_Fagus</t>
  </si>
  <si>
    <t>B1_P1_C3</t>
  </si>
  <si>
    <t>Quercus_Fagus_Robinia</t>
  </si>
  <si>
    <t>B1_P1_C4</t>
  </si>
  <si>
    <t>Quercus_Robinia</t>
  </si>
  <si>
    <t>B1_P2_C1</t>
  </si>
  <si>
    <t>Blue</t>
  </si>
  <si>
    <t>B1_P2_C2</t>
  </si>
  <si>
    <t>B1_P2_C3</t>
  </si>
  <si>
    <t>B1_P2_C4</t>
  </si>
  <si>
    <t>B1_P3_C1</t>
  </si>
  <si>
    <t>B1_P3_C2</t>
  </si>
  <si>
    <t>B1_P3_C3</t>
  </si>
  <si>
    <t>B1_P3_C4</t>
  </si>
  <si>
    <t>B1_P4_C1</t>
  </si>
  <si>
    <t>B1_P4_C2</t>
  </si>
  <si>
    <t>Fagus_Robinia</t>
  </si>
  <si>
    <t>B1_P4_C3</t>
  </si>
  <si>
    <t>B1_P4_C4</t>
  </si>
  <si>
    <t>B1_P5_C1</t>
  </si>
  <si>
    <t>B1_P5_C2</t>
  </si>
  <si>
    <t>B1_P5_C3</t>
  </si>
  <si>
    <t>B1_P5_C4</t>
  </si>
  <si>
    <t>B1_P6_C1</t>
  </si>
  <si>
    <t>B1_P6_C2</t>
  </si>
  <si>
    <t>B1_P6_C3</t>
  </si>
  <si>
    <t>B1_P6_C4</t>
  </si>
  <si>
    <t>B2_P1_C1</t>
  </si>
  <si>
    <t>B2_P1_C2</t>
  </si>
  <si>
    <t>B2_P1_C3</t>
  </si>
  <si>
    <t>B2_P1_C4</t>
  </si>
  <si>
    <t>B2_P2_C1</t>
  </si>
  <si>
    <t>B2_P2_C2</t>
  </si>
  <si>
    <t>B2_P2_C3</t>
  </si>
  <si>
    <t>B2_P2_C4</t>
  </si>
  <si>
    <t>B2_P3_C1</t>
  </si>
  <si>
    <t>B2_P3_C2</t>
  </si>
  <si>
    <t>B2_P3_C3</t>
  </si>
  <si>
    <t>B2_P3_C4</t>
  </si>
  <si>
    <t>B2_P4_C1</t>
  </si>
  <si>
    <t>B2_P4_C2</t>
  </si>
  <si>
    <t>B2_P4_C3</t>
  </si>
  <si>
    <t>B2_P4_C4</t>
  </si>
  <si>
    <t>B2_P5_C1</t>
  </si>
  <si>
    <t>B2_P5_C2</t>
  </si>
  <si>
    <t>B2_P5_C3</t>
  </si>
  <si>
    <t>B2_P5_C4</t>
  </si>
  <si>
    <t>B2_P6_C1</t>
  </si>
  <si>
    <t>B2_P6_C2</t>
  </si>
  <si>
    <t>B2_P6_C3</t>
  </si>
  <si>
    <t>B2_P6_C4</t>
  </si>
  <si>
    <t>B3_P1_C1</t>
  </si>
  <si>
    <t>B3_P1_C2</t>
  </si>
  <si>
    <t>B3_P1_C3</t>
  </si>
  <si>
    <t>B3_P1_C4</t>
  </si>
  <si>
    <t>B3_P2_C1</t>
  </si>
  <si>
    <t>B3_P2_C2</t>
  </si>
  <si>
    <t>B3_P2_C3</t>
  </si>
  <si>
    <t>B3_P2_C4</t>
  </si>
  <si>
    <t>B3_P3_C1</t>
  </si>
  <si>
    <t>B3_P3_C2</t>
  </si>
  <si>
    <t>B3_P3_C3</t>
  </si>
  <si>
    <t>B3_P3_C4</t>
  </si>
  <si>
    <t>B3_P4_C1</t>
  </si>
  <si>
    <t>B3_P4_C2</t>
  </si>
  <si>
    <t>B3_P4_C3</t>
  </si>
  <si>
    <t>B3_P4_C4</t>
  </si>
  <si>
    <t>B3_P5_C1</t>
  </si>
  <si>
    <t>B3_P5_C2</t>
  </si>
  <si>
    <t>B3_P5_C3</t>
  </si>
  <si>
    <t>B3_P5_C4</t>
  </si>
  <si>
    <t>B3_P6_C1</t>
  </si>
  <si>
    <t>B3_P6_C2</t>
  </si>
  <si>
    <t>B3_P6_C3</t>
  </si>
  <si>
    <t>B3_P6_C4</t>
  </si>
  <si>
    <t>Stage1</t>
  </si>
  <si>
    <t>Stage2</t>
  </si>
  <si>
    <t>Stage3</t>
  </si>
  <si>
    <t>Stage4</t>
  </si>
  <si>
    <t>DOY_S1</t>
  </si>
  <si>
    <t>DOY_S2</t>
  </si>
  <si>
    <t>DOY_S3</t>
  </si>
  <si>
    <t>DOY_S4</t>
  </si>
  <si>
    <t>Discard</t>
  </si>
  <si>
    <t>Comments</t>
  </si>
  <si>
    <t>B1-P1-C1</t>
  </si>
  <si>
    <t>Fagus-B1-P1-C1-A1</t>
  </si>
  <si>
    <t>Fagus-B1-P1-C1-B1</t>
  </si>
  <si>
    <t>Fagus-B1-P1-C1-A2</t>
  </si>
  <si>
    <t>Fagus-B1-P1-C1-B2</t>
  </si>
  <si>
    <t>Fagus-B1-P1-C1-A3</t>
  </si>
  <si>
    <t>Fagus-B1-P1-C1-B3</t>
  </si>
  <si>
    <t>Fagus-B1-P1-C1-A4</t>
  </si>
  <si>
    <t>Fagus-B1-P1-C1-B4</t>
  </si>
  <si>
    <t>B1-P1-C2</t>
  </si>
  <si>
    <t>Fagus-B1-P1-C2-A1</t>
  </si>
  <si>
    <t>Quercus-B1-P1-C2-B1</t>
  </si>
  <si>
    <t>Quercus-B1-P1-C2-A2</t>
  </si>
  <si>
    <t>Fagus-B1-P1-C2-B2</t>
  </si>
  <si>
    <t>Fagus-B1-P1-C2-A3</t>
  </si>
  <si>
    <t>Quercus-B1-P1-C2-B3</t>
  </si>
  <si>
    <t>Quercus-B1-P1-C2-A4</t>
  </si>
  <si>
    <t>Fagus-B1-P1-C2-B4</t>
  </si>
  <si>
    <t>B1-P1-C3</t>
  </si>
  <si>
    <t>Fagus-B1-P1-C3-A1</t>
  </si>
  <si>
    <t>Quercus-B1-P1-C3-B1</t>
  </si>
  <si>
    <t>Quercus-B1-P1-C3-A2</t>
  </si>
  <si>
    <t>Fagus-B1-P1-C3-B2</t>
  </si>
  <si>
    <t>Fagus-B1-P1-C3-A3</t>
  </si>
  <si>
    <t>Quercus-B1-P1-C3-B3</t>
  </si>
  <si>
    <t>Quercus-B1-P1-C3-A4</t>
  </si>
  <si>
    <t>Fagus-B1-P1-C3-B4</t>
  </si>
  <si>
    <t>B1-P1-C4</t>
  </si>
  <si>
    <t>Quercus-B1-P1-C4-A1</t>
  </si>
  <si>
    <t>Quercus-B1-P1-C4-B1</t>
  </si>
  <si>
    <t>Quercus-B1-P1-C4-A2</t>
  </si>
  <si>
    <t>Quercus-B1-P1-C4-B2</t>
  </si>
  <si>
    <t>Quercus-B1-P1-C4-A3</t>
  </si>
  <si>
    <t>Quercus-B1-P1-C4-B3</t>
  </si>
  <si>
    <t>Quercus-B1-P1-C4-A4</t>
  </si>
  <si>
    <t>Quercus-B1-P1-C4-B4</t>
  </si>
  <si>
    <t>B1-P2-C1</t>
  </si>
  <si>
    <t>Quercus-B1-P2-C1-A1</t>
  </si>
  <si>
    <t>Quercus-B1-P2-C1-B1</t>
  </si>
  <si>
    <t>Quercus-B1-P2-C1-A2</t>
  </si>
  <si>
    <t>Quercus-B1-P2-C1-B2</t>
  </si>
  <si>
    <t>Quercus-B1-P2-C1-A3</t>
  </si>
  <si>
    <t>Quercus-B1-P2-C1-B3</t>
  </si>
  <si>
    <t>Quercus-B1-P2-C1-A4</t>
  </si>
  <si>
    <t>Quercus-B1-P2-C1-B4</t>
  </si>
  <si>
    <t>B1-P2-C2</t>
  </si>
  <si>
    <t>Fagus-B1-P2-C2-A1</t>
  </si>
  <si>
    <t>Quercus-B1-P2-C2-B1</t>
  </si>
  <si>
    <t>Quercus-B1-P2-C2-A2</t>
  </si>
  <si>
    <t>Fagus-B1-P2-C2-B2</t>
  </si>
  <si>
    <t>Fagus-B1-P2-C2-A3</t>
  </si>
  <si>
    <t>Quercus-B1-P2-C2-B3</t>
  </si>
  <si>
    <t>Quercus-B1-P2-C2-A4</t>
  </si>
  <si>
    <t>Fagus-B1-P2-C2-B4</t>
  </si>
  <si>
    <t>B1-P2-C3</t>
  </si>
  <si>
    <t>Fagus-B1-P2-C3-A1</t>
  </si>
  <si>
    <t>Fagus-B1-P2-C3-B1</t>
  </si>
  <si>
    <t>Fagus-B1-P2-C3-A2</t>
  </si>
  <si>
    <t>Fagus-B1-P2-C3-B2</t>
  </si>
  <si>
    <t>Fagus-B1-P2-C3-A3</t>
  </si>
  <si>
    <t>Fagus-B1-P2-C3-B3</t>
  </si>
  <si>
    <t>Fagus-B1-P2-C3-A4</t>
  </si>
  <si>
    <t>Fagus-B1-P2-C3-B4</t>
  </si>
  <si>
    <t>B1-P2-C4</t>
  </si>
  <si>
    <t>Quercus-B1-P2-C4-A1</t>
  </si>
  <si>
    <t>Quercus-B1-P2-C4-B1</t>
  </si>
  <si>
    <t>Quercus-B1-P2-C4-A2</t>
  </si>
  <si>
    <t>Quercus-B1-P2-C4-B2</t>
  </si>
  <si>
    <t>Quercus-B1-P2-C4-A3</t>
  </si>
  <si>
    <t>Quercus-B1-P2-C4-B3</t>
  </si>
  <si>
    <t>Quercus-B1-P2-C4-A4</t>
  </si>
  <si>
    <t>Quercus-B1-P2-C4-B4</t>
  </si>
  <si>
    <t>B1-P3-C1</t>
  </si>
  <si>
    <t>Quercus-B1-P3-C1-A1</t>
  </si>
  <si>
    <t>Quercus-B1-P3-C1-B1</t>
  </si>
  <si>
    <t>Quercus-B1-P3-C1-A2</t>
  </si>
  <si>
    <t>Quercus-B1-P3-C1-B2</t>
  </si>
  <si>
    <t>Quercus-B1-P3-C1-A3</t>
  </si>
  <si>
    <t>Quercus-B1-P3-C1-B3</t>
  </si>
  <si>
    <t>Quercus-B1-P3-C1-A4</t>
  </si>
  <si>
    <t>Quercus-B1-P3-C1-B4</t>
  </si>
  <si>
    <t>B1-P3-C2</t>
  </si>
  <si>
    <t>Fagus-B1-P3-C2-A1</t>
  </si>
  <si>
    <t>Fagus-B1-P3-C2-B1</t>
  </si>
  <si>
    <t>Fagus-B1-P3-C2-A2</t>
  </si>
  <si>
    <t>Fagus-B1-P3-C2-B2</t>
  </si>
  <si>
    <t>Fagus-B1-P3-C2-A3</t>
  </si>
  <si>
    <t>Fagus-B1-P3-C2-B3</t>
  </si>
  <si>
    <t>Fagus-B1-P3-C2-A4</t>
  </si>
  <si>
    <t>Fagus-B1-P3-C2-B4</t>
  </si>
  <si>
    <t>B1-P3-C3</t>
  </si>
  <si>
    <t>Fagus-B1-P3-C3-A1</t>
  </si>
  <si>
    <t>Quercus-B1-P3-C3-B1</t>
  </si>
  <si>
    <t>Quercus-B1-P3-C3-A2</t>
  </si>
  <si>
    <t>Fagus-B1-P3-C3-B2</t>
  </si>
  <si>
    <t>Fagus-B1-P3-C3-A3</t>
  </si>
  <si>
    <t>Quercus-B1-P3-C3-B3</t>
  </si>
  <si>
    <t>Quercus-B1-P3-C3-A4</t>
  </si>
  <si>
    <t>Fagus-B1-P3-C3-B4</t>
  </si>
  <si>
    <t>B1-P3-C4</t>
  </si>
  <si>
    <t>Fagus-B1-P3-C4-A1</t>
  </si>
  <si>
    <t>Fagus-B1-P3-C4-B1</t>
  </si>
  <si>
    <t>Fagus-B1-P3-C4-A2</t>
  </si>
  <si>
    <t>Fagus-B1-P3-C4-B2</t>
  </si>
  <si>
    <t>Fagus-B1-P3-C4-A3</t>
  </si>
  <si>
    <t>Fagus-B1-P3-C4-B3</t>
  </si>
  <si>
    <t>Fagus-B1-P3-C4-A4</t>
  </si>
  <si>
    <t>Fagus-B1-P3-C4-B4</t>
  </si>
  <si>
    <t>B1-P4-C1</t>
  </si>
  <si>
    <t>Fagus-B1-P4-C1-A1</t>
  </si>
  <si>
    <t>Quercus-B1-P4-C1-B1</t>
  </si>
  <si>
    <t>Quercus-B1-P4-C1-A2</t>
  </si>
  <si>
    <t>Fagus-B1-P4-C1-B2</t>
  </si>
  <si>
    <t>Fagus-B1-P4-C1-A3</t>
  </si>
  <si>
    <t>Quercus-B1-P4-C1-B3</t>
  </si>
  <si>
    <t>Quercus-B1-P4-C1-A4</t>
  </si>
  <si>
    <t>Fagus-B1-P4-C1-B4</t>
  </si>
  <si>
    <t>B1-P4-C2</t>
  </si>
  <si>
    <t>Fagus-B1-P4-C2-A1</t>
  </si>
  <si>
    <t>Fagus-B1-P4-C2-B1</t>
  </si>
  <si>
    <t>Fagus-B1-P4-C2-A2</t>
  </si>
  <si>
    <t>Fagus-B1-P4-C2-B2</t>
  </si>
  <si>
    <t>Fagus-B1-P4-C2-A3</t>
  </si>
  <si>
    <t>Fagus-B1-P4-C2-B3</t>
  </si>
  <si>
    <t>Fagus-B1-P4-C2-A4</t>
  </si>
  <si>
    <t>Fagus-B1-P4-C2-B4</t>
  </si>
  <si>
    <t>B1-P4-C3</t>
  </si>
  <si>
    <t>Quercus-B1-P4-C3-A1</t>
  </si>
  <si>
    <t>Quercus-B1-P4-C3-B1</t>
  </si>
  <si>
    <t>Quercus-B1-P4-C3-A2</t>
  </si>
  <si>
    <t>Quercus-B1-P4-C3-B2</t>
  </si>
  <si>
    <t>Quercus-B1-P4-C3-A3</t>
  </si>
  <si>
    <t>Quercus-B1-P4-C3-B3</t>
  </si>
  <si>
    <t>Quercus-B1-P4-C3-A4</t>
  </si>
  <si>
    <t>Quercus-B1-P4-C3-B4</t>
  </si>
  <si>
    <t>B1-P4-C4</t>
  </si>
  <si>
    <t>Fagus-B1-P4-C4-A1</t>
  </si>
  <si>
    <t>Quercus-B1-P4-C4-B1</t>
  </si>
  <si>
    <t>Quercus-B1-P4-C4-A2</t>
  </si>
  <si>
    <t>Fagus-B1-P4-C4-B2</t>
  </si>
  <si>
    <t>Fagus-B1-P4-C4-A3</t>
  </si>
  <si>
    <t>Quercus-B1-P4-C4-B3</t>
  </si>
  <si>
    <t>Quercus-B1-P4-C4-A4</t>
  </si>
  <si>
    <t>Fagus-B1-P4-C4-B4</t>
  </si>
  <si>
    <t>B1-P5-C1</t>
  </si>
  <si>
    <t>Quercus-B1-P5-C1-A1</t>
  </si>
  <si>
    <t>Quercus-B1-P5-C1-B1</t>
  </si>
  <si>
    <t>Quercus-B1-P5-C1-A2</t>
  </si>
  <si>
    <t>Quercus-B1-P5-C1-B2</t>
  </si>
  <si>
    <t>Quercus-B1-P5-C1-A3</t>
  </si>
  <si>
    <t>Quercus-B1-P5-C1-B3</t>
  </si>
  <si>
    <t>Quercus-B1-P5-C1-A4</t>
  </si>
  <si>
    <t>Quercus-B1-P5-C1-B4</t>
  </si>
  <si>
    <t>B1-P5-C2</t>
  </si>
  <si>
    <t>Fagus-B1-P5-C2-A1</t>
  </si>
  <si>
    <t>Quercus-B1-P5-C2-B1</t>
  </si>
  <si>
    <t>Quercus-B1-P5-C2-A2</t>
  </si>
  <si>
    <t>Fagus-B1-P5-C2-B2</t>
  </si>
  <si>
    <t>Fagus-B1-P5-C2-A3</t>
  </si>
  <si>
    <t>Quercus-B1-P5-C2-B3</t>
  </si>
  <si>
    <t>Quercus-B1-P5-C2-A4</t>
  </si>
  <si>
    <t>Fagus-B1-P5-C2-B4</t>
  </si>
  <si>
    <t>B1-P5-C3</t>
  </si>
  <si>
    <t>Fagus-B1-P5-C3-A1</t>
  </si>
  <si>
    <t>Fagus-B1-P5-C3-B1</t>
  </si>
  <si>
    <t>Fagus-B1-P5-C3-A2</t>
  </si>
  <si>
    <t>Fagus-B1-P5-C3-B2</t>
  </si>
  <si>
    <t>Fagus-B1-P5-C3-A3</t>
  </si>
  <si>
    <t>Fagus-B1-P5-C3-B3</t>
  </si>
  <si>
    <t>Fagus-B1-P5-C3-A4</t>
  </si>
  <si>
    <t>Fagus-B1-P5-C3-B4</t>
  </si>
  <si>
    <t>B1-P5-C4</t>
  </si>
  <si>
    <t>Quercus-B1-P5-C4-A1</t>
  </si>
  <si>
    <t>Quercus-B1-P5-C4-B1</t>
  </si>
  <si>
    <t>Quercus-B1-P5-C4-A2</t>
  </si>
  <si>
    <t>Quercus-B1-P5-C4-B2</t>
  </si>
  <si>
    <t>Quercus-B1-P5-C4-A3</t>
  </si>
  <si>
    <t>Quercus-B1-P5-C4-B3</t>
  </si>
  <si>
    <t>Quercus-B1-P5-C4-A4</t>
  </si>
  <si>
    <t>Quercus-B1-P5-C4-B4</t>
  </si>
  <si>
    <t>B1-P6-C1</t>
  </si>
  <si>
    <t>Fagus-B1-P6-C1-A1</t>
  </si>
  <si>
    <t>Fagus-B1-P6-C1-B1</t>
  </si>
  <si>
    <t>Fagus-B1-P6-C1-A2</t>
  </si>
  <si>
    <t>Fagus-B1-P6-C1-B2</t>
  </si>
  <si>
    <t>Fagus-B1-P6-C1-A3</t>
  </si>
  <si>
    <t>Fagus-B1-P6-C1-B3</t>
  </si>
  <si>
    <t>Fagus-B1-P6-C1-A4</t>
  </si>
  <si>
    <t>Fagus-B1-P6-C1-B4</t>
  </si>
  <si>
    <t>B1-P6-C2</t>
  </si>
  <si>
    <t>Quercus-B1-P6-C2-A1</t>
  </si>
  <si>
    <t>Quercus-B1-P6-C2-B1</t>
  </si>
  <si>
    <t>Quercus-B1-P6-C2-A2</t>
  </si>
  <si>
    <t>Quercus-B1-P6-C2-B2</t>
  </si>
  <si>
    <t>Quercus-B1-P6-C2-A3</t>
  </si>
  <si>
    <t>Quercus-B1-P6-C2-B3</t>
  </si>
  <si>
    <t>Quercus-B1-P6-C2-A4</t>
  </si>
  <si>
    <t>Quercus-B1-P6-C2-B4</t>
  </si>
  <si>
    <t>B1-P6-C3</t>
  </si>
  <si>
    <t>Fagus-B1-P6-C3-A1</t>
  </si>
  <si>
    <t>Quercus-B1-P6-C3-B1</t>
  </si>
  <si>
    <t>Quercus-B1-P6-C3-A2</t>
  </si>
  <si>
    <t>Fagus-B1-P6-C3-B2</t>
  </si>
  <si>
    <t>Fagus-B1-P6-C3-A3</t>
  </si>
  <si>
    <t>Quercus-B1-P6-C3-B3</t>
  </si>
  <si>
    <t>Quercus-B1-P6-C3-A4</t>
  </si>
  <si>
    <t>Fagus-B1-P6-C3-B4</t>
  </si>
  <si>
    <t>B1-P6-C4</t>
  </si>
  <si>
    <t>Quercus-B1-P6-C4-A1</t>
  </si>
  <si>
    <t>Quercus-B1-P6-C4-B1</t>
  </si>
  <si>
    <t>Quercus-B1-P6-C4-A2</t>
  </si>
  <si>
    <t>Quercus-B1-P6-C4-B2</t>
  </si>
  <si>
    <t>Quercus-B1-P6-C4-A3</t>
  </si>
  <si>
    <t>Quercus-B1-P6-C4-B3</t>
  </si>
  <si>
    <t>Quercus-B1-P6-C4-A4</t>
  </si>
  <si>
    <t>Quercus-B1-P6-C4-B4</t>
  </si>
  <si>
    <t>B2-P1-C1</t>
  </si>
  <si>
    <t>Fagus-B2-P1-C1-A1</t>
  </si>
  <si>
    <t>Fagus-B2-P1-C1-B1</t>
  </si>
  <si>
    <t>Fagus-B2-P1-C1-A2</t>
  </si>
  <si>
    <t>Fagus-B2-P1-C1-B2</t>
  </si>
  <si>
    <t>Fagus-B2-P1-C1-A3</t>
  </si>
  <si>
    <t>Fagus-B2-P1-C1-B3</t>
  </si>
  <si>
    <t>Fagus-B2-P1-C1-A4</t>
  </si>
  <si>
    <t>Fagus-B2-P1-C1-B4</t>
  </si>
  <si>
    <t>B2-P1-C2</t>
  </si>
  <si>
    <t>Fagus-B2-P1-C2-A1</t>
  </si>
  <si>
    <t>Fagus-B2-P1-C2-B1</t>
  </si>
  <si>
    <t>Fagus-B2-P1-C2-A2</t>
  </si>
  <si>
    <t>Fagus-B2-P1-C2-B2</t>
  </si>
  <si>
    <t>Fagus-B2-P1-C2-A3</t>
  </si>
  <si>
    <t>Fagus-B2-P1-C2-B3</t>
  </si>
  <si>
    <t>Fagus-B2-P1-C2-A4</t>
  </si>
  <si>
    <t>Fagus-B2-P1-C2-B4</t>
  </si>
  <si>
    <t>B2-P1-C3</t>
  </si>
  <si>
    <t>Fagus-B2-P1-C3-A1</t>
  </si>
  <si>
    <t>Quercus-B2-P1-C3-B1</t>
  </si>
  <si>
    <t>Quercus-B2-P1-C3-A2</t>
  </si>
  <si>
    <t>Fagus-B2-P1-C3-B2</t>
  </si>
  <si>
    <t>Fagus-B2-P1-C3-A3</t>
  </si>
  <si>
    <t>Quercus-B2-P1-C3-B3</t>
  </si>
  <si>
    <t>Quercus-B2-P1-C3-A4</t>
  </si>
  <si>
    <t>Fagus-B2-P1-C3-B4</t>
  </si>
  <si>
    <t>B2-P1-C4</t>
  </si>
  <si>
    <t>Fagus-B2-P1-C4-A1</t>
  </si>
  <si>
    <t>Quercus-B2-P1-C4-B1</t>
  </si>
  <si>
    <t>Quercus-B2-P1-C4-A2</t>
  </si>
  <si>
    <t>Fagus-B2-P1-C4-B2</t>
  </si>
  <si>
    <t>Fagus-B2-P1-C4-A3</t>
  </si>
  <si>
    <t>Quercus-B2-P1-C4-B3</t>
  </si>
  <si>
    <t>Quercus-B2-P1-C4-A4</t>
  </si>
  <si>
    <t>Fagus-B2-P1-C4-B4</t>
  </si>
  <si>
    <t>B2-P2-C1</t>
  </si>
  <si>
    <t>Fagus-B2-P2-C1-A1</t>
  </si>
  <si>
    <t>Fagus-B2-P2-C1-B1</t>
  </si>
  <si>
    <t>Fagus-B2-P2-C1-A2</t>
  </si>
  <si>
    <t>Fagus-B2-P2-C1-B2</t>
  </si>
  <si>
    <t>Fagus-B2-P2-C1-A3</t>
  </si>
  <si>
    <t>Fagus-B2-P2-C1-B3</t>
  </si>
  <si>
    <t>Fagus-B2-P2-C1-A4</t>
  </si>
  <si>
    <t>Fagus-B2-P2-C1-B4</t>
  </si>
  <si>
    <t>B2-P2-C2</t>
  </si>
  <si>
    <t>Fagus-B2-P2-C2-A1</t>
  </si>
  <si>
    <t>Quercus-B2-P2-C2-B1</t>
  </si>
  <si>
    <t>Quercus-B2-P2-C2-A2</t>
  </si>
  <si>
    <t>Fagus-B2-P2-C2-B2</t>
  </si>
  <si>
    <t>Fagus-B2-P2-C2-A3</t>
  </si>
  <si>
    <t>Quercus-B2-P2-C2-B3</t>
  </si>
  <si>
    <t>Quercus-B2-P2-C2-A4</t>
  </si>
  <si>
    <t>Fagus-B2-P2-C2-B4</t>
  </si>
  <si>
    <t>B2-P2-C3</t>
  </si>
  <si>
    <t>Fagus-B2-P2-C3-A1</t>
  </si>
  <si>
    <t>Quercus-B2-P2-C3-B1</t>
  </si>
  <si>
    <t>Quercus-B2-P2-C3-A2</t>
  </si>
  <si>
    <t>Fagus-B2-P2-C3-B2</t>
  </si>
  <si>
    <t>Fagus-B2-P2-C3-A3</t>
  </si>
  <si>
    <t>Quercus-B2-P2-C3-B3</t>
  </si>
  <si>
    <t>Quercus-B2-P2-C3-A4</t>
  </si>
  <si>
    <t>Fagus-B2-P2-C3-B4</t>
  </si>
  <si>
    <t>B2-P2-C4</t>
  </si>
  <si>
    <t>Quercus-B2-P2-C4-A1</t>
  </si>
  <si>
    <t>Quercus-B2-P2-C4-B1</t>
  </si>
  <si>
    <t>Quercus-B2-P2-C4-A2</t>
  </si>
  <si>
    <t>Quercus-B2-P2-C4-B2</t>
  </si>
  <si>
    <t>Quercus-B2-P2-C4-A3</t>
  </si>
  <si>
    <t>Quercus-B2-P2-C4-B3</t>
  </si>
  <si>
    <t>Quercus-B2-P2-C4-A4</t>
  </si>
  <si>
    <t>Quercus-B2-P2-C4-B4</t>
  </si>
  <si>
    <t>B2-P3-C1</t>
  </si>
  <si>
    <t>Quercus-B2-P3-C1-A1</t>
  </si>
  <si>
    <t>Quercus-B2-P3-C1-B1</t>
  </si>
  <si>
    <t>Quercus-B2-P3-C1-A2</t>
  </si>
  <si>
    <t>Quercus-B2-P3-C1-B2</t>
  </si>
  <si>
    <t>Quercus-B2-P3-C1-A3</t>
  </si>
  <si>
    <t>Quercus-B2-P3-C1-B3</t>
  </si>
  <si>
    <t>Quercus-B2-P3-C1-A4</t>
  </si>
  <si>
    <t>Quercus-B2-P3-C1-B4</t>
  </si>
  <si>
    <t>B2-P3-C2</t>
  </si>
  <si>
    <t>Quercus-B2-P3-C2-A1</t>
  </si>
  <si>
    <t>Quercus-B2-P3-C2-B1</t>
  </si>
  <si>
    <t>Quercus-B2-P3-C2-A2</t>
  </si>
  <si>
    <t>Quercus-B2-P3-C2-B2</t>
  </si>
  <si>
    <t>Quercus-B2-P3-C2-A3</t>
  </si>
  <si>
    <t>Quercus-B2-P3-C2-B3</t>
  </si>
  <si>
    <t>Quercus-B2-P3-C2-A4</t>
  </si>
  <si>
    <t>Quercus-B2-P3-C2-B4</t>
  </si>
  <si>
    <t>B2-P3-C3</t>
  </si>
  <si>
    <t>Fagus-B2-P3-C3-A1</t>
  </si>
  <si>
    <t>Fagus-B2-P3-C3-B1</t>
  </si>
  <si>
    <t>inside eaten</t>
  </si>
  <si>
    <t>Fagus-B2-P3-C3-A2</t>
  </si>
  <si>
    <t>Fagus-B2-P3-C3-B2</t>
  </si>
  <si>
    <t>inside eaten, broke tree</t>
  </si>
  <si>
    <t>Fagus-B2-P3-C3-A3</t>
  </si>
  <si>
    <t>Fagus-B2-P3-C3-B3</t>
  </si>
  <si>
    <t>Fagus-B2-P3-C3-A4</t>
  </si>
  <si>
    <t>Fagus-B2-P3-C3-B4</t>
  </si>
  <si>
    <t>B2-P3-C4</t>
  </si>
  <si>
    <t>Quercus-B2-P3-C4-A1</t>
  </si>
  <si>
    <t>Quercus-B2-P3-C4-B1</t>
  </si>
  <si>
    <t>Quercus-B2-P3-C4-A2</t>
  </si>
  <si>
    <t>Quercus-B2-P3-C4-B2</t>
  </si>
  <si>
    <t>Quercus-B2-P3-C4-A3</t>
  </si>
  <si>
    <t>Quercus-B2-P3-C4-B3</t>
  </si>
  <si>
    <t>Quercus-B2-P3-C4-A4</t>
  </si>
  <si>
    <t>Quercus-B2-P3-C4-B4</t>
  </si>
  <si>
    <t>B2-P4-C1</t>
  </si>
  <si>
    <t>Quercus-B2-P4-C1-A1</t>
  </si>
  <si>
    <t>Quercus-B2-P4-C1-B1</t>
  </si>
  <si>
    <t>Quercus-B2-P4-C1-A2</t>
  </si>
  <si>
    <t>Quercus-B2-P4-C1-B2</t>
  </si>
  <si>
    <t>Quercus-B2-P4-C1-A3</t>
  </si>
  <si>
    <t>Quercus-B2-P4-C1-B3</t>
  </si>
  <si>
    <t>Quercus-B2-P4-C1-A4</t>
  </si>
  <si>
    <t>Quercus-B2-P4-C1-B4</t>
  </si>
  <si>
    <t>B2-P4-C2</t>
  </si>
  <si>
    <t>Fagus-B2-P4-C2-A1</t>
  </si>
  <si>
    <t>Quercus-B2-P4-C2-B1</t>
  </si>
  <si>
    <t>Quercus-B2-P4-C2-A2</t>
  </si>
  <si>
    <t>Fagus-B2-P4-C2-B2</t>
  </si>
  <si>
    <t>Fagus-B2-P4-C2-A3</t>
  </si>
  <si>
    <t>Quercus-B2-P4-C2-B3</t>
  </si>
  <si>
    <t>Quercus-B2-P4-C2-A4</t>
  </si>
  <si>
    <t>Fagus-B2-P4-C2-B4</t>
  </si>
  <si>
    <t>B2-P4-C3</t>
  </si>
  <si>
    <t>Fagus-B2-P4-C3-A1</t>
  </si>
  <si>
    <t>Fagus-B2-P4-C3-B1</t>
  </si>
  <si>
    <t>Fagus-B2-P4-C3-A2</t>
  </si>
  <si>
    <t>Fagus-B2-P4-C3-B2</t>
  </si>
  <si>
    <t>Fagus-B2-P4-C3-A3</t>
  </si>
  <si>
    <t>Fagus-B2-P4-C3-B3</t>
  </si>
  <si>
    <t>Fagus-B2-P4-C3-A4</t>
  </si>
  <si>
    <t>Fagus-B2-P4-C3-B4</t>
  </si>
  <si>
    <t>B2-P4-C4</t>
  </si>
  <si>
    <t>Quercus-B2-P4-C4-A1</t>
  </si>
  <si>
    <t>Quercus-B2-P4-C4-B1</t>
  </si>
  <si>
    <t>Quercus-B2-P4-C4-A2</t>
  </si>
  <si>
    <t>Quercus-B2-P4-C4-B2</t>
  </si>
  <si>
    <t>Quercus-B2-P4-C4-A3</t>
  </si>
  <si>
    <t>Quercus-B2-P4-C4-B3</t>
  </si>
  <si>
    <t>Quercus-B2-P4-C4-A4</t>
  </si>
  <si>
    <t>Quercus-B2-P4-C4-B4</t>
  </si>
  <si>
    <t>B2-P5-C1</t>
  </si>
  <si>
    <t>Fagus-B2-P5-C1-A1</t>
  </si>
  <si>
    <t>Fagus-B2-P5-C1-B1</t>
  </si>
  <si>
    <t>Fagus-B2-P5-C1-A2</t>
  </si>
  <si>
    <t>Fagus-B2-P5-C1-B2</t>
  </si>
  <si>
    <t>Fagus-B2-P5-C1-A3</t>
  </si>
  <si>
    <t>Fagus-B2-P5-C1-B3</t>
  </si>
  <si>
    <t>Fagus-B2-P5-C1-A4</t>
  </si>
  <si>
    <t>Fagus-B2-P5-C1-B4</t>
  </si>
  <si>
    <t>B2-P5-C2</t>
  </si>
  <si>
    <t>Quercus-B2-P5-C2-A1</t>
  </si>
  <si>
    <t>Quercus-B2-P5-C2-B1</t>
  </si>
  <si>
    <t>just 1-all stage 1 at 9.05.25</t>
  </si>
  <si>
    <t>Quercus-B2-P5-C2-A2</t>
  </si>
  <si>
    <t>Quercus-B2-P5-C2-B2</t>
  </si>
  <si>
    <t>Quercus-B2-P5-C2-A3</t>
  </si>
  <si>
    <t>Quercus-B2-P5-C2-B3</t>
  </si>
  <si>
    <t>Quercus-B2-P5-C2-A4</t>
  </si>
  <si>
    <t>Quercus-B2-P5-C2-B4</t>
  </si>
  <si>
    <t>B2-P5-C3</t>
  </si>
  <si>
    <t>Fagus-B2-P5-C3-A1</t>
  </si>
  <si>
    <t>Quercus-B2-P5-C3-B1</t>
  </si>
  <si>
    <t>Quercus-B2-P5-C3-A2</t>
  </si>
  <si>
    <t>Fagus-B2-P5-C3-B2</t>
  </si>
  <si>
    <t>Fagus-B2-P5-C3-A3</t>
  </si>
  <si>
    <t>Quercus-B2-P5-C3-B3</t>
  </si>
  <si>
    <t>Quercus-B2-P5-C3-A4</t>
  </si>
  <si>
    <t>Fagus-B2-P5-C3-B4</t>
  </si>
  <si>
    <t>B2-P5-C4</t>
  </si>
  <si>
    <t>Fagus-B2-P5-C4-A1</t>
  </si>
  <si>
    <t>Fagus-B2-P5-C4-B1</t>
  </si>
  <si>
    <t>Fagus-B2-P5-C4-A2</t>
  </si>
  <si>
    <t>Fagus-B2-P5-C4-B2</t>
  </si>
  <si>
    <t>Fagus-B2-P5-C4-A3</t>
  </si>
  <si>
    <t>Fagus-B2-P5-C4-B3</t>
  </si>
  <si>
    <t>Fagus-B2-P5-C4-A4</t>
  </si>
  <si>
    <t>Fagus-B2-P5-C4-B4</t>
  </si>
  <si>
    <t>B2-P6-C1</t>
  </si>
  <si>
    <t>Fagus-B2-P6-C1-A1</t>
  </si>
  <si>
    <t>Fagus-B2-P6-C1-B1</t>
  </si>
  <si>
    <t>Fagus-B2-P6-C1-A2</t>
  </si>
  <si>
    <t>Fagus-B2-P6-C1-B2</t>
  </si>
  <si>
    <t>Fagus-B2-P6-C1-A3</t>
  </si>
  <si>
    <t>Fagus-B2-P6-C1-B3</t>
  </si>
  <si>
    <t>Fagus-B2-P6-C1-A4</t>
  </si>
  <si>
    <t>Fagus-B2-P6-C1-B4</t>
  </si>
  <si>
    <t>B2-P6-C2</t>
  </si>
  <si>
    <t>Fagus-B2-P6-C2-A1</t>
  </si>
  <si>
    <t>Quercus-B2-P6-C2-B1</t>
  </si>
  <si>
    <t>Quercus-B2-P6-C2-A2</t>
  </si>
  <si>
    <t>Fagus-B2-P6-C2-B2</t>
  </si>
  <si>
    <t>Fagus-B2-P6-C2-A3</t>
  </si>
  <si>
    <t>Quercus-B2-P6-C2-B3</t>
  </si>
  <si>
    <t>Quercus-B2-P6-C2-A4</t>
  </si>
  <si>
    <t>Fagus-B2-P6-C2-B4</t>
  </si>
  <si>
    <t>B2-P6-C3</t>
  </si>
  <si>
    <t>Fagus-B2-P6-C3-A1</t>
  </si>
  <si>
    <t>Quercus-B2-P6-C3-B1</t>
  </si>
  <si>
    <t>Quercus-B2-P6-C3-A2</t>
  </si>
  <si>
    <t>Fagus-B2-P6-C3-B2</t>
  </si>
  <si>
    <t>Fagus-B2-P6-C3-A3</t>
  </si>
  <si>
    <t>Quercus-B2-P6-C3-B3</t>
  </si>
  <si>
    <t>Quercus-B2-P6-C3-A4</t>
  </si>
  <si>
    <t>Fagus-B2-P6-C3-B4</t>
  </si>
  <si>
    <t>B2-P6-C4</t>
  </si>
  <si>
    <t>Quercus-B2-P6-C4-A1</t>
  </si>
  <si>
    <t>Quercus-B2-P6-C4-B1</t>
  </si>
  <si>
    <t>Quercus-B2-P6-C4-A2</t>
  </si>
  <si>
    <t>Quercus-B2-P6-C4-B2</t>
  </si>
  <si>
    <t>Quercus-B2-P6-C4-A3</t>
  </si>
  <si>
    <t>Quercus-B2-P6-C4-B3</t>
  </si>
  <si>
    <t>Quercus-B2-P6-C4-A4</t>
  </si>
  <si>
    <t>Quercus-B2-P6-C4-B4</t>
  </si>
  <si>
    <t>B3-P1-C1</t>
  </si>
  <si>
    <t>Fagus-B3-P1-C1-A1</t>
  </si>
  <si>
    <t>Fagus-B3-P1-C1-B1</t>
  </si>
  <si>
    <t>Fagus-B3-P1-C1-A2</t>
  </si>
  <si>
    <t>Fagus-B3-P1-C1-B2</t>
  </si>
  <si>
    <t>Fagus-B3-P1-C1-A3</t>
  </si>
  <si>
    <t>Fagus-B3-P1-C1-B3</t>
  </si>
  <si>
    <t>Fagus-B3-P1-C1-A4</t>
  </si>
  <si>
    <t>Fagus-B3-P1-C1-B4</t>
  </si>
  <si>
    <t>B3-P1-C2</t>
  </si>
  <si>
    <t>Quercus-B3-P1-C2-A1</t>
  </si>
  <si>
    <t>Quercus-B3-P1-C2-B1</t>
  </si>
  <si>
    <t>Quercus-B3-P1-C2-A2</t>
  </si>
  <si>
    <t>Quercus-B3-P1-C2-B2</t>
  </si>
  <si>
    <t>Quercus-B3-P1-C2-A3</t>
  </si>
  <si>
    <t>Quercus-B3-P1-C2-B3</t>
  </si>
  <si>
    <t>Quercus-B3-P1-C2-A4</t>
  </si>
  <si>
    <t>Quercus-B3-P1-C2-B4</t>
  </si>
  <si>
    <t>B3-P1-C3</t>
  </si>
  <si>
    <t>Fagus-B3-P1-C3-A1</t>
  </si>
  <si>
    <t>Quercus-B3-P1-C3-B1</t>
  </si>
  <si>
    <t>Quercus-B3-P1-C3-A2</t>
  </si>
  <si>
    <t>Fagus-B3-P1-C3-B2</t>
  </si>
  <si>
    <t>Fagus-B3-P1-C3-A3</t>
  </si>
  <si>
    <t>Quercus-B3-P1-C3-B3</t>
  </si>
  <si>
    <t>Quercus-B3-P1-C3-A4</t>
  </si>
  <si>
    <t>Fagus-B3-P1-C3-B4</t>
  </si>
  <si>
    <t>B3-P1-C4</t>
  </si>
  <si>
    <t>Fagus-B3-P1-C4-A1</t>
  </si>
  <si>
    <t>Quercus-B3-P1-C4-B1</t>
  </si>
  <si>
    <t>Quercus-B3-P1-C4-A2</t>
  </si>
  <si>
    <t>Fagus-B3-P1-C4-B2</t>
  </si>
  <si>
    <t>Fagus-B3-P1-C4-A3</t>
  </si>
  <si>
    <t>Quercus-B3-P1-C4-B3</t>
  </si>
  <si>
    <t>Quercus-B3-P1-C4-A4</t>
  </si>
  <si>
    <t>Fagus-B3-P1-C4-B4</t>
  </si>
  <si>
    <t>B3-P2-C1</t>
  </si>
  <si>
    <t>Fagus-B3-P2-C1-A1</t>
  </si>
  <si>
    <t>Fagus-B3-P2-C1-B1</t>
  </si>
  <si>
    <t>Fagus-B3-P2-C1-A2</t>
  </si>
  <si>
    <t>Fagus-B3-P2-C1-B2</t>
  </si>
  <si>
    <t>Fagus-B3-P2-C1-A3</t>
  </si>
  <si>
    <t>Fagus-B3-P2-C1-B3</t>
  </si>
  <si>
    <t>Fagus-B3-P2-C1-A4</t>
  </si>
  <si>
    <t>Fagus-B3-P2-C1-B4</t>
  </si>
  <si>
    <t>B3-P2-C2</t>
  </si>
  <si>
    <t>Fagus-B3-P2-C2-A1</t>
  </si>
  <si>
    <t>Quercus-B3-P2-C2-B1</t>
  </si>
  <si>
    <t>Quercus-B3-P2-C2-A2</t>
  </si>
  <si>
    <t>Fagus-B3-P2-C2-B2</t>
  </si>
  <si>
    <t>Fagus-B3-P2-C2-A3</t>
  </si>
  <si>
    <t>Quercus-B3-P2-C2-B3</t>
  </si>
  <si>
    <t>Quercus-B3-P2-C2-A4</t>
  </si>
  <si>
    <t>Fagus-B3-P2-C2-B4</t>
  </si>
  <si>
    <t>B3-P2-C3</t>
  </si>
  <si>
    <t>Fagus-B3-P2-C3-A1</t>
  </si>
  <si>
    <t>Quercus-B3-P2-C3-B1</t>
  </si>
  <si>
    <t>Quercus-B3-P2-C3-A2</t>
  </si>
  <si>
    <t>Fagus-B3-P2-C3-B2</t>
  </si>
  <si>
    <t>Fagus-B3-P2-C3-A3</t>
  </si>
  <si>
    <t>Quercus-B3-P2-C3-B3</t>
  </si>
  <si>
    <t>Quercus-B3-P2-C3-A4</t>
  </si>
  <si>
    <t>Fagus-B3-P2-C3-B4</t>
  </si>
  <si>
    <t>B3-P2-C4</t>
  </si>
  <si>
    <t>Quercus-B3-P2-C4-A1</t>
  </si>
  <si>
    <t>Quercus-B3-P2-C4-B1</t>
  </si>
  <si>
    <t>Quercus-B3-P2-C4-A2</t>
  </si>
  <si>
    <t>Quercus-B3-P2-C4-B2</t>
  </si>
  <si>
    <t>Quercus-B3-P2-C4-A3</t>
  </si>
  <si>
    <t>Quercus-B3-P2-C4-B3</t>
  </si>
  <si>
    <t>Quercus-B3-P2-C4-A4</t>
  </si>
  <si>
    <t>Quercus-B3-P2-C4-B4</t>
  </si>
  <si>
    <t>B3-P3-C1</t>
  </si>
  <si>
    <t>Quercus-B3-P3-C1-A1</t>
  </si>
  <si>
    <t>Quercus-B3-P3-C1-B1</t>
  </si>
  <si>
    <t>Quercus-B3-P3-C1-A2</t>
  </si>
  <si>
    <t>Quercus-B3-P3-C1-B2</t>
  </si>
  <si>
    <t>Quercus-B3-P3-C1-A3</t>
  </si>
  <si>
    <t>Quercus-B3-P3-C1-B3</t>
  </si>
  <si>
    <t>Quercus-B3-P3-C1-A4</t>
  </si>
  <si>
    <t>Quercus-B3-P3-C1-B4</t>
  </si>
  <si>
    <t>B3-P3-C2</t>
  </si>
  <si>
    <t>Fagus-B3-P3-C2-A1</t>
  </si>
  <si>
    <t>Fagus-B3-P3-C2-B1</t>
  </si>
  <si>
    <t>Fagus-B3-P3-C2-A2</t>
  </si>
  <si>
    <t>Fagus-B3-P3-C2-B2</t>
  </si>
  <si>
    <t>Fagus-B3-P3-C2-A3</t>
  </si>
  <si>
    <t>Fagus-B3-P3-C2-B3</t>
  </si>
  <si>
    <t>Fagus-B3-P3-C2-A4</t>
  </si>
  <si>
    <t>Fagus-B3-P3-C2-B4</t>
  </si>
  <si>
    <t>B3-P3-C3</t>
  </si>
  <si>
    <t>Quercus-B3-P3-C3-A1</t>
  </si>
  <si>
    <t>Quercus-B3-P3-C3-B1</t>
  </si>
  <si>
    <t>Quercus-B3-P3-C3-A2</t>
  </si>
  <si>
    <t>Quercus-B3-P3-C3-B2</t>
  </si>
  <si>
    <t>Quercus-B3-P3-C3-A3</t>
  </si>
  <si>
    <t>Quercus-B3-P3-C3-B3</t>
  </si>
  <si>
    <t>Quercus-B3-P3-C3-A4</t>
  </si>
  <si>
    <t>Quercus-B3-P3-C3-B4</t>
  </si>
  <si>
    <t>B3-P3-C4</t>
  </si>
  <si>
    <t>Fagus-B3-P3-C4-A1</t>
  </si>
  <si>
    <t>Fagus-B3-P3-C4-B1</t>
  </si>
  <si>
    <t>Fagus-B3-P3-C4-A2</t>
  </si>
  <si>
    <t>Fagus-B3-P3-C4-B2</t>
  </si>
  <si>
    <t>Fagus-B3-P3-C4-A3</t>
  </si>
  <si>
    <t>Fagus-B3-P3-C4-B3</t>
  </si>
  <si>
    <t>Fagus-B3-P3-C4-A4</t>
  </si>
  <si>
    <t>Fagus-B3-P3-C4-B4</t>
  </si>
  <si>
    <t>B3-P4-C1</t>
  </si>
  <si>
    <t>Fagus-B3-P4-C1-A1</t>
  </si>
  <si>
    <t>Fagus-B3-P4-C1-B1</t>
  </si>
  <si>
    <t>Fagus-B3-P4-C1-A2</t>
  </si>
  <si>
    <t>Fagus-B3-P4-C1-B2</t>
  </si>
  <si>
    <t>Fagus-B3-P4-C1-A3</t>
  </si>
  <si>
    <t>Fagus-B3-P4-C1-B3</t>
  </si>
  <si>
    <t>Fagus-B3-P4-C1-A4</t>
  </si>
  <si>
    <t>Fagus-B3-P4-C1-B4</t>
  </si>
  <si>
    <t>B3-P4-C2</t>
  </si>
  <si>
    <t>Quercus-B3-P4-C2-A1</t>
  </si>
  <si>
    <t>Quercus-B3-P4-C2-B1</t>
  </si>
  <si>
    <t>Quercus-B3-P4-C2-A2</t>
  </si>
  <si>
    <t>Quercus-B3-P4-C2-B2</t>
  </si>
  <si>
    <t>Quercus-B3-P4-C2-A3</t>
  </si>
  <si>
    <t>Quercus-B3-P4-C2-B3</t>
  </si>
  <si>
    <t>Quercus-B3-P4-C2-A4</t>
  </si>
  <si>
    <t>Quercus-B3-P4-C2-B4</t>
  </si>
  <si>
    <t>B3-P4-C3</t>
  </si>
  <si>
    <t>Fagus-B3-P4-C3-A1</t>
  </si>
  <si>
    <t>Quercus-B3-P4-C3-B1</t>
  </si>
  <si>
    <t>Quercus-B3-P4-C3-A2</t>
  </si>
  <si>
    <t>1/2 dead</t>
  </si>
  <si>
    <t>Fagus-B3-P4-C3-B2</t>
  </si>
  <si>
    <t>Fagus-B3-P4-C3-A3</t>
  </si>
  <si>
    <t>Quercus-B3-P4-C3-B3</t>
  </si>
  <si>
    <t>Quercus-B3-P4-C3-A4</t>
  </si>
  <si>
    <t>Fagus-B3-P4-C3-B4</t>
  </si>
  <si>
    <t>B3-P4-C4</t>
  </si>
  <si>
    <t>Quercus-B3-P4-C4-A1</t>
  </si>
  <si>
    <t>Fagus-B3-P4-C4-B1</t>
  </si>
  <si>
    <t>Fagus-B3-P4-C4-A2</t>
  </si>
  <si>
    <t>Quercus-B3-P4-C4-B2</t>
  </si>
  <si>
    <t>Quercus-B3-P4-C4-A3</t>
  </si>
  <si>
    <t>Fagus-B3-P4-C4-B3</t>
  </si>
  <si>
    <t>Fagus-B3-P4-C4-A4</t>
  </si>
  <si>
    <t>Quercus-B3-P4-C4-B4</t>
  </si>
  <si>
    <t>B3-P5-C1</t>
  </si>
  <si>
    <t>Quercus-B3-P5-C1-A1</t>
  </si>
  <si>
    <t>Quercus-B3-P5-C1-B1</t>
  </si>
  <si>
    <t>Quercus-B3-P5-C1-A2</t>
  </si>
  <si>
    <t>Quercus-B3-P5-C1-B2</t>
  </si>
  <si>
    <t>Quercus-B3-P5-C1-A3</t>
  </si>
  <si>
    <t>Quercus-B3-P5-C1-B3</t>
  </si>
  <si>
    <t>Quercus-B3-P5-C1-A4</t>
  </si>
  <si>
    <t>Quercus-B3-P5-C1-B4</t>
  </si>
  <si>
    <t>leaves from the bottom</t>
  </si>
  <si>
    <t>B3-P5-C2</t>
  </si>
  <si>
    <t>Fagus-B3-P5-C2-A1</t>
  </si>
  <si>
    <t>Fagus-B3-P5-C2-B1</t>
  </si>
  <si>
    <t>Fagus-B3-P5-C2-A2</t>
  </si>
  <si>
    <t>Fagus-B3-P5-C2-B2</t>
  </si>
  <si>
    <t>Fagus-B3-P5-C2-A3</t>
  </si>
  <si>
    <t>Fagus-B3-P5-C2-B3</t>
  </si>
  <si>
    <t>Fagus-B3-P5-C2-A4</t>
  </si>
  <si>
    <t>Fagus-B3-P5-C2-B4</t>
  </si>
  <si>
    <t>B3-P5-C3</t>
  </si>
  <si>
    <t>Fagus-B3-P5-C3-A1</t>
  </si>
  <si>
    <t>Fagus-B3-P5-C3-B1</t>
  </si>
  <si>
    <t>Fagus-B3-P5-C3-A2</t>
  </si>
  <si>
    <t>Fagus-B3-P5-C3-B2</t>
  </si>
  <si>
    <t>Fagus-B3-P5-C3-A3</t>
  </si>
  <si>
    <t>Fagus-B3-P5-C3-B3</t>
  </si>
  <si>
    <t>Fagus-B3-P5-C3-A4</t>
  </si>
  <si>
    <t>Fagus-B3-P5-C3-B4</t>
  </si>
  <si>
    <t>B3-P5-C4</t>
  </si>
  <si>
    <t>Quercus-B3-P5-C4-A1</t>
  </si>
  <si>
    <t>Quercus-B3-P5-C4-B1</t>
  </si>
  <si>
    <t>Quercus-B3-P5-C4-A2</t>
  </si>
  <si>
    <t>Quercus-B3-P5-C4-B2</t>
  </si>
  <si>
    <t>Quercus-B3-P5-C4-A3</t>
  </si>
  <si>
    <t>Quercus-B3-P5-C4-B3</t>
  </si>
  <si>
    <t>Quercus-B3-P5-C4-A4</t>
  </si>
  <si>
    <t>Quercus-B3-P5-C4-B4</t>
  </si>
  <si>
    <t>B3-P6-C1</t>
  </si>
  <si>
    <t>Fagus-B3-P6-C1-A1</t>
  </si>
  <si>
    <t>Quercus-B3-P6-C1-B1</t>
  </si>
  <si>
    <t>Quercus-B3-P6-C1-A2</t>
  </si>
  <si>
    <t>Fagus-B3-P6-C1-B2</t>
  </si>
  <si>
    <t>Fagus-B3-P6-C1-A3</t>
  </si>
  <si>
    <t>Quercus-B3-P6-C1-B3</t>
  </si>
  <si>
    <t>Quercus-B3-P6-C1-A4</t>
  </si>
  <si>
    <t>Fagus-B3-P6-C1-B4</t>
  </si>
  <si>
    <t>B3-P6-C2</t>
  </si>
  <si>
    <t>Fagus-B3-P6-C2-A1</t>
  </si>
  <si>
    <t>Fagus-B3-P6-C2-B1</t>
  </si>
  <si>
    <t>Fagus-B3-P6-C2-A2</t>
  </si>
  <si>
    <t>Fagus-B3-P6-C2-B2</t>
  </si>
  <si>
    <t>Fagus-B3-P6-C2-A3</t>
  </si>
  <si>
    <t>Fagus-B3-P6-C2-B3</t>
  </si>
  <si>
    <t>Fagus-B3-P6-C2-A4</t>
  </si>
  <si>
    <t>Fagus-B3-P6-C2-B4</t>
  </si>
  <si>
    <t>B3-P6-C3</t>
  </si>
  <si>
    <t>Fagus-B3-P6-C3-A1</t>
  </si>
  <si>
    <t>Quercus-B3-P6-C3-B1</t>
  </si>
  <si>
    <t>Quercus-B3-P6-C3-A2</t>
  </si>
  <si>
    <t>Fagus-B3-P6-C3-B2</t>
  </si>
  <si>
    <t>Fagus-B3-P6-C3-A3</t>
  </si>
  <si>
    <t>Quercus-B3-P6-C3-B3</t>
  </si>
  <si>
    <t>Quercus-B3-P6-C3-A4</t>
  </si>
  <si>
    <t>Fagus-B3-P6-C3-B4</t>
  </si>
  <si>
    <t>B3-P6-C4</t>
  </si>
  <si>
    <t>Quercus-B3-P6-C4-A1</t>
  </si>
  <si>
    <t>Quercus-B3-P6-C4-B1</t>
  </si>
  <si>
    <t>Quercus-B3-P6-C4-A2</t>
  </si>
  <si>
    <t>Quercus-B3-P6-C4-B2</t>
  </si>
  <si>
    <t>Quercus-B3-P6-C4-A3</t>
  </si>
  <si>
    <t>Quercus-B3-P6-C4-B3</t>
  </si>
  <si>
    <t>Quercus-B3-P6-C4-A4</t>
  </si>
  <si>
    <t>Quercus-B3-P6-C4-B4</t>
  </si>
  <si>
    <t>B1_P1_C3_D1</t>
  </si>
  <si>
    <t>Robinia-B1-P1-C3-D1</t>
  </si>
  <si>
    <t>B1_P1_C3_E1</t>
  </si>
  <si>
    <t>Robinia-B1-P1-C3-E1</t>
  </si>
  <si>
    <t>B1_P1_C3_F1</t>
  </si>
  <si>
    <t>Robinia-B1-P1-C3-F1</t>
  </si>
  <si>
    <t>B1_P1_C3_D2</t>
  </si>
  <si>
    <t>Robinia-B1-P1-C3-D2</t>
  </si>
  <si>
    <t>B1_P1_C3_E2</t>
  </si>
  <si>
    <t>Robinia-B1-P1-C3-E2</t>
  </si>
  <si>
    <t>B1_P1_C3_F2</t>
  </si>
  <si>
    <t>Robinia-B1-P1-C3-F2</t>
  </si>
  <si>
    <t>B1_P1_C4_D1</t>
  </si>
  <si>
    <t>Robinia-B1-P1-C4-D1</t>
  </si>
  <si>
    <t>B1_P1_C4_E1</t>
  </si>
  <si>
    <t>Robinia-B1-P1-C4-E1</t>
  </si>
  <si>
    <t>B1_P1_C4_F1</t>
  </si>
  <si>
    <t>Robinia-B1-P1-C4-F1</t>
  </si>
  <si>
    <t>B1_P1_C4_D2</t>
  </si>
  <si>
    <t>Robinia-B1-P1-C4-D2</t>
  </si>
  <si>
    <t>B1_P1_C4_E2</t>
  </si>
  <si>
    <t>Robinia-B1-P1-C4-E2</t>
  </si>
  <si>
    <t>B1_P1_C4_F2</t>
  </si>
  <si>
    <t>Robinia-B1-P1-C4-F2</t>
  </si>
  <si>
    <t>B1_P2_C1_D1</t>
  </si>
  <si>
    <t>Robinia-B1-P2-C1-D1</t>
  </si>
  <si>
    <t>B1_P2_C1_E1</t>
  </si>
  <si>
    <t>Robinia-B1-P2-C1-E1</t>
  </si>
  <si>
    <t>B1_P2_C1_F1</t>
  </si>
  <si>
    <t>Robinia-B1-P2-C1-F1</t>
  </si>
  <si>
    <t>B1_P2_C1_D2</t>
  </si>
  <si>
    <t>Robinia-B1-P2-C1-D2</t>
  </si>
  <si>
    <t>B1_P2_C1_E2</t>
  </si>
  <si>
    <t>Robinia-B1-P2-C1-E2</t>
  </si>
  <si>
    <t>B1_P2_C1_F2</t>
  </si>
  <si>
    <t>Robinia-B1-P2-C1-F2</t>
  </si>
  <si>
    <t>B1_P2_C3_D1</t>
  </si>
  <si>
    <t>Robinia-B1-P2-C3-D1</t>
  </si>
  <si>
    <t>B1_P2_C3_E1</t>
  </si>
  <si>
    <t>Robinia-B1-P2-C3-E1</t>
  </si>
  <si>
    <t>B1_P2_C3_F1</t>
  </si>
  <si>
    <t>Robinia-B1-P2-C3-F1</t>
  </si>
  <si>
    <t>B1_P2_C3_D2</t>
  </si>
  <si>
    <t>Robinia-B1-P2-C3-D2</t>
  </si>
  <si>
    <t>B1_P2_C3_E2</t>
  </si>
  <si>
    <t>Robinia-B1-P2-C3-E2</t>
  </si>
  <si>
    <t>B1_P2_C3_F2</t>
  </si>
  <si>
    <t>Robinia-B1-P2-C3-F2</t>
  </si>
  <si>
    <t>B1_P3_C3_D1</t>
  </si>
  <si>
    <t>Robinia-B1-P3-C3-D1</t>
  </si>
  <si>
    <t>B1_P3_C3_E1</t>
  </si>
  <si>
    <t>Robinia-B1-P3-C3-E1</t>
  </si>
  <si>
    <t>B1_P3_C3_F1</t>
  </si>
  <si>
    <t>Robinia-B1-P3-C3-F1</t>
  </si>
  <si>
    <t>B1_P3_C3_D2</t>
  </si>
  <si>
    <t>Robinia-B1-P3-C3-D2</t>
  </si>
  <si>
    <t>B1_P3_C3_E2</t>
  </si>
  <si>
    <t>Robinia-B1-P3-C3-E2</t>
  </si>
  <si>
    <t>B1_P3_C3_F2</t>
  </si>
  <si>
    <t>Robinia-B1-P3-C3-F2</t>
  </si>
  <si>
    <t>B1_P3_C4_D1</t>
  </si>
  <si>
    <t>Robinia-B1-P3-C4-D1</t>
  </si>
  <si>
    <t>B1_P3_C4_E1</t>
  </si>
  <si>
    <t>Robinia-B1-P3-C4-E1</t>
  </si>
  <si>
    <t>B1_P3_C4_F1</t>
  </si>
  <si>
    <t>Robinia-B1-P3-C4-F1</t>
  </si>
  <si>
    <t>B1_P3_C4_D2</t>
  </si>
  <si>
    <t>Robinia-B1-P3-C4-D2</t>
  </si>
  <si>
    <t>B1_P3_C4_E2</t>
  </si>
  <si>
    <t>Robinia-B1-P3-C4-E2</t>
  </si>
  <si>
    <t>B1_P3_C4_F2</t>
  </si>
  <si>
    <t>Robinia-B1-P3-C4-F2</t>
  </si>
  <si>
    <t>B1_P4_C2_D1</t>
  </si>
  <si>
    <t>Robinia-B1-P4-C2-D1</t>
  </si>
  <si>
    <t>B1_P4_C2_E1</t>
  </si>
  <si>
    <t>Robinia-B1-P4-C2-E1</t>
  </si>
  <si>
    <t>B1_P4_C2_F1</t>
  </si>
  <si>
    <t>Robinia-B1-P4-C2-F1</t>
  </si>
  <si>
    <t>B1_P4_C2_D2</t>
  </si>
  <si>
    <t>Robinia-B1-P4-C2-D2</t>
  </si>
  <si>
    <t>B1_P4_C2_E2</t>
  </si>
  <si>
    <t>Robinia-B1-P4-C2-E2</t>
  </si>
  <si>
    <t>B1_P4_C2_F2</t>
  </si>
  <si>
    <t>Robinia-B1-P4-C2-F2</t>
  </si>
  <si>
    <t>B1_P4_C3_D1</t>
  </si>
  <si>
    <t>Robinia-B1-P4-C3-D1</t>
  </si>
  <si>
    <t>dead</t>
  </si>
  <si>
    <t>B1_P4_C3_E1</t>
  </si>
  <si>
    <t>Robinia-B1-P4-C3-E1</t>
  </si>
  <si>
    <t>~</t>
  </si>
  <si>
    <t>B1_P4_C3_F1</t>
  </si>
  <si>
    <t>Robinia-B1-P4-C3-F1</t>
  </si>
  <si>
    <t>B1_P4_C3_D2</t>
  </si>
  <si>
    <t>Robinia-B1-P4-C3-D2</t>
  </si>
  <si>
    <t>B1_P4_C3_E2</t>
  </si>
  <si>
    <t>Robinia-B1-P4-C3-E2</t>
  </si>
  <si>
    <t>B1_P4_C3_F2</t>
  </si>
  <si>
    <t>Robinia-B1-P4-C3-F2</t>
  </si>
  <si>
    <t>B1_P4_C4_D1</t>
  </si>
  <si>
    <t>Robinia-B1-P4-C4-D1</t>
  </si>
  <si>
    <t>B1_P4_C4_E1</t>
  </si>
  <si>
    <t>Robinia-B1-P4-C4-E1</t>
  </si>
  <si>
    <t>B1_P4_C4_F1</t>
  </si>
  <si>
    <t>Robinia-B1-P4-C4-F1</t>
  </si>
  <si>
    <t>B1_P4_C4_D2</t>
  </si>
  <si>
    <t>Robinia-B1-P4-C4-D2</t>
  </si>
  <si>
    <t>B1_P4_C4_E2</t>
  </si>
  <si>
    <t>Robinia-B1-P4-C4-E2</t>
  </si>
  <si>
    <t>B1_P4_C4_F2</t>
  </si>
  <si>
    <t>Robinia-B1-P4-C4-F2</t>
  </si>
  <si>
    <t>B1_P5_C1_D1</t>
  </si>
  <si>
    <t>Robinia-B1-P5-C1-D1</t>
  </si>
  <si>
    <t>B1_P5_C1_E1</t>
  </si>
  <si>
    <t>Robinia-B1-P5-C1-E1</t>
  </si>
  <si>
    <t>B1_P5_C1_F1</t>
  </si>
  <si>
    <t>Robinia-B1-P5-C1-F1</t>
  </si>
  <si>
    <t>B1_P5_C1_D2</t>
  </si>
  <si>
    <t>Robinia-B1-P5-C1-D2</t>
  </si>
  <si>
    <t>B1_P5_C1_E2</t>
  </si>
  <si>
    <t>Robinia-B1-P5-C1-E2</t>
  </si>
  <si>
    <t>B1_P5_C1_F2</t>
  </si>
  <si>
    <t>Robinia-B1-P5-C1-F2</t>
  </si>
  <si>
    <t>B1_P5_C2_D1</t>
  </si>
  <si>
    <t>Robinia-B1-P5-C2-D1</t>
  </si>
  <si>
    <t>B1_P5_C2_E1</t>
  </si>
  <si>
    <t>Robinia-B1-P5-C2-E1</t>
  </si>
  <si>
    <t>B1_P5_C2_F1</t>
  </si>
  <si>
    <t>Robinia-B1-P5-C2-F1</t>
  </si>
  <si>
    <t>B1_P5_C2_D2</t>
  </si>
  <si>
    <t>Robinia-B1-P5-C2-D2</t>
  </si>
  <si>
    <t>B1_P5_C2_E2</t>
  </si>
  <si>
    <t>Robinia-B1-P5-C2-E2</t>
  </si>
  <si>
    <t>B1_P5_C2_F2</t>
  </si>
  <si>
    <t>Robinia-B1-P5-C2-F2</t>
  </si>
  <si>
    <t>B1_P6_C4_D1</t>
  </si>
  <si>
    <t>Robinia-B1-P6-C4-D1</t>
  </si>
  <si>
    <t>B1_P6_C4_E1</t>
  </si>
  <si>
    <t>Robinia-B1-P6-C4-E1</t>
  </si>
  <si>
    <t>B1_P6_C4_F1</t>
  </si>
  <si>
    <t>Robinia-B1-P6-C4-F1</t>
  </si>
  <si>
    <t>B1_P6_C4_D2</t>
  </si>
  <si>
    <t>Robinia-B1-P6-C4-D2</t>
  </si>
  <si>
    <t>B1_P6_C4_E2</t>
  </si>
  <si>
    <t>Robinia-B1-P6-C4-E2</t>
  </si>
  <si>
    <t>B1_P6_C4_F2</t>
  </si>
  <si>
    <t>Robinia-B1-P6-C4-F2</t>
  </si>
  <si>
    <t>B2_P1_C1_D1</t>
  </si>
  <si>
    <t>Robinia-B2-P1-C1-D1</t>
  </si>
  <si>
    <t>B2_P1_C1_E1</t>
  </si>
  <si>
    <t>Robinia-B2-P1-C1-E1</t>
  </si>
  <si>
    <t>B2_P1_C1_F1</t>
  </si>
  <si>
    <t>Robinia-B2-P1-C1-F1</t>
  </si>
  <si>
    <t>B2_P1_C1_D2</t>
  </si>
  <si>
    <t>Robinia-B2-P1-C1-D2</t>
  </si>
  <si>
    <t>B2_P1_C1_E2</t>
  </si>
  <si>
    <t>Robinia-B2-P1-C1-E2</t>
  </si>
  <si>
    <t>B2_P1_C1_F2</t>
  </si>
  <si>
    <t>Robinia-B2-P1-C1-F2</t>
  </si>
  <si>
    <t>B2_P1_C3_D1</t>
  </si>
  <si>
    <t>Robinia-B2-P1-C3-D1</t>
  </si>
  <si>
    <t>B2_P1_C3_E1</t>
  </si>
  <si>
    <t>Robinia-B2-P1-C3-E1</t>
  </si>
  <si>
    <t>B2_P1_C3_F1</t>
  </si>
  <si>
    <t>Robinia-B2-P1-C3-F1</t>
  </si>
  <si>
    <t>B2_P1_C3_D2</t>
  </si>
  <si>
    <t>Robinia-B2-P1-C3-D2</t>
  </si>
  <si>
    <t>B2_P1_C3_E2</t>
  </si>
  <si>
    <t>Robinia-B2-P1-C3-E2</t>
  </si>
  <si>
    <t>B2_P1_C3_F2</t>
  </si>
  <si>
    <t>Robinia-B2-P1-C3-F2</t>
  </si>
  <si>
    <t>B2_P2_C1_D1</t>
  </si>
  <si>
    <t>Robinia-B2-P2-C1-D1</t>
  </si>
  <si>
    <t>B2_P2_C1_E1</t>
  </si>
  <si>
    <t>Robinia-B2-P2-C1-E1</t>
  </si>
  <si>
    <t>B2_P2_C1_F1</t>
  </si>
  <si>
    <t>Robinia-B2-P2-C1-F1</t>
  </si>
  <si>
    <t>B2_P2_C1_D2</t>
  </si>
  <si>
    <t>Robinia-B2-P2-C1-D2</t>
  </si>
  <si>
    <t>B2_P2_C1_E2</t>
  </si>
  <si>
    <t>Robinia-B2-P2-C1-E2</t>
  </si>
  <si>
    <t>B2_P2_C1_F2</t>
  </si>
  <si>
    <t>Robinia-B2-P2-C1-F2</t>
  </si>
  <si>
    <t>1 leaf</t>
  </si>
  <si>
    <t>B2_P2_C2_D1</t>
  </si>
  <si>
    <t>Robinia-B2-P2-C2-D1</t>
  </si>
  <si>
    <t>B2_P2_C2_E1</t>
  </si>
  <si>
    <t>Robinia-B2-P2-C2-E1</t>
  </si>
  <si>
    <t>B2_P2_C2_F1</t>
  </si>
  <si>
    <t>Robinia-B2-P2-C2-F1</t>
  </si>
  <si>
    <t>B2_P2_C2_D2</t>
  </si>
  <si>
    <t>Robinia-B2-P2-C2-D2</t>
  </si>
  <si>
    <t>B2_P2_C2_E2</t>
  </si>
  <si>
    <t>Robinia-B2-P2-C2-E2</t>
  </si>
  <si>
    <t>B2_P2_C2_F2</t>
  </si>
  <si>
    <t>Robinia-B2-P2-C2-F2</t>
  </si>
  <si>
    <t>B2_P2_C4_D1</t>
  </si>
  <si>
    <t>Robinia-B2-P2-C4-D1</t>
  </si>
  <si>
    <t>B2_P2_C4_E1</t>
  </si>
  <si>
    <t>Robinia-B2-P2-C4-E1</t>
  </si>
  <si>
    <t>~dead</t>
  </si>
  <si>
    <t>B2_P2_C4_F1</t>
  </si>
  <si>
    <t>Robinia-B2-P2-C4-F1</t>
  </si>
  <si>
    <t>B2_P2_C4_D2</t>
  </si>
  <si>
    <t>Robinia-B2-P2-C4-D2</t>
  </si>
  <si>
    <t>B2_P2_C4_E2</t>
  </si>
  <si>
    <t>Robinia-B2-P2-C4-E2</t>
  </si>
  <si>
    <t>B2_P2_C4_F2</t>
  </si>
  <si>
    <t>Robinia-B2-P2-C4-F2</t>
  </si>
  <si>
    <t>B2_P3_C2_D1</t>
  </si>
  <si>
    <t>Robinia-B2-P3-C2-D1</t>
  </si>
  <si>
    <t>B2_P3_C2_E1</t>
  </si>
  <si>
    <t>Robinia-B2-P3-C2-E1</t>
  </si>
  <si>
    <t>B2_P3_C2_F1</t>
  </si>
  <si>
    <t>Robinia-B2-P3-C2-F1</t>
  </si>
  <si>
    <t>B2_P3_C2_D2</t>
  </si>
  <si>
    <t>Robinia-B2-P3-C2-D2</t>
  </si>
  <si>
    <t>B2_P3_C2_E2</t>
  </si>
  <si>
    <t>Robinia-B2-P3-C2-E2</t>
  </si>
  <si>
    <t>B2_P3_C2_F2</t>
  </si>
  <si>
    <t>Robinia-B2-P3-C2-F2</t>
  </si>
  <si>
    <t>B2_P4_C1_D1</t>
  </si>
  <si>
    <t>Robinia-B2-P4-C1-D1</t>
  </si>
  <si>
    <t>B2_P4_C1_E1</t>
  </si>
  <si>
    <t>Robinia-B2-P4-C1-E1</t>
  </si>
  <si>
    <t>B2_P4_C1_F1</t>
  </si>
  <si>
    <t>Robinia-B2-P4-C1-F1</t>
  </si>
  <si>
    <t>B2_P4_C1_D2</t>
  </si>
  <si>
    <t>Robinia-B2-P4-C1-D2</t>
  </si>
  <si>
    <t>B2_P4_C1_E2</t>
  </si>
  <si>
    <t>Robinia-B2-P4-C1-E2</t>
  </si>
  <si>
    <t>B2_P4_C1_F2</t>
  </si>
  <si>
    <t>Robinia-B2-P4-C1-F2</t>
  </si>
  <si>
    <t>B2_P4_C2_D1</t>
  </si>
  <si>
    <t>Robinia-B2-P4-C2-D1</t>
  </si>
  <si>
    <t>B2_P4_C2_E1</t>
  </si>
  <si>
    <t>Robinia-B2-P4-C2-E1</t>
  </si>
  <si>
    <t>B2_P4_C2_F1</t>
  </si>
  <si>
    <t>Robinia-B2-P4-C2-F1</t>
  </si>
  <si>
    <t>B2_P4_C2_D2</t>
  </si>
  <si>
    <t>Robinia-B2-P4-C2-D2</t>
  </si>
  <si>
    <t>B2_P4_C2_E2</t>
  </si>
  <si>
    <t>Robinia-B2-P4-C2-E2</t>
  </si>
  <si>
    <t>B2_P4_C2_F2</t>
  </si>
  <si>
    <t>Robinia-B2-P4-C2-F2</t>
  </si>
  <si>
    <t>B2_P4_C4_D1</t>
  </si>
  <si>
    <t>Robinia-B2-P4-C4-D1</t>
  </si>
  <si>
    <t>B2_P4_C4_E1</t>
  </si>
  <si>
    <t>Robinia-B2-P4-C4-E1</t>
  </si>
  <si>
    <t>B2_P4_C4_F1</t>
  </si>
  <si>
    <t>Robinia-B2-P4-C4-F1</t>
  </si>
  <si>
    <t>B2_P4_C4_D2</t>
  </si>
  <si>
    <t>Robinia-B2-P4-C4-D2</t>
  </si>
  <si>
    <t>B2_P4_C4_E2</t>
  </si>
  <si>
    <t>Robinia-B2-P4-C4-E2</t>
  </si>
  <si>
    <t>B2_P4_C4_F2</t>
  </si>
  <si>
    <t>Robinia-B2-P4-C4-F2</t>
  </si>
  <si>
    <t>B2_P5_C4_D1</t>
  </si>
  <si>
    <t>Robinia-B2-P5-C4-D1</t>
  </si>
  <si>
    <t>B2_P5_C4_E1</t>
  </si>
  <si>
    <t>Robinia-B2-P5-C4-E1</t>
  </si>
  <si>
    <t>B2_P5_C4_F1</t>
  </si>
  <si>
    <t>Robinia-B2-P5-C4-F1</t>
  </si>
  <si>
    <t>B2_P5_C4_D2</t>
  </si>
  <si>
    <t>Robinia-B2-P5-C4-D2</t>
  </si>
  <si>
    <t>B2_P5_C4_E2</t>
  </si>
  <si>
    <t>Robinia-B2-P5-C4-E2</t>
  </si>
  <si>
    <t>B2_P5_C4_F2</t>
  </si>
  <si>
    <t>Robinia-B2-P5-C4-F2</t>
  </si>
  <si>
    <t>B2_P6_C1_D1</t>
  </si>
  <si>
    <t>Robinia-B2-P6-C1-D1</t>
  </si>
  <si>
    <t>B2_P6_C1_E1</t>
  </si>
  <si>
    <t>Robinia-B2-P6-C1-E1</t>
  </si>
  <si>
    <t>B2_P6_C1_F1</t>
  </si>
  <si>
    <t>Robinia-B2-P6-C1-F1</t>
  </si>
  <si>
    <t>B2_P6_C1_D2</t>
  </si>
  <si>
    <t>Robinia-B2-P6-C1-D2</t>
  </si>
  <si>
    <t>B2_P6_C1_E2</t>
  </si>
  <si>
    <t>Robinia-B2-P6-C1-E2</t>
  </si>
  <si>
    <t>B2_P6_C1_F2</t>
  </si>
  <si>
    <t>Robinia-B2-P6-C1-F2</t>
  </si>
  <si>
    <t>B2_P6_C3_D1</t>
  </si>
  <si>
    <t>Robinia-B2-P6-C3-D1</t>
  </si>
  <si>
    <t>B2_P6_C3_E1</t>
  </si>
  <si>
    <t>Robinia-B2-P6-C3-E1</t>
  </si>
  <si>
    <t>B2_P6_C3_F1</t>
  </si>
  <si>
    <t>Robinia-B2-P6-C3-F1</t>
  </si>
  <si>
    <t>B2_P6_C3_D2</t>
  </si>
  <si>
    <t>Robinia-B2-P6-C3-D2</t>
  </si>
  <si>
    <t>B2_P6_C3_E2</t>
  </si>
  <si>
    <t>Robinia-B2-P6-C3-E2</t>
  </si>
  <si>
    <t>B2_P6_C3_F2</t>
  </si>
  <si>
    <t>Robinia-B2-P6-C3-F2</t>
  </si>
  <si>
    <t>B3_P1_C1_D1</t>
  </si>
  <si>
    <t>Robinia-B3-P1-C1-D1</t>
  </si>
  <si>
    <t>B3_P1_C1_E1</t>
  </si>
  <si>
    <t>Robinia-B3-P1-C1-E1</t>
  </si>
  <si>
    <t>B3_P1_C1_F1</t>
  </si>
  <si>
    <t>Robinia-B3-P1-C1-F1</t>
  </si>
  <si>
    <t>B3_P1_C1_D2</t>
  </si>
  <si>
    <t>Robinia-B3-P1-C1-D2</t>
  </si>
  <si>
    <t>B3_P1_C1_E2</t>
  </si>
  <si>
    <t>Robinia-B3-P1-C1-E2</t>
  </si>
  <si>
    <t>B3_P1_C1_F2</t>
  </si>
  <si>
    <t>Robinia-B3-P1-C1-F2</t>
  </si>
  <si>
    <t>B3_P1_C2_D1</t>
  </si>
  <si>
    <t>Robinia-B3-P1-C2-D1</t>
  </si>
  <si>
    <t>B3_P1_C2_E1</t>
  </si>
  <si>
    <t>Robinia-B3-P1-C2-E1</t>
  </si>
  <si>
    <t>B3_P1_C2_F1</t>
  </si>
  <si>
    <t>Robinia-B3-P1-C2-F1</t>
  </si>
  <si>
    <t>B3_P1_C2_D2</t>
  </si>
  <si>
    <t>Robinia-B3-P1-C2-D2</t>
  </si>
  <si>
    <t>B3_P1_C2_E2</t>
  </si>
  <si>
    <t>Robinia-B3-P1-C2-E2</t>
  </si>
  <si>
    <t>B3_P1_C2_F2</t>
  </si>
  <si>
    <t>Robinia-B3-P1-C2-F2</t>
  </si>
  <si>
    <t>B3_P1_C4_D1</t>
  </si>
  <si>
    <t>Robinia-B3-P1-C4-D1</t>
  </si>
  <si>
    <t>B3_P1_C4_E1</t>
  </si>
  <si>
    <t>Robinia-B3-P1-C4-E1</t>
  </si>
  <si>
    <t>B3_P1_C4_F1</t>
  </si>
  <si>
    <t>Robinia-B3-P1-C4-F1</t>
  </si>
  <si>
    <t>B3_P1_C4_D2</t>
  </si>
  <si>
    <t>Robinia-B3-P1-C4-D2</t>
  </si>
  <si>
    <t>B3_P1_C4_E2</t>
  </si>
  <si>
    <t>Robinia-B3-P1-C4-E2</t>
  </si>
  <si>
    <t>B3_P1_C4_F2</t>
  </si>
  <si>
    <t>Robinia-B3-P1-C4-F2</t>
  </si>
  <si>
    <t>B3_P2_C2_D1</t>
  </si>
  <si>
    <t>Robinia-B3-P2-C2-D1</t>
  </si>
  <si>
    <t>B3_P2_C2_E1</t>
  </si>
  <si>
    <t>Robinia-B3-P2-C2-E1</t>
  </si>
  <si>
    <t>B3_P2_C2_F1</t>
  </si>
  <si>
    <t>Robinia-B3-P2-C2-F1</t>
  </si>
  <si>
    <t>B3_P2_C2_D2</t>
  </si>
  <si>
    <t>Robinia-B3-P2-C2-D2</t>
  </si>
  <si>
    <t>B3_P2_C2_E2</t>
  </si>
  <si>
    <t>Robinia-B3-P2-C2-E2</t>
  </si>
  <si>
    <t>B3_P2_C2_F2</t>
  </si>
  <si>
    <t>Robinia-B3-P2-C2-F2</t>
  </si>
  <si>
    <t>B3_P2_C4_D1</t>
  </si>
  <si>
    <t>Robinia-B3-P2-C4-D1</t>
  </si>
  <si>
    <t>B3_P2_C4_E1</t>
  </si>
  <si>
    <t>Robinia-B3-P2-C4-E1</t>
  </si>
  <si>
    <t>B3_P2_C4_F1</t>
  </si>
  <si>
    <t>Robinia-B3-P2-C4-F1</t>
  </si>
  <si>
    <t>B3_P2_C4_D2</t>
  </si>
  <si>
    <t>Robinia-B3-P2-C4-D2</t>
  </si>
  <si>
    <t>B3_P2_C4_E2</t>
  </si>
  <si>
    <t>Robinia-B3-P2-C4-E2</t>
  </si>
  <si>
    <t>B3_P2_C4_F2</t>
  </si>
  <si>
    <t>Robinia-B3-P2-C4-F2</t>
  </si>
  <si>
    <t>B3_P3_C4_D1</t>
  </si>
  <si>
    <t>Robinia-B3-P3-C4-D1</t>
  </si>
  <si>
    <t>B3_P3_C4_E1</t>
  </si>
  <si>
    <t>Robinia-B3-P3-C4-E1</t>
  </si>
  <si>
    <t>B3_P3_C4_F1</t>
  </si>
  <si>
    <t>Robinia-B3-P3-C4-F1</t>
  </si>
  <si>
    <t>B3_P3_C4_D2</t>
  </si>
  <si>
    <t>Robinia-B3-P3-C4-D2</t>
  </si>
  <si>
    <t>B3_P3_C4_E2</t>
  </si>
  <si>
    <t>Robinia-B3-P3-C4-E2</t>
  </si>
  <si>
    <t>B3_P3_C4_F2</t>
  </si>
  <si>
    <t>Robinia-B3-P3-C4-F2</t>
  </si>
  <si>
    <t>B3_P4_C4_D1</t>
  </si>
  <si>
    <t>Robinia-B3-P4-C4-D1</t>
  </si>
  <si>
    <t>B3_P4_C4_E1</t>
  </si>
  <si>
    <t>Robinia-B3-P4-C4-E1</t>
  </si>
  <si>
    <t>B3_P4_C4_F1</t>
  </si>
  <si>
    <t>Robinia-B3-P4-C4-F1</t>
  </si>
  <si>
    <t>B3_P4_C4_D2</t>
  </si>
  <si>
    <t>Robinia-B3-P4-C4-D2</t>
  </si>
  <si>
    <t>B3_P4_C4_E2</t>
  </si>
  <si>
    <t>Robinia-B3-P4-C4-E2</t>
  </si>
  <si>
    <t>B3_P4_C4_F2</t>
  </si>
  <si>
    <t>Robinia-B3-P4-C4-F2</t>
  </si>
  <si>
    <t>B3_P5_C1_D1</t>
  </si>
  <si>
    <t>Robinia-B3-P5-C1-D1</t>
  </si>
  <si>
    <t>B3_P5_C1_E1</t>
  </si>
  <si>
    <t>Robinia-B3-P5-C1-E1</t>
  </si>
  <si>
    <t>B3_P5_C1_F1</t>
  </si>
  <si>
    <t>Robinia-B3-P5-C1-F1</t>
  </si>
  <si>
    <t>B3_P5_C1_D2</t>
  </si>
  <si>
    <t>Robinia-B3-P5-C1-D2</t>
  </si>
  <si>
    <t>B3_P5_C1_E2</t>
  </si>
  <si>
    <t>Robinia-B3-P5-C1-E2</t>
  </si>
  <si>
    <t>B3_P5_C1_F2</t>
  </si>
  <si>
    <t>Robinia-B3-P5-C1-F2</t>
  </si>
  <si>
    <t>B3_P5_C2_D1</t>
  </si>
  <si>
    <t>Robinia-B3-P5-C2-D1</t>
  </si>
  <si>
    <t>B3_P5_C2_E1</t>
  </si>
  <si>
    <t>Robinia-B3-P5-C2-E1</t>
  </si>
  <si>
    <t>B3_P5_C2_F1</t>
  </si>
  <si>
    <t>Robinia-B3-P5-C2-F1</t>
  </si>
  <si>
    <t>B3_P5_C2_D2</t>
  </si>
  <si>
    <t>Robinia-B3-P5-C2-D2</t>
  </si>
  <si>
    <t>B3_P5_C2_E2</t>
  </si>
  <si>
    <t>Robinia-B3-P5-C2-E2</t>
  </si>
  <si>
    <t>B3_P5_C2_F2</t>
  </si>
  <si>
    <t>Robinia-B3-P5-C2-F2</t>
  </si>
  <si>
    <t>B3_P5_C3_D1</t>
  </si>
  <si>
    <t>Robinia-B3-P5-C3-D1</t>
  </si>
  <si>
    <t>B3_P5_C3_E1</t>
  </si>
  <si>
    <t>Robinia-B3-P5-C3-E1</t>
  </si>
  <si>
    <t>B3_P5_C3_F1</t>
  </si>
  <si>
    <t>Robinia-B3-P5-C3-F1</t>
  </si>
  <si>
    <t>B3_P5_C3_D2</t>
  </si>
  <si>
    <t>Robinia-B3-P5-C3-D2</t>
  </si>
  <si>
    <t>B3_P5_C3_E2</t>
  </si>
  <si>
    <t>Robinia-B3-P5-C3-E2</t>
  </si>
  <si>
    <t>B3_P5_C3_F2</t>
  </si>
  <si>
    <t>Robinia-B3-P5-C3-F2</t>
  </si>
  <si>
    <t>B3_P5_C4_D1</t>
  </si>
  <si>
    <t>Robinia-B3-P5-C4-D1</t>
  </si>
  <si>
    <t>B3_P5_C4_E1</t>
  </si>
  <si>
    <t>Robinia-B3-P5-C4-E1</t>
  </si>
  <si>
    <t>B3_P5_C4_F1</t>
  </si>
  <si>
    <t>Robinia-B3-P5-C4-F1</t>
  </si>
  <si>
    <t>B3_P5_C4_D2</t>
  </si>
  <si>
    <t>Robinia-B3-P5-C4-D2</t>
  </si>
  <si>
    <t>B3_P5_C4_E2</t>
  </si>
  <si>
    <t>Robinia-B3-P5-C4-E2</t>
  </si>
  <si>
    <t>B3_P5_C4_F2</t>
  </si>
  <si>
    <t>Robinia-B3-P5-C4-F2</t>
  </si>
  <si>
    <t>B3_P6_C3_D1</t>
  </si>
  <si>
    <t>Robinia-B3-P6-C3-D1</t>
  </si>
  <si>
    <t>B3_P6_C3_E1</t>
  </si>
  <si>
    <t>Robinia-B3-P6-C3-E1</t>
  </si>
  <si>
    <t>B3_P6_C3_F1</t>
  </si>
  <si>
    <t>Robinia-B3-P6-C3-F1</t>
  </si>
  <si>
    <t>B3_P6_C3_D2</t>
  </si>
  <si>
    <t>Robinia-B3-P6-C3-D2</t>
  </si>
  <si>
    <t>B3_P6_C3_E2</t>
  </si>
  <si>
    <t>Robinia-B3-P6-C3-E2</t>
  </si>
  <si>
    <t>B3_P6_C3_F2</t>
  </si>
  <si>
    <t>Robinia-B3-P6-C3-F2</t>
  </si>
  <si>
    <t>Label_Compartment</t>
  </si>
  <si>
    <t>183 (144)</t>
  </si>
  <si>
    <t>many robinia branches broken</t>
  </si>
  <si>
    <t>box</t>
  </si>
  <si>
    <t>19.09.2024</t>
  </si>
  <si>
    <t>17.10.2024</t>
  </si>
  <si>
    <t>13.11.2024</t>
  </si>
  <si>
    <t>%Litterfall</t>
  </si>
  <si>
    <t>%Bryophytes</t>
  </si>
  <si>
    <t>only 3 in bag</t>
  </si>
  <si>
    <t>Condition</t>
  </si>
  <si>
    <t>ID</t>
  </si>
  <si>
    <t>Scorching</t>
  </si>
  <si>
    <t>Reflush - Scorching</t>
  </si>
  <si>
    <t>Comment_22.08.2025</t>
  </si>
  <si>
    <t>Comment_05.09.2025</t>
  </si>
  <si>
    <t>50% yellow</t>
  </si>
  <si>
    <t>stem maybe empty inside, but leaves are still green</t>
  </si>
  <si>
    <t>main branch died, side branch done well</t>
  </si>
  <si>
    <t>side branch</t>
  </si>
  <si>
    <t>big part of tree crown broken off in recent storm</t>
  </si>
  <si>
    <t>Quercus_Fagus_Rubinia</t>
  </si>
  <si>
    <t>Fagus_Rubinia</t>
  </si>
  <si>
    <t>Quercus_Rubinia</t>
  </si>
  <si>
    <t xml:space="preserve">Tasks </t>
  </si>
  <si>
    <t>NOTE</t>
  </si>
  <si>
    <t>Contact person</t>
  </si>
  <si>
    <t>Measuring  Height and Diameter</t>
  </si>
  <si>
    <r>
      <t xml:space="preserve">Before bud burst, and again first week of may and then </t>
    </r>
    <r>
      <rPr>
        <b/>
        <sz val="12"/>
        <rFont val="Calibri"/>
        <family val="2"/>
        <scheme val="minor"/>
      </rPr>
      <t>every month</t>
    </r>
  </si>
  <si>
    <t>Yann (tools)</t>
  </si>
  <si>
    <t xml:space="preserve">March 6th-7th - May 8th-9th- June 11th </t>
  </si>
  <si>
    <t>Phenology</t>
  </si>
  <si>
    <t>follow protocol every week (twice a week)</t>
  </si>
  <si>
    <t>Ended on 30.05.25</t>
  </si>
  <si>
    <t xml:space="preserve">Soil Water </t>
  </si>
  <si>
    <r>
      <t>once a month - from 3.4.25</t>
    </r>
    <r>
      <rPr>
        <b/>
        <sz val="12"/>
        <rFont val="Calibri"/>
        <family val="2"/>
        <scheme val="minor"/>
      </rPr>
      <t xml:space="preserve"> twice a month</t>
    </r>
  </si>
  <si>
    <t>Ongoing (last 28.08.25)</t>
  </si>
  <si>
    <t xml:space="preserve">Soil nitrogen </t>
  </si>
  <si>
    <r>
      <t>Soil samples: in each box e take 3 spots and merge the soil, oven dried in paper bags, homogenized, weighed, preparee</t>
    </r>
    <r>
      <rPr>
        <sz val="12"/>
        <rFont val="Calibri"/>
        <family val="2"/>
        <scheme val="minor"/>
      </rPr>
      <t>d for analysis, next time at the end of the season</t>
    </r>
  </si>
  <si>
    <t>Valentina, Matthias</t>
  </si>
  <si>
    <t>March12th soil collection, March14th soil sample preparation</t>
  </si>
  <si>
    <t>Soil respiration</t>
  </si>
  <si>
    <r>
      <t>Smart chamber: regular measurement (</t>
    </r>
    <r>
      <rPr>
        <b/>
        <sz val="12"/>
        <rFont val="Calibri"/>
        <family val="2"/>
        <scheme val="minor"/>
      </rPr>
      <t>once a month</t>
    </r>
    <r>
      <rPr>
        <sz val="12"/>
        <rFont val="Calibri"/>
        <family val="2"/>
        <scheme val="minor"/>
      </rPr>
      <t>)</t>
    </r>
  </si>
  <si>
    <t>March19th - April14th - May13th- June 10th- July 10th- August 5th- September 3th</t>
  </si>
  <si>
    <t>Fluoropen -QY</t>
  </si>
  <si>
    <r>
      <rPr>
        <b/>
        <sz val="12"/>
        <color theme="1"/>
        <rFont val="Calibri"/>
        <family val="2"/>
        <scheme val="minor"/>
      </rPr>
      <t>every 2 weeks</t>
    </r>
    <r>
      <rPr>
        <sz val="12"/>
        <color theme="1"/>
        <rFont val="Calibri"/>
        <family val="2"/>
        <scheme val="minor"/>
      </rPr>
      <t>, 4 leaves per compartment of the central plants (1 2 3 4), dank adapted</t>
    </r>
  </si>
  <si>
    <t>Arthur</t>
  </si>
  <si>
    <t>Fluoropen - NPQ</t>
  </si>
  <si>
    <r>
      <rPr>
        <b/>
        <sz val="12"/>
        <color theme="1"/>
        <rFont val="Calibri"/>
        <family val="2"/>
        <scheme val="minor"/>
      </rPr>
      <t>compaign</t>
    </r>
    <r>
      <rPr>
        <sz val="12"/>
        <color theme="1"/>
        <rFont val="Calibri"/>
        <family val="2"/>
        <scheme val="minor"/>
      </rPr>
      <t xml:space="preserve"> NPQ (10th - 13th June) - 4 leaves of the central plants per compartment, the end of season (semptember)</t>
    </r>
  </si>
  <si>
    <t xml:space="preserve">Chlorophyll meter (drought effect) </t>
  </si>
  <si>
    <r>
      <t xml:space="preserve">4 leaves per compartment of the central plants (1 2 3 4), </t>
    </r>
    <r>
      <rPr>
        <b/>
        <sz val="12"/>
        <color theme="1"/>
        <rFont val="Calibri"/>
        <family val="2"/>
        <scheme val="minor"/>
      </rPr>
      <t>every 2 weeks</t>
    </r>
  </si>
  <si>
    <t>Yunpeng</t>
  </si>
  <si>
    <t>leaf traits SLA</t>
  </si>
  <si>
    <r>
      <t xml:space="preserve">16.06 </t>
    </r>
    <r>
      <rPr>
        <b/>
        <sz val="12"/>
        <color theme="1"/>
        <rFont val="Calibri"/>
        <family val="2"/>
        <scheme val="minor"/>
      </rPr>
      <t>compaign</t>
    </r>
    <r>
      <rPr>
        <sz val="12"/>
        <color theme="1"/>
        <rFont val="Calibri"/>
        <family val="2"/>
        <scheme val="minor"/>
      </rPr>
      <t xml:space="preserve"> - 3 leaves per compartment , then august</t>
    </r>
  </si>
  <si>
    <t>Yann</t>
  </si>
  <si>
    <t xml:space="preserve">Leaves C and N </t>
  </si>
  <si>
    <r>
      <t xml:space="preserve">16.06 </t>
    </r>
    <r>
      <rPr>
        <b/>
        <sz val="12"/>
        <color theme="1"/>
        <rFont val="Calibri"/>
        <family val="2"/>
        <scheme val="minor"/>
      </rPr>
      <t>compaign</t>
    </r>
    <r>
      <rPr>
        <sz val="12"/>
        <color theme="1"/>
        <rFont val="Calibri"/>
        <family val="2"/>
        <scheme val="minor"/>
      </rPr>
      <t xml:space="preserve"> - 3 leaves per compartment (take 1 leaf more to be sure to have enough material for isotope), then august</t>
    </r>
  </si>
  <si>
    <t>Valentina</t>
  </si>
  <si>
    <t xml:space="preserve">Microbiology  soil microbiome analyses with kit </t>
  </si>
  <si>
    <t>September: 1 soil sample per compartment (just one time)</t>
  </si>
  <si>
    <t>Artin, Mark</t>
  </si>
  <si>
    <t>Health state of plant</t>
  </si>
  <si>
    <r>
      <t xml:space="preserve">4 categories (1, very good; 2, 50% health; 3, 75% health; 4, dead), leaf state and comments - </t>
    </r>
    <r>
      <rPr>
        <b/>
        <sz val="12"/>
        <color theme="1"/>
        <rFont val="Calibri"/>
        <family val="2"/>
        <scheme val="minor"/>
      </rPr>
      <t>every 2 weeks</t>
    </r>
  </si>
  <si>
    <t>Stefan</t>
  </si>
  <si>
    <t>Senescence</t>
  </si>
  <si>
    <r>
      <rPr>
        <b/>
        <sz val="12"/>
        <color theme="1"/>
        <rFont val="Calibri"/>
        <family val="2"/>
        <scheme val="minor"/>
      </rPr>
      <t>every week</t>
    </r>
    <r>
      <rPr>
        <sz val="12"/>
        <color theme="1"/>
        <rFont val="Calibri"/>
        <family val="2"/>
        <scheme val="minor"/>
      </rPr>
      <t xml:space="preserve"> (% of brown leaves + % of fallen leaves; chlorophyll measurement of the 2 most green leaves on the upper part of the tree)</t>
    </r>
  </si>
  <si>
    <t>plant watered 2.07.25</t>
  </si>
  <si>
    <t xml:space="preserve">Reflush </t>
  </si>
  <si>
    <t>Comment_19.09.2025</t>
  </si>
  <si>
    <t>REFLUSH</t>
  </si>
  <si>
    <t>Reflush</t>
  </si>
  <si>
    <t>Comment_03.10.2025</t>
  </si>
  <si>
    <t>1/5 brown</t>
  </si>
  <si>
    <t>sample taken the 18.09.2025</t>
  </si>
  <si>
    <t>16.06-19.09</t>
  </si>
  <si>
    <t>Comment_16.10.2025</t>
  </si>
  <si>
    <r>
      <t xml:space="preserve">17/19.06.2025 </t>
    </r>
    <r>
      <rPr>
        <sz val="12"/>
        <rFont val="Calibri"/>
        <family val="2"/>
        <scheme val="minor"/>
      </rPr>
      <t>-</t>
    </r>
    <r>
      <rPr>
        <sz val="12"/>
        <color theme="9"/>
        <rFont val="Calibri"/>
        <family val="2"/>
        <scheme val="minor"/>
      </rPr>
      <t xml:space="preserve"> 3/4.07.2025</t>
    </r>
    <r>
      <rPr>
        <sz val="12"/>
        <color theme="5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>-</t>
    </r>
    <r>
      <rPr>
        <sz val="12"/>
        <color theme="5"/>
        <rFont val="Calibri"/>
        <family val="2"/>
        <scheme val="minor"/>
      </rPr>
      <t xml:space="preserve"> </t>
    </r>
    <r>
      <rPr>
        <sz val="12"/>
        <color theme="4"/>
        <rFont val="Calibri"/>
        <family val="2"/>
        <scheme val="minor"/>
      </rPr>
      <t>17.07.20.25</t>
    </r>
    <r>
      <rPr>
        <sz val="12"/>
        <color theme="5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>-</t>
    </r>
    <r>
      <rPr>
        <sz val="12"/>
        <color theme="7" tint="0.39997558519241921"/>
        <rFont val="Calibri"/>
        <family val="2"/>
        <scheme val="minor"/>
      </rPr>
      <t xml:space="preserve"> 31.07.2025</t>
    </r>
    <r>
      <rPr>
        <sz val="12"/>
        <rFont val="Calibri"/>
        <family val="2"/>
        <scheme val="minor"/>
      </rPr>
      <t xml:space="preserve"> -</t>
    </r>
    <r>
      <rPr>
        <sz val="12"/>
        <color theme="5"/>
        <rFont val="Calibri"/>
        <family val="2"/>
        <scheme val="minor"/>
      </rPr>
      <t xml:space="preserve"> </t>
    </r>
    <r>
      <rPr>
        <sz val="12"/>
        <color rgb="FFE16DCB"/>
        <rFont val="Calibri"/>
        <family val="2"/>
        <scheme val="minor"/>
      </rPr>
      <t>14.08.2025</t>
    </r>
    <r>
      <rPr>
        <sz val="12"/>
        <rFont val="Calibri"/>
        <family val="2"/>
        <scheme val="minor"/>
      </rPr>
      <t xml:space="preserve"> - </t>
    </r>
    <r>
      <rPr>
        <sz val="12"/>
        <color rgb="FF8EC0A5"/>
        <rFont val="Calibri"/>
        <family val="2"/>
        <scheme val="minor"/>
      </rPr>
      <t>29.08.2025</t>
    </r>
    <r>
      <rPr>
        <sz val="12"/>
        <color theme="5"/>
        <rFont val="Calibri"/>
        <family val="2"/>
        <scheme val="minor"/>
      </rPr>
      <t xml:space="preserve"> - </t>
    </r>
    <r>
      <rPr>
        <sz val="12"/>
        <color rgb="FF5CBDD0"/>
        <rFont val="Calibri"/>
        <family val="2"/>
        <scheme val="minor"/>
      </rPr>
      <t>10.09.2025</t>
    </r>
    <r>
      <rPr>
        <sz val="12"/>
        <color theme="5"/>
        <rFont val="Calibri"/>
        <family val="2"/>
        <scheme val="minor"/>
      </rPr>
      <t xml:space="preserve"> - </t>
    </r>
    <r>
      <rPr>
        <sz val="12"/>
        <color rgb="FFCC99FF"/>
        <rFont val="Calibri"/>
        <family val="2"/>
        <scheme val="minor"/>
      </rPr>
      <t>25.09.2025</t>
    </r>
    <r>
      <rPr>
        <sz val="12"/>
        <color theme="5"/>
        <rFont val="Calibri"/>
        <family val="2"/>
        <scheme val="minor"/>
      </rPr>
      <t xml:space="preserve"> - </t>
    </r>
    <r>
      <rPr>
        <sz val="12"/>
        <color rgb="FFFF9933"/>
        <rFont val="Calibri"/>
        <family val="2"/>
        <scheme val="minor"/>
      </rPr>
      <t>07.10.2025</t>
    </r>
    <r>
      <rPr>
        <sz val="12"/>
        <color theme="5"/>
        <rFont val="Calibri"/>
        <family val="2"/>
        <scheme val="minor"/>
      </rPr>
      <t xml:space="preserve"> -</t>
    </r>
    <r>
      <rPr>
        <sz val="12"/>
        <color rgb="FF9999FF"/>
        <rFont val="Calibri"/>
        <family val="2"/>
        <scheme val="minor"/>
      </rPr>
      <t xml:space="preserve"> 20.10.2025</t>
    </r>
  </si>
  <si>
    <r>
      <rPr>
        <sz val="12"/>
        <color theme="5"/>
        <rFont val="Calibri"/>
        <family val="2"/>
        <scheme val="minor"/>
      </rPr>
      <t>06.06.2025</t>
    </r>
    <r>
      <rPr>
        <sz val="12"/>
        <rFont val="Calibri"/>
        <family val="2"/>
        <scheme val="minor"/>
      </rPr>
      <t xml:space="preserve"> - </t>
    </r>
    <r>
      <rPr>
        <sz val="12"/>
        <color theme="9"/>
        <rFont val="Calibri"/>
        <family val="2"/>
        <scheme val="minor"/>
      </rPr>
      <t>19.06.2025</t>
    </r>
    <r>
      <rPr>
        <sz val="12"/>
        <color theme="1"/>
        <rFont val="Calibri"/>
        <family val="2"/>
        <scheme val="minor"/>
      </rPr>
      <t xml:space="preserve"> -</t>
    </r>
    <r>
      <rPr>
        <sz val="12"/>
        <color theme="8"/>
        <rFont val="Calibri"/>
        <family val="2"/>
        <scheme val="minor"/>
      </rPr>
      <t xml:space="preserve"> 3.07.2025</t>
    </r>
    <r>
      <rPr>
        <sz val="12"/>
        <color theme="1"/>
        <rFont val="Calibri"/>
        <family val="2"/>
        <scheme val="minor"/>
      </rPr>
      <t xml:space="preserve"> -</t>
    </r>
    <r>
      <rPr>
        <sz val="12"/>
        <color theme="7"/>
        <rFont val="Calibri"/>
        <family val="2"/>
        <scheme val="minor"/>
      </rPr>
      <t xml:space="preserve"> 17.07.25</t>
    </r>
    <r>
      <rPr>
        <sz val="12"/>
        <color theme="1"/>
        <rFont val="Calibri"/>
        <family val="2"/>
        <scheme val="minor"/>
      </rPr>
      <t xml:space="preserve"> -</t>
    </r>
    <r>
      <rPr>
        <sz val="12"/>
        <color rgb="FFE16DCB"/>
        <rFont val="Calibri"/>
        <family val="2"/>
        <scheme val="minor"/>
      </rPr>
      <t xml:space="preserve"> 31.07.2025</t>
    </r>
    <r>
      <rPr>
        <sz val="12"/>
        <rFont val="Calibri"/>
        <family val="2"/>
        <scheme val="minor"/>
      </rPr>
      <t xml:space="preserve"> -</t>
    </r>
    <r>
      <rPr>
        <sz val="12"/>
        <color rgb="FF8EC0A5"/>
        <rFont val="Calibri"/>
        <family val="2"/>
        <scheme val="minor"/>
      </rPr>
      <t xml:space="preserve"> 15.08.2025</t>
    </r>
    <r>
      <rPr>
        <sz val="12"/>
        <color rgb="FF5CBDD0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>-</t>
    </r>
    <r>
      <rPr>
        <sz val="12"/>
        <color rgb="FF5CBDD0"/>
        <rFont val="Calibri"/>
        <family val="2"/>
        <scheme val="minor"/>
      </rPr>
      <t xml:space="preserve"> 28.08.2025</t>
    </r>
    <r>
      <rPr>
        <sz val="12"/>
        <color theme="1"/>
        <rFont val="Calibri"/>
        <family val="2"/>
        <scheme val="minor"/>
      </rPr>
      <t xml:space="preserve"> - </t>
    </r>
    <r>
      <rPr>
        <sz val="12"/>
        <color rgb="FFCC99FF"/>
        <rFont val="Calibri"/>
        <family val="2"/>
        <scheme val="minor"/>
      </rPr>
      <t>10.09.2025</t>
    </r>
    <r>
      <rPr>
        <sz val="12"/>
        <color theme="1"/>
        <rFont val="Calibri"/>
        <family val="2"/>
        <scheme val="minor"/>
      </rPr>
      <t xml:space="preserve"> -</t>
    </r>
    <r>
      <rPr>
        <sz val="12"/>
        <color rgb="FFFF9933"/>
        <rFont val="Calibri"/>
        <family val="2"/>
        <scheme val="minor"/>
      </rPr>
      <t xml:space="preserve"> 23.09.2025</t>
    </r>
    <r>
      <rPr>
        <sz val="12"/>
        <color theme="1"/>
        <rFont val="Calibri"/>
        <family val="2"/>
        <scheme val="minor"/>
      </rPr>
      <t xml:space="preserve"> -</t>
    </r>
    <r>
      <rPr>
        <sz val="12"/>
        <color rgb="FF9999FF"/>
        <rFont val="Calibri"/>
        <family val="2"/>
        <scheme val="minor"/>
      </rPr>
      <t xml:space="preserve"> 06.10.2025</t>
    </r>
    <r>
      <rPr>
        <sz val="12"/>
        <color theme="1"/>
        <rFont val="Calibri"/>
        <family val="2"/>
        <scheme val="minor"/>
      </rPr>
      <t>-</t>
    </r>
    <r>
      <rPr>
        <sz val="12"/>
        <color rgb="FF2FAB3E"/>
        <rFont val="Calibri"/>
        <family val="2"/>
        <scheme val="minor"/>
      </rPr>
      <t>20.10.2025</t>
    </r>
  </si>
  <si>
    <t>Ongoing (last 05.09.2025) 13.06.2025 - 26.06.2025 - 10.07.2025 - 24.07.2025 - 06.08.2025 - 22.08.2025 - 05.09.2025 -19.09.2025- 3.10.2025-16.10.2025-04.11.2025</t>
  </si>
  <si>
    <t>Comment_04.11.2025</t>
  </si>
  <si>
    <r>
      <t>Ongoing (</t>
    </r>
    <r>
      <rPr>
        <sz val="12"/>
        <color theme="5"/>
        <rFont val="Calibri"/>
        <family val="2"/>
        <scheme val="minor"/>
      </rPr>
      <t>03.09.2025</t>
    </r>
    <r>
      <rPr>
        <sz val="12"/>
        <color theme="1"/>
        <rFont val="Calibri"/>
        <family val="2"/>
        <scheme val="minor"/>
      </rPr>
      <t xml:space="preserve"> - </t>
    </r>
    <r>
      <rPr>
        <sz val="12"/>
        <color theme="9"/>
        <rFont val="Calibri"/>
        <family val="2"/>
        <scheme val="minor"/>
      </rPr>
      <t>10.09.2025</t>
    </r>
    <r>
      <rPr>
        <sz val="12"/>
        <color theme="1"/>
        <rFont val="Calibri"/>
        <family val="2"/>
        <scheme val="minor"/>
      </rPr>
      <t xml:space="preserve"> - </t>
    </r>
    <r>
      <rPr>
        <sz val="12"/>
        <color theme="4"/>
        <rFont val="Calibri"/>
        <family val="2"/>
        <scheme val="minor"/>
      </rPr>
      <t>17.09.2025</t>
    </r>
    <r>
      <rPr>
        <sz val="12"/>
        <color theme="1"/>
        <rFont val="Calibri"/>
        <family val="2"/>
        <scheme val="minor"/>
      </rPr>
      <t xml:space="preserve"> - </t>
    </r>
    <r>
      <rPr>
        <sz val="12"/>
        <color theme="7" tint="0.39997558519241921"/>
        <rFont val="Calibri"/>
        <family val="2"/>
        <scheme val="minor"/>
      </rPr>
      <t xml:space="preserve">25.09.2025 - </t>
    </r>
    <r>
      <rPr>
        <sz val="12"/>
        <color rgb="FFE16DCB"/>
        <rFont val="Calibri"/>
        <family val="2"/>
        <scheme val="minor"/>
      </rPr>
      <t xml:space="preserve">01.10.2025 - </t>
    </r>
    <r>
      <rPr>
        <sz val="12"/>
        <color rgb="FF8EC0A5"/>
        <rFont val="Calibri"/>
        <family val="2"/>
        <scheme val="minor"/>
      </rPr>
      <t xml:space="preserve">08.10.2025 - </t>
    </r>
    <r>
      <rPr>
        <sz val="12"/>
        <color rgb="FF5CBDD0"/>
        <rFont val="Calibri"/>
        <family val="2"/>
        <scheme val="minor"/>
      </rPr>
      <t>15.10.2025-</t>
    </r>
    <r>
      <rPr>
        <sz val="12"/>
        <color rgb="FFCC99FF"/>
        <rFont val="Calibri"/>
        <family val="2"/>
        <scheme val="minor"/>
      </rPr>
      <t>21.10.2025-</t>
    </r>
    <r>
      <rPr>
        <sz val="12"/>
        <color rgb="FFFF9933"/>
        <rFont val="Calibri"/>
        <family val="2"/>
        <scheme val="minor"/>
      </rPr>
      <t>27.10.2025</t>
    </r>
    <r>
      <rPr>
        <sz val="12"/>
        <color rgb="FFCC99FF"/>
        <rFont val="Calibri"/>
        <family val="2"/>
        <scheme val="minor"/>
      </rPr>
      <t>-</t>
    </r>
    <r>
      <rPr>
        <sz val="12"/>
        <color rgb="FF9999FF"/>
        <rFont val="Calibri"/>
        <family val="2"/>
        <scheme val="minor"/>
      </rPr>
      <t>04.11.2025</t>
    </r>
    <r>
      <rPr>
        <sz val="12"/>
        <color theme="1"/>
        <rFont val="Calibri"/>
        <family val="2"/>
        <scheme val="minor"/>
      </rPr>
      <t>)</t>
    </r>
  </si>
  <si>
    <t>12.11.2024</t>
  </si>
  <si>
    <t>30.01.2025</t>
  </si>
  <si>
    <t>04.03.2025</t>
  </si>
  <si>
    <t>02.04.2025</t>
  </si>
  <si>
    <t>11.04.2025</t>
  </si>
  <si>
    <t>28.04.2025</t>
  </si>
  <si>
    <t>12.05.2025</t>
  </si>
  <si>
    <t>26.05.2025</t>
  </si>
  <si>
    <t>06.06.2025</t>
  </si>
  <si>
    <t>20.06.2025</t>
  </si>
  <si>
    <t>02.07.2025</t>
  </si>
  <si>
    <t>03.07.2025</t>
  </si>
  <si>
    <t>17.07.2025</t>
  </si>
  <si>
    <t>31.07.2025</t>
  </si>
  <si>
    <t>14.08.2025</t>
  </si>
  <si>
    <t>28.08.2025</t>
  </si>
  <si>
    <t>10.09.2025</t>
  </si>
  <si>
    <t>23.09.2025</t>
  </si>
  <si>
    <t>07.10.2025</t>
  </si>
  <si>
    <t>21.10.2025</t>
  </si>
  <si>
    <t>Diameter[mm]_05.08.2025</t>
  </si>
  <si>
    <t>Diameter[mm]_29.08.2025</t>
  </si>
  <si>
    <t>Height[cm]_01.09.2025</t>
  </si>
  <si>
    <t>Diameter[mm]_29.09.2025</t>
  </si>
  <si>
    <t>Height[cm]_29.09.2025</t>
  </si>
  <si>
    <t>Diameter[mm]_05.11.2025</t>
  </si>
  <si>
    <t>Height[cm]_05.11.2025</t>
  </si>
  <si>
    <t>A2_18.06.2025</t>
  </si>
  <si>
    <t>B2_18.06.2025</t>
  </si>
  <si>
    <t>A3_18.06.2025</t>
  </si>
  <si>
    <t>B3_18.06.2025</t>
  </si>
  <si>
    <t>A2_03.07.2025</t>
  </si>
  <si>
    <t>B2_03.07.2025</t>
  </si>
  <si>
    <t>A3_03.07.2025</t>
  </si>
  <si>
    <t>B3_03.07.2025</t>
  </si>
  <si>
    <t>A2_17.07.2025</t>
  </si>
  <si>
    <t>B2_17.07.2025</t>
  </si>
  <si>
    <t>A3_17.07.2025</t>
  </si>
  <si>
    <t>B3_17.07.2025</t>
  </si>
  <si>
    <t>A2_31.07.2025</t>
  </si>
  <si>
    <t>B2_31.07.2025</t>
  </si>
  <si>
    <t>A3_31.07.2025</t>
  </si>
  <si>
    <t>B3_31.07.2025</t>
  </si>
  <si>
    <t>A2_14.08.2025</t>
  </si>
  <si>
    <t>B2_14.08.2025</t>
  </si>
  <si>
    <t>A3_14.08.2025</t>
  </si>
  <si>
    <t>B3_14.08.2025</t>
  </si>
  <si>
    <t>A2_29.08.2025</t>
  </si>
  <si>
    <t>B2_29.08.2025</t>
  </si>
  <si>
    <t>A3_29.08.2025</t>
  </si>
  <si>
    <t>B3_29.08.2025</t>
  </si>
  <si>
    <t>A2_10.09.2025</t>
  </si>
  <si>
    <t>B2_10.09.2025</t>
  </si>
  <si>
    <t>A3_10.09.2025</t>
  </si>
  <si>
    <t>B3_10.09.2025</t>
  </si>
  <si>
    <t>A2_25.09.2025</t>
  </si>
  <si>
    <t>B2_25.09.2025</t>
  </si>
  <si>
    <t>A3_25.09.2025</t>
  </si>
  <si>
    <t>B3_25.09.2025</t>
  </si>
  <si>
    <t>A2_07.10.2025</t>
  </si>
  <si>
    <t>B2_07.10.2025</t>
  </si>
  <si>
    <t>A3_07.10.2025</t>
  </si>
  <si>
    <t>B3_07.10.2025</t>
  </si>
  <si>
    <t>A2_20.10.2025</t>
  </si>
  <si>
    <t>B2_20.10.2025</t>
  </si>
  <si>
    <t>A3_20.10.2025</t>
  </si>
  <si>
    <t>B3_20.10.2025</t>
  </si>
  <si>
    <t>A2_06.06.2025</t>
  </si>
  <si>
    <t>B2_06.06.2025</t>
  </si>
  <si>
    <t>A3_06.06.2025</t>
  </si>
  <si>
    <t>B3_06.06.2025</t>
  </si>
  <si>
    <t>A2_19.06.2025</t>
  </si>
  <si>
    <t>B2_19.06.2025</t>
  </si>
  <si>
    <t>A3_19.06.2025</t>
  </si>
  <si>
    <t>B3_19.06.2025</t>
  </si>
  <si>
    <t>A2_15.08.2025</t>
  </si>
  <si>
    <t>B2_15.08.2025</t>
  </si>
  <si>
    <t>A3_15.08.2025</t>
  </si>
  <si>
    <t>B3_15.08.2025</t>
  </si>
  <si>
    <t>A2_28.08.2025</t>
  </si>
  <si>
    <t>B2_28.08.2025</t>
  </si>
  <si>
    <t>A3_28.08.2025</t>
  </si>
  <si>
    <t>B3_28.08.2025</t>
  </si>
  <si>
    <t>A2_23.09.2025</t>
  </si>
  <si>
    <t>B2_23.09.2025</t>
  </si>
  <si>
    <t>A3_23.09.2025</t>
  </si>
  <si>
    <t>B3_23.09.2025</t>
  </si>
  <si>
    <t>A2_06.10.2025</t>
  </si>
  <si>
    <t>B2_06.10.2025</t>
  </si>
  <si>
    <t>A3_06.10.2025</t>
  </si>
  <si>
    <t>B3_06.10.2025</t>
  </si>
  <si>
    <t>%_03.09.2025</t>
  </si>
  <si>
    <t>Chl1_03.09.2025</t>
  </si>
  <si>
    <t>Chl2_03.09.2025</t>
  </si>
  <si>
    <t>Comment_03.09.2025</t>
  </si>
  <si>
    <t>%_10.09.2025</t>
  </si>
  <si>
    <t>Chl1_10.09.2025</t>
  </si>
  <si>
    <t>Chl2_10.09.2025</t>
  </si>
  <si>
    <t>Comment_10.09.2025</t>
  </si>
  <si>
    <t>%_17.09.2025</t>
  </si>
  <si>
    <t>Chl1_17.09.2025</t>
  </si>
  <si>
    <t>Chl2_17.09.2025</t>
  </si>
  <si>
    <t>Comment_17.09.2025</t>
  </si>
  <si>
    <t>%_25.09.2025</t>
  </si>
  <si>
    <t>Chl1_25.09.2025</t>
  </si>
  <si>
    <t>Chl2_25.09.2025</t>
  </si>
  <si>
    <t>Comment_25.09.2025</t>
  </si>
  <si>
    <t>%_01.10.2025</t>
  </si>
  <si>
    <t>Chl1_01.10.2025</t>
  </si>
  <si>
    <t>Chl2_01.10.2025</t>
  </si>
  <si>
    <t>Comment_01.10.2025</t>
  </si>
  <si>
    <t>%_08.10.2025</t>
  </si>
  <si>
    <t>Chl1_08.10.2025</t>
  </si>
  <si>
    <t>Chl2_08.10.2025</t>
  </si>
  <si>
    <t>Comment_08.10.2025</t>
  </si>
  <si>
    <t>%_15.10.2025</t>
  </si>
  <si>
    <t>Chl1_15.10.2025</t>
  </si>
  <si>
    <t>Chl2_15.10.2025</t>
  </si>
  <si>
    <t>Comment_15.10.2025</t>
  </si>
  <si>
    <t>%_21.10.2025</t>
  </si>
  <si>
    <t>Chl1_21.10.2025</t>
  </si>
  <si>
    <t>Chl2_21.10.2025</t>
  </si>
  <si>
    <t>Comment_21.10.2025</t>
  </si>
  <si>
    <t>%_27.10.2025</t>
  </si>
  <si>
    <t>Chl1_27.10.2025</t>
  </si>
  <si>
    <t>Chl2_27.10.2025</t>
  </si>
  <si>
    <t>Comment_27.10.2025</t>
  </si>
  <si>
    <t>%_04.11.2025</t>
  </si>
  <si>
    <t>Chl1_04.11.2025</t>
  </si>
  <si>
    <t>Chl2_04.11.2025</t>
  </si>
  <si>
    <t>LeafState_05.09.2025</t>
  </si>
  <si>
    <t>LeafState_19.09.2025</t>
  </si>
  <si>
    <t>LeafState_03.10.2025</t>
  </si>
  <si>
    <t>LeafState_16.10.2025</t>
  </si>
  <si>
    <t>LeafState_04.11.2025</t>
  </si>
  <si>
    <t>CO2mean_19.03.2025</t>
  </si>
  <si>
    <t>CO2mean_14.04.2025</t>
  </si>
  <si>
    <t>CO2mean_13.05.2025</t>
  </si>
  <si>
    <t>CO2mean_10.06.2025</t>
  </si>
  <si>
    <t>CO2mean_10.07.2025</t>
  </si>
  <si>
    <t>CO2mean_05.08.2025</t>
  </si>
  <si>
    <t>CO2mean_03.09.2025</t>
  </si>
  <si>
    <t>CO2mean_03.10.2025</t>
  </si>
  <si>
    <t>n_samples</t>
  </si>
  <si>
    <t>LeafState_13.06.2025</t>
  </si>
  <si>
    <t>Comment_13.06.2025</t>
  </si>
  <si>
    <t>LeafState_26.06.2025</t>
  </si>
  <si>
    <t>LeafState_22.08.2025</t>
  </si>
  <si>
    <t>Comment_26.06.2025</t>
  </si>
  <si>
    <t>LeafState_10.07.2025</t>
  </si>
  <si>
    <t>Comment_10.07.2025</t>
  </si>
  <si>
    <t>LeafState_24.07.2025</t>
  </si>
  <si>
    <t>Comment_24.07.2025</t>
  </si>
  <si>
    <t>LeafState_06.08.2025</t>
  </si>
  <si>
    <t>Comment_06.08.2025</t>
  </si>
  <si>
    <t>Height[cm]_07.03.2025</t>
  </si>
  <si>
    <t>Diameter[mm]_08.05.2025</t>
  </si>
  <si>
    <t>Height[cm]_08.05.2025</t>
  </si>
  <si>
    <t>Diameter[mm]_11.06.2025</t>
  </si>
  <si>
    <t>Diameter[mm]_09.07.2025</t>
  </si>
  <si>
    <t>Diameter[mm]_07.03.2025</t>
  </si>
  <si>
    <t>Height[cm]_11.06.2025</t>
  </si>
  <si>
    <t>Height[cm]_09.07.2025</t>
  </si>
  <si>
    <t>Height[cm]_05.08.2025</t>
  </si>
  <si>
    <t>B2_P5_C4_B4</t>
  </si>
  <si>
    <t>Weight_mm</t>
  </si>
  <si>
    <t>weight_per_sample</t>
  </si>
  <si>
    <t>area_mm2</t>
  </si>
  <si>
    <t>weight_mg</t>
  </si>
  <si>
    <t>sla_mm2_per_mg</t>
  </si>
  <si>
    <t>d13c_permille</t>
  </si>
  <si>
    <t>c_perc</t>
  </si>
  <si>
    <t>d15n_permille</t>
  </si>
  <si>
    <t>n_perc</t>
  </si>
  <si>
    <t>boxlabel</t>
  </si>
  <si>
    <t>bloc</t>
  </si>
  <si>
    <t>plot</t>
  </si>
  <si>
    <t>compartment</t>
  </si>
  <si>
    <t>col</t>
  </si>
  <si>
    <t>raw</t>
  </si>
  <si>
    <t>species</t>
  </si>
  <si>
    <t>precipitation</t>
  </si>
  <si>
    <t>treelabel_hand</t>
  </si>
  <si>
    <t>robinia</t>
  </si>
  <si>
    <t>soiltype</t>
  </si>
  <si>
    <t>precipitation_robinia</t>
  </si>
  <si>
    <t>precipitation_soiltype_robinia</t>
  </si>
  <si>
    <t>precipitation_soiltype</t>
  </si>
  <si>
    <t>soiltype_robinia</t>
  </si>
  <si>
    <t>soiltype_numeric</t>
  </si>
  <si>
    <t>species_treelabel</t>
  </si>
  <si>
    <t>soiltype_color</t>
  </si>
  <si>
    <t>inoc_robinia</t>
  </si>
  <si>
    <t>inoc_beech</t>
  </si>
  <si>
    <t>culture</t>
  </si>
  <si>
    <t>species_mix</t>
  </si>
  <si>
    <t>mono</t>
  </si>
  <si>
    <t>mixed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</si>
</sst>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charset val="1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name val="Calibri"/>
      <family val="2"/>
      <scheme val="minor"/>
    </font>
    <font>
      <sz val="12"/>
      <color theme="5"/>
      <name val="Calibri"/>
      <family val="2"/>
      <scheme val="minor"/>
    </font>
    <font>
      <sz val="12"/>
      <color theme="9"/>
      <name val="Calibri"/>
      <family val="2"/>
      <scheme val="minor"/>
    </font>
    <font>
      <sz val="12"/>
      <color theme="8"/>
      <name val="Calibri"/>
      <family val="2"/>
      <scheme val="minor"/>
    </font>
    <font>
      <sz val="12"/>
      <color theme="4"/>
      <name val="Calibri"/>
      <family val="2"/>
      <scheme val="minor"/>
    </font>
    <font>
      <sz val="12"/>
      <color theme="7"/>
      <name val="Calibri"/>
      <family val="2"/>
      <scheme val="minor"/>
    </font>
    <font>
      <sz val="12"/>
      <color theme="7" tint="0.39997558519241921"/>
      <name val="Calibri"/>
      <family val="2"/>
      <scheme val="minor"/>
    </font>
    <font>
      <sz val="12"/>
      <color rgb="FFE16DCB"/>
      <name val="Calibri"/>
      <family val="2"/>
      <scheme val="minor"/>
    </font>
    <font>
      <sz val="12"/>
      <color rgb="FF8EC0A5"/>
      <name val="Calibri"/>
      <family val="2"/>
      <scheme val="minor"/>
    </font>
    <font>
      <sz val="12"/>
      <color rgb="FF5CBDD0"/>
      <name val="Calibri"/>
      <family val="2"/>
      <scheme val="minor"/>
    </font>
    <font>
      <sz val="12"/>
      <color rgb="FFCC99FF"/>
      <name val="Calibri"/>
      <family val="2"/>
      <scheme val="minor"/>
    </font>
    <font>
      <sz val="12"/>
      <color rgb="FFFF9933"/>
      <name val="Calibri"/>
      <family val="2"/>
      <scheme val="minor"/>
    </font>
    <font>
      <sz val="12"/>
      <color rgb="FF9999FF"/>
      <name val="Calibri"/>
      <family val="2"/>
      <scheme val="minor"/>
    </font>
    <font>
      <sz val="12"/>
      <color rgb="FF000000"/>
      <name val="Calibri"/>
      <family val="2"/>
    </font>
    <font>
      <sz val="12"/>
      <color rgb="FF2FAB3E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color rgb="FF000000"/>
      <name val="Tahoma"/>
      <family val="2"/>
    </font>
  </fonts>
  <fills count="2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E16DCB"/>
        <bgColor indexed="64"/>
      </patternFill>
    </fill>
    <fill>
      <patternFill patternType="solid">
        <fgColor rgb="FF8EC0A5"/>
        <bgColor indexed="64"/>
      </patternFill>
    </fill>
    <fill>
      <patternFill patternType="solid">
        <fgColor rgb="FF5CBDD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2FAB3E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32">
    <xf numFmtId="0" fontId="0" fillId="0" borderId="0" xfId="0"/>
    <xf numFmtId="0" fontId="0" fillId="0" borderId="1" xfId="0" applyBorder="1"/>
    <xf numFmtId="0" fontId="0" fillId="2" borderId="1" xfId="0" applyFill="1" applyBorder="1"/>
    <xf numFmtId="2" fontId="0" fillId="0" borderId="1" xfId="0" applyNumberFormat="1" applyBorder="1"/>
    <xf numFmtId="2" fontId="0" fillId="2" borderId="1" xfId="0" applyNumberFormat="1" applyFill="1" applyBorder="1"/>
    <xf numFmtId="2" fontId="0" fillId="0" borderId="0" xfId="0" applyNumberFormat="1"/>
    <xf numFmtId="0" fontId="4" fillId="0" borderId="1" xfId="0" applyFont="1" applyBorder="1"/>
    <xf numFmtId="0" fontId="4" fillId="3" borderId="2" xfId="0" applyFont="1" applyFill="1" applyBorder="1"/>
    <xf numFmtId="0" fontId="5" fillId="0" borderId="0" xfId="0" applyFont="1"/>
    <xf numFmtId="0" fontId="0" fillId="4" borderId="0" xfId="0" applyFill="1"/>
    <xf numFmtId="0" fontId="0" fillId="2" borderId="0" xfId="0" applyFill="1"/>
    <xf numFmtId="14" fontId="0" fillId="0" borderId="1" xfId="0" applyNumberFormat="1" applyBorder="1"/>
    <xf numFmtId="14" fontId="0" fillId="0" borderId="1" xfId="0" applyNumberFormat="1" applyBorder="1" applyAlignment="1">
      <alignment wrapText="1"/>
    </xf>
    <xf numFmtId="0" fontId="7" fillId="4" borderId="1" xfId="0" applyFont="1" applyFill="1" applyBorder="1"/>
    <xf numFmtId="0" fontId="4" fillId="4" borderId="1" xfId="0" applyFont="1" applyFill="1" applyBorder="1"/>
    <xf numFmtId="0" fontId="6" fillId="4" borderId="1" xfId="0" applyFont="1" applyFill="1" applyBorder="1"/>
    <xf numFmtId="0" fontId="5" fillId="0" borderId="1" xfId="0" applyFont="1" applyBorder="1"/>
    <xf numFmtId="0" fontId="7" fillId="0" borderId="1" xfId="0" applyFont="1" applyBorder="1"/>
    <xf numFmtId="0" fontId="4" fillId="3" borderId="1" xfId="0" applyFont="1" applyFill="1" applyBorder="1"/>
    <xf numFmtId="0" fontId="7" fillId="3" borderId="1" xfId="0" applyFont="1" applyFill="1" applyBorder="1"/>
    <xf numFmtId="0" fontId="4" fillId="2" borderId="1" xfId="0" applyFont="1" applyFill="1" applyBorder="1"/>
    <xf numFmtId="0" fontId="7" fillId="2" borderId="1" xfId="0" applyFont="1" applyFill="1" applyBorder="1"/>
    <xf numFmtId="0" fontId="6" fillId="2" borderId="1" xfId="0" applyFont="1" applyFill="1" applyBorder="1"/>
    <xf numFmtId="0" fontId="0" fillId="4" borderId="1" xfId="0" applyFill="1" applyBorder="1"/>
    <xf numFmtId="0" fontId="0" fillId="0" borderId="3" xfId="0" applyBorder="1"/>
    <xf numFmtId="0" fontId="4" fillId="3" borderId="3" xfId="0" applyFont="1" applyFill="1" applyBorder="1"/>
    <xf numFmtId="0" fontId="0" fillId="4" borderId="3" xfId="0" applyFill="1" applyBorder="1"/>
    <xf numFmtId="0" fontId="0" fillId="2" borderId="3" xfId="0" applyFill="1" applyBorder="1"/>
    <xf numFmtId="0" fontId="6" fillId="0" borderId="3" xfId="0" applyFont="1" applyBorder="1" applyAlignment="1">
      <alignment wrapText="1"/>
    </xf>
    <xf numFmtId="16" fontId="0" fillId="2" borderId="1" xfId="0" applyNumberFormat="1" applyFill="1" applyBorder="1"/>
    <xf numFmtId="16" fontId="0" fillId="0" borderId="1" xfId="0" applyNumberFormat="1" applyBorder="1"/>
    <xf numFmtId="0" fontId="4" fillId="3" borderId="0" xfId="0" applyFont="1" applyFill="1"/>
    <xf numFmtId="0" fontId="4" fillId="4" borderId="0" xfId="0" applyFont="1" applyFill="1"/>
    <xf numFmtId="0" fontId="7" fillId="4" borderId="0" xfId="0" applyFont="1" applyFill="1"/>
    <xf numFmtId="0" fontId="6" fillId="4" borderId="0" xfId="0" applyFont="1" applyFill="1"/>
    <xf numFmtId="0" fontId="6" fillId="2" borderId="0" xfId="0" applyFont="1" applyFill="1"/>
    <xf numFmtId="0" fontId="8" fillId="0" borderId="0" xfId="0" applyFont="1"/>
    <xf numFmtId="0" fontId="6" fillId="3" borderId="1" xfId="0" applyFont="1" applyFill="1" applyBorder="1"/>
    <xf numFmtId="0" fontId="6" fillId="3" borderId="0" xfId="0" applyFont="1" applyFill="1"/>
    <xf numFmtId="0" fontId="9" fillId="4" borderId="1" xfId="0" applyFont="1" applyFill="1" applyBorder="1"/>
    <xf numFmtId="2" fontId="9" fillId="4" borderId="1" xfId="0" applyNumberFormat="1" applyFont="1" applyFill="1" applyBorder="1"/>
    <xf numFmtId="2" fontId="9" fillId="4" borderId="1" xfId="0" applyNumberFormat="1" applyFont="1" applyFill="1" applyBorder="1" applyAlignment="1">
      <alignment horizontal="center"/>
    </xf>
    <xf numFmtId="164" fontId="9" fillId="4" borderId="1" xfId="0" applyNumberFormat="1" applyFont="1" applyFill="1" applyBorder="1" applyAlignment="1">
      <alignment horizontal="center"/>
    </xf>
    <xf numFmtId="164" fontId="9" fillId="4" borderId="1" xfId="0" applyNumberFormat="1" applyFont="1" applyFill="1" applyBorder="1"/>
    <xf numFmtId="0" fontId="9" fillId="4" borderId="1" xfId="0" applyFont="1" applyFill="1" applyBorder="1" applyAlignment="1">
      <alignment horizontal="center"/>
    </xf>
    <xf numFmtId="0" fontId="10" fillId="4" borderId="1" xfId="0" applyFont="1" applyFill="1" applyBorder="1"/>
    <xf numFmtId="2" fontId="10" fillId="4" borderId="1" xfId="0" applyNumberFormat="1" applyFont="1" applyFill="1" applyBorder="1" applyAlignment="1">
      <alignment horizontal="center"/>
    </xf>
    <xf numFmtId="0" fontId="9" fillId="4" borderId="4" xfId="0" applyFont="1" applyFill="1" applyBorder="1"/>
    <xf numFmtId="0" fontId="5" fillId="4" borderId="1" xfId="0" applyFont="1" applyFill="1" applyBorder="1"/>
    <xf numFmtId="14" fontId="0" fillId="0" borderId="0" xfId="0" applyNumberFormat="1"/>
    <xf numFmtId="0" fontId="7" fillId="7" borderId="1" xfId="0" applyFont="1" applyFill="1" applyBorder="1"/>
    <xf numFmtId="0" fontId="7" fillId="8" borderId="1" xfId="0" applyFont="1" applyFill="1" applyBorder="1"/>
    <xf numFmtId="0" fontId="6" fillId="7" borderId="1" xfId="0" applyFont="1" applyFill="1" applyBorder="1"/>
    <xf numFmtId="0" fontId="6" fillId="9" borderId="1" xfId="0" applyFont="1" applyFill="1" applyBorder="1"/>
    <xf numFmtId="0" fontId="6" fillId="8" borderId="1" xfId="0" applyFont="1" applyFill="1" applyBorder="1"/>
    <xf numFmtId="14" fontId="12" fillId="0" borderId="0" xfId="0" applyNumberFormat="1" applyFont="1"/>
    <xf numFmtId="0" fontId="0" fillId="6" borderId="0" xfId="0" applyFill="1"/>
    <xf numFmtId="2" fontId="6" fillId="3" borderId="1" xfId="0" applyNumberFormat="1" applyFont="1" applyFill="1" applyBorder="1"/>
    <xf numFmtId="0" fontId="6" fillId="4" borderId="4" xfId="0" applyFont="1" applyFill="1" applyBorder="1"/>
    <xf numFmtId="0" fontId="0" fillId="0" borderId="4" xfId="0" applyBorder="1"/>
    <xf numFmtId="2" fontId="6" fillId="4" borderId="1" xfId="0" applyNumberFormat="1" applyFont="1" applyFill="1" applyBorder="1"/>
    <xf numFmtId="2" fontId="6" fillId="0" borderId="1" xfId="0" applyNumberFormat="1" applyFont="1" applyBorder="1"/>
    <xf numFmtId="2" fontId="6" fillId="2" borderId="1" xfId="0" applyNumberFormat="1" applyFont="1" applyFill="1" applyBorder="1"/>
    <xf numFmtId="0" fontId="6" fillId="0" borderId="1" xfId="0" applyFont="1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7" xfId="0" applyBorder="1"/>
    <xf numFmtId="0" fontId="0" fillId="0" borderId="8" xfId="0" applyBorder="1"/>
    <xf numFmtId="0" fontId="0" fillId="0" borderId="13" xfId="0" applyBorder="1"/>
    <xf numFmtId="0" fontId="5" fillId="5" borderId="1" xfId="0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5" fillId="12" borderId="1" xfId="0" applyFont="1" applyFill="1" applyBorder="1"/>
    <xf numFmtId="0" fontId="5" fillId="13" borderId="1" xfId="0" applyFont="1" applyFill="1" applyBorder="1"/>
    <xf numFmtId="0" fontId="5" fillId="14" borderId="1" xfId="0" applyFont="1" applyFill="1" applyBorder="1"/>
    <xf numFmtId="0" fontId="5" fillId="14" borderId="3" xfId="0" applyFont="1" applyFill="1" applyBorder="1"/>
    <xf numFmtId="0" fontId="5" fillId="15" borderId="3" xfId="0" applyFont="1" applyFill="1" applyBorder="1"/>
    <xf numFmtId="0" fontId="5" fillId="15" borderId="0" xfId="0" applyFont="1" applyFill="1"/>
    <xf numFmtId="0" fontId="5" fillId="15" borderId="5" xfId="0" applyFont="1" applyFill="1" applyBorder="1"/>
    <xf numFmtId="2" fontId="0" fillId="6" borderId="1" xfId="0" applyNumberFormat="1" applyFill="1" applyBorder="1"/>
    <xf numFmtId="2" fontId="6" fillId="6" borderId="1" xfId="0" applyNumberFormat="1" applyFont="1" applyFill="1" applyBorder="1"/>
    <xf numFmtId="0" fontId="5" fillId="16" borderId="0" xfId="0" applyFont="1" applyFill="1"/>
    <xf numFmtId="0" fontId="5" fillId="16" borderId="3" xfId="0" applyFont="1" applyFill="1" applyBorder="1"/>
    <xf numFmtId="0" fontId="5" fillId="16" borderId="5" xfId="0" applyFont="1" applyFill="1" applyBorder="1"/>
    <xf numFmtId="0" fontId="5" fillId="11" borderId="1" xfId="1" applyFont="1" applyFill="1" applyBorder="1"/>
    <xf numFmtId="0" fontId="6" fillId="3" borderId="1" xfId="1" applyFont="1" applyFill="1" applyBorder="1"/>
    <xf numFmtId="0" fontId="2" fillId="0" borderId="1" xfId="1" applyBorder="1"/>
    <xf numFmtId="0" fontId="2" fillId="0" borderId="4" xfId="1" applyBorder="1"/>
    <xf numFmtId="2" fontId="5" fillId="11" borderId="1" xfId="1" applyNumberFormat="1" applyFont="1" applyFill="1" applyBorder="1"/>
    <xf numFmtId="2" fontId="6" fillId="3" borderId="1" xfId="1" applyNumberFormat="1" applyFont="1" applyFill="1" applyBorder="1"/>
    <xf numFmtId="2" fontId="2" fillId="0" borderId="1" xfId="1" applyNumberFormat="1" applyBorder="1"/>
    <xf numFmtId="2" fontId="2" fillId="0" borderId="4" xfId="1" applyNumberFormat="1" applyBorder="1"/>
    <xf numFmtId="0" fontId="5" fillId="15" borderId="1" xfId="0" applyFont="1" applyFill="1" applyBorder="1"/>
    <xf numFmtId="0" fontId="5" fillId="16" borderId="1" xfId="0" applyFont="1" applyFill="1" applyBorder="1"/>
    <xf numFmtId="0" fontId="5" fillId="17" borderId="3" xfId="0" applyFont="1" applyFill="1" applyBorder="1"/>
    <xf numFmtId="0" fontId="5" fillId="17" borderId="0" xfId="0" applyFont="1" applyFill="1"/>
    <xf numFmtId="0" fontId="5" fillId="17" borderId="5" xfId="0" applyFont="1" applyFill="1" applyBorder="1"/>
    <xf numFmtId="0" fontId="5" fillId="18" borderId="1" xfId="1" applyFont="1" applyFill="1" applyBorder="1"/>
    <xf numFmtId="2" fontId="5" fillId="18" borderId="1" xfId="1" applyNumberFormat="1" applyFont="1" applyFill="1" applyBorder="1"/>
    <xf numFmtId="0" fontId="6" fillId="3" borderId="4" xfId="1" applyFont="1" applyFill="1" applyBorder="1"/>
    <xf numFmtId="0" fontId="1" fillId="0" borderId="1" xfId="1" applyFont="1" applyBorder="1"/>
    <xf numFmtId="0" fontId="5" fillId="13" borderId="1" xfId="1" applyFont="1" applyFill="1" applyBorder="1"/>
    <xf numFmtId="2" fontId="5" fillId="13" borderId="1" xfId="1" applyNumberFormat="1" applyFont="1" applyFill="1" applyBorder="1"/>
    <xf numFmtId="0" fontId="5" fillId="17" borderId="1" xfId="0" applyFont="1" applyFill="1" applyBorder="1"/>
    <xf numFmtId="0" fontId="5" fillId="19" borderId="3" xfId="0" applyFont="1" applyFill="1" applyBorder="1"/>
    <xf numFmtId="0" fontId="5" fillId="19" borderId="0" xfId="0" applyFont="1" applyFill="1"/>
    <xf numFmtId="0" fontId="5" fillId="19" borderId="5" xfId="0" applyFont="1" applyFill="1" applyBorder="1"/>
    <xf numFmtId="0" fontId="5" fillId="14" borderId="1" xfId="1" applyFont="1" applyFill="1" applyBorder="1"/>
    <xf numFmtId="2" fontId="5" fillId="14" borderId="1" xfId="1" applyNumberFormat="1" applyFont="1" applyFill="1" applyBorder="1"/>
    <xf numFmtId="0" fontId="5" fillId="15" borderId="1" xfId="1" applyFont="1" applyFill="1" applyBorder="1"/>
    <xf numFmtId="2" fontId="5" fillId="15" borderId="1" xfId="1" applyNumberFormat="1" applyFont="1" applyFill="1" applyBorder="1"/>
    <xf numFmtId="0" fontId="24" fillId="7" borderId="1" xfId="0" applyFont="1" applyFill="1" applyBorder="1"/>
    <xf numFmtId="0" fontId="24" fillId="8" borderId="1" xfId="0" applyFont="1" applyFill="1" applyBorder="1"/>
    <xf numFmtId="0" fontId="5" fillId="19" borderId="1" xfId="0" applyFont="1" applyFill="1" applyBorder="1"/>
    <xf numFmtId="0" fontId="7" fillId="0" borderId="0" xfId="0" applyFont="1"/>
    <xf numFmtId="0" fontId="7" fillId="8" borderId="0" xfId="0" applyFont="1" applyFill="1"/>
    <xf numFmtId="0" fontId="6" fillId="8" borderId="0" xfId="0" applyFont="1" applyFill="1"/>
    <xf numFmtId="0" fontId="24" fillId="8" borderId="0" xfId="0" applyFont="1" applyFill="1"/>
    <xf numFmtId="0" fontId="5" fillId="16" borderId="1" xfId="1" applyFont="1" applyFill="1" applyBorder="1"/>
    <xf numFmtId="2" fontId="5" fillId="16" borderId="1" xfId="1" applyNumberFormat="1" applyFont="1" applyFill="1" applyBorder="1"/>
    <xf numFmtId="0" fontId="5" fillId="20" borderId="3" xfId="0" applyFont="1" applyFill="1" applyBorder="1"/>
    <xf numFmtId="0" fontId="5" fillId="20" borderId="0" xfId="0" applyFont="1" applyFill="1"/>
    <xf numFmtId="0" fontId="5" fillId="20" borderId="5" xfId="0" applyFont="1" applyFill="1" applyBorder="1"/>
    <xf numFmtId="0" fontId="5" fillId="20" borderId="1" xfId="0" applyFont="1" applyFill="1" applyBorder="1"/>
    <xf numFmtId="0" fontId="5" fillId="17" borderId="1" xfId="1" applyFont="1" applyFill="1" applyBorder="1"/>
    <xf numFmtId="2" fontId="5" fillId="17" borderId="1" xfId="1" applyNumberFormat="1" applyFont="1" applyFill="1" applyBorder="1"/>
    <xf numFmtId="0" fontId="5" fillId="19" borderId="1" xfId="1" applyFont="1" applyFill="1" applyBorder="1"/>
    <xf numFmtId="2" fontId="5" fillId="19" borderId="1" xfId="1" applyNumberFormat="1" applyFont="1" applyFill="1" applyBorder="1"/>
    <xf numFmtId="0" fontId="26" fillId="0" borderId="1" xfId="0" applyFont="1" applyBorder="1"/>
  </cellXfs>
  <cellStyles count="2">
    <cellStyle name="Normal" xfId="0" builtinId="0"/>
    <cellStyle name="Normal 2" xfId="1" xr:uid="{9B83E7C7-9A98-4EBC-8BCA-F4CD21CE1565}"/>
  </cellStyles>
  <dxfs count="0"/>
  <tableStyles count="0" defaultTableStyle="TableStyleMedium2" defaultPivotStyle="PivotStyleLight16"/>
  <colors>
    <mruColors>
      <color rgb="FF9999FF"/>
      <color rgb="FFFF9933"/>
      <color rgb="FF2FAB3E"/>
      <color rgb="FF34BC44"/>
      <color rgb="FFCC99FF"/>
      <color rgb="FF5CBDD0"/>
      <color rgb="FF8EC0A5"/>
      <color rgb="FFE16D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alentina Vitali" id="{09CF5A8A-7147-4A48-8CAB-15C54C5C4451}" userId="S::valentina.vitali@wsl.ch::7665c223-eb11-4fbf-bb3a-5fa7246311c4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2-27T08:43:02.60" personId="{09CF5A8A-7147-4A48-8CAB-15C54C5C4451}" id="{37AD812F-5CF6-4327-91F2-6D0576634CA9}">
    <text xml:space="preserve">Lables to be filled
</text>
  </threadedComment>
  <threadedComment ref="A1" dT="2025-02-27T08:45:19.98" personId="{09CF5A8A-7147-4A48-8CAB-15C54C5C4451}" id="{80755022-B8F2-4DB6-847C-4F3EECB5BD95}" parentId="{37AD812F-5CF6-4327-91F2-6D0576634CA9}">
    <text>All trees need a lable  (see plastic lables on my desk which need printing in the shop)</text>
  </threadedComment>
  <threadedComment ref="A1" dT="2025-02-27T08:45:37.78" personId="{09CF5A8A-7147-4A48-8CAB-15C54C5C4451}" id="{2842FE62-D866-4CBE-8763-CE9F4B6D9234}" parentId="{37AD812F-5CF6-4327-91F2-6D0576634CA9}">
    <text>lable every box</text>
  </threadedComment>
  <threadedComment ref="A578" dT="2025-02-27T09:17:22.73" personId="{09CF5A8A-7147-4A48-8CAB-15C54C5C4451}" id="{B394CB04-5423-411C-A45A-D94B7E995646}">
    <text xml:space="preserve">Robinia need lable from 600 on 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J1" dT="2025-02-27T08:43:31.60" personId="{09CF5A8A-7147-4A48-8CAB-15C54C5C4451}" id="{3AC1A537-BAB7-431A-AD46-9ACF341E55DC}" done="1">
    <text>New measurement to be done every month (maybe more often in summer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N1" dT="2025-02-27T08:43:02.60" personId="{09CF5A8A-7147-4A48-8CAB-15C54C5C4451}" id="{0735944E-C200-4485-96B6-4D580F4C8993}" done="1">
    <text xml:space="preserve">Lables to be filled
</text>
  </threadedComment>
  <threadedComment ref="N1" dT="2025-02-27T08:45:19.98" personId="{09CF5A8A-7147-4A48-8CAB-15C54C5C4451}" id="{6B7E8066-F1FA-4F26-9526-3FBAFBD8FE3F}" parentId="{0735944E-C200-4485-96B6-4D580F4C8993}">
    <text>All trees need a lable  (see plastic lables on my desk which need printing in the shop)</text>
  </threadedComment>
  <threadedComment ref="N1" dT="2025-02-27T08:45:37.78" personId="{09CF5A8A-7147-4A48-8CAB-15C54C5C4451}" id="{70BAD677-CE23-4CF2-A8B7-BD86F2494ECE}" parentId="{0735944E-C200-4485-96B6-4D580F4C8993}">
    <text>lable every box</text>
  </threadedComment>
  <threadedComment ref="N579" dT="2025-02-27T09:17:22.73" personId="{09CF5A8A-7147-4A48-8CAB-15C54C5C4451}" id="{7D39D697-154F-4226-A2FE-73D53CAFB558}">
    <text xml:space="preserve">Robinia need lable from 600 on 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N1" dT="2025-02-27T08:43:02.60" personId="{09CF5A8A-7147-4A48-8CAB-15C54C5C4451}" id="{605643A9-D16D-4E03-A450-7CA9C5AAF538}">
    <text xml:space="preserve">Lables to be filled
</text>
  </threadedComment>
  <threadedComment ref="N1" dT="2025-02-27T08:45:19.98" personId="{09CF5A8A-7147-4A48-8CAB-15C54C5C4451}" id="{27981E85-730A-4DFC-BA72-7AF8E68A2D93}" parentId="{605643A9-D16D-4E03-A450-7CA9C5AAF538}">
    <text>All trees need a lable  (see plastic lables on my desk which need printing in the shop)</text>
  </threadedComment>
  <threadedComment ref="N1" dT="2025-02-27T08:45:37.78" personId="{09CF5A8A-7147-4A48-8CAB-15C54C5C4451}" id="{80059B66-D07B-4550-8E5A-E54FB2E9BD88}" parentId="{605643A9-D16D-4E03-A450-7CA9C5AAF538}">
    <text>lable every box</text>
  </threadedComment>
  <threadedComment ref="N579" dT="2025-02-27T09:17:22.73" personId="{09CF5A8A-7147-4A48-8CAB-15C54C5C4451}" id="{1469BCE2-67EF-4ADC-85DD-61CBECE0FED1}">
    <text xml:space="preserve">Robinia need lable from 600 on 
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1" dT="2025-02-27T08:43:02.60" personId="{09CF5A8A-7147-4A48-8CAB-15C54C5C4451}" id="{3C6BC66E-47B9-7E44-9870-36A89F6ACFAE}" done="1">
    <text xml:space="preserve">Lables to be filled
</text>
  </threadedComment>
  <threadedComment ref="B1" dT="2025-02-27T08:45:19.98" personId="{09CF5A8A-7147-4A48-8CAB-15C54C5C4451}" id="{A8A7DCD0-F8F3-0A44-9828-73750B5C1E6F}" parentId="{3C6BC66E-47B9-7E44-9870-36A89F6ACFAE}">
    <text>All trees need a lable  (see plastic lables on my desk which need printing in the shop)</text>
  </threadedComment>
  <threadedComment ref="B1" dT="2025-02-27T08:45:37.78" personId="{09CF5A8A-7147-4A48-8CAB-15C54C5C4451}" id="{129A62E6-0D2E-714D-8DF7-64390802CEA2}" parentId="{3C6BC66E-47B9-7E44-9870-36A89F6ACFAE}">
    <text>lable every box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B1" dT="2025-02-27T08:43:02.60" personId="{09CF5A8A-7147-4A48-8CAB-15C54C5C4451}" id="{512C2B34-4C48-44D4-AF2C-DC2DFCB19104}" done="1">
    <text xml:space="preserve">Lables to be filled
</text>
  </threadedComment>
  <threadedComment ref="B1" dT="2025-02-27T08:45:19.98" personId="{09CF5A8A-7147-4A48-8CAB-15C54C5C4451}" id="{2276FEED-ED74-4B4F-B385-85796AAF8158}" parentId="{512C2B34-4C48-44D4-AF2C-DC2DFCB19104}">
    <text>All trees need a lable  (see plastic lables on my desk which need printing in the shop)</text>
  </threadedComment>
  <threadedComment ref="B1" dT="2025-02-27T08:45:37.78" personId="{09CF5A8A-7147-4A48-8CAB-15C54C5C4451}" id="{F87A99E8-047E-4C59-A943-FF01B523D79A}" parentId="{512C2B34-4C48-44D4-AF2C-DC2DFCB19104}">
    <text>lable every box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5.x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945EB-ECA0-B24E-9699-2B96A769E2B9}">
  <dimension ref="A1:T808"/>
  <sheetViews>
    <sheetView topLeftCell="A4" workbookViewId="0">
      <selection activeCell="L34" sqref="L34"/>
    </sheetView>
  </sheetViews>
  <sheetFormatPr baseColWidth="10" defaultColWidth="11" defaultRowHeight="15.75" customHeight="1" x14ac:dyDescent="0.2"/>
  <cols>
    <col min="1" max="1" width="11" style="8"/>
    <col min="3" max="4" width="10.83203125" style="1"/>
    <col min="5" max="6" width="12" style="1" customWidth="1"/>
    <col min="7" max="7" width="15" style="1" bestFit="1" customWidth="1"/>
    <col min="8" max="8" width="10.83203125" style="1"/>
    <col min="9" max="9" width="14.1640625" bestFit="1" customWidth="1"/>
    <col min="10" max="10" width="13.6640625" customWidth="1"/>
    <col min="11" max="11" width="24.83203125" style="8" customWidth="1"/>
    <col min="12" max="12" width="23.1640625" customWidth="1"/>
    <col min="14" max="14" width="28.6640625" customWidth="1"/>
    <col min="15" max="15" width="36" bestFit="1" customWidth="1"/>
    <col min="16" max="16" width="20.33203125" style="1" customWidth="1"/>
    <col min="17" max="17" width="15" style="1" customWidth="1"/>
    <col min="18" max="18" width="13.6640625" style="1" customWidth="1"/>
    <col min="19" max="20" width="11" style="1"/>
  </cols>
  <sheetData>
    <row r="1" spans="1:20" ht="15" customHeight="1" x14ac:dyDescent="0.2">
      <c r="A1" s="17" t="s">
        <v>13</v>
      </c>
      <c r="B1" s="6" t="s">
        <v>2059</v>
      </c>
      <c r="C1" s="6" t="s">
        <v>2054</v>
      </c>
      <c r="D1" s="6" t="s">
        <v>2055</v>
      </c>
      <c r="E1" s="6" t="s">
        <v>2056</v>
      </c>
      <c r="F1" s="6" t="s">
        <v>2053</v>
      </c>
      <c r="G1" s="6" t="s">
        <v>2057</v>
      </c>
      <c r="H1" s="6" t="s">
        <v>2058</v>
      </c>
      <c r="I1" s="6" t="s">
        <v>2061</v>
      </c>
      <c r="J1" s="6" t="s">
        <v>2060</v>
      </c>
      <c r="K1" s="17" t="s">
        <v>2069</v>
      </c>
      <c r="L1" s="6" t="s">
        <v>2070</v>
      </c>
      <c r="M1" s="6" t="s">
        <v>2062</v>
      </c>
      <c r="N1" s="6" t="s">
        <v>2065</v>
      </c>
      <c r="O1" s="24" t="s">
        <v>2064</v>
      </c>
      <c r="P1" s="1" t="s">
        <v>2066</v>
      </c>
      <c r="Q1" s="1" t="s">
        <v>2067</v>
      </c>
      <c r="R1" s="1" t="s">
        <v>2063</v>
      </c>
    </row>
    <row r="2" spans="1:20" s="7" customFormat="1" ht="16" x14ac:dyDescent="0.2">
      <c r="A2" s="19">
        <v>1</v>
      </c>
      <c r="B2" s="18" t="s">
        <v>19</v>
      </c>
      <c r="C2" s="18" t="s">
        <v>14</v>
      </c>
      <c r="D2" s="18" t="s">
        <v>15</v>
      </c>
      <c r="E2" s="18" t="s">
        <v>16</v>
      </c>
      <c r="F2" s="18" t="str">
        <f>C2&amp;"-"&amp;D2&amp;"-"&amp;E2</f>
        <v>B1-P1-C1</v>
      </c>
      <c r="G2" s="18" t="s">
        <v>17</v>
      </c>
      <c r="H2" s="18">
        <v>1</v>
      </c>
      <c r="I2" s="18" t="s">
        <v>18</v>
      </c>
      <c r="J2" s="18" t="s">
        <v>20</v>
      </c>
      <c r="K2" s="19" t="str">
        <f>B2&amp;"-"&amp;C2&amp;"-"&amp;D2&amp;"-"&amp;E2&amp;"-"&amp;G2&amp;H2</f>
        <v>Fagus-B1-P1-C1-A1</v>
      </c>
      <c r="L2" s="18" t="s">
        <v>21</v>
      </c>
      <c r="M2" s="18" t="s">
        <v>22</v>
      </c>
      <c r="N2" s="18" t="s">
        <v>23</v>
      </c>
      <c r="O2" s="25" t="str">
        <f>J2&amp;"_"&amp;M2</f>
        <v>Drought_No</v>
      </c>
      <c r="P2" s="25" t="str">
        <f>J2&amp;"_"&amp;M2</f>
        <v>Drought_No</v>
      </c>
      <c r="Q2" s="25" t="str">
        <f>L2&amp;"_"&amp;M2</f>
        <v>Yellow_No</v>
      </c>
      <c r="R2" s="23" t="s">
        <v>2071</v>
      </c>
      <c r="S2" s="23"/>
      <c r="T2" s="23"/>
    </row>
    <row r="3" spans="1:20" s="7" customFormat="1" ht="16" x14ac:dyDescent="0.2">
      <c r="A3" s="19">
        <v>2</v>
      </c>
      <c r="B3" s="18" t="s">
        <v>19</v>
      </c>
      <c r="C3" s="18" t="s">
        <v>14</v>
      </c>
      <c r="D3" s="18" t="s">
        <v>15</v>
      </c>
      <c r="E3" s="18" t="s">
        <v>16</v>
      </c>
      <c r="F3" s="18" t="str">
        <f>C3&amp;"-"&amp;D3&amp;"-"&amp;E3</f>
        <v>B1-P1-C1</v>
      </c>
      <c r="G3" s="18" t="s">
        <v>24</v>
      </c>
      <c r="H3" s="18">
        <v>1</v>
      </c>
      <c r="I3" s="18" t="s">
        <v>25</v>
      </c>
      <c r="J3" s="18" t="s">
        <v>20</v>
      </c>
      <c r="K3" s="19" t="str">
        <f>B3&amp;"-"&amp;C3&amp;"-"&amp;D3&amp;"-"&amp;E3&amp;"-"&amp;G3&amp;H3</f>
        <v>Fagus-B1-P1-C1-B1</v>
      </c>
      <c r="L3" s="18" t="s">
        <v>21</v>
      </c>
      <c r="M3" s="18" t="s">
        <v>22</v>
      </c>
      <c r="N3" s="18" t="s">
        <v>23</v>
      </c>
      <c r="O3" s="25" t="str">
        <f>J3&amp;"_"&amp;M3</f>
        <v>Drought_No</v>
      </c>
      <c r="P3" s="18" t="str">
        <f>J3&amp;"_"&amp;M3</f>
        <v>Drought_No</v>
      </c>
      <c r="Q3" s="18" t="str">
        <f>L3&amp;"_"&amp;M3</f>
        <v>Yellow_No</v>
      </c>
      <c r="R3" s="23" t="s">
        <v>2071</v>
      </c>
      <c r="S3" s="23"/>
      <c r="T3" s="23"/>
    </row>
    <row r="4" spans="1:20" s="7" customFormat="1" ht="16" x14ac:dyDescent="0.2">
      <c r="A4" s="19">
        <v>3</v>
      </c>
      <c r="B4" s="18" t="s">
        <v>19</v>
      </c>
      <c r="C4" s="18" t="s">
        <v>14</v>
      </c>
      <c r="D4" s="18" t="s">
        <v>15</v>
      </c>
      <c r="E4" s="18" t="s">
        <v>16</v>
      </c>
      <c r="F4" s="18" t="str">
        <f>C4&amp;"-"&amp;D4&amp;"-"&amp;E4</f>
        <v>B1-P1-C1</v>
      </c>
      <c r="G4" s="18" t="s">
        <v>17</v>
      </c>
      <c r="H4" s="18">
        <v>2</v>
      </c>
      <c r="I4" s="18" t="s">
        <v>26</v>
      </c>
      <c r="J4" s="18" t="s">
        <v>20</v>
      </c>
      <c r="K4" s="19" t="str">
        <f>B4&amp;"-"&amp;C4&amp;"-"&amp;D4&amp;"-"&amp;E4&amp;"-"&amp;G4&amp;H4</f>
        <v>Fagus-B1-P1-C1-A2</v>
      </c>
      <c r="L4" s="18" t="s">
        <v>21</v>
      </c>
      <c r="M4" s="18" t="s">
        <v>22</v>
      </c>
      <c r="N4" s="18" t="s">
        <v>23</v>
      </c>
      <c r="O4" s="25" t="str">
        <f>J4&amp;"_"&amp;M4</f>
        <v>Drought_No</v>
      </c>
      <c r="P4" s="18" t="str">
        <f>J4&amp;"_"&amp;M4</f>
        <v>Drought_No</v>
      </c>
      <c r="Q4" s="18" t="str">
        <f>L4&amp;"_"&amp;M4</f>
        <v>Yellow_No</v>
      </c>
      <c r="R4" s="23" t="s">
        <v>2071</v>
      </c>
      <c r="S4" s="23"/>
      <c r="T4" s="23"/>
    </row>
    <row r="5" spans="1:20" s="7" customFormat="1" ht="16" x14ac:dyDescent="0.2">
      <c r="A5" s="19">
        <v>4</v>
      </c>
      <c r="B5" s="18" t="s">
        <v>19</v>
      </c>
      <c r="C5" s="18" t="s">
        <v>14</v>
      </c>
      <c r="D5" s="18" t="s">
        <v>15</v>
      </c>
      <c r="E5" s="18" t="s">
        <v>16</v>
      </c>
      <c r="F5" s="18" t="str">
        <f>C5&amp;"-"&amp;D5&amp;"-"&amp;E5</f>
        <v>B1-P1-C1</v>
      </c>
      <c r="G5" s="18" t="s">
        <v>24</v>
      </c>
      <c r="H5" s="18">
        <v>2</v>
      </c>
      <c r="I5" s="18" t="s">
        <v>27</v>
      </c>
      <c r="J5" s="18" t="s">
        <v>20</v>
      </c>
      <c r="K5" s="19" t="str">
        <f>B5&amp;"-"&amp;C5&amp;"-"&amp;D5&amp;"-"&amp;E5&amp;"-"&amp;G5&amp;H5</f>
        <v>Fagus-B1-P1-C1-B2</v>
      </c>
      <c r="L5" s="18" t="s">
        <v>21</v>
      </c>
      <c r="M5" s="18" t="s">
        <v>22</v>
      </c>
      <c r="N5" s="18" t="s">
        <v>23</v>
      </c>
      <c r="O5" s="25" t="str">
        <f>J5&amp;"_"&amp;M5</f>
        <v>Drought_No</v>
      </c>
      <c r="P5" s="18" t="str">
        <f>J5&amp;"_"&amp;M5</f>
        <v>Drought_No</v>
      </c>
      <c r="Q5" s="18" t="str">
        <f>L5&amp;"_"&amp;M5</f>
        <v>Yellow_No</v>
      </c>
      <c r="R5" s="23" t="s">
        <v>2071</v>
      </c>
      <c r="S5" s="23"/>
      <c r="T5" s="23"/>
    </row>
    <row r="6" spans="1:20" s="7" customFormat="1" ht="16" x14ac:dyDescent="0.2">
      <c r="A6" s="19">
        <v>5</v>
      </c>
      <c r="B6" s="18" t="s">
        <v>19</v>
      </c>
      <c r="C6" s="18" t="s">
        <v>14</v>
      </c>
      <c r="D6" s="18" t="s">
        <v>15</v>
      </c>
      <c r="E6" s="18" t="s">
        <v>16</v>
      </c>
      <c r="F6" s="18" t="str">
        <f>C6&amp;"-"&amp;D6&amp;"-"&amp;E6</f>
        <v>B1-P1-C1</v>
      </c>
      <c r="G6" s="18" t="s">
        <v>17</v>
      </c>
      <c r="H6" s="18">
        <v>3</v>
      </c>
      <c r="I6" s="18" t="s">
        <v>28</v>
      </c>
      <c r="J6" s="18" t="s">
        <v>20</v>
      </c>
      <c r="K6" s="19" t="str">
        <f>B6&amp;"-"&amp;C6&amp;"-"&amp;D6&amp;"-"&amp;E6&amp;"-"&amp;G6&amp;H6</f>
        <v>Fagus-B1-P1-C1-A3</v>
      </c>
      <c r="L6" s="18" t="s">
        <v>21</v>
      </c>
      <c r="M6" s="18" t="s">
        <v>22</v>
      </c>
      <c r="N6" s="18" t="s">
        <v>23</v>
      </c>
      <c r="O6" s="25" t="str">
        <f>J6&amp;"_"&amp;M6</f>
        <v>Drought_No</v>
      </c>
      <c r="P6" s="18" t="str">
        <f>J6&amp;"_"&amp;M6</f>
        <v>Drought_No</v>
      </c>
      <c r="Q6" s="18" t="str">
        <f>L6&amp;"_"&amp;M6</f>
        <v>Yellow_No</v>
      </c>
      <c r="R6" s="23" t="s">
        <v>2071</v>
      </c>
      <c r="S6" s="2"/>
      <c r="T6" s="2"/>
    </row>
    <row r="7" spans="1:20" s="7" customFormat="1" ht="16" x14ac:dyDescent="0.2">
      <c r="A7" s="19">
        <v>6</v>
      </c>
      <c r="B7" s="18" t="s">
        <v>19</v>
      </c>
      <c r="C7" s="18" t="s">
        <v>14</v>
      </c>
      <c r="D7" s="18" t="s">
        <v>15</v>
      </c>
      <c r="E7" s="18" t="s">
        <v>16</v>
      </c>
      <c r="F7" s="18" t="str">
        <f>C7&amp;"-"&amp;D7&amp;"-"&amp;E7</f>
        <v>B1-P1-C1</v>
      </c>
      <c r="G7" s="18" t="s">
        <v>24</v>
      </c>
      <c r="H7" s="18">
        <v>3</v>
      </c>
      <c r="I7" s="18" t="s">
        <v>29</v>
      </c>
      <c r="J7" s="18" t="s">
        <v>20</v>
      </c>
      <c r="K7" s="19" t="str">
        <f>B7&amp;"-"&amp;C7&amp;"-"&amp;D7&amp;"-"&amp;E7&amp;"-"&amp;G7&amp;H7</f>
        <v>Fagus-B1-P1-C1-B3</v>
      </c>
      <c r="L7" s="18" t="s">
        <v>21</v>
      </c>
      <c r="M7" s="18" t="s">
        <v>22</v>
      </c>
      <c r="N7" s="18" t="s">
        <v>23</v>
      </c>
      <c r="O7" s="25" t="str">
        <f>J7&amp;"_"&amp;M7</f>
        <v>Drought_No</v>
      </c>
      <c r="P7" s="18" t="str">
        <f>J7&amp;"_"&amp;M7</f>
        <v>Drought_No</v>
      </c>
      <c r="Q7" s="18" t="str">
        <f>L7&amp;"_"&amp;M7</f>
        <v>Yellow_No</v>
      </c>
      <c r="R7" s="23" t="s">
        <v>2071</v>
      </c>
      <c r="S7" s="2"/>
      <c r="T7" s="2"/>
    </row>
    <row r="8" spans="1:20" s="7" customFormat="1" ht="16" x14ac:dyDescent="0.2">
      <c r="A8" s="19">
        <v>7</v>
      </c>
      <c r="B8" s="18" t="s">
        <v>19</v>
      </c>
      <c r="C8" s="18" t="s">
        <v>14</v>
      </c>
      <c r="D8" s="18" t="s">
        <v>15</v>
      </c>
      <c r="E8" s="18" t="s">
        <v>16</v>
      </c>
      <c r="F8" s="18" t="str">
        <f>C8&amp;"-"&amp;D8&amp;"-"&amp;E8</f>
        <v>B1-P1-C1</v>
      </c>
      <c r="G8" s="18" t="s">
        <v>17</v>
      </c>
      <c r="H8" s="18">
        <v>4</v>
      </c>
      <c r="I8" s="18" t="s">
        <v>30</v>
      </c>
      <c r="J8" s="18" t="s">
        <v>20</v>
      </c>
      <c r="K8" s="19" t="str">
        <f>B8&amp;"-"&amp;C8&amp;"-"&amp;D8&amp;"-"&amp;E8&amp;"-"&amp;G8&amp;H8</f>
        <v>Fagus-B1-P1-C1-A4</v>
      </c>
      <c r="L8" s="18" t="s">
        <v>21</v>
      </c>
      <c r="M8" s="18" t="s">
        <v>22</v>
      </c>
      <c r="N8" s="18" t="s">
        <v>23</v>
      </c>
      <c r="O8" s="25" t="str">
        <f>J8&amp;"_"&amp;M8</f>
        <v>Drought_No</v>
      </c>
      <c r="P8" s="18" t="str">
        <f>J8&amp;"_"&amp;M8</f>
        <v>Drought_No</v>
      </c>
      <c r="Q8" s="18" t="str">
        <f>L8&amp;"_"&amp;M8</f>
        <v>Yellow_No</v>
      </c>
      <c r="R8" s="23" t="s">
        <v>2071</v>
      </c>
      <c r="S8" s="2"/>
      <c r="T8" s="2"/>
    </row>
    <row r="9" spans="1:20" s="7" customFormat="1" ht="16" x14ac:dyDescent="0.2">
      <c r="A9" s="19">
        <v>8</v>
      </c>
      <c r="B9" s="18" t="s">
        <v>19</v>
      </c>
      <c r="C9" s="18" t="s">
        <v>14</v>
      </c>
      <c r="D9" s="18" t="s">
        <v>15</v>
      </c>
      <c r="E9" s="18" t="s">
        <v>16</v>
      </c>
      <c r="F9" s="18" t="str">
        <f>C9&amp;"-"&amp;D9&amp;"-"&amp;E9</f>
        <v>B1-P1-C1</v>
      </c>
      <c r="G9" s="18" t="s">
        <v>24</v>
      </c>
      <c r="H9" s="18">
        <v>4</v>
      </c>
      <c r="I9" s="18" t="s">
        <v>31</v>
      </c>
      <c r="J9" s="18" t="s">
        <v>20</v>
      </c>
      <c r="K9" s="19" t="str">
        <f>B9&amp;"-"&amp;C9&amp;"-"&amp;D9&amp;"-"&amp;E9&amp;"-"&amp;G9&amp;H9</f>
        <v>Fagus-B1-P1-C1-B4</v>
      </c>
      <c r="L9" s="18" t="s">
        <v>21</v>
      </c>
      <c r="M9" s="18" t="s">
        <v>22</v>
      </c>
      <c r="N9" s="18" t="s">
        <v>23</v>
      </c>
      <c r="O9" s="25" t="str">
        <f>J9&amp;"_"&amp;M9</f>
        <v>Drought_No</v>
      </c>
      <c r="P9" s="18" t="str">
        <f>J9&amp;"_"&amp;M9</f>
        <v>Drought_No</v>
      </c>
      <c r="Q9" s="18" t="str">
        <f>L9&amp;"_"&amp;M9</f>
        <v>Yellow_No</v>
      </c>
      <c r="R9" s="23" t="s">
        <v>2071</v>
      </c>
      <c r="S9" s="2"/>
      <c r="T9" s="2"/>
    </row>
    <row r="10" spans="1:20" s="9" customFormat="1" ht="16" x14ac:dyDescent="0.2">
      <c r="A10" s="13">
        <v>9</v>
      </c>
      <c r="B10" s="14" t="s">
        <v>19</v>
      </c>
      <c r="C10" s="14" t="s">
        <v>14</v>
      </c>
      <c r="D10" s="14" t="s">
        <v>15</v>
      </c>
      <c r="E10" s="14" t="s">
        <v>32</v>
      </c>
      <c r="F10" s="14" t="str">
        <f>C10&amp;"-"&amp;D10&amp;"-"&amp;E10</f>
        <v>B1-P1-C2</v>
      </c>
      <c r="G10" s="14" t="s">
        <v>17</v>
      </c>
      <c r="H10" s="14">
        <v>1</v>
      </c>
      <c r="I10" s="14" t="s">
        <v>33</v>
      </c>
      <c r="J10" s="14" t="s">
        <v>20</v>
      </c>
      <c r="K10" s="13" t="str">
        <f>B10&amp;"-"&amp;C10&amp;"-"&amp;D10&amp;"-"&amp;E10&amp;"-"&amp;G10&amp;H10</f>
        <v>Fagus-B1-P1-C2-A1</v>
      </c>
      <c r="L10" s="14" t="s">
        <v>21</v>
      </c>
      <c r="M10" s="14" t="s">
        <v>22</v>
      </c>
      <c r="N10" s="14" t="s">
        <v>23</v>
      </c>
      <c r="O10" s="26" t="str">
        <f>J10&amp;"_"&amp;M10</f>
        <v>Drought_No</v>
      </c>
      <c r="P10" s="23" t="str">
        <f>J10&amp;"_"&amp;M10</f>
        <v>Drought_No</v>
      </c>
      <c r="Q10" s="23" t="str">
        <f>L10&amp;"_"&amp;M10</f>
        <v>Yellow_No</v>
      </c>
      <c r="R10" s="23" t="s">
        <v>2071</v>
      </c>
      <c r="S10" s="2"/>
      <c r="T10" s="2"/>
    </row>
    <row r="11" spans="1:20" s="9" customFormat="1" ht="16" x14ac:dyDescent="0.2">
      <c r="A11" s="13">
        <v>10</v>
      </c>
      <c r="B11" s="14" t="s">
        <v>35</v>
      </c>
      <c r="C11" s="14" t="s">
        <v>14</v>
      </c>
      <c r="D11" s="14" t="s">
        <v>15</v>
      </c>
      <c r="E11" s="14" t="s">
        <v>32</v>
      </c>
      <c r="F11" s="14" t="str">
        <f>C11&amp;"-"&amp;D11&amp;"-"&amp;E11</f>
        <v>B1-P1-C2</v>
      </c>
      <c r="G11" s="14" t="s">
        <v>24</v>
      </c>
      <c r="H11" s="14">
        <v>1</v>
      </c>
      <c r="I11" s="14" t="s">
        <v>34</v>
      </c>
      <c r="J11" s="14" t="s">
        <v>20</v>
      </c>
      <c r="K11" s="13" t="str">
        <f>B11&amp;"-"&amp;C11&amp;"-"&amp;D11&amp;"-"&amp;E11&amp;"-"&amp;G11&amp;H11</f>
        <v>Quercus-B1-P1-C2-B1</v>
      </c>
      <c r="L11" s="14" t="s">
        <v>21</v>
      </c>
      <c r="M11" s="14" t="s">
        <v>22</v>
      </c>
      <c r="N11" s="14" t="s">
        <v>23</v>
      </c>
      <c r="O11" s="26" t="str">
        <f>J11&amp;"_"&amp;M11</f>
        <v>Drought_No</v>
      </c>
      <c r="P11" s="23" t="str">
        <f>J11&amp;"_"&amp;M11</f>
        <v>Drought_No</v>
      </c>
      <c r="Q11" s="23" t="str">
        <f>L11&amp;"_"&amp;M11</f>
        <v>Yellow_No</v>
      </c>
      <c r="R11" s="23" t="s">
        <v>2071</v>
      </c>
      <c r="S11" s="2"/>
      <c r="T11" s="2"/>
    </row>
    <row r="12" spans="1:20" s="9" customFormat="1" ht="16" x14ac:dyDescent="0.2">
      <c r="A12" s="13">
        <v>11</v>
      </c>
      <c r="B12" s="14" t="s">
        <v>35</v>
      </c>
      <c r="C12" s="14" t="s">
        <v>14</v>
      </c>
      <c r="D12" s="14" t="s">
        <v>15</v>
      </c>
      <c r="E12" s="14" t="s">
        <v>32</v>
      </c>
      <c r="F12" s="14" t="str">
        <f>C12&amp;"-"&amp;D12&amp;"-"&amp;E12</f>
        <v>B1-P1-C2</v>
      </c>
      <c r="G12" s="14" t="s">
        <v>17</v>
      </c>
      <c r="H12" s="14">
        <v>2</v>
      </c>
      <c r="I12" s="14" t="s">
        <v>36</v>
      </c>
      <c r="J12" s="14" t="s">
        <v>20</v>
      </c>
      <c r="K12" s="13" t="str">
        <f>B12&amp;"-"&amp;C12&amp;"-"&amp;D12&amp;"-"&amp;E12&amp;"-"&amp;G12&amp;H12</f>
        <v>Quercus-B1-P1-C2-A2</v>
      </c>
      <c r="L12" s="14" t="s">
        <v>21</v>
      </c>
      <c r="M12" s="14" t="s">
        <v>22</v>
      </c>
      <c r="N12" s="14" t="s">
        <v>23</v>
      </c>
      <c r="O12" s="26" t="str">
        <f>J12&amp;"_"&amp;M12</f>
        <v>Drought_No</v>
      </c>
      <c r="P12" s="23" t="str">
        <f>J12&amp;"_"&amp;M12</f>
        <v>Drought_No</v>
      </c>
      <c r="Q12" s="23" t="str">
        <f>L12&amp;"_"&amp;M12</f>
        <v>Yellow_No</v>
      </c>
      <c r="R12" s="23" t="s">
        <v>2071</v>
      </c>
      <c r="S12" s="2"/>
      <c r="T12" s="2"/>
    </row>
    <row r="13" spans="1:20" s="9" customFormat="1" ht="16" x14ac:dyDescent="0.2">
      <c r="A13" s="13">
        <v>12</v>
      </c>
      <c r="B13" s="14" t="s">
        <v>19</v>
      </c>
      <c r="C13" s="14" t="s">
        <v>14</v>
      </c>
      <c r="D13" s="14" t="s">
        <v>15</v>
      </c>
      <c r="E13" s="14" t="s">
        <v>32</v>
      </c>
      <c r="F13" s="14" t="str">
        <f>C13&amp;"-"&amp;D13&amp;"-"&amp;E13</f>
        <v>B1-P1-C2</v>
      </c>
      <c r="G13" s="14" t="s">
        <v>24</v>
      </c>
      <c r="H13" s="14">
        <v>2</v>
      </c>
      <c r="I13" s="14" t="s">
        <v>37</v>
      </c>
      <c r="J13" s="14" t="s">
        <v>20</v>
      </c>
      <c r="K13" s="13" t="str">
        <f>B13&amp;"-"&amp;C13&amp;"-"&amp;D13&amp;"-"&amp;E13&amp;"-"&amp;G13&amp;H13</f>
        <v>Fagus-B1-P1-C2-B2</v>
      </c>
      <c r="L13" s="14" t="s">
        <v>21</v>
      </c>
      <c r="M13" s="14" t="s">
        <v>22</v>
      </c>
      <c r="N13" s="14" t="s">
        <v>23</v>
      </c>
      <c r="O13" s="26" t="str">
        <f>J13&amp;"_"&amp;M13</f>
        <v>Drought_No</v>
      </c>
      <c r="P13" s="23" t="str">
        <f>J13&amp;"_"&amp;M13</f>
        <v>Drought_No</v>
      </c>
      <c r="Q13" s="23" t="str">
        <f>L13&amp;"_"&amp;M13</f>
        <v>Yellow_No</v>
      </c>
      <c r="R13" s="23" t="s">
        <v>2071</v>
      </c>
      <c r="S13" s="2"/>
      <c r="T13" s="2"/>
    </row>
    <row r="14" spans="1:20" s="9" customFormat="1" ht="16" x14ac:dyDescent="0.2">
      <c r="A14" s="13">
        <v>13</v>
      </c>
      <c r="B14" s="14" t="s">
        <v>19</v>
      </c>
      <c r="C14" s="14" t="s">
        <v>14</v>
      </c>
      <c r="D14" s="14" t="s">
        <v>15</v>
      </c>
      <c r="E14" s="14" t="s">
        <v>32</v>
      </c>
      <c r="F14" s="14" t="str">
        <f>C14&amp;"-"&amp;D14&amp;"-"&amp;E14</f>
        <v>B1-P1-C2</v>
      </c>
      <c r="G14" s="14" t="s">
        <v>17</v>
      </c>
      <c r="H14" s="14">
        <v>3</v>
      </c>
      <c r="I14" s="14" t="s">
        <v>38</v>
      </c>
      <c r="J14" s="14" t="s">
        <v>20</v>
      </c>
      <c r="K14" s="13" t="str">
        <f>B14&amp;"-"&amp;C14&amp;"-"&amp;D14&amp;"-"&amp;E14&amp;"-"&amp;G14&amp;H14</f>
        <v>Fagus-B1-P1-C2-A3</v>
      </c>
      <c r="L14" s="14" t="s">
        <v>21</v>
      </c>
      <c r="M14" s="14" t="s">
        <v>22</v>
      </c>
      <c r="N14" s="14" t="s">
        <v>23</v>
      </c>
      <c r="O14" s="26" t="str">
        <f>J14&amp;"_"&amp;M14</f>
        <v>Drought_No</v>
      </c>
      <c r="P14" s="23" t="str">
        <f>J14&amp;"_"&amp;M14</f>
        <v>Drought_No</v>
      </c>
      <c r="Q14" s="23" t="str">
        <f>L14&amp;"_"&amp;M14</f>
        <v>Yellow_No</v>
      </c>
      <c r="R14" s="23" t="s">
        <v>2071</v>
      </c>
      <c r="S14" s="23"/>
      <c r="T14" s="23"/>
    </row>
    <row r="15" spans="1:20" s="9" customFormat="1" ht="16" x14ac:dyDescent="0.2">
      <c r="A15" s="13">
        <v>14</v>
      </c>
      <c r="B15" s="14" t="s">
        <v>35</v>
      </c>
      <c r="C15" s="14" t="s">
        <v>14</v>
      </c>
      <c r="D15" s="14" t="s">
        <v>15</v>
      </c>
      <c r="E15" s="14" t="s">
        <v>32</v>
      </c>
      <c r="F15" s="14" t="str">
        <f>C15&amp;"-"&amp;D15&amp;"-"&amp;E15</f>
        <v>B1-P1-C2</v>
      </c>
      <c r="G15" s="14" t="s">
        <v>24</v>
      </c>
      <c r="H15" s="14">
        <v>3</v>
      </c>
      <c r="I15" s="14" t="s">
        <v>39</v>
      </c>
      <c r="J15" s="14" t="s">
        <v>20</v>
      </c>
      <c r="K15" s="13" t="str">
        <f>B15&amp;"-"&amp;C15&amp;"-"&amp;D15&amp;"-"&amp;E15&amp;"-"&amp;G15&amp;H15</f>
        <v>Quercus-B1-P1-C2-B3</v>
      </c>
      <c r="L15" s="14" t="s">
        <v>21</v>
      </c>
      <c r="M15" s="14" t="s">
        <v>22</v>
      </c>
      <c r="N15" s="14" t="s">
        <v>23</v>
      </c>
      <c r="O15" s="26" t="str">
        <f>J15&amp;"_"&amp;M15</f>
        <v>Drought_No</v>
      </c>
      <c r="P15" s="23" t="str">
        <f>J15&amp;"_"&amp;M15</f>
        <v>Drought_No</v>
      </c>
      <c r="Q15" s="23" t="str">
        <f>L15&amp;"_"&amp;M15</f>
        <v>Yellow_No</v>
      </c>
      <c r="R15" s="23" t="s">
        <v>2071</v>
      </c>
      <c r="S15" s="23"/>
      <c r="T15" s="23"/>
    </row>
    <row r="16" spans="1:20" s="9" customFormat="1" ht="16" x14ac:dyDescent="0.2">
      <c r="A16" s="13">
        <v>15</v>
      </c>
      <c r="B16" s="14" t="s">
        <v>35</v>
      </c>
      <c r="C16" s="14" t="s">
        <v>14</v>
      </c>
      <c r="D16" s="14" t="s">
        <v>15</v>
      </c>
      <c r="E16" s="14" t="s">
        <v>32</v>
      </c>
      <c r="F16" s="14" t="str">
        <f>C16&amp;"-"&amp;D16&amp;"-"&amp;E16</f>
        <v>B1-P1-C2</v>
      </c>
      <c r="G16" s="14" t="s">
        <v>17</v>
      </c>
      <c r="H16" s="14">
        <v>4</v>
      </c>
      <c r="I16" s="14" t="s">
        <v>40</v>
      </c>
      <c r="J16" s="14" t="s">
        <v>20</v>
      </c>
      <c r="K16" s="13" t="str">
        <f>B16&amp;"-"&amp;C16&amp;"-"&amp;D16&amp;"-"&amp;E16&amp;"-"&amp;G16&amp;H16</f>
        <v>Quercus-B1-P1-C2-A4</v>
      </c>
      <c r="L16" s="14" t="s">
        <v>21</v>
      </c>
      <c r="M16" s="14" t="s">
        <v>22</v>
      </c>
      <c r="N16" s="14" t="s">
        <v>23</v>
      </c>
      <c r="O16" s="26" t="str">
        <f>J16&amp;"_"&amp;M16</f>
        <v>Drought_No</v>
      </c>
      <c r="P16" s="23" t="str">
        <f>J16&amp;"_"&amp;M16</f>
        <v>Drought_No</v>
      </c>
      <c r="Q16" s="23" t="str">
        <f>L16&amp;"_"&amp;M16</f>
        <v>Yellow_No</v>
      </c>
      <c r="R16" s="23" t="s">
        <v>2071</v>
      </c>
      <c r="S16" s="23"/>
      <c r="T16" s="23"/>
    </row>
    <row r="17" spans="1:20" s="9" customFormat="1" ht="16" x14ac:dyDescent="0.2">
      <c r="A17" s="13">
        <v>16</v>
      </c>
      <c r="B17" s="14" t="s">
        <v>19</v>
      </c>
      <c r="C17" s="14" t="s">
        <v>14</v>
      </c>
      <c r="D17" s="14" t="s">
        <v>15</v>
      </c>
      <c r="E17" s="14" t="s">
        <v>32</v>
      </c>
      <c r="F17" s="14" t="str">
        <f>C17&amp;"-"&amp;D17&amp;"-"&amp;E17</f>
        <v>B1-P1-C2</v>
      </c>
      <c r="G17" s="14" t="s">
        <v>24</v>
      </c>
      <c r="H17" s="14">
        <v>4</v>
      </c>
      <c r="I17" s="14" t="s">
        <v>41</v>
      </c>
      <c r="J17" s="14" t="s">
        <v>20</v>
      </c>
      <c r="K17" s="13" t="str">
        <f>B17&amp;"-"&amp;C17&amp;"-"&amp;D17&amp;"-"&amp;E17&amp;"-"&amp;G17&amp;H17</f>
        <v>Fagus-B1-P1-C2-B4</v>
      </c>
      <c r="L17" s="14" t="s">
        <v>21</v>
      </c>
      <c r="M17" s="14" t="s">
        <v>22</v>
      </c>
      <c r="N17" s="14" t="s">
        <v>23</v>
      </c>
      <c r="O17" s="26" t="str">
        <f>J17&amp;"_"&amp;M17</f>
        <v>Drought_No</v>
      </c>
      <c r="P17" s="23" t="str">
        <f>J17&amp;"_"&amp;M17</f>
        <v>Drought_No</v>
      </c>
      <c r="Q17" s="23" t="str">
        <f>L17&amp;"_"&amp;M17</f>
        <v>Yellow_No</v>
      </c>
      <c r="R17" s="23" t="s">
        <v>2071</v>
      </c>
      <c r="S17" s="23"/>
      <c r="T17" s="23"/>
    </row>
    <row r="18" spans="1:20" s="7" customFormat="1" ht="16" x14ac:dyDescent="0.2">
      <c r="A18" s="19">
        <v>17</v>
      </c>
      <c r="B18" s="18" t="s">
        <v>19</v>
      </c>
      <c r="C18" s="18" t="s">
        <v>14</v>
      </c>
      <c r="D18" s="18" t="s">
        <v>15</v>
      </c>
      <c r="E18" s="18" t="s">
        <v>42</v>
      </c>
      <c r="F18" s="18" t="str">
        <f>C18&amp;"-"&amp;D18&amp;"-"&amp;E18</f>
        <v>B1-P1-C3</v>
      </c>
      <c r="G18" s="18" t="s">
        <v>17</v>
      </c>
      <c r="H18" s="18">
        <v>1</v>
      </c>
      <c r="I18" s="18" t="s">
        <v>43</v>
      </c>
      <c r="J18" s="18" t="s">
        <v>20</v>
      </c>
      <c r="K18" s="19" t="str">
        <f>B18&amp;"-"&amp;C18&amp;"-"&amp;D18&amp;"-"&amp;E18&amp;"-"&amp;G18&amp;H18</f>
        <v>Fagus-B1-P1-C3-A1</v>
      </c>
      <c r="L18" s="18" t="s">
        <v>21</v>
      </c>
      <c r="M18" s="18" t="s">
        <v>44</v>
      </c>
      <c r="N18" s="18" t="s">
        <v>45</v>
      </c>
      <c r="O18" s="25" t="str">
        <f>J18&amp;"_"&amp;M18</f>
        <v>Drought_Yes</v>
      </c>
      <c r="P18" s="18" t="str">
        <f>J18&amp;"_"&amp;M18</f>
        <v>Drought_Yes</v>
      </c>
      <c r="Q18" s="18" t="str">
        <f>L18&amp;"_"&amp;M18</f>
        <v>Yellow_Yes</v>
      </c>
      <c r="R18" s="23" t="s">
        <v>2071</v>
      </c>
      <c r="S18" s="23"/>
      <c r="T18" s="23"/>
    </row>
    <row r="19" spans="1:20" s="7" customFormat="1" ht="16" x14ac:dyDescent="0.2">
      <c r="A19" s="19">
        <v>18</v>
      </c>
      <c r="B19" s="18" t="s">
        <v>35</v>
      </c>
      <c r="C19" s="18" t="s">
        <v>14</v>
      </c>
      <c r="D19" s="18" t="s">
        <v>15</v>
      </c>
      <c r="E19" s="18" t="s">
        <v>42</v>
      </c>
      <c r="F19" s="18" t="str">
        <f>C19&amp;"-"&amp;D19&amp;"-"&amp;E19</f>
        <v>B1-P1-C3</v>
      </c>
      <c r="G19" s="18" t="s">
        <v>24</v>
      </c>
      <c r="H19" s="18">
        <v>1</v>
      </c>
      <c r="I19" s="18" t="s">
        <v>46</v>
      </c>
      <c r="J19" s="18" t="s">
        <v>20</v>
      </c>
      <c r="K19" s="19" t="str">
        <f>B19&amp;"-"&amp;C19&amp;"-"&amp;D19&amp;"-"&amp;E19&amp;"-"&amp;G19&amp;H19</f>
        <v>Quercus-B1-P1-C3-B1</v>
      </c>
      <c r="L19" s="18" t="s">
        <v>21</v>
      </c>
      <c r="M19" s="18" t="s">
        <v>44</v>
      </c>
      <c r="N19" s="18" t="s">
        <v>45</v>
      </c>
      <c r="O19" s="25" t="str">
        <f>J19&amp;"_"&amp;M19</f>
        <v>Drought_Yes</v>
      </c>
      <c r="P19" s="18" t="str">
        <f>J19&amp;"_"&amp;M19</f>
        <v>Drought_Yes</v>
      </c>
      <c r="Q19" s="18" t="str">
        <f>L19&amp;"_"&amp;M19</f>
        <v>Yellow_Yes</v>
      </c>
      <c r="R19" s="23" t="s">
        <v>2071</v>
      </c>
      <c r="S19" s="23"/>
      <c r="T19" s="23"/>
    </row>
    <row r="20" spans="1:20" s="7" customFormat="1" ht="16" x14ac:dyDescent="0.2">
      <c r="A20" s="19">
        <v>19</v>
      </c>
      <c r="B20" s="18" t="s">
        <v>35</v>
      </c>
      <c r="C20" s="18" t="s">
        <v>14</v>
      </c>
      <c r="D20" s="18" t="s">
        <v>15</v>
      </c>
      <c r="E20" s="18" t="s">
        <v>42</v>
      </c>
      <c r="F20" s="18" t="str">
        <f>C20&amp;"-"&amp;D20&amp;"-"&amp;E20</f>
        <v>B1-P1-C3</v>
      </c>
      <c r="G20" s="18" t="s">
        <v>17</v>
      </c>
      <c r="H20" s="18">
        <v>2</v>
      </c>
      <c r="I20" s="18" t="s">
        <v>47</v>
      </c>
      <c r="J20" s="18" t="s">
        <v>20</v>
      </c>
      <c r="K20" s="19" t="str">
        <f>B20&amp;"-"&amp;C20&amp;"-"&amp;D20&amp;"-"&amp;E20&amp;"-"&amp;G20&amp;H20</f>
        <v>Quercus-B1-P1-C3-A2</v>
      </c>
      <c r="L20" s="18" t="s">
        <v>21</v>
      </c>
      <c r="M20" s="18" t="s">
        <v>44</v>
      </c>
      <c r="N20" s="18" t="s">
        <v>45</v>
      </c>
      <c r="O20" s="25" t="str">
        <f>J20&amp;"_"&amp;M20</f>
        <v>Drought_Yes</v>
      </c>
      <c r="P20" s="18" t="str">
        <f>J20&amp;"_"&amp;M20</f>
        <v>Drought_Yes</v>
      </c>
      <c r="Q20" s="18" t="str">
        <f>L20&amp;"_"&amp;M20</f>
        <v>Yellow_Yes</v>
      </c>
      <c r="R20" s="23" t="s">
        <v>2071</v>
      </c>
      <c r="S20" s="23"/>
      <c r="T20" s="23"/>
    </row>
    <row r="21" spans="1:20" s="7" customFormat="1" ht="16" x14ac:dyDescent="0.2">
      <c r="A21" s="19">
        <v>20</v>
      </c>
      <c r="B21" s="18" t="s">
        <v>19</v>
      </c>
      <c r="C21" s="18" t="s">
        <v>14</v>
      </c>
      <c r="D21" s="18" t="s">
        <v>15</v>
      </c>
      <c r="E21" s="18" t="s">
        <v>42</v>
      </c>
      <c r="F21" s="18" t="str">
        <f>C21&amp;"-"&amp;D21&amp;"-"&amp;E21</f>
        <v>B1-P1-C3</v>
      </c>
      <c r="G21" s="18" t="s">
        <v>24</v>
      </c>
      <c r="H21" s="18">
        <v>2</v>
      </c>
      <c r="I21" s="18" t="s">
        <v>48</v>
      </c>
      <c r="J21" s="18" t="s">
        <v>20</v>
      </c>
      <c r="K21" s="19" t="str">
        <f>B21&amp;"-"&amp;C21&amp;"-"&amp;D21&amp;"-"&amp;E21&amp;"-"&amp;G21&amp;H21</f>
        <v>Fagus-B1-P1-C3-B2</v>
      </c>
      <c r="L21" s="18" t="s">
        <v>21</v>
      </c>
      <c r="M21" s="18" t="s">
        <v>44</v>
      </c>
      <c r="N21" s="18" t="s">
        <v>45</v>
      </c>
      <c r="O21" s="25" t="str">
        <f>J21&amp;"_"&amp;M21</f>
        <v>Drought_Yes</v>
      </c>
      <c r="P21" s="18" t="str">
        <f>J21&amp;"_"&amp;M21</f>
        <v>Drought_Yes</v>
      </c>
      <c r="Q21" s="18" t="str">
        <f>L21&amp;"_"&amp;M21</f>
        <v>Yellow_Yes</v>
      </c>
      <c r="R21" s="23" t="s">
        <v>2071</v>
      </c>
      <c r="S21" s="23"/>
      <c r="T21" s="23"/>
    </row>
    <row r="22" spans="1:20" s="7" customFormat="1" ht="16" x14ac:dyDescent="0.2">
      <c r="A22" s="19">
        <v>21</v>
      </c>
      <c r="B22" s="18" t="s">
        <v>19</v>
      </c>
      <c r="C22" s="18" t="s">
        <v>14</v>
      </c>
      <c r="D22" s="18" t="s">
        <v>15</v>
      </c>
      <c r="E22" s="18" t="s">
        <v>42</v>
      </c>
      <c r="F22" s="18" t="str">
        <f>C22&amp;"-"&amp;D22&amp;"-"&amp;E22</f>
        <v>B1-P1-C3</v>
      </c>
      <c r="G22" s="18" t="s">
        <v>17</v>
      </c>
      <c r="H22" s="18">
        <v>3</v>
      </c>
      <c r="I22" s="18" t="s">
        <v>49</v>
      </c>
      <c r="J22" s="18" t="s">
        <v>20</v>
      </c>
      <c r="K22" s="19" t="str">
        <f>B22&amp;"-"&amp;C22&amp;"-"&amp;D22&amp;"-"&amp;E22&amp;"-"&amp;G22&amp;H22</f>
        <v>Fagus-B1-P1-C3-A3</v>
      </c>
      <c r="L22" s="18" t="s">
        <v>21</v>
      </c>
      <c r="M22" s="18" t="s">
        <v>44</v>
      </c>
      <c r="N22" s="18" t="s">
        <v>45</v>
      </c>
      <c r="O22" s="25" t="str">
        <f>J22&amp;"_"&amp;M22</f>
        <v>Drought_Yes</v>
      </c>
      <c r="P22" s="18" t="str">
        <f>J22&amp;"_"&amp;M22</f>
        <v>Drought_Yes</v>
      </c>
      <c r="Q22" s="18" t="str">
        <f>L22&amp;"_"&amp;M22</f>
        <v>Yellow_Yes</v>
      </c>
      <c r="R22" s="23" t="s">
        <v>2071</v>
      </c>
      <c r="S22" s="2"/>
      <c r="T22" s="2"/>
    </row>
    <row r="23" spans="1:20" s="7" customFormat="1" ht="16" x14ac:dyDescent="0.2">
      <c r="A23" s="19">
        <v>22</v>
      </c>
      <c r="B23" s="18" t="s">
        <v>35</v>
      </c>
      <c r="C23" s="18" t="s">
        <v>14</v>
      </c>
      <c r="D23" s="18" t="s">
        <v>15</v>
      </c>
      <c r="E23" s="18" t="s">
        <v>42</v>
      </c>
      <c r="F23" s="18" t="str">
        <f>C23&amp;"-"&amp;D23&amp;"-"&amp;E23</f>
        <v>B1-P1-C3</v>
      </c>
      <c r="G23" s="18" t="s">
        <v>24</v>
      </c>
      <c r="H23" s="18">
        <v>3</v>
      </c>
      <c r="I23" s="18" t="s">
        <v>50</v>
      </c>
      <c r="J23" s="18" t="s">
        <v>20</v>
      </c>
      <c r="K23" s="19" t="str">
        <f>B23&amp;"-"&amp;C23&amp;"-"&amp;D23&amp;"-"&amp;E23&amp;"-"&amp;G23&amp;H23</f>
        <v>Quercus-B1-P1-C3-B3</v>
      </c>
      <c r="L23" s="18" t="s">
        <v>21</v>
      </c>
      <c r="M23" s="18" t="s">
        <v>44</v>
      </c>
      <c r="N23" s="18" t="s">
        <v>45</v>
      </c>
      <c r="O23" s="25" t="str">
        <f>J23&amp;"_"&amp;M23</f>
        <v>Drought_Yes</v>
      </c>
      <c r="P23" s="18" t="str">
        <f>J23&amp;"_"&amp;M23</f>
        <v>Drought_Yes</v>
      </c>
      <c r="Q23" s="18" t="str">
        <f>L23&amp;"_"&amp;M23</f>
        <v>Yellow_Yes</v>
      </c>
      <c r="R23" s="23" t="s">
        <v>2071</v>
      </c>
      <c r="S23" s="2"/>
      <c r="T23" s="2"/>
    </row>
    <row r="24" spans="1:20" s="7" customFormat="1" ht="16" x14ac:dyDescent="0.2">
      <c r="A24" s="19">
        <v>23</v>
      </c>
      <c r="B24" s="18" t="s">
        <v>35</v>
      </c>
      <c r="C24" s="18" t="s">
        <v>14</v>
      </c>
      <c r="D24" s="18" t="s">
        <v>15</v>
      </c>
      <c r="E24" s="18" t="s">
        <v>42</v>
      </c>
      <c r="F24" s="18" t="str">
        <f>C24&amp;"-"&amp;D24&amp;"-"&amp;E24</f>
        <v>B1-P1-C3</v>
      </c>
      <c r="G24" s="18" t="s">
        <v>17</v>
      </c>
      <c r="H24" s="18">
        <v>4</v>
      </c>
      <c r="I24" s="18" t="s">
        <v>51</v>
      </c>
      <c r="J24" s="18" t="s">
        <v>20</v>
      </c>
      <c r="K24" s="19" t="str">
        <f>B24&amp;"-"&amp;C24&amp;"-"&amp;D24&amp;"-"&amp;E24&amp;"-"&amp;G24&amp;H24</f>
        <v>Quercus-B1-P1-C3-A4</v>
      </c>
      <c r="L24" s="18" t="s">
        <v>21</v>
      </c>
      <c r="M24" s="18" t="s">
        <v>44</v>
      </c>
      <c r="N24" s="18" t="s">
        <v>45</v>
      </c>
      <c r="O24" s="25" t="str">
        <f>J24&amp;"_"&amp;M24</f>
        <v>Drought_Yes</v>
      </c>
      <c r="P24" s="18" t="str">
        <f>J24&amp;"_"&amp;M24</f>
        <v>Drought_Yes</v>
      </c>
      <c r="Q24" s="18" t="str">
        <f>L24&amp;"_"&amp;M24</f>
        <v>Yellow_Yes</v>
      </c>
      <c r="R24" s="23" t="s">
        <v>2071</v>
      </c>
      <c r="S24" s="2"/>
      <c r="T24" s="2"/>
    </row>
    <row r="25" spans="1:20" s="7" customFormat="1" ht="16" x14ac:dyDescent="0.2">
      <c r="A25" s="19">
        <v>24</v>
      </c>
      <c r="B25" s="18" t="s">
        <v>19</v>
      </c>
      <c r="C25" s="18" t="s">
        <v>14</v>
      </c>
      <c r="D25" s="18" t="s">
        <v>15</v>
      </c>
      <c r="E25" s="18" t="s">
        <v>42</v>
      </c>
      <c r="F25" s="18" t="str">
        <f>C25&amp;"-"&amp;D25&amp;"-"&amp;E25</f>
        <v>B1-P1-C3</v>
      </c>
      <c r="G25" s="18" t="s">
        <v>24</v>
      </c>
      <c r="H25" s="18">
        <v>4</v>
      </c>
      <c r="I25" s="18" t="s">
        <v>52</v>
      </c>
      <c r="J25" s="18" t="s">
        <v>20</v>
      </c>
      <c r="K25" s="19" t="str">
        <f>B25&amp;"-"&amp;C25&amp;"-"&amp;D25&amp;"-"&amp;E25&amp;"-"&amp;G25&amp;H25</f>
        <v>Fagus-B1-P1-C3-B4</v>
      </c>
      <c r="L25" s="18" t="s">
        <v>21</v>
      </c>
      <c r="M25" s="18" t="s">
        <v>44</v>
      </c>
      <c r="N25" s="18" t="s">
        <v>45</v>
      </c>
      <c r="O25" s="25" t="str">
        <f>J25&amp;"_"&amp;M25</f>
        <v>Drought_Yes</v>
      </c>
      <c r="P25" s="18" t="str">
        <f>J25&amp;"_"&amp;M25</f>
        <v>Drought_Yes</v>
      </c>
      <c r="Q25" s="18" t="str">
        <f>L25&amp;"_"&amp;M25</f>
        <v>Yellow_Yes</v>
      </c>
      <c r="R25" s="23" t="s">
        <v>2071</v>
      </c>
      <c r="S25" s="2"/>
      <c r="T25" s="2"/>
    </row>
    <row r="26" spans="1:20" s="9" customFormat="1" ht="16" x14ac:dyDescent="0.2">
      <c r="A26" s="13">
        <v>25</v>
      </c>
      <c r="B26" s="14" t="s">
        <v>35</v>
      </c>
      <c r="C26" s="14" t="s">
        <v>14</v>
      </c>
      <c r="D26" s="14" t="s">
        <v>15</v>
      </c>
      <c r="E26" s="14" t="s">
        <v>53</v>
      </c>
      <c r="F26" s="14" t="str">
        <f>C26&amp;"-"&amp;D26&amp;"-"&amp;E26</f>
        <v>B1-P1-C4</v>
      </c>
      <c r="G26" s="14" t="s">
        <v>17</v>
      </c>
      <c r="H26" s="14">
        <v>1</v>
      </c>
      <c r="I26" s="14" t="s">
        <v>54</v>
      </c>
      <c r="J26" s="14" t="s">
        <v>20</v>
      </c>
      <c r="K26" s="13" t="str">
        <f>B26&amp;"-"&amp;C26&amp;"-"&amp;D26&amp;"-"&amp;E26&amp;"-"&amp;G26&amp;H26</f>
        <v>Quercus-B1-P1-C4-A1</v>
      </c>
      <c r="L26" s="14" t="s">
        <v>21</v>
      </c>
      <c r="M26" s="14" t="s">
        <v>44</v>
      </c>
      <c r="N26" s="14" t="s">
        <v>45</v>
      </c>
      <c r="O26" s="26" t="str">
        <f>J26&amp;"_"&amp;M26</f>
        <v>Drought_Yes</v>
      </c>
      <c r="P26" s="23" t="str">
        <f>J26&amp;"_"&amp;M26</f>
        <v>Drought_Yes</v>
      </c>
      <c r="Q26" s="23" t="str">
        <f>L26&amp;"_"&amp;M26</f>
        <v>Yellow_Yes</v>
      </c>
      <c r="R26" s="23" t="s">
        <v>2071</v>
      </c>
      <c r="S26" s="2"/>
      <c r="T26" s="2"/>
    </row>
    <row r="27" spans="1:20" s="9" customFormat="1" ht="16" x14ac:dyDescent="0.2">
      <c r="A27" s="13">
        <v>26</v>
      </c>
      <c r="B27" s="14" t="s">
        <v>35</v>
      </c>
      <c r="C27" s="14" t="s">
        <v>14</v>
      </c>
      <c r="D27" s="14" t="s">
        <v>15</v>
      </c>
      <c r="E27" s="14" t="s">
        <v>53</v>
      </c>
      <c r="F27" s="14" t="str">
        <f>C27&amp;"-"&amp;D27&amp;"-"&amp;E27</f>
        <v>B1-P1-C4</v>
      </c>
      <c r="G27" s="14" t="s">
        <v>24</v>
      </c>
      <c r="H27" s="14">
        <v>1</v>
      </c>
      <c r="I27" s="14" t="s">
        <v>55</v>
      </c>
      <c r="J27" s="14" t="s">
        <v>20</v>
      </c>
      <c r="K27" s="13" t="str">
        <f>B27&amp;"-"&amp;C27&amp;"-"&amp;D27&amp;"-"&amp;E27&amp;"-"&amp;G27&amp;H27</f>
        <v>Quercus-B1-P1-C4-B1</v>
      </c>
      <c r="L27" s="14" t="s">
        <v>21</v>
      </c>
      <c r="M27" s="14" t="s">
        <v>44</v>
      </c>
      <c r="N27" s="14" t="s">
        <v>45</v>
      </c>
      <c r="O27" s="26" t="str">
        <f>J27&amp;"_"&amp;M27</f>
        <v>Drought_Yes</v>
      </c>
      <c r="P27" s="23" t="str">
        <f>J27&amp;"_"&amp;M27</f>
        <v>Drought_Yes</v>
      </c>
      <c r="Q27" s="23" t="str">
        <f>L27&amp;"_"&amp;M27</f>
        <v>Yellow_Yes</v>
      </c>
      <c r="R27" s="23" t="s">
        <v>2071</v>
      </c>
      <c r="S27" s="2"/>
      <c r="T27" s="2"/>
    </row>
    <row r="28" spans="1:20" s="9" customFormat="1" ht="16" x14ac:dyDescent="0.2">
      <c r="A28" s="13">
        <v>27</v>
      </c>
      <c r="B28" s="14" t="s">
        <v>35</v>
      </c>
      <c r="C28" s="14" t="s">
        <v>14</v>
      </c>
      <c r="D28" s="14" t="s">
        <v>15</v>
      </c>
      <c r="E28" s="14" t="s">
        <v>53</v>
      </c>
      <c r="F28" s="14" t="str">
        <f>C28&amp;"-"&amp;D28&amp;"-"&amp;E28</f>
        <v>B1-P1-C4</v>
      </c>
      <c r="G28" s="14" t="s">
        <v>17</v>
      </c>
      <c r="H28" s="14">
        <v>2</v>
      </c>
      <c r="I28" s="14" t="s">
        <v>56</v>
      </c>
      <c r="J28" s="14" t="s">
        <v>20</v>
      </c>
      <c r="K28" s="13" t="str">
        <f>B28&amp;"-"&amp;C28&amp;"-"&amp;D28&amp;"-"&amp;E28&amp;"-"&amp;G28&amp;H28</f>
        <v>Quercus-B1-P1-C4-A2</v>
      </c>
      <c r="L28" s="14" t="s">
        <v>21</v>
      </c>
      <c r="M28" s="14" t="s">
        <v>44</v>
      </c>
      <c r="N28" s="14" t="s">
        <v>45</v>
      </c>
      <c r="O28" s="26" t="str">
        <f>J28&amp;"_"&amp;M28</f>
        <v>Drought_Yes</v>
      </c>
      <c r="P28" s="23" t="str">
        <f>J28&amp;"_"&amp;M28</f>
        <v>Drought_Yes</v>
      </c>
      <c r="Q28" s="23" t="str">
        <f>L28&amp;"_"&amp;M28</f>
        <v>Yellow_Yes</v>
      </c>
      <c r="R28" s="23" t="s">
        <v>2071</v>
      </c>
      <c r="S28" s="2"/>
      <c r="T28" s="2"/>
    </row>
    <row r="29" spans="1:20" s="9" customFormat="1" ht="16" x14ac:dyDescent="0.2">
      <c r="A29" s="13">
        <v>28</v>
      </c>
      <c r="B29" s="14" t="s">
        <v>35</v>
      </c>
      <c r="C29" s="14" t="s">
        <v>14</v>
      </c>
      <c r="D29" s="14" t="s">
        <v>15</v>
      </c>
      <c r="E29" s="14" t="s">
        <v>53</v>
      </c>
      <c r="F29" s="14" t="str">
        <f>C29&amp;"-"&amp;D29&amp;"-"&amp;E29</f>
        <v>B1-P1-C4</v>
      </c>
      <c r="G29" s="14" t="s">
        <v>24</v>
      </c>
      <c r="H29" s="14">
        <v>2</v>
      </c>
      <c r="I29" s="14" t="s">
        <v>57</v>
      </c>
      <c r="J29" s="14" t="s">
        <v>20</v>
      </c>
      <c r="K29" s="13" t="str">
        <f>B29&amp;"-"&amp;C29&amp;"-"&amp;D29&amp;"-"&amp;E29&amp;"-"&amp;G29&amp;H29</f>
        <v>Quercus-B1-P1-C4-B2</v>
      </c>
      <c r="L29" s="14" t="s">
        <v>21</v>
      </c>
      <c r="M29" s="14" t="s">
        <v>44</v>
      </c>
      <c r="N29" s="14" t="s">
        <v>45</v>
      </c>
      <c r="O29" s="26" t="str">
        <f>J29&amp;"_"&amp;M29</f>
        <v>Drought_Yes</v>
      </c>
      <c r="P29" s="23" t="str">
        <f>J29&amp;"_"&amp;M29</f>
        <v>Drought_Yes</v>
      </c>
      <c r="Q29" s="23" t="str">
        <f>L29&amp;"_"&amp;M29</f>
        <v>Yellow_Yes</v>
      </c>
      <c r="R29" s="23" t="s">
        <v>2071</v>
      </c>
      <c r="S29" s="2"/>
      <c r="T29" s="2"/>
    </row>
    <row r="30" spans="1:20" s="9" customFormat="1" ht="16" x14ac:dyDescent="0.2">
      <c r="A30" s="13">
        <v>29</v>
      </c>
      <c r="B30" s="14" t="s">
        <v>35</v>
      </c>
      <c r="C30" s="14" t="s">
        <v>14</v>
      </c>
      <c r="D30" s="14" t="s">
        <v>15</v>
      </c>
      <c r="E30" s="14" t="s">
        <v>53</v>
      </c>
      <c r="F30" s="14" t="str">
        <f>C30&amp;"-"&amp;D30&amp;"-"&amp;E30</f>
        <v>B1-P1-C4</v>
      </c>
      <c r="G30" s="14" t="s">
        <v>17</v>
      </c>
      <c r="H30" s="14">
        <v>3</v>
      </c>
      <c r="I30" s="14" t="s">
        <v>58</v>
      </c>
      <c r="J30" s="14" t="s">
        <v>20</v>
      </c>
      <c r="K30" s="13" t="str">
        <f>B30&amp;"-"&amp;C30&amp;"-"&amp;D30&amp;"-"&amp;E30&amp;"-"&amp;G30&amp;H30</f>
        <v>Quercus-B1-P1-C4-A3</v>
      </c>
      <c r="L30" s="14" t="s">
        <v>21</v>
      </c>
      <c r="M30" s="14" t="s">
        <v>44</v>
      </c>
      <c r="N30" s="14" t="s">
        <v>45</v>
      </c>
      <c r="O30" s="26" t="str">
        <f>J30&amp;"_"&amp;M30</f>
        <v>Drought_Yes</v>
      </c>
      <c r="P30" s="23" t="str">
        <f>J30&amp;"_"&amp;M30</f>
        <v>Drought_Yes</v>
      </c>
      <c r="Q30" s="23" t="str">
        <f>L30&amp;"_"&amp;M30</f>
        <v>Yellow_Yes</v>
      </c>
      <c r="R30" s="23" t="s">
        <v>2071</v>
      </c>
      <c r="S30" s="23"/>
      <c r="T30" s="23"/>
    </row>
    <row r="31" spans="1:20" s="9" customFormat="1" ht="16" x14ac:dyDescent="0.2">
      <c r="A31" s="13">
        <v>30</v>
      </c>
      <c r="B31" s="14" t="s">
        <v>35</v>
      </c>
      <c r="C31" s="14" t="s">
        <v>14</v>
      </c>
      <c r="D31" s="14" t="s">
        <v>15</v>
      </c>
      <c r="E31" s="14" t="s">
        <v>53</v>
      </c>
      <c r="F31" s="14" t="str">
        <f>C31&amp;"-"&amp;D31&amp;"-"&amp;E31</f>
        <v>B1-P1-C4</v>
      </c>
      <c r="G31" s="14" t="s">
        <v>24</v>
      </c>
      <c r="H31" s="14">
        <v>3</v>
      </c>
      <c r="I31" s="14" t="s">
        <v>59</v>
      </c>
      <c r="J31" s="14" t="s">
        <v>20</v>
      </c>
      <c r="K31" s="13" t="str">
        <f>B31&amp;"-"&amp;C31&amp;"-"&amp;D31&amp;"-"&amp;E31&amp;"-"&amp;G31&amp;H31</f>
        <v>Quercus-B1-P1-C4-B3</v>
      </c>
      <c r="L31" s="14" t="s">
        <v>21</v>
      </c>
      <c r="M31" s="14" t="s">
        <v>44</v>
      </c>
      <c r="N31" s="14" t="s">
        <v>45</v>
      </c>
      <c r="O31" s="26" t="str">
        <f>J31&amp;"_"&amp;M31</f>
        <v>Drought_Yes</v>
      </c>
      <c r="P31" s="23" t="str">
        <f>J31&amp;"_"&amp;M31</f>
        <v>Drought_Yes</v>
      </c>
      <c r="Q31" s="23" t="str">
        <f>L31&amp;"_"&amp;M31</f>
        <v>Yellow_Yes</v>
      </c>
      <c r="R31" s="23" t="s">
        <v>2071</v>
      </c>
      <c r="S31" s="23"/>
      <c r="T31" s="23"/>
    </row>
    <row r="32" spans="1:20" s="9" customFormat="1" ht="16" x14ac:dyDescent="0.2">
      <c r="A32" s="13">
        <v>31</v>
      </c>
      <c r="B32" s="14" t="s">
        <v>35</v>
      </c>
      <c r="C32" s="14" t="s">
        <v>14</v>
      </c>
      <c r="D32" s="14" t="s">
        <v>15</v>
      </c>
      <c r="E32" s="14" t="s">
        <v>53</v>
      </c>
      <c r="F32" s="14" t="str">
        <f>C32&amp;"-"&amp;D32&amp;"-"&amp;E32</f>
        <v>B1-P1-C4</v>
      </c>
      <c r="G32" s="14" t="s">
        <v>17</v>
      </c>
      <c r="H32" s="14">
        <v>4</v>
      </c>
      <c r="I32" s="14" t="s">
        <v>60</v>
      </c>
      <c r="J32" s="14" t="s">
        <v>20</v>
      </c>
      <c r="K32" s="13" t="str">
        <f>B32&amp;"-"&amp;C32&amp;"-"&amp;D32&amp;"-"&amp;E32&amp;"-"&amp;G32&amp;H32</f>
        <v>Quercus-B1-P1-C4-A4</v>
      </c>
      <c r="L32" s="14" t="s">
        <v>21</v>
      </c>
      <c r="M32" s="14" t="s">
        <v>44</v>
      </c>
      <c r="N32" s="14" t="s">
        <v>45</v>
      </c>
      <c r="O32" s="26" t="str">
        <f>J32&amp;"_"&amp;M32</f>
        <v>Drought_Yes</v>
      </c>
      <c r="P32" s="23" t="str">
        <f>J32&amp;"_"&amp;M32</f>
        <v>Drought_Yes</v>
      </c>
      <c r="Q32" s="23" t="str">
        <f>L32&amp;"_"&amp;M32</f>
        <v>Yellow_Yes</v>
      </c>
      <c r="R32" s="23" t="s">
        <v>2071</v>
      </c>
      <c r="S32" s="23"/>
      <c r="T32" s="23"/>
    </row>
    <row r="33" spans="1:20" s="9" customFormat="1" ht="16" x14ac:dyDescent="0.2">
      <c r="A33" s="13">
        <v>32</v>
      </c>
      <c r="B33" s="14" t="s">
        <v>35</v>
      </c>
      <c r="C33" s="14" t="s">
        <v>14</v>
      </c>
      <c r="D33" s="14" t="s">
        <v>15</v>
      </c>
      <c r="E33" s="14" t="s">
        <v>53</v>
      </c>
      <c r="F33" s="14" t="str">
        <f>C33&amp;"-"&amp;D33&amp;"-"&amp;E33</f>
        <v>B1-P1-C4</v>
      </c>
      <c r="G33" s="14" t="s">
        <v>24</v>
      </c>
      <c r="H33" s="14">
        <v>4</v>
      </c>
      <c r="I33" s="14" t="s">
        <v>61</v>
      </c>
      <c r="J33" s="14" t="s">
        <v>20</v>
      </c>
      <c r="K33" s="13" t="str">
        <f>B33&amp;"-"&amp;C33&amp;"-"&amp;D33&amp;"-"&amp;E33&amp;"-"&amp;G33&amp;H33</f>
        <v>Quercus-B1-P1-C4-B4</v>
      </c>
      <c r="L33" s="14" t="s">
        <v>21</v>
      </c>
      <c r="M33" s="14" t="s">
        <v>44</v>
      </c>
      <c r="N33" s="14" t="s">
        <v>45</v>
      </c>
      <c r="O33" s="26" t="str">
        <f>J33&amp;"_"&amp;M33</f>
        <v>Drought_Yes</v>
      </c>
      <c r="P33" s="23" t="str">
        <f>J33&amp;"_"&amp;M33</f>
        <v>Drought_Yes</v>
      </c>
      <c r="Q33" s="23" t="str">
        <f>L33&amp;"_"&amp;M33</f>
        <v>Yellow_Yes</v>
      </c>
      <c r="R33" s="23" t="s">
        <v>2071</v>
      </c>
      <c r="S33" s="23"/>
      <c r="T33" s="23"/>
    </row>
    <row r="34" spans="1:20" s="7" customFormat="1" ht="16" x14ac:dyDescent="0.2">
      <c r="A34" s="19">
        <v>33</v>
      </c>
      <c r="B34" s="18" t="s">
        <v>35</v>
      </c>
      <c r="C34" s="18" t="s">
        <v>14</v>
      </c>
      <c r="D34" s="18" t="s">
        <v>62</v>
      </c>
      <c r="E34" s="18" t="s">
        <v>16</v>
      </c>
      <c r="F34" s="18" t="str">
        <f>C34&amp;"-"&amp;D34&amp;"-"&amp;E34</f>
        <v>B1-P2-C1</v>
      </c>
      <c r="G34" s="18" t="s">
        <v>17</v>
      </c>
      <c r="H34" s="18">
        <v>1</v>
      </c>
      <c r="I34" s="18" t="s">
        <v>63</v>
      </c>
      <c r="J34" s="18" t="s">
        <v>20</v>
      </c>
      <c r="K34" s="19" t="str">
        <f>B34&amp;"-"&amp;C34&amp;"-"&amp;D34&amp;"-"&amp;E34&amp;"-"&amp;G34&amp;H34</f>
        <v>Quercus-B1-P2-C1-A1</v>
      </c>
      <c r="L34" s="18" t="s">
        <v>64</v>
      </c>
      <c r="M34" s="18" t="s">
        <v>44</v>
      </c>
      <c r="N34" s="18" t="s">
        <v>65</v>
      </c>
      <c r="O34" s="25" t="str">
        <f>J34&amp;"_"&amp;M34</f>
        <v>Drought_Yes</v>
      </c>
      <c r="P34" s="18" t="str">
        <f>J34&amp;"_"&amp;M34</f>
        <v>Drought_Yes</v>
      </c>
      <c r="Q34" s="18" t="str">
        <f>L34&amp;"_"&amp;M34</f>
        <v>Grey_Yes</v>
      </c>
      <c r="R34" s="18" t="s">
        <v>2072</v>
      </c>
      <c r="S34" s="18"/>
      <c r="T34" s="18"/>
    </row>
    <row r="35" spans="1:20" s="7" customFormat="1" ht="16" x14ac:dyDescent="0.2">
      <c r="A35" s="19">
        <v>34</v>
      </c>
      <c r="B35" s="18" t="s">
        <v>35</v>
      </c>
      <c r="C35" s="18" t="s">
        <v>14</v>
      </c>
      <c r="D35" s="18" t="s">
        <v>62</v>
      </c>
      <c r="E35" s="18" t="s">
        <v>16</v>
      </c>
      <c r="F35" s="18" t="str">
        <f>C35&amp;"-"&amp;D35&amp;"-"&amp;E35</f>
        <v>B1-P2-C1</v>
      </c>
      <c r="G35" s="18" t="s">
        <v>24</v>
      </c>
      <c r="H35" s="18">
        <v>1</v>
      </c>
      <c r="I35" s="18" t="s">
        <v>66</v>
      </c>
      <c r="J35" s="18" t="s">
        <v>20</v>
      </c>
      <c r="K35" s="19" t="str">
        <f>B35&amp;"-"&amp;C35&amp;"-"&amp;D35&amp;"-"&amp;E35&amp;"-"&amp;G35&amp;H35</f>
        <v>Quercus-B1-P2-C1-B1</v>
      </c>
      <c r="L35" s="18" t="s">
        <v>64</v>
      </c>
      <c r="M35" s="18" t="s">
        <v>44</v>
      </c>
      <c r="N35" s="18" t="s">
        <v>65</v>
      </c>
      <c r="O35" s="25" t="str">
        <f>J35&amp;"_"&amp;M35</f>
        <v>Drought_Yes</v>
      </c>
      <c r="P35" s="18" t="str">
        <f>J35&amp;"_"&amp;M35</f>
        <v>Drought_Yes</v>
      </c>
      <c r="Q35" s="18" t="str">
        <f>L35&amp;"_"&amp;M35</f>
        <v>Grey_Yes</v>
      </c>
      <c r="R35" s="18" t="s">
        <v>2072</v>
      </c>
      <c r="S35" s="18"/>
      <c r="T35" s="18"/>
    </row>
    <row r="36" spans="1:20" s="7" customFormat="1" ht="16" x14ac:dyDescent="0.2">
      <c r="A36" s="19">
        <v>35</v>
      </c>
      <c r="B36" s="18" t="s">
        <v>35</v>
      </c>
      <c r="C36" s="18" t="s">
        <v>14</v>
      </c>
      <c r="D36" s="18" t="s">
        <v>62</v>
      </c>
      <c r="E36" s="18" t="s">
        <v>16</v>
      </c>
      <c r="F36" s="18" t="str">
        <f>C36&amp;"-"&amp;D36&amp;"-"&amp;E36</f>
        <v>B1-P2-C1</v>
      </c>
      <c r="G36" s="18" t="s">
        <v>17</v>
      </c>
      <c r="H36" s="18">
        <v>2</v>
      </c>
      <c r="I36" s="18" t="s">
        <v>67</v>
      </c>
      <c r="J36" s="18" t="s">
        <v>20</v>
      </c>
      <c r="K36" s="19" t="str">
        <f>B36&amp;"-"&amp;C36&amp;"-"&amp;D36&amp;"-"&amp;E36&amp;"-"&amp;G36&amp;H36</f>
        <v>Quercus-B1-P2-C1-A2</v>
      </c>
      <c r="L36" s="18" t="s">
        <v>64</v>
      </c>
      <c r="M36" s="18" t="s">
        <v>44</v>
      </c>
      <c r="N36" s="18" t="s">
        <v>65</v>
      </c>
      <c r="O36" s="25" t="str">
        <f>J36&amp;"_"&amp;M36</f>
        <v>Drought_Yes</v>
      </c>
      <c r="P36" s="18" t="str">
        <f>J36&amp;"_"&amp;M36</f>
        <v>Drought_Yes</v>
      </c>
      <c r="Q36" s="18" t="str">
        <f>L36&amp;"_"&amp;M36</f>
        <v>Grey_Yes</v>
      </c>
      <c r="R36" s="18" t="s">
        <v>2072</v>
      </c>
      <c r="S36" s="18"/>
      <c r="T36" s="18"/>
    </row>
    <row r="37" spans="1:20" s="7" customFormat="1" ht="16" x14ac:dyDescent="0.2">
      <c r="A37" s="19">
        <v>36</v>
      </c>
      <c r="B37" s="18" t="s">
        <v>35</v>
      </c>
      <c r="C37" s="18" t="s">
        <v>14</v>
      </c>
      <c r="D37" s="18" t="s">
        <v>62</v>
      </c>
      <c r="E37" s="18" t="s">
        <v>16</v>
      </c>
      <c r="F37" s="18" t="str">
        <f>C37&amp;"-"&amp;D37&amp;"-"&amp;E37</f>
        <v>B1-P2-C1</v>
      </c>
      <c r="G37" s="18" t="s">
        <v>24</v>
      </c>
      <c r="H37" s="18">
        <v>2</v>
      </c>
      <c r="I37" s="18" t="s">
        <v>68</v>
      </c>
      <c r="J37" s="18" t="s">
        <v>20</v>
      </c>
      <c r="K37" s="19" t="str">
        <f>B37&amp;"-"&amp;C37&amp;"-"&amp;D37&amp;"-"&amp;E37&amp;"-"&amp;G37&amp;H37</f>
        <v>Quercus-B1-P2-C1-B2</v>
      </c>
      <c r="L37" s="18" t="s">
        <v>64</v>
      </c>
      <c r="M37" s="18" t="s">
        <v>44</v>
      </c>
      <c r="N37" s="18" t="s">
        <v>65</v>
      </c>
      <c r="O37" s="25" t="str">
        <f>J37&amp;"_"&amp;M37</f>
        <v>Drought_Yes</v>
      </c>
      <c r="P37" s="18" t="str">
        <f>J37&amp;"_"&amp;M37</f>
        <v>Drought_Yes</v>
      </c>
      <c r="Q37" s="18" t="str">
        <f>L37&amp;"_"&amp;M37</f>
        <v>Grey_Yes</v>
      </c>
      <c r="R37" s="18" t="s">
        <v>2072</v>
      </c>
      <c r="S37" s="18"/>
      <c r="T37" s="18"/>
    </row>
    <row r="38" spans="1:20" s="7" customFormat="1" ht="16" x14ac:dyDescent="0.2">
      <c r="A38" s="19">
        <v>37</v>
      </c>
      <c r="B38" s="18" t="s">
        <v>35</v>
      </c>
      <c r="C38" s="18" t="s">
        <v>14</v>
      </c>
      <c r="D38" s="18" t="s">
        <v>62</v>
      </c>
      <c r="E38" s="18" t="s">
        <v>16</v>
      </c>
      <c r="F38" s="18" t="str">
        <f>C38&amp;"-"&amp;D38&amp;"-"&amp;E38</f>
        <v>B1-P2-C1</v>
      </c>
      <c r="G38" s="18" t="s">
        <v>17</v>
      </c>
      <c r="H38" s="18">
        <v>3</v>
      </c>
      <c r="I38" s="18" t="s">
        <v>69</v>
      </c>
      <c r="J38" s="18" t="s">
        <v>20</v>
      </c>
      <c r="K38" s="19" t="str">
        <f>B38&amp;"-"&amp;C38&amp;"-"&amp;D38&amp;"-"&amp;E38&amp;"-"&amp;G38&amp;H38</f>
        <v>Quercus-B1-P2-C1-A3</v>
      </c>
      <c r="L38" s="18" t="s">
        <v>64</v>
      </c>
      <c r="M38" s="18" t="s">
        <v>44</v>
      </c>
      <c r="N38" s="18" t="s">
        <v>65</v>
      </c>
      <c r="O38" s="25" t="str">
        <f>J38&amp;"_"&amp;M38</f>
        <v>Drought_Yes</v>
      </c>
      <c r="P38" s="18" t="str">
        <f>J38&amp;"_"&amp;M38</f>
        <v>Drought_Yes</v>
      </c>
      <c r="Q38" s="18" t="str">
        <f>L38&amp;"_"&amp;M38</f>
        <v>Grey_Yes</v>
      </c>
      <c r="R38" s="18" t="s">
        <v>2072</v>
      </c>
      <c r="S38" s="18"/>
      <c r="T38" s="18"/>
    </row>
    <row r="39" spans="1:20" s="7" customFormat="1" ht="16" x14ac:dyDescent="0.2">
      <c r="A39" s="19">
        <v>38</v>
      </c>
      <c r="B39" s="18" t="s">
        <v>35</v>
      </c>
      <c r="C39" s="18" t="s">
        <v>14</v>
      </c>
      <c r="D39" s="18" t="s">
        <v>62</v>
      </c>
      <c r="E39" s="18" t="s">
        <v>16</v>
      </c>
      <c r="F39" s="18" t="str">
        <f>C39&amp;"-"&amp;D39&amp;"-"&amp;E39</f>
        <v>B1-P2-C1</v>
      </c>
      <c r="G39" s="18" t="s">
        <v>24</v>
      </c>
      <c r="H39" s="18">
        <v>3</v>
      </c>
      <c r="I39" s="18" t="s">
        <v>70</v>
      </c>
      <c r="J39" s="18" t="s">
        <v>20</v>
      </c>
      <c r="K39" s="19" t="str">
        <f>B39&amp;"-"&amp;C39&amp;"-"&amp;D39&amp;"-"&amp;E39&amp;"-"&amp;G39&amp;H39</f>
        <v>Quercus-B1-P2-C1-B3</v>
      </c>
      <c r="L39" s="18" t="s">
        <v>64</v>
      </c>
      <c r="M39" s="18" t="s">
        <v>44</v>
      </c>
      <c r="N39" s="18" t="s">
        <v>65</v>
      </c>
      <c r="O39" s="25" t="str">
        <f>J39&amp;"_"&amp;M39</f>
        <v>Drought_Yes</v>
      </c>
      <c r="P39" s="18" t="str">
        <f>J39&amp;"_"&amp;M39</f>
        <v>Drought_Yes</v>
      </c>
      <c r="Q39" s="18" t="str">
        <f>L39&amp;"_"&amp;M39</f>
        <v>Grey_Yes</v>
      </c>
      <c r="R39" s="18" t="s">
        <v>2072</v>
      </c>
      <c r="S39" s="18"/>
      <c r="T39" s="18"/>
    </row>
    <row r="40" spans="1:20" s="7" customFormat="1" ht="16" x14ac:dyDescent="0.2">
      <c r="A40" s="19">
        <v>39</v>
      </c>
      <c r="B40" s="18" t="s">
        <v>35</v>
      </c>
      <c r="C40" s="18" t="s">
        <v>14</v>
      </c>
      <c r="D40" s="18" t="s">
        <v>62</v>
      </c>
      <c r="E40" s="18" t="s">
        <v>16</v>
      </c>
      <c r="F40" s="18" t="str">
        <f>C40&amp;"-"&amp;D40&amp;"-"&amp;E40</f>
        <v>B1-P2-C1</v>
      </c>
      <c r="G40" s="18" t="s">
        <v>17</v>
      </c>
      <c r="H40" s="18">
        <v>4</v>
      </c>
      <c r="I40" s="18" t="s">
        <v>71</v>
      </c>
      <c r="J40" s="18" t="s">
        <v>20</v>
      </c>
      <c r="K40" s="19" t="str">
        <f>B40&amp;"-"&amp;C40&amp;"-"&amp;D40&amp;"-"&amp;E40&amp;"-"&amp;G40&amp;H40</f>
        <v>Quercus-B1-P2-C1-A4</v>
      </c>
      <c r="L40" s="18" t="s">
        <v>64</v>
      </c>
      <c r="M40" s="18" t="s">
        <v>44</v>
      </c>
      <c r="N40" s="18" t="s">
        <v>65</v>
      </c>
      <c r="O40" s="25" t="str">
        <f>J40&amp;"_"&amp;M40</f>
        <v>Drought_Yes</v>
      </c>
      <c r="P40" s="18" t="str">
        <f>J40&amp;"_"&amp;M40</f>
        <v>Drought_Yes</v>
      </c>
      <c r="Q40" s="18" t="str">
        <f>L40&amp;"_"&amp;M40</f>
        <v>Grey_Yes</v>
      </c>
      <c r="R40" s="18" t="s">
        <v>2072</v>
      </c>
      <c r="S40" s="18"/>
      <c r="T40" s="18"/>
    </row>
    <row r="41" spans="1:20" s="7" customFormat="1" ht="16" x14ac:dyDescent="0.2">
      <c r="A41" s="19">
        <v>40</v>
      </c>
      <c r="B41" s="18" t="s">
        <v>35</v>
      </c>
      <c r="C41" s="18" t="s">
        <v>14</v>
      </c>
      <c r="D41" s="18" t="s">
        <v>62</v>
      </c>
      <c r="E41" s="18" t="s">
        <v>16</v>
      </c>
      <c r="F41" s="18" t="str">
        <f>C41&amp;"-"&amp;D41&amp;"-"&amp;E41</f>
        <v>B1-P2-C1</v>
      </c>
      <c r="G41" s="18" t="s">
        <v>24</v>
      </c>
      <c r="H41" s="18">
        <v>4</v>
      </c>
      <c r="I41" s="18" t="s">
        <v>72</v>
      </c>
      <c r="J41" s="18" t="s">
        <v>20</v>
      </c>
      <c r="K41" s="19" t="str">
        <f>B41&amp;"-"&amp;C41&amp;"-"&amp;D41&amp;"-"&amp;E41&amp;"-"&amp;G41&amp;H41</f>
        <v>Quercus-B1-P2-C1-B4</v>
      </c>
      <c r="L41" s="18" t="s">
        <v>64</v>
      </c>
      <c r="M41" s="18" t="s">
        <v>44</v>
      </c>
      <c r="N41" s="18" t="s">
        <v>65</v>
      </c>
      <c r="O41" s="25" t="str">
        <f>J41&amp;"_"&amp;M41</f>
        <v>Drought_Yes</v>
      </c>
      <c r="P41" s="18" t="str">
        <f>J41&amp;"_"&amp;M41</f>
        <v>Drought_Yes</v>
      </c>
      <c r="Q41" s="18" t="str">
        <f>L41&amp;"_"&amp;M41</f>
        <v>Grey_Yes</v>
      </c>
      <c r="R41" s="18" t="s">
        <v>2072</v>
      </c>
      <c r="S41" s="18"/>
      <c r="T41" s="18"/>
    </row>
    <row r="42" spans="1:20" s="9" customFormat="1" ht="16" x14ac:dyDescent="0.2">
      <c r="A42" s="13">
        <v>41</v>
      </c>
      <c r="B42" s="14" t="s">
        <v>19</v>
      </c>
      <c r="C42" s="14" t="s">
        <v>14</v>
      </c>
      <c r="D42" s="14" t="s">
        <v>62</v>
      </c>
      <c r="E42" s="14" t="s">
        <v>32</v>
      </c>
      <c r="F42" s="14" t="str">
        <f>C42&amp;"-"&amp;D42&amp;"-"&amp;E42</f>
        <v>B1-P2-C2</v>
      </c>
      <c r="G42" s="14" t="s">
        <v>17</v>
      </c>
      <c r="H42" s="14">
        <v>1</v>
      </c>
      <c r="I42" s="14" t="s">
        <v>73</v>
      </c>
      <c r="J42" s="14" t="s">
        <v>20</v>
      </c>
      <c r="K42" s="13" t="str">
        <f>B42&amp;"-"&amp;C42&amp;"-"&amp;D42&amp;"-"&amp;E42&amp;"-"&amp;G42&amp;H42</f>
        <v>Fagus-B1-P2-C2-A1</v>
      </c>
      <c r="L42" s="14" t="s">
        <v>64</v>
      </c>
      <c r="M42" s="14" t="s">
        <v>22</v>
      </c>
      <c r="N42" s="14" t="s">
        <v>74</v>
      </c>
      <c r="O42" s="26" t="str">
        <f>J42&amp;"_"&amp;M42</f>
        <v>Drought_No</v>
      </c>
      <c r="P42" s="23" t="str">
        <f>J42&amp;"_"&amp;M42</f>
        <v>Drought_No</v>
      </c>
      <c r="Q42" s="23" t="str">
        <f>L42&amp;"_"&amp;M42</f>
        <v>Grey_No</v>
      </c>
      <c r="R42" s="18" t="s">
        <v>2072</v>
      </c>
      <c r="S42" s="23"/>
      <c r="T42" s="23"/>
    </row>
    <row r="43" spans="1:20" s="9" customFormat="1" ht="16" x14ac:dyDescent="0.2">
      <c r="A43" s="13">
        <v>42</v>
      </c>
      <c r="B43" s="14" t="s">
        <v>35</v>
      </c>
      <c r="C43" s="14" t="s">
        <v>14</v>
      </c>
      <c r="D43" s="14" t="s">
        <v>62</v>
      </c>
      <c r="E43" s="14" t="s">
        <v>32</v>
      </c>
      <c r="F43" s="14" t="str">
        <f>C43&amp;"-"&amp;D43&amp;"-"&amp;E43</f>
        <v>B1-P2-C2</v>
      </c>
      <c r="G43" s="14" t="s">
        <v>24</v>
      </c>
      <c r="H43" s="14">
        <v>1</v>
      </c>
      <c r="I43" s="14" t="s">
        <v>75</v>
      </c>
      <c r="J43" s="14" t="s">
        <v>20</v>
      </c>
      <c r="K43" s="13" t="str">
        <f>B43&amp;"-"&amp;C43&amp;"-"&amp;D43&amp;"-"&amp;E43&amp;"-"&amp;G43&amp;H43</f>
        <v>Quercus-B1-P2-C2-B1</v>
      </c>
      <c r="L43" s="14" t="s">
        <v>64</v>
      </c>
      <c r="M43" s="14" t="s">
        <v>22</v>
      </c>
      <c r="N43" s="14" t="s">
        <v>74</v>
      </c>
      <c r="O43" s="26" t="str">
        <f>J43&amp;"_"&amp;M43</f>
        <v>Drought_No</v>
      </c>
      <c r="P43" s="23" t="str">
        <f>J43&amp;"_"&amp;M43</f>
        <v>Drought_No</v>
      </c>
      <c r="Q43" s="23" t="str">
        <f>L43&amp;"_"&amp;M43</f>
        <v>Grey_No</v>
      </c>
      <c r="R43" s="18" t="s">
        <v>2072</v>
      </c>
      <c r="S43" s="23"/>
      <c r="T43" s="23"/>
    </row>
    <row r="44" spans="1:20" s="9" customFormat="1" ht="16" x14ac:dyDescent="0.2">
      <c r="A44" s="13">
        <v>43</v>
      </c>
      <c r="B44" s="14" t="s">
        <v>35</v>
      </c>
      <c r="C44" s="14" t="s">
        <v>14</v>
      </c>
      <c r="D44" s="14" t="s">
        <v>62</v>
      </c>
      <c r="E44" s="14" t="s">
        <v>32</v>
      </c>
      <c r="F44" s="14" t="str">
        <f>C44&amp;"-"&amp;D44&amp;"-"&amp;E44</f>
        <v>B1-P2-C2</v>
      </c>
      <c r="G44" s="14" t="s">
        <v>17</v>
      </c>
      <c r="H44" s="14">
        <v>2</v>
      </c>
      <c r="I44" s="14" t="s">
        <v>76</v>
      </c>
      <c r="J44" s="14" t="s">
        <v>20</v>
      </c>
      <c r="K44" s="13" t="str">
        <f>B44&amp;"-"&amp;C44&amp;"-"&amp;D44&amp;"-"&amp;E44&amp;"-"&amp;G44&amp;H44</f>
        <v>Quercus-B1-P2-C2-A2</v>
      </c>
      <c r="L44" s="14" t="s">
        <v>64</v>
      </c>
      <c r="M44" s="14" t="s">
        <v>22</v>
      </c>
      <c r="N44" s="14" t="s">
        <v>74</v>
      </c>
      <c r="O44" s="26" t="str">
        <f>J44&amp;"_"&amp;M44</f>
        <v>Drought_No</v>
      </c>
      <c r="P44" s="23" t="str">
        <f>J44&amp;"_"&amp;M44</f>
        <v>Drought_No</v>
      </c>
      <c r="Q44" s="23" t="str">
        <f>L44&amp;"_"&amp;M44</f>
        <v>Grey_No</v>
      </c>
      <c r="R44" s="18" t="s">
        <v>2072</v>
      </c>
      <c r="S44" s="23"/>
      <c r="T44" s="23"/>
    </row>
    <row r="45" spans="1:20" s="9" customFormat="1" ht="16" x14ac:dyDescent="0.2">
      <c r="A45" s="13">
        <v>44</v>
      </c>
      <c r="B45" s="14" t="s">
        <v>19</v>
      </c>
      <c r="C45" s="14" t="s">
        <v>14</v>
      </c>
      <c r="D45" s="14" t="s">
        <v>62</v>
      </c>
      <c r="E45" s="14" t="s">
        <v>32</v>
      </c>
      <c r="F45" s="14" t="str">
        <f>C45&amp;"-"&amp;D45&amp;"-"&amp;E45</f>
        <v>B1-P2-C2</v>
      </c>
      <c r="G45" s="14" t="s">
        <v>24</v>
      </c>
      <c r="H45" s="14">
        <v>2</v>
      </c>
      <c r="I45" s="14" t="s">
        <v>77</v>
      </c>
      <c r="J45" s="14" t="s">
        <v>20</v>
      </c>
      <c r="K45" s="13" t="str">
        <f>B45&amp;"-"&amp;C45&amp;"-"&amp;D45&amp;"-"&amp;E45&amp;"-"&amp;G45&amp;H45</f>
        <v>Fagus-B1-P2-C2-B2</v>
      </c>
      <c r="L45" s="14" t="s">
        <v>64</v>
      </c>
      <c r="M45" s="14" t="s">
        <v>22</v>
      </c>
      <c r="N45" s="14" t="s">
        <v>74</v>
      </c>
      <c r="O45" s="26" t="str">
        <f>J45&amp;"_"&amp;M45</f>
        <v>Drought_No</v>
      </c>
      <c r="P45" s="23" t="str">
        <f>J45&amp;"_"&amp;M45</f>
        <v>Drought_No</v>
      </c>
      <c r="Q45" s="23" t="str">
        <f>L45&amp;"_"&amp;M45</f>
        <v>Grey_No</v>
      </c>
      <c r="R45" s="18" t="s">
        <v>2072</v>
      </c>
      <c r="S45" s="23"/>
      <c r="T45" s="23"/>
    </row>
    <row r="46" spans="1:20" s="9" customFormat="1" ht="16" x14ac:dyDescent="0.2">
      <c r="A46" s="13">
        <v>45</v>
      </c>
      <c r="B46" s="14" t="s">
        <v>19</v>
      </c>
      <c r="C46" s="14" t="s">
        <v>14</v>
      </c>
      <c r="D46" s="14" t="s">
        <v>62</v>
      </c>
      <c r="E46" s="14" t="s">
        <v>32</v>
      </c>
      <c r="F46" s="14" t="str">
        <f>C46&amp;"-"&amp;D46&amp;"-"&amp;E46</f>
        <v>B1-P2-C2</v>
      </c>
      <c r="G46" s="14" t="s">
        <v>17</v>
      </c>
      <c r="H46" s="14">
        <v>3</v>
      </c>
      <c r="I46" s="14" t="s">
        <v>78</v>
      </c>
      <c r="J46" s="14" t="s">
        <v>20</v>
      </c>
      <c r="K46" s="13" t="str">
        <f>B46&amp;"-"&amp;C46&amp;"-"&amp;D46&amp;"-"&amp;E46&amp;"-"&amp;G46&amp;H46</f>
        <v>Fagus-B1-P2-C2-A3</v>
      </c>
      <c r="L46" s="14" t="s">
        <v>64</v>
      </c>
      <c r="M46" s="14" t="s">
        <v>22</v>
      </c>
      <c r="N46" s="14" t="s">
        <v>74</v>
      </c>
      <c r="O46" s="26" t="str">
        <f>J46&amp;"_"&amp;M46</f>
        <v>Drought_No</v>
      </c>
      <c r="P46" s="23" t="str">
        <f>J46&amp;"_"&amp;M46</f>
        <v>Drought_No</v>
      </c>
      <c r="Q46" s="23" t="str">
        <f>L46&amp;"_"&amp;M46</f>
        <v>Grey_No</v>
      </c>
      <c r="R46" s="18" t="s">
        <v>2072</v>
      </c>
      <c r="S46" s="23"/>
      <c r="T46" s="23"/>
    </row>
    <row r="47" spans="1:20" s="9" customFormat="1" ht="16" x14ac:dyDescent="0.2">
      <c r="A47" s="13">
        <v>46</v>
      </c>
      <c r="B47" s="14" t="s">
        <v>35</v>
      </c>
      <c r="C47" s="14" t="s">
        <v>14</v>
      </c>
      <c r="D47" s="14" t="s">
        <v>62</v>
      </c>
      <c r="E47" s="14" t="s">
        <v>32</v>
      </c>
      <c r="F47" s="14" t="str">
        <f>C47&amp;"-"&amp;D47&amp;"-"&amp;E47</f>
        <v>B1-P2-C2</v>
      </c>
      <c r="G47" s="14" t="s">
        <v>24</v>
      </c>
      <c r="H47" s="14">
        <v>3</v>
      </c>
      <c r="I47" s="14" t="s">
        <v>79</v>
      </c>
      <c r="J47" s="14" t="s">
        <v>20</v>
      </c>
      <c r="K47" s="13" t="str">
        <f>B47&amp;"-"&amp;C47&amp;"-"&amp;D47&amp;"-"&amp;E47&amp;"-"&amp;G47&amp;H47</f>
        <v>Quercus-B1-P2-C2-B3</v>
      </c>
      <c r="L47" s="14" t="s">
        <v>64</v>
      </c>
      <c r="M47" s="14" t="s">
        <v>22</v>
      </c>
      <c r="N47" s="14" t="s">
        <v>74</v>
      </c>
      <c r="O47" s="26" t="str">
        <f>J47&amp;"_"&amp;M47</f>
        <v>Drought_No</v>
      </c>
      <c r="P47" s="23" t="str">
        <f>J47&amp;"_"&amp;M47</f>
        <v>Drought_No</v>
      </c>
      <c r="Q47" s="23" t="str">
        <f>L47&amp;"_"&amp;M47</f>
        <v>Grey_No</v>
      </c>
      <c r="R47" s="18" t="s">
        <v>2072</v>
      </c>
      <c r="S47" s="23"/>
      <c r="T47" s="23"/>
    </row>
    <row r="48" spans="1:20" s="9" customFormat="1" ht="16" x14ac:dyDescent="0.2">
      <c r="A48" s="13">
        <v>47</v>
      </c>
      <c r="B48" s="14" t="s">
        <v>35</v>
      </c>
      <c r="C48" s="14" t="s">
        <v>14</v>
      </c>
      <c r="D48" s="14" t="s">
        <v>62</v>
      </c>
      <c r="E48" s="14" t="s">
        <v>32</v>
      </c>
      <c r="F48" s="14" t="str">
        <f>C48&amp;"-"&amp;D48&amp;"-"&amp;E48</f>
        <v>B1-P2-C2</v>
      </c>
      <c r="G48" s="14" t="s">
        <v>17</v>
      </c>
      <c r="H48" s="14">
        <v>4</v>
      </c>
      <c r="I48" s="14" t="s">
        <v>80</v>
      </c>
      <c r="J48" s="14" t="s">
        <v>20</v>
      </c>
      <c r="K48" s="13" t="str">
        <f>B48&amp;"-"&amp;C48&amp;"-"&amp;D48&amp;"-"&amp;E48&amp;"-"&amp;G48&amp;H48</f>
        <v>Quercus-B1-P2-C2-A4</v>
      </c>
      <c r="L48" s="14" t="s">
        <v>64</v>
      </c>
      <c r="M48" s="14" t="s">
        <v>22</v>
      </c>
      <c r="N48" s="14" t="s">
        <v>74</v>
      </c>
      <c r="O48" s="26" t="str">
        <f>J48&amp;"_"&amp;M48</f>
        <v>Drought_No</v>
      </c>
      <c r="P48" s="23" t="str">
        <f>J48&amp;"_"&amp;M48</f>
        <v>Drought_No</v>
      </c>
      <c r="Q48" s="23" t="str">
        <f>L48&amp;"_"&amp;M48</f>
        <v>Grey_No</v>
      </c>
      <c r="R48" s="18" t="s">
        <v>2072</v>
      </c>
      <c r="S48" s="23"/>
      <c r="T48" s="23"/>
    </row>
    <row r="49" spans="1:20" s="9" customFormat="1" ht="16" x14ac:dyDescent="0.2">
      <c r="A49" s="13">
        <v>48</v>
      </c>
      <c r="B49" s="14" t="s">
        <v>19</v>
      </c>
      <c r="C49" s="14" t="s">
        <v>14</v>
      </c>
      <c r="D49" s="14" t="s">
        <v>62</v>
      </c>
      <c r="E49" s="14" t="s">
        <v>32</v>
      </c>
      <c r="F49" s="14" t="str">
        <f>C49&amp;"-"&amp;D49&amp;"-"&amp;E49</f>
        <v>B1-P2-C2</v>
      </c>
      <c r="G49" s="14" t="s">
        <v>24</v>
      </c>
      <c r="H49" s="14">
        <v>4</v>
      </c>
      <c r="I49" s="14" t="s">
        <v>81</v>
      </c>
      <c r="J49" s="14" t="s">
        <v>20</v>
      </c>
      <c r="K49" s="13" t="str">
        <f>B49&amp;"-"&amp;C49&amp;"-"&amp;D49&amp;"-"&amp;E49&amp;"-"&amp;G49&amp;H49</f>
        <v>Fagus-B1-P2-C2-B4</v>
      </c>
      <c r="L49" s="14" t="s">
        <v>64</v>
      </c>
      <c r="M49" s="14" t="s">
        <v>22</v>
      </c>
      <c r="N49" s="14" t="s">
        <v>74</v>
      </c>
      <c r="O49" s="26" t="str">
        <f>J49&amp;"_"&amp;M49</f>
        <v>Drought_No</v>
      </c>
      <c r="P49" s="23" t="str">
        <f>J49&amp;"_"&amp;M49</f>
        <v>Drought_No</v>
      </c>
      <c r="Q49" s="23" t="str">
        <f>L49&amp;"_"&amp;M49</f>
        <v>Grey_No</v>
      </c>
      <c r="R49" s="18" t="s">
        <v>2072</v>
      </c>
      <c r="S49" s="23"/>
      <c r="T49" s="23"/>
    </row>
    <row r="50" spans="1:20" s="7" customFormat="1" ht="16" x14ac:dyDescent="0.2">
      <c r="A50" s="19">
        <v>49</v>
      </c>
      <c r="B50" s="18" t="s">
        <v>19</v>
      </c>
      <c r="C50" s="18" t="s">
        <v>14</v>
      </c>
      <c r="D50" s="18" t="s">
        <v>62</v>
      </c>
      <c r="E50" s="18" t="s">
        <v>42</v>
      </c>
      <c r="F50" s="18" t="str">
        <f>C50&amp;"-"&amp;D50&amp;"-"&amp;E50</f>
        <v>B1-P2-C3</v>
      </c>
      <c r="G50" s="18" t="s">
        <v>17</v>
      </c>
      <c r="H50" s="18">
        <v>1</v>
      </c>
      <c r="I50" s="18" t="s">
        <v>82</v>
      </c>
      <c r="J50" s="18" t="s">
        <v>20</v>
      </c>
      <c r="K50" s="19" t="str">
        <f>B50&amp;"-"&amp;C50&amp;"-"&amp;D50&amp;"-"&amp;E50&amp;"-"&amp;G50&amp;H50</f>
        <v>Fagus-B1-P2-C3-A1</v>
      </c>
      <c r="L50" s="18" t="s">
        <v>21</v>
      </c>
      <c r="M50" s="18" t="s">
        <v>44</v>
      </c>
      <c r="N50" s="18" t="s">
        <v>45</v>
      </c>
      <c r="O50" s="25" t="str">
        <f>J50&amp;"_"&amp;M50</f>
        <v>Drought_Yes</v>
      </c>
      <c r="P50" s="18" t="str">
        <f>J50&amp;"_"&amp;M50</f>
        <v>Drought_Yes</v>
      </c>
      <c r="Q50" s="18" t="str">
        <f>L50&amp;"_"&amp;M50</f>
        <v>Yellow_Yes</v>
      </c>
      <c r="R50" s="23" t="s">
        <v>2071</v>
      </c>
      <c r="S50" s="23"/>
      <c r="T50" s="23"/>
    </row>
    <row r="51" spans="1:20" s="7" customFormat="1" ht="16" x14ac:dyDescent="0.2">
      <c r="A51" s="19">
        <v>50</v>
      </c>
      <c r="B51" s="18" t="s">
        <v>19</v>
      </c>
      <c r="C51" s="18" t="s">
        <v>14</v>
      </c>
      <c r="D51" s="18" t="s">
        <v>62</v>
      </c>
      <c r="E51" s="18" t="s">
        <v>42</v>
      </c>
      <c r="F51" s="18" t="str">
        <f>C51&amp;"-"&amp;D51&amp;"-"&amp;E51</f>
        <v>B1-P2-C3</v>
      </c>
      <c r="G51" s="18" t="s">
        <v>24</v>
      </c>
      <c r="H51" s="18">
        <v>1</v>
      </c>
      <c r="I51" s="18" t="s">
        <v>83</v>
      </c>
      <c r="J51" s="18" t="s">
        <v>20</v>
      </c>
      <c r="K51" s="19" t="str">
        <f>B51&amp;"-"&amp;C51&amp;"-"&amp;D51&amp;"-"&amp;E51&amp;"-"&amp;G51&amp;H51</f>
        <v>Fagus-B1-P2-C3-B1</v>
      </c>
      <c r="L51" s="18" t="s">
        <v>21</v>
      </c>
      <c r="M51" s="18" t="s">
        <v>44</v>
      </c>
      <c r="N51" s="18" t="s">
        <v>45</v>
      </c>
      <c r="O51" s="25" t="str">
        <f>J51&amp;"_"&amp;M51</f>
        <v>Drought_Yes</v>
      </c>
      <c r="P51" s="18" t="str">
        <f>J51&amp;"_"&amp;M51</f>
        <v>Drought_Yes</v>
      </c>
      <c r="Q51" s="18" t="str">
        <f>L51&amp;"_"&amp;M51</f>
        <v>Yellow_Yes</v>
      </c>
      <c r="R51" s="23" t="s">
        <v>2071</v>
      </c>
      <c r="S51" s="23"/>
      <c r="T51" s="23"/>
    </row>
    <row r="52" spans="1:20" s="7" customFormat="1" ht="16" x14ac:dyDescent="0.2">
      <c r="A52" s="19">
        <v>51</v>
      </c>
      <c r="B52" s="18" t="s">
        <v>19</v>
      </c>
      <c r="C52" s="18" t="s">
        <v>14</v>
      </c>
      <c r="D52" s="18" t="s">
        <v>62</v>
      </c>
      <c r="E52" s="18" t="s">
        <v>42</v>
      </c>
      <c r="F52" s="18" t="str">
        <f>C52&amp;"-"&amp;D52&amp;"-"&amp;E52</f>
        <v>B1-P2-C3</v>
      </c>
      <c r="G52" s="18" t="s">
        <v>17</v>
      </c>
      <c r="H52" s="18">
        <v>2</v>
      </c>
      <c r="I52" s="18" t="s">
        <v>84</v>
      </c>
      <c r="J52" s="18" t="s">
        <v>20</v>
      </c>
      <c r="K52" s="19" t="str">
        <f>B52&amp;"-"&amp;C52&amp;"-"&amp;D52&amp;"-"&amp;E52&amp;"-"&amp;G52&amp;H52</f>
        <v>Fagus-B1-P2-C3-A2</v>
      </c>
      <c r="L52" s="18" t="s">
        <v>21</v>
      </c>
      <c r="M52" s="18" t="s">
        <v>44</v>
      </c>
      <c r="N52" s="18" t="s">
        <v>45</v>
      </c>
      <c r="O52" s="25" t="str">
        <f>J52&amp;"_"&amp;M52</f>
        <v>Drought_Yes</v>
      </c>
      <c r="P52" s="18" t="str">
        <f>J52&amp;"_"&amp;M52</f>
        <v>Drought_Yes</v>
      </c>
      <c r="Q52" s="18" t="str">
        <f>L52&amp;"_"&amp;M52</f>
        <v>Yellow_Yes</v>
      </c>
      <c r="R52" s="23" t="s">
        <v>2071</v>
      </c>
      <c r="S52" s="23"/>
      <c r="T52" s="23"/>
    </row>
    <row r="53" spans="1:20" s="7" customFormat="1" ht="16" x14ac:dyDescent="0.2">
      <c r="A53" s="19">
        <v>52</v>
      </c>
      <c r="B53" s="18" t="s">
        <v>19</v>
      </c>
      <c r="C53" s="18" t="s">
        <v>14</v>
      </c>
      <c r="D53" s="18" t="s">
        <v>62</v>
      </c>
      <c r="E53" s="18" t="s">
        <v>42</v>
      </c>
      <c r="F53" s="18" t="str">
        <f>C53&amp;"-"&amp;D53&amp;"-"&amp;E53</f>
        <v>B1-P2-C3</v>
      </c>
      <c r="G53" s="18" t="s">
        <v>24</v>
      </c>
      <c r="H53" s="18">
        <v>2</v>
      </c>
      <c r="I53" s="18" t="s">
        <v>85</v>
      </c>
      <c r="J53" s="18" t="s">
        <v>20</v>
      </c>
      <c r="K53" s="19" t="str">
        <f>B53&amp;"-"&amp;C53&amp;"-"&amp;D53&amp;"-"&amp;E53&amp;"-"&amp;G53&amp;H53</f>
        <v>Fagus-B1-P2-C3-B2</v>
      </c>
      <c r="L53" s="18" t="s">
        <v>21</v>
      </c>
      <c r="M53" s="18" t="s">
        <v>44</v>
      </c>
      <c r="N53" s="18" t="s">
        <v>45</v>
      </c>
      <c r="O53" s="25" t="str">
        <f>J53&amp;"_"&amp;M53</f>
        <v>Drought_Yes</v>
      </c>
      <c r="P53" s="18" t="str">
        <f>J53&amp;"_"&amp;M53</f>
        <v>Drought_Yes</v>
      </c>
      <c r="Q53" s="18" t="str">
        <f>L53&amp;"_"&amp;M53</f>
        <v>Yellow_Yes</v>
      </c>
      <c r="R53" s="23" t="s">
        <v>2071</v>
      </c>
      <c r="S53" s="23"/>
      <c r="T53" s="23"/>
    </row>
    <row r="54" spans="1:20" s="7" customFormat="1" ht="16" x14ac:dyDescent="0.2">
      <c r="A54" s="19">
        <v>53</v>
      </c>
      <c r="B54" s="18" t="s">
        <v>19</v>
      </c>
      <c r="C54" s="18" t="s">
        <v>14</v>
      </c>
      <c r="D54" s="18" t="s">
        <v>62</v>
      </c>
      <c r="E54" s="18" t="s">
        <v>42</v>
      </c>
      <c r="F54" s="18" t="str">
        <f>C54&amp;"-"&amp;D54&amp;"-"&amp;E54</f>
        <v>B1-P2-C3</v>
      </c>
      <c r="G54" s="18" t="s">
        <v>17</v>
      </c>
      <c r="H54" s="18">
        <v>3</v>
      </c>
      <c r="I54" s="18" t="s">
        <v>86</v>
      </c>
      <c r="J54" s="18" t="s">
        <v>20</v>
      </c>
      <c r="K54" s="19" t="str">
        <f>B54&amp;"-"&amp;C54&amp;"-"&amp;D54&amp;"-"&amp;E54&amp;"-"&amp;G54&amp;H54</f>
        <v>Fagus-B1-P2-C3-A3</v>
      </c>
      <c r="L54" s="18" t="s">
        <v>21</v>
      </c>
      <c r="M54" s="18" t="s">
        <v>44</v>
      </c>
      <c r="N54" s="18" t="s">
        <v>45</v>
      </c>
      <c r="O54" s="25" t="str">
        <f>J54&amp;"_"&amp;M54</f>
        <v>Drought_Yes</v>
      </c>
      <c r="P54" s="18" t="str">
        <f>J54&amp;"_"&amp;M54</f>
        <v>Drought_Yes</v>
      </c>
      <c r="Q54" s="18" t="str">
        <f>L54&amp;"_"&amp;M54</f>
        <v>Yellow_Yes</v>
      </c>
      <c r="R54" s="23" t="s">
        <v>2071</v>
      </c>
      <c r="S54" s="2"/>
      <c r="T54" s="2"/>
    </row>
    <row r="55" spans="1:20" s="7" customFormat="1" ht="16" x14ac:dyDescent="0.2">
      <c r="A55" s="19">
        <v>54</v>
      </c>
      <c r="B55" s="18" t="s">
        <v>19</v>
      </c>
      <c r="C55" s="18" t="s">
        <v>14</v>
      </c>
      <c r="D55" s="18" t="s">
        <v>62</v>
      </c>
      <c r="E55" s="18" t="s">
        <v>42</v>
      </c>
      <c r="F55" s="18" t="str">
        <f>C55&amp;"-"&amp;D55&amp;"-"&amp;E55</f>
        <v>B1-P2-C3</v>
      </c>
      <c r="G55" s="18" t="s">
        <v>24</v>
      </c>
      <c r="H55" s="18">
        <v>3</v>
      </c>
      <c r="I55" s="18" t="s">
        <v>87</v>
      </c>
      <c r="J55" s="18" t="s">
        <v>20</v>
      </c>
      <c r="K55" s="19" t="str">
        <f>B55&amp;"-"&amp;C55&amp;"-"&amp;D55&amp;"-"&amp;E55&amp;"-"&amp;G55&amp;H55</f>
        <v>Fagus-B1-P2-C3-B3</v>
      </c>
      <c r="L55" s="18" t="s">
        <v>21</v>
      </c>
      <c r="M55" s="18" t="s">
        <v>44</v>
      </c>
      <c r="N55" s="18" t="s">
        <v>45</v>
      </c>
      <c r="O55" s="25" t="str">
        <f>J55&amp;"_"&amp;M55</f>
        <v>Drought_Yes</v>
      </c>
      <c r="P55" s="18" t="str">
        <f>J55&amp;"_"&amp;M55</f>
        <v>Drought_Yes</v>
      </c>
      <c r="Q55" s="18" t="str">
        <f>L55&amp;"_"&amp;M55</f>
        <v>Yellow_Yes</v>
      </c>
      <c r="R55" s="23" t="s">
        <v>2071</v>
      </c>
      <c r="S55" s="2"/>
      <c r="T55" s="2"/>
    </row>
    <row r="56" spans="1:20" s="7" customFormat="1" ht="16" x14ac:dyDescent="0.2">
      <c r="A56" s="19">
        <v>55</v>
      </c>
      <c r="B56" s="18" t="s">
        <v>19</v>
      </c>
      <c r="C56" s="18" t="s">
        <v>14</v>
      </c>
      <c r="D56" s="18" t="s">
        <v>62</v>
      </c>
      <c r="E56" s="18" t="s">
        <v>42</v>
      </c>
      <c r="F56" s="18" t="str">
        <f>C56&amp;"-"&amp;D56&amp;"-"&amp;E56</f>
        <v>B1-P2-C3</v>
      </c>
      <c r="G56" s="18" t="s">
        <v>17</v>
      </c>
      <c r="H56" s="18">
        <v>4</v>
      </c>
      <c r="I56" s="18" t="s">
        <v>88</v>
      </c>
      <c r="J56" s="18" t="s">
        <v>20</v>
      </c>
      <c r="K56" s="19" t="str">
        <f>B56&amp;"-"&amp;C56&amp;"-"&amp;D56&amp;"-"&amp;E56&amp;"-"&amp;G56&amp;H56</f>
        <v>Fagus-B1-P2-C3-A4</v>
      </c>
      <c r="L56" s="18" t="s">
        <v>21</v>
      </c>
      <c r="M56" s="18" t="s">
        <v>44</v>
      </c>
      <c r="N56" s="18" t="s">
        <v>45</v>
      </c>
      <c r="O56" s="25" t="str">
        <f>J56&amp;"_"&amp;M56</f>
        <v>Drought_Yes</v>
      </c>
      <c r="P56" s="18" t="str">
        <f>J56&amp;"_"&amp;M56</f>
        <v>Drought_Yes</v>
      </c>
      <c r="Q56" s="18" t="str">
        <f>L56&amp;"_"&amp;M56</f>
        <v>Yellow_Yes</v>
      </c>
      <c r="R56" s="23" t="s">
        <v>2071</v>
      </c>
      <c r="S56" s="2"/>
      <c r="T56" s="2"/>
    </row>
    <row r="57" spans="1:20" s="7" customFormat="1" ht="16" x14ac:dyDescent="0.2">
      <c r="A57" s="19">
        <v>56</v>
      </c>
      <c r="B57" s="18" t="s">
        <v>19</v>
      </c>
      <c r="C57" s="18" t="s">
        <v>14</v>
      </c>
      <c r="D57" s="18" t="s">
        <v>62</v>
      </c>
      <c r="E57" s="18" t="s">
        <v>42</v>
      </c>
      <c r="F57" s="18" t="str">
        <f>C57&amp;"-"&amp;D57&amp;"-"&amp;E57</f>
        <v>B1-P2-C3</v>
      </c>
      <c r="G57" s="18" t="s">
        <v>24</v>
      </c>
      <c r="H57" s="18">
        <v>4</v>
      </c>
      <c r="I57" s="18" t="s">
        <v>89</v>
      </c>
      <c r="J57" s="18" t="s">
        <v>20</v>
      </c>
      <c r="K57" s="19" t="str">
        <f>B57&amp;"-"&amp;C57&amp;"-"&amp;D57&amp;"-"&amp;E57&amp;"-"&amp;G57&amp;H57</f>
        <v>Fagus-B1-P2-C3-B4</v>
      </c>
      <c r="L57" s="18" t="s">
        <v>21</v>
      </c>
      <c r="M57" s="18" t="s">
        <v>44</v>
      </c>
      <c r="N57" s="18" t="s">
        <v>45</v>
      </c>
      <c r="O57" s="25" t="str">
        <f>J57&amp;"_"&amp;M57</f>
        <v>Drought_Yes</v>
      </c>
      <c r="P57" s="18" t="str">
        <f>J57&amp;"_"&amp;M57</f>
        <v>Drought_Yes</v>
      </c>
      <c r="Q57" s="18" t="str">
        <f>L57&amp;"_"&amp;M57</f>
        <v>Yellow_Yes</v>
      </c>
      <c r="R57" s="23" t="s">
        <v>2071</v>
      </c>
      <c r="S57" s="2"/>
      <c r="T57" s="2"/>
    </row>
    <row r="58" spans="1:20" s="9" customFormat="1" ht="16" x14ac:dyDescent="0.2">
      <c r="A58" s="13">
        <v>57</v>
      </c>
      <c r="B58" s="14" t="s">
        <v>35</v>
      </c>
      <c r="C58" s="14" t="s">
        <v>14</v>
      </c>
      <c r="D58" s="14" t="s">
        <v>62</v>
      </c>
      <c r="E58" s="14" t="s">
        <v>53</v>
      </c>
      <c r="F58" s="14" t="str">
        <f>C58&amp;"-"&amp;D58&amp;"-"&amp;E58</f>
        <v>B1-P2-C4</v>
      </c>
      <c r="G58" s="14" t="s">
        <v>17</v>
      </c>
      <c r="H58" s="14">
        <v>1</v>
      </c>
      <c r="I58" s="14" t="s">
        <v>90</v>
      </c>
      <c r="J58" s="14" t="s">
        <v>20</v>
      </c>
      <c r="K58" s="13" t="str">
        <f>B58&amp;"-"&amp;C58&amp;"-"&amp;D58&amp;"-"&amp;E58&amp;"-"&amp;G58&amp;H58</f>
        <v>Quercus-B1-P2-C4-A1</v>
      </c>
      <c r="L58" s="14" t="s">
        <v>21</v>
      </c>
      <c r="M58" s="14" t="s">
        <v>22</v>
      </c>
      <c r="N58" s="14" t="s">
        <v>23</v>
      </c>
      <c r="O58" s="26" t="str">
        <f>J58&amp;"_"&amp;M58</f>
        <v>Drought_No</v>
      </c>
      <c r="P58" s="23" t="str">
        <f>J58&amp;"_"&amp;M58</f>
        <v>Drought_No</v>
      </c>
      <c r="Q58" s="23" t="str">
        <f>L58&amp;"_"&amp;M58</f>
        <v>Yellow_No</v>
      </c>
      <c r="R58" s="23" t="s">
        <v>2071</v>
      </c>
      <c r="S58" s="2"/>
      <c r="T58" s="2"/>
    </row>
    <row r="59" spans="1:20" ht="16" x14ac:dyDescent="0.2">
      <c r="A59" s="13">
        <v>58</v>
      </c>
      <c r="B59" s="14" t="s">
        <v>35</v>
      </c>
      <c r="C59" s="14" t="s">
        <v>14</v>
      </c>
      <c r="D59" s="14" t="s">
        <v>62</v>
      </c>
      <c r="E59" s="6" t="s">
        <v>53</v>
      </c>
      <c r="F59" s="14" t="str">
        <f>C59&amp;"-"&amp;D59&amp;"-"&amp;E59</f>
        <v>B1-P2-C4</v>
      </c>
      <c r="G59" s="14" t="s">
        <v>24</v>
      </c>
      <c r="H59" s="14">
        <v>1</v>
      </c>
      <c r="I59" s="14" t="s">
        <v>91</v>
      </c>
      <c r="J59" s="14" t="s">
        <v>20</v>
      </c>
      <c r="K59" s="13" t="str">
        <f>B59&amp;"-"&amp;C59&amp;"-"&amp;D59&amp;"-"&amp;E59&amp;"-"&amp;G59&amp;H59</f>
        <v>Quercus-B1-P2-C4-B1</v>
      </c>
      <c r="L59" s="14" t="s">
        <v>21</v>
      </c>
      <c r="M59" s="14" t="s">
        <v>22</v>
      </c>
      <c r="N59" s="14" t="s">
        <v>23</v>
      </c>
      <c r="O59" s="24" t="str">
        <f>J59&amp;"_"&amp;M59</f>
        <v>Drought_No</v>
      </c>
      <c r="P59" s="1" t="str">
        <f>J59&amp;"_"&amp;M59</f>
        <v>Drought_No</v>
      </c>
      <c r="Q59" s="1" t="str">
        <f>L59&amp;"_"&amp;M59</f>
        <v>Yellow_No</v>
      </c>
      <c r="R59" s="23" t="s">
        <v>2071</v>
      </c>
      <c r="S59" s="2"/>
      <c r="T59" s="2"/>
    </row>
    <row r="60" spans="1:20" ht="16" x14ac:dyDescent="0.2">
      <c r="A60" s="13">
        <v>59</v>
      </c>
      <c r="B60" s="14" t="s">
        <v>35</v>
      </c>
      <c r="C60" s="14" t="s">
        <v>14</v>
      </c>
      <c r="D60" s="14" t="s">
        <v>62</v>
      </c>
      <c r="E60" s="6" t="s">
        <v>53</v>
      </c>
      <c r="F60" s="14" t="str">
        <f>C60&amp;"-"&amp;D60&amp;"-"&amp;E60</f>
        <v>B1-P2-C4</v>
      </c>
      <c r="G60" s="14" t="s">
        <v>17</v>
      </c>
      <c r="H60" s="14">
        <v>2</v>
      </c>
      <c r="I60" s="14" t="s">
        <v>92</v>
      </c>
      <c r="J60" s="14" t="s">
        <v>20</v>
      </c>
      <c r="K60" s="13" t="str">
        <f>B60&amp;"-"&amp;C60&amp;"-"&amp;D60&amp;"-"&amp;E60&amp;"-"&amp;G60&amp;H60</f>
        <v>Quercus-B1-P2-C4-A2</v>
      </c>
      <c r="L60" s="14" t="s">
        <v>21</v>
      </c>
      <c r="M60" s="14" t="s">
        <v>22</v>
      </c>
      <c r="N60" s="14" t="s">
        <v>23</v>
      </c>
      <c r="O60" s="24" t="str">
        <f>J60&amp;"_"&amp;M60</f>
        <v>Drought_No</v>
      </c>
      <c r="P60" s="1" t="str">
        <f>J60&amp;"_"&amp;M60</f>
        <v>Drought_No</v>
      </c>
      <c r="Q60" s="1" t="str">
        <f>L60&amp;"_"&amp;M60</f>
        <v>Yellow_No</v>
      </c>
      <c r="R60" s="23" t="s">
        <v>2071</v>
      </c>
      <c r="S60" s="2"/>
      <c r="T60" s="2"/>
    </row>
    <row r="61" spans="1:20" ht="16" x14ac:dyDescent="0.2">
      <c r="A61" s="13">
        <v>60</v>
      </c>
      <c r="B61" s="14" t="s">
        <v>35</v>
      </c>
      <c r="C61" s="14" t="s">
        <v>14</v>
      </c>
      <c r="D61" s="14" t="s">
        <v>62</v>
      </c>
      <c r="E61" s="6" t="s">
        <v>53</v>
      </c>
      <c r="F61" s="14" t="str">
        <f>C61&amp;"-"&amp;D61&amp;"-"&amp;E61</f>
        <v>B1-P2-C4</v>
      </c>
      <c r="G61" s="14" t="s">
        <v>24</v>
      </c>
      <c r="H61" s="14">
        <v>2</v>
      </c>
      <c r="I61" s="14" t="s">
        <v>93</v>
      </c>
      <c r="J61" s="14" t="s">
        <v>20</v>
      </c>
      <c r="K61" s="13" t="str">
        <f>B61&amp;"-"&amp;C61&amp;"-"&amp;D61&amp;"-"&amp;E61&amp;"-"&amp;G61&amp;H61</f>
        <v>Quercus-B1-P2-C4-B2</v>
      </c>
      <c r="L61" s="14" t="s">
        <v>21</v>
      </c>
      <c r="M61" s="14" t="s">
        <v>22</v>
      </c>
      <c r="N61" s="14" t="s">
        <v>23</v>
      </c>
      <c r="O61" s="24" t="str">
        <f>J61&amp;"_"&amp;M61</f>
        <v>Drought_No</v>
      </c>
      <c r="P61" s="1" t="str">
        <f>J61&amp;"_"&amp;M61</f>
        <v>Drought_No</v>
      </c>
      <c r="Q61" s="1" t="str">
        <f>L61&amp;"_"&amp;M61</f>
        <v>Yellow_No</v>
      </c>
      <c r="R61" s="23" t="s">
        <v>2071</v>
      </c>
      <c r="S61" s="2"/>
      <c r="T61" s="2"/>
    </row>
    <row r="62" spans="1:20" ht="16" x14ac:dyDescent="0.2">
      <c r="A62" s="13">
        <v>61</v>
      </c>
      <c r="B62" s="14" t="s">
        <v>35</v>
      </c>
      <c r="C62" s="14" t="s">
        <v>14</v>
      </c>
      <c r="D62" s="14" t="s">
        <v>62</v>
      </c>
      <c r="E62" s="6" t="s">
        <v>53</v>
      </c>
      <c r="F62" s="14" t="str">
        <f>C62&amp;"-"&amp;D62&amp;"-"&amp;E62</f>
        <v>B1-P2-C4</v>
      </c>
      <c r="G62" s="14" t="s">
        <v>17</v>
      </c>
      <c r="H62" s="14">
        <v>3</v>
      </c>
      <c r="I62" s="14" t="s">
        <v>94</v>
      </c>
      <c r="J62" s="14" t="s">
        <v>20</v>
      </c>
      <c r="K62" s="13" t="str">
        <f>B62&amp;"-"&amp;C62&amp;"-"&amp;D62&amp;"-"&amp;E62&amp;"-"&amp;G62&amp;H62</f>
        <v>Quercus-B1-P2-C4-A3</v>
      </c>
      <c r="L62" s="14" t="s">
        <v>21</v>
      </c>
      <c r="M62" s="14" t="s">
        <v>22</v>
      </c>
      <c r="N62" s="14" t="s">
        <v>23</v>
      </c>
      <c r="O62" s="24" t="str">
        <f>J62&amp;"_"&amp;M62</f>
        <v>Drought_No</v>
      </c>
      <c r="P62" s="1" t="str">
        <f>J62&amp;"_"&amp;M62</f>
        <v>Drought_No</v>
      </c>
      <c r="Q62" s="1" t="str">
        <f>L62&amp;"_"&amp;M62</f>
        <v>Yellow_No</v>
      </c>
      <c r="R62" s="23" t="s">
        <v>2071</v>
      </c>
      <c r="S62" s="23"/>
      <c r="T62" s="23"/>
    </row>
    <row r="63" spans="1:20" ht="16" x14ac:dyDescent="0.2">
      <c r="A63" s="13">
        <v>62</v>
      </c>
      <c r="B63" s="14" t="s">
        <v>35</v>
      </c>
      <c r="C63" s="14" t="s">
        <v>14</v>
      </c>
      <c r="D63" s="14" t="s">
        <v>62</v>
      </c>
      <c r="E63" s="6" t="s">
        <v>53</v>
      </c>
      <c r="F63" s="14" t="str">
        <f>C63&amp;"-"&amp;D63&amp;"-"&amp;E63</f>
        <v>B1-P2-C4</v>
      </c>
      <c r="G63" s="14" t="s">
        <v>24</v>
      </c>
      <c r="H63" s="14">
        <v>3</v>
      </c>
      <c r="I63" s="14" t="s">
        <v>95</v>
      </c>
      <c r="J63" s="14" t="s">
        <v>20</v>
      </c>
      <c r="K63" s="13" t="str">
        <f>B63&amp;"-"&amp;C63&amp;"-"&amp;D63&amp;"-"&amp;E63&amp;"-"&amp;G63&amp;H63</f>
        <v>Quercus-B1-P2-C4-B3</v>
      </c>
      <c r="L63" s="14" t="s">
        <v>21</v>
      </c>
      <c r="M63" s="14" t="s">
        <v>22</v>
      </c>
      <c r="N63" s="14" t="s">
        <v>23</v>
      </c>
      <c r="O63" s="24" t="str">
        <f>J63&amp;"_"&amp;M63</f>
        <v>Drought_No</v>
      </c>
      <c r="P63" s="1" t="str">
        <f>J63&amp;"_"&amp;M63</f>
        <v>Drought_No</v>
      </c>
      <c r="Q63" s="1" t="str">
        <f>L63&amp;"_"&amp;M63</f>
        <v>Yellow_No</v>
      </c>
      <c r="R63" s="23" t="s">
        <v>2071</v>
      </c>
      <c r="S63" s="23"/>
      <c r="T63" s="23"/>
    </row>
    <row r="64" spans="1:20" ht="16" x14ac:dyDescent="0.2">
      <c r="A64" s="13">
        <v>63</v>
      </c>
      <c r="B64" s="14" t="s">
        <v>35</v>
      </c>
      <c r="C64" s="14" t="s">
        <v>14</v>
      </c>
      <c r="D64" s="14" t="s">
        <v>62</v>
      </c>
      <c r="E64" s="6" t="s">
        <v>53</v>
      </c>
      <c r="F64" s="14" t="str">
        <f>C64&amp;"-"&amp;D64&amp;"-"&amp;E64</f>
        <v>B1-P2-C4</v>
      </c>
      <c r="G64" s="14" t="s">
        <v>17</v>
      </c>
      <c r="H64" s="14">
        <v>4</v>
      </c>
      <c r="I64" s="14" t="s">
        <v>96</v>
      </c>
      <c r="J64" s="14" t="s">
        <v>20</v>
      </c>
      <c r="K64" s="13" t="str">
        <f>B64&amp;"-"&amp;C64&amp;"-"&amp;D64&amp;"-"&amp;E64&amp;"-"&amp;G64&amp;H64</f>
        <v>Quercus-B1-P2-C4-A4</v>
      </c>
      <c r="L64" s="14" t="s">
        <v>21</v>
      </c>
      <c r="M64" s="14" t="s">
        <v>22</v>
      </c>
      <c r="N64" s="14" t="s">
        <v>23</v>
      </c>
      <c r="O64" s="24" t="str">
        <f>J64&amp;"_"&amp;M64</f>
        <v>Drought_No</v>
      </c>
      <c r="P64" s="1" t="str">
        <f>J64&amp;"_"&amp;M64</f>
        <v>Drought_No</v>
      </c>
      <c r="Q64" s="1" t="str">
        <f>L64&amp;"_"&amp;M64</f>
        <v>Yellow_No</v>
      </c>
      <c r="R64" s="23" t="s">
        <v>2071</v>
      </c>
      <c r="S64" s="23"/>
      <c r="T64" s="23"/>
    </row>
    <row r="65" spans="1:20" s="9" customFormat="1" ht="15.75" customHeight="1" x14ac:dyDescent="0.2">
      <c r="A65" s="13">
        <v>64</v>
      </c>
      <c r="B65" s="14" t="s">
        <v>35</v>
      </c>
      <c r="C65" s="14" t="s">
        <v>14</v>
      </c>
      <c r="D65" s="14" t="s">
        <v>62</v>
      </c>
      <c r="E65" s="6" t="s">
        <v>53</v>
      </c>
      <c r="F65" s="14" t="str">
        <f>C65&amp;"-"&amp;D65&amp;"-"&amp;E65</f>
        <v>B1-P2-C4</v>
      </c>
      <c r="G65" s="14" t="s">
        <v>24</v>
      </c>
      <c r="H65" s="14">
        <v>4</v>
      </c>
      <c r="I65" s="14" t="s">
        <v>97</v>
      </c>
      <c r="J65" s="14" t="s">
        <v>20</v>
      </c>
      <c r="K65" s="13" t="str">
        <f>B65&amp;"-"&amp;C65&amp;"-"&amp;D65&amp;"-"&amp;E65&amp;"-"&amp;G65&amp;H65</f>
        <v>Quercus-B1-P2-C4-B4</v>
      </c>
      <c r="L65" s="14" t="s">
        <v>21</v>
      </c>
      <c r="M65" s="14" t="s">
        <v>22</v>
      </c>
      <c r="N65" s="14" t="s">
        <v>23</v>
      </c>
      <c r="O65" s="26" t="str">
        <f>J65&amp;"_"&amp;M65</f>
        <v>Drought_No</v>
      </c>
      <c r="P65" s="23" t="str">
        <f>J65&amp;"_"&amp;M65</f>
        <v>Drought_No</v>
      </c>
      <c r="Q65" s="23" t="str">
        <f>L65&amp;"_"&amp;M65</f>
        <v>Yellow_No</v>
      </c>
      <c r="R65" s="23" t="s">
        <v>2071</v>
      </c>
      <c r="S65" s="23"/>
      <c r="T65" s="23"/>
    </row>
    <row r="66" spans="1:20" s="10" customFormat="1" ht="15.75" customHeight="1" x14ac:dyDescent="0.2">
      <c r="A66" s="21">
        <v>65</v>
      </c>
      <c r="B66" s="20" t="s">
        <v>35</v>
      </c>
      <c r="C66" s="20" t="s">
        <v>14</v>
      </c>
      <c r="D66" s="20" t="s">
        <v>98</v>
      </c>
      <c r="E66" s="20" t="s">
        <v>16</v>
      </c>
      <c r="F66" s="18" t="str">
        <f>C66&amp;"-"&amp;D66&amp;"-"&amp;E66</f>
        <v>B1-P3-C1</v>
      </c>
      <c r="G66" s="20" t="s">
        <v>17</v>
      </c>
      <c r="H66" s="20">
        <v>1</v>
      </c>
      <c r="I66" s="20" t="s">
        <v>99</v>
      </c>
      <c r="J66" s="20" t="s">
        <v>20</v>
      </c>
      <c r="K66" s="19" t="str">
        <f>B66&amp;"-"&amp;C66&amp;"-"&amp;D66&amp;"-"&amp;E66&amp;"-"&amp;G66&amp;H66</f>
        <v>Quercus-B1-P3-C1-A1</v>
      </c>
      <c r="L66" s="20" t="s">
        <v>64</v>
      </c>
      <c r="M66" s="20" t="s">
        <v>22</v>
      </c>
      <c r="N66" s="20" t="s">
        <v>74</v>
      </c>
      <c r="O66" s="27" t="str">
        <f>J66&amp;"_"&amp;M66</f>
        <v>Drought_No</v>
      </c>
      <c r="P66" s="2" t="str">
        <f>J66&amp;"_"&amp;M66</f>
        <v>Drought_No</v>
      </c>
      <c r="Q66" s="2" t="str">
        <f>L66&amp;"_"&amp;M66</f>
        <v>Grey_No</v>
      </c>
      <c r="R66" s="18" t="s">
        <v>2072</v>
      </c>
      <c r="S66" s="18"/>
      <c r="T66" s="18"/>
    </row>
    <row r="67" spans="1:20" s="10" customFormat="1" ht="15.75" customHeight="1" x14ac:dyDescent="0.2">
      <c r="A67" s="21">
        <v>66</v>
      </c>
      <c r="B67" s="20" t="s">
        <v>35</v>
      </c>
      <c r="C67" s="20" t="s">
        <v>14</v>
      </c>
      <c r="D67" s="20" t="s">
        <v>98</v>
      </c>
      <c r="E67" s="20" t="s">
        <v>16</v>
      </c>
      <c r="F67" s="18" t="str">
        <f>C67&amp;"-"&amp;D67&amp;"-"&amp;E67</f>
        <v>B1-P3-C1</v>
      </c>
      <c r="G67" s="20" t="s">
        <v>24</v>
      </c>
      <c r="H67" s="20">
        <v>1</v>
      </c>
      <c r="I67" s="20" t="s">
        <v>100</v>
      </c>
      <c r="J67" s="20" t="s">
        <v>20</v>
      </c>
      <c r="K67" s="19" t="str">
        <f>B67&amp;"-"&amp;C67&amp;"-"&amp;D67&amp;"-"&amp;E67&amp;"-"&amp;G67&amp;H67</f>
        <v>Quercus-B1-P3-C1-B1</v>
      </c>
      <c r="L67" s="20" t="s">
        <v>64</v>
      </c>
      <c r="M67" s="20" t="s">
        <v>22</v>
      </c>
      <c r="N67" s="20" t="s">
        <v>74</v>
      </c>
      <c r="O67" s="27" t="str">
        <f>J67&amp;"_"&amp;M67</f>
        <v>Drought_No</v>
      </c>
      <c r="P67" s="2" t="str">
        <f>J67&amp;"_"&amp;M67</f>
        <v>Drought_No</v>
      </c>
      <c r="Q67" s="2" t="str">
        <f>L67&amp;"_"&amp;M67</f>
        <v>Grey_No</v>
      </c>
      <c r="R67" s="18" t="s">
        <v>2072</v>
      </c>
      <c r="S67" s="18"/>
      <c r="T67" s="18"/>
    </row>
    <row r="68" spans="1:20" s="10" customFormat="1" ht="15.75" customHeight="1" x14ac:dyDescent="0.2">
      <c r="A68" s="21">
        <v>67</v>
      </c>
      <c r="B68" s="20" t="s">
        <v>35</v>
      </c>
      <c r="C68" s="20" t="s">
        <v>14</v>
      </c>
      <c r="D68" s="20" t="s">
        <v>98</v>
      </c>
      <c r="E68" s="20" t="s">
        <v>16</v>
      </c>
      <c r="F68" s="18" t="str">
        <f>C68&amp;"-"&amp;D68&amp;"-"&amp;E68</f>
        <v>B1-P3-C1</v>
      </c>
      <c r="G68" s="20" t="s">
        <v>17</v>
      </c>
      <c r="H68" s="20">
        <v>2</v>
      </c>
      <c r="I68" s="20" t="s">
        <v>101</v>
      </c>
      <c r="J68" s="20" t="s">
        <v>20</v>
      </c>
      <c r="K68" s="19" t="str">
        <f>B68&amp;"-"&amp;C68&amp;"-"&amp;D68&amp;"-"&amp;E68&amp;"-"&amp;G68&amp;H68</f>
        <v>Quercus-B1-P3-C1-A2</v>
      </c>
      <c r="L68" s="20" t="s">
        <v>64</v>
      </c>
      <c r="M68" s="20" t="s">
        <v>22</v>
      </c>
      <c r="N68" s="20" t="s">
        <v>74</v>
      </c>
      <c r="O68" s="27" t="str">
        <f>J68&amp;"_"&amp;M68</f>
        <v>Drought_No</v>
      </c>
      <c r="P68" s="2" t="str">
        <f>J68&amp;"_"&amp;M68</f>
        <v>Drought_No</v>
      </c>
      <c r="Q68" s="2" t="str">
        <f>L68&amp;"_"&amp;M68</f>
        <v>Grey_No</v>
      </c>
      <c r="R68" s="18" t="s">
        <v>2072</v>
      </c>
      <c r="S68" s="18"/>
      <c r="T68" s="18"/>
    </row>
    <row r="69" spans="1:20" s="10" customFormat="1" ht="15.75" customHeight="1" x14ac:dyDescent="0.2">
      <c r="A69" s="21">
        <v>68</v>
      </c>
      <c r="B69" s="20" t="s">
        <v>35</v>
      </c>
      <c r="C69" s="20" t="s">
        <v>14</v>
      </c>
      <c r="D69" s="20" t="s">
        <v>98</v>
      </c>
      <c r="E69" s="20" t="s">
        <v>16</v>
      </c>
      <c r="F69" s="18" t="str">
        <f>C69&amp;"-"&amp;D69&amp;"-"&amp;E69</f>
        <v>B1-P3-C1</v>
      </c>
      <c r="G69" s="20" t="s">
        <v>24</v>
      </c>
      <c r="H69" s="20">
        <v>2</v>
      </c>
      <c r="I69" s="20" t="s">
        <v>102</v>
      </c>
      <c r="J69" s="20" t="s">
        <v>20</v>
      </c>
      <c r="K69" s="19" t="str">
        <f>B69&amp;"-"&amp;C69&amp;"-"&amp;D69&amp;"-"&amp;E69&amp;"-"&amp;G69&amp;H69</f>
        <v>Quercus-B1-P3-C1-B2</v>
      </c>
      <c r="L69" s="20" t="s">
        <v>64</v>
      </c>
      <c r="M69" s="20" t="s">
        <v>22</v>
      </c>
      <c r="N69" s="20" t="s">
        <v>74</v>
      </c>
      <c r="O69" s="27" t="str">
        <f>J69&amp;"_"&amp;M69</f>
        <v>Drought_No</v>
      </c>
      <c r="P69" s="2" t="str">
        <f>J69&amp;"_"&amp;M69</f>
        <v>Drought_No</v>
      </c>
      <c r="Q69" s="2" t="str">
        <f>L69&amp;"_"&amp;M69</f>
        <v>Grey_No</v>
      </c>
      <c r="R69" s="18" t="s">
        <v>2072</v>
      </c>
      <c r="S69" s="18"/>
      <c r="T69" s="18"/>
    </row>
    <row r="70" spans="1:20" s="10" customFormat="1" ht="15.75" customHeight="1" x14ac:dyDescent="0.2">
      <c r="A70" s="21">
        <v>69</v>
      </c>
      <c r="B70" s="20" t="s">
        <v>35</v>
      </c>
      <c r="C70" s="20" t="s">
        <v>14</v>
      </c>
      <c r="D70" s="20" t="s">
        <v>98</v>
      </c>
      <c r="E70" s="20" t="s">
        <v>16</v>
      </c>
      <c r="F70" s="18" t="str">
        <f>C70&amp;"-"&amp;D70&amp;"-"&amp;E70</f>
        <v>B1-P3-C1</v>
      </c>
      <c r="G70" s="20" t="s">
        <v>17</v>
      </c>
      <c r="H70" s="20">
        <v>3</v>
      </c>
      <c r="I70" s="20" t="s">
        <v>103</v>
      </c>
      <c r="J70" s="20" t="s">
        <v>20</v>
      </c>
      <c r="K70" s="19" t="str">
        <f>B70&amp;"-"&amp;C70&amp;"-"&amp;D70&amp;"-"&amp;E70&amp;"-"&amp;G70&amp;H70</f>
        <v>Quercus-B1-P3-C1-A3</v>
      </c>
      <c r="L70" s="20" t="s">
        <v>64</v>
      </c>
      <c r="M70" s="20" t="s">
        <v>22</v>
      </c>
      <c r="N70" s="20" t="s">
        <v>74</v>
      </c>
      <c r="O70" s="27" t="str">
        <f>J70&amp;"_"&amp;M70</f>
        <v>Drought_No</v>
      </c>
      <c r="P70" s="2" t="str">
        <f>J70&amp;"_"&amp;M70</f>
        <v>Drought_No</v>
      </c>
      <c r="Q70" s="2" t="str">
        <f>L70&amp;"_"&amp;M70</f>
        <v>Grey_No</v>
      </c>
      <c r="R70" s="18" t="s">
        <v>2072</v>
      </c>
      <c r="S70" s="18"/>
      <c r="T70" s="18"/>
    </row>
    <row r="71" spans="1:20" s="10" customFormat="1" ht="15.75" customHeight="1" x14ac:dyDescent="0.2">
      <c r="A71" s="21">
        <v>70</v>
      </c>
      <c r="B71" s="20" t="s">
        <v>35</v>
      </c>
      <c r="C71" s="20" t="s">
        <v>14</v>
      </c>
      <c r="D71" s="20" t="s">
        <v>98</v>
      </c>
      <c r="E71" s="20" t="s">
        <v>16</v>
      </c>
      <c r="F71" s="18" t="str">
        <f>C71&amp;"-"&amp;D71&amp;"-"&amp;E71</f>
        <v>B1-P3-C1</v>
      </c>
      <c r="G71" s="20" t="s">
        <v>24</v>
      </c>
      <c r="H71" s="20">
        <v>3</v>
      </c>
      <c r="I71" s="20" t="s">
        <v>104</v>
      </c>
      <c r="J71" s="20" t="s">
        <v>20</v>
      </c>
      <c r="K71" s="19" t="str">
        <f>B71&amp;"-"&amp;C71&amp;"-"&amp;D71&amp;"-"&amp;E71&amp;"-"&amp;G71&amp;H71</f>
        <v>Quercus-B1-P3-C1-B3</v>
      </c>
      <c r="L71" s="20" t="s">
        <v>64</v>
      </c>
      <c r="M71" s="20" t="s">
        <v>22</v>
      </c>
      <c r="N71" s="20" t="s">
        <v>74</v>
      </c>
      <c r="O71" s="27" t="str">
        <f>J71&amp;"_"&amp;M71</f>
        <v>Drought_No</v>
      </c>
      <c r="P71" s="2" t="str">
        <f>J71&amp;"_"&amp;M71</f>
        <v>Drought_No</v>
      </c>
      <c r="Q71" s="2" t="str">
        <f>L71&amp;"_"&amp;M71</f>
        <v>Grey_No</v>
      </c>
      <c r="R71" s="18" t="s">
        <v>2072</v>
      </c>
      <c r="S71" s="18"/>
      <c r="T71" s="18"/>
    </row>
    <row r="72" spans="1:20" s="10" customFormat="1" ht="15.75" customHeight="1" x14ac:dyDescent="0.2">
      <c r="A72" s="21">
        <v>71</v>
      </c>
      <c r="B72" s="20" t="s">
        <v>35</v>
      </c>
      <c r="C72" s="20" t="s">
        <v>14</v>
      </c>
      <c r="D72" s="20" t="s">
        <v>98</v>
      </c>
      <c r="E72" s="20" t="s">
        <v>16</v>
      </c>
      <c r="F72" s="18" t="str">
        <f>C72&amp;"-"&amp;D72&amp;"-"&amp;E72</f>
        <v>B1-P3-C1</v>
      </c>
      <c r="G72" s="20" t="s">
        <v>17</v>
      </c>
      <c r="H72" s="20">
        <v>4</v>
      </c>
      <c r="I72" s="20" t="s">
        <v>105</v>
      </c>
      <c r="J72" s="20" t="s">
        <v>20</v>
      </c>
      <c r="K72" s="19" t="str">
        <f>B72&amp;"-"&amp;C72&amp;"-"&amp;D72&amp;"-"&amp;E72&amp;"-"&amp;G72&amp;H72</f>
        <v>Quercus-B1-P3-C1-A4</v>
      </c>
      <c r="L72" s="20" t="s">
        <v>64</v>
      </c>
      <c r="M72" s="20" t="s">
        <v>22</v>
      </c>
      <c r="N72" s="20" t="s">
        <v>74</v>
      </c>
      <c r="O72" s="27" t="str">
        <f>J72&amp;"_"&amp;M72</f>
        <v>Drought_No</v>
      </c>
      <c r="P72" s="2" t="str">
        <f>J72&amp;"_"&amp;M72</f>
        <v>Drought_No</v>
      </c>
      <c r="Q72" s="2" t="str">
        <f>L72&amp;"_"&amp;M72</f>
        <v>Grey_No</v>
      </c>
      <c r="R72" s="18" t="s">
        <v>2072</v>
      </c>
      <c r="S72" s="18"/>
      <c r="T72" s="18"/>
    </row>
    <row r="73" spans="1:20" s="10" customFormat="1" ht="15.75" customHeight="1" x14ac:dyDescent="0.2">
      <c r="A73" s="21">
        <v>72</v>
      </c>
      <c r="B73" s="20" t="s">
        <v>35</v>
      </c>
      <c r="C73" s="20" t="s">
        <v>14</v>
      </c>
      <c r="D73" s="20" t="s">
        <v>98</v>
      </c>
      <c r="E73" s="20" t="s">
        <v>16</v>
      </c>
      <c r="F73" s="18" t="str">
        <f>C73&amp;"-"&amp;D73&amp;"-"&amp;E73</f>
        <v>B1-P3-C1</v>
      </c>
      <c r="G73" s="20" t="s">
        <v>24</v>
      </c>
      <c r="H73" s="20">
        <v>4</v>
      </c>
      <c r="I73" s="20" t="s">
        <v>106</v>
      </c>
      <c r="J73" s="20" t="s">
        <v>20</v>
      </c>
      <c r="K73" s="19" t="str">
        <f>B73&amp;"-"&amp;C73&amp;"-"&amp;D73&amp;"-"&amp;E73&amp;"-"&amp;G73&amp;H73</f>
        <v>Quercus-B1-P3-C1-B4</v>
      </c>
      <c r="L73" s="20" t="s">
        <v>64</v>
      </c>
      <c r="M73" s="20" t="s">
        <v>22</v>
      </c>
      <c r="N73" s="20" t="s">
        <v>74</v>
      </c>
      <c r="O73" s="27" t="str">
        <f>J73&amp;"_"&amp;M73</f>
        <v>Drought_No</v>
      </c>
      <c r="P73" s="2" t="str">
        <f>J73&amp;"_"&amp;M73</f>
        <v>Drought_No</v>
      </c>
      <c r="Q73" s="2" t="str">
        <f>L73&amp;"_"&amp;M73</f>
        <v>Grey_No</v>
      </c>
      <c r="R73" s="18" t="s">
        <v>2072</v>
      </c>
      <c r="S73" s="18"/>
      <c r="T73" s="18"/>
    </row>
    <row r="74" spans="1:20" s="9" customFormat="1" ht="15.75" customHeight="1" x14ac:dyDescent="0.2">
      <c r="A74" s="13">
        <v>73</v>
      </c>
      <c r="B74" s="14" t="s">
        <v>19</v>
      </c>
      <c r="C74" s="14" t="s">
        <v>14</v>
      </c>
      <c r="D74" s="14" t="s">
        <v>98</v>
      </c>
      <c r="E74" s="14" t="s">
        <v>32</v>
      </c>
      <c r="F74" s="14" t="str">
        <f>C74&amp;"-"&amp;D74&amp;"-"&amp;E74</f>
        <v>B1-P3-C2</v>
      </c>
      <c r="G74" s="14" t="s">
        <v>17</v>
      </c>
      <c r="H74" s="14">
        <v>1</v>
      </c>
      <c r="I74" s="14" t="s">
        <v>107</v>
      </c>
      <c r="J74" s="14" t="s">
        <v>20</v>
      </c>
      <c r="K74" s="13" t="str">
        <f>B74&amp;"-"&amp;C74&amp;"-"&amp;D74&amp;"-"&amp;E74&amp;"-"&amp;G74&amp;H74</f>
        <v>Fagus-B1-P3-C2-A1</v>
      </c>
      <c r="L74" s="14" t="s">
        <v>64</v>
      </c>
      <c r="M74" s="14" t="s">
        <v>22</v>
      </c>
      <c r="N74" s="14" t="s">
        <v>74</v>
      </c>
      <c r="O74" s="26" t="str">
        <f>J74&amp;"_"&amp;M74</f>
        <v>Drought_No</v>
      </c>
      <c r="P74" s="23" t="str">
        <f>J74&amp;"_"&amp;M74</f>
        <v>Drought_No</v>
      </c>
      <c r="Q74" s="23" t="str">
        <f>L74&amp;"_"&amp;M74</f>
        <v>Grey_No</v>
      </c>
      <c r="R74" s="18" t="s">
        <v>2072</v>
      </c>
      <c r="S74" s="23"/>
      <c r="T74" s="23"/>
    </row>
    <row r="75" spans="1:20" s="9" customFormat="1" ht="15.75" customHeight="1" x14ac:dyDescent="0.2">
      <c r="A75" s="13">
        <v>74</v>
      </c>
      <c r="B75" s="14" t="s">
        <v>19</v>
      </c>
      <c r="C75" s="14" t="s">
        <v>14</v>
      </c>
      <c r="D75" s="14" t="s">
        <v>98</v>
      </c>
      <c r="E75" s="14" t="s">
        <v>32</v>
      </c>
      <c r="F75" s="14" t="str">
        <f>C75&amp;"-"&amp;D75&amp;"-"&amp;E75</f>
        <v>B1-P3-C2</v>
      </c>
      <c r="G75" s="14" t="s">
        <v>24</v>
      </c>
      <c r="H75" s="14">
        <v>1</v>
      </c>
      <c r="I75" s="14" t="s">
        <v>108</v>
      </c>
      <c r="J75" s="14" t="s">
        <v>20</v>
      </c>
      <c r="K75" s="13" t="str">
        <f>B75&amp;"-"&amp;C75&amp;"-"&amp;D75&amp;"-"&amp;E75&amp;"-"&amp;G75&amp;H75</f>
        <v>Fagus-B1-P3-C2-B1</v>
      </c>
      <c r="L75" s="14" t="s">
        <v>64</v>
      </c>
      <c r="M75" s="14" t="s">
        <v>22</v>
      </c>
      <c r="N75" s="14" t="s">
        <v>74</v>
      </c>
      <c r="O75" s="26" t="str">
        <f>J75&amp;"_"&amp;M75</f>
        <v>Drought_No</v>
      </c>
      <c r="P75" s="23" t="str">
        <f>J75&amp;"_"&amp;M75</f>
        <v>Drought_No</v>
      </c>
      <c r="Q75" s="23" t="str">
        <f>L75&amp;"_"&amp;M75</f>
        <v>Grey_No</v>
      </c>
      <c r="R75" s="18" t="s">
        <v>2072</v>
      </c>
      <c r="S75" s="23"/>
      <c r="T75" s="23"/>
    </row>
    <row r="76" spans="1:20" s="9" customFormat="1" ht="15.75" customHeight="1" x14ac:dyDescent="0.2">
      <c r="A76" s="13">
        <v>75</v>
      </c>
      <c r="B76" s="14" t="s">
        <v>19</v>
      </c>
      <c r="C76" s="14" t="s">
        <v>14</v>
      </c>
      <c r="D76" s="14" t="s">
        <v>98</v>
      </c>
      <c r="E76" s="14" t="s">
        <v>32</v>
      </c>
      <c r="F76" s="14" t="str">
        <f>C76&amp;"-"&amp;D76&amp;"-"&amp;E76</f>
        <v>B1-P3-C2</v>
      </c>
      <c r="G76" s="14" t="s">
        <v>17</v>
      </c>
      <c r="H76" s="14">
        <v>2</v>
      </c>
      <c r="I76" s="14" t="s">
        <v>109</v>
      </c>
      <c r="J76" s="14" t="s">
        <v>20</v>
      </c>
      <c r="K76" s="13" t="str">
        <f>B76&amp;"-"&amp;C76&amp;"-"&amp;D76&amp;"-"&amp;E76&amp;"-"&amp;G76&amp;H76</f>
        <v>Fagus-B1-P3-C2-A2</v>
      </c>
      <c r="L76" s="14" t="s">
        <v>64</v>
      </c>
      <c r="M76" s="14" t="s">
        <v>22</v>
      </c>
      <c r="N76" s="14" t="s">
        <v>74</v>
      </c>
      <c r="O76" s="26" t="str">
        <f>J76&amp;"_"&amp;M76</f>
        <v>Drought_No</v>
      </c>
      <c r="P76" s="23" t="str">
        <f>J76&amp;"_"&amp;M76</f>
        <v>Drought_No</v>
      </c>
      <c r="Q76" s="23" t="str">
        <f>L76&amp;"_"&amp;M76</f>
        <v>Grey_No</v>
      </c>
      <c r="R76" s="18" t="s">
        <v>2072</v>
      </c>
      <c r="S76" s="23"/>
      <c r="T76" s="23"/>
    </row>
    <row r="77" spans="1:20" s="9" customFormat="1" ht="15.75" customHeight="1" x14ac:dyDescent="0.2">
      <c r="A77" s="13">
        <v>76</v>
      </c>
      <c r="B77" s="14" t="s">
        <v>19</v>
      </c>
      <c r="C77" s="14" t="s">
        <v>14</v>
      </c>
      <c r="D77" s="14" t="s">
        <v>98</v>
      </c>
      <c r="E77" s="14" t="s">
        <v>32</v>
      </c>
      <c r="F77" s="14" t="str">
        <f>C77&amp;"-"&amp;D77&amp;"-"&amp;E77</f>
        <v>B1-P3-C2</v>
      </c>
      <c r="G77" s="14" t="s">
        <v>24</v>
      </c>
      <c r="H77" s="14">
        <v>2</v>
      </c>
      <c r="I77" s="14" t="s">
        <v>110</v>
      </c>
      <c r="J77" s="14" t="s">
        <v>20</v>
      </c>
      <c r="K77" s="13" t="str">
        <f>B77&amp;"-"&amp;C77&amp;"-"&amp;D77&amp;"-"&amp;E77&amp;"-"&amp;G77&amp;H77</f>
        <v>Fagus-B1-P3-C2-B2</v>
      </c>
      <c r="L77" s="14" t="s">
        <v>64</v>
      </c>
      <c r="M77" s="14" t="s">
        <v>22</v>
      </c>
      <c r="N77" s="14" t="s">
        <v>74</v>
      </c>
      <c r="O77" s="26" t="str">
        <f>J77&amp;"_"&amp;M77</f>
        <v>Drought_No</v>
      </c>
      <c r="P77" s="23" t="str">
        <f>J77&amp;"_"&amp;M77</f>
        <v>Drought_No</v>
      </c>
      <c r="Q77" s="23" t="str">
        <f>L77&amp;"_"&amp;M77</f>
        <v>Grey_No</v>
      </c>
      <c r="R77" s="18" t="s">
        <v>2072</v>
      </c>
      <c r="S77" s="23"/>
      <c r="T77" s="23"/>
    </row>
    <row r="78" spans="1:20" s="9" customFormat="1" ht="15.75" customHeight="1" x14ac:dyDescent="0.2">
      <c r="A78" s="13">
        <v>77</v>
      </c>
      <c r="B78" s="14" t="s">
        <v>19</v>
      </c>
      <c r="C78" s="14" t="s">
        <v>14</v>
      </c>
      <c r="D78" s="14" t="s">
        <v>98</v>
      </c>
      <c r="E78" s="14" t="s">
        <v>32</v>
      </c>
      <c r="F78" s="14" t="str">
        <f>C78&amp;"-"&amp;D78&amp;"-"&amp;E78</f>
        <v>B1-P3-C2</v>
      </c>
      <c r="G78" s="14" t="s">
        <v>17</v>
      </c>
      <c r="H78" s="14">
        <v>3</v>
      </c>
      <c r="I78" s="14" t="s">
        <v>111</v>
      </c>
      <c r="J78" s="14" t="s">
        <v>20</v>
      </c>
      <c r="K78" s="13" t="str">
        <f>B78&amp;"-"&amp;C78&amp;"-"&amp;D78&amp;"-"&amp;E78&amp;"-"&amp;G78&amp;H78</f>
        <v>Fagus-B1-P3-C2-A3</v>
      </c>
      <c r="L78" s="14" t="s">
        <v>64</v>
      </c>
      <c r="M78" s="14" t="s">
        <v>22</v>
      </c>
      <c r="N78" s="14" t="s">
        <v>74</v>
      </c>
      <c r="O78" s="26" t="str">
        <f>J78&amp;"_"&amp;M78</f>
        <v>Drought_No</v>
      </c>
      <c r="P78" s="23" t="str">
        <f>J78&amp;"_"&amp;M78</f>
        <v>Drought_No</v>
      </c>
      <c r="Q78" s="23" t="str">
        <f>L78&amp;"_"&amp;M78</f>
        <v>Grey_No</v>
      </c>
      <c r="R78" s="18" t="s">
        <v>2072</v>
      </c>
      <c r="S78" s="23"/>
      <c r="T78" s="23"/>
    </row>
    <row r="79" spans="1:20" s="9" customFormat="1" ht="15.75" customHeight="1" x14ac:dyDescent="0.2">
      <c r="A79" s="13">
        <v>78</v>
      </c>
      <c r="B79" s="14" t="s">
        <v>19</v>
      </c>
      <c r="C79" s="14" t="s">
        <v>14</v>
      </c>
      <c r="D79" s="14" t="s">
        <v>98</v>
      </c>
      <c r="E79" s="14" t="s">
        <v>32</v>
      </c>
      <c r="F79" s="14" t="str">
        <f>C79&amp;"-"&amp;D79&amp;"-"&amp;E79</f>
        <v>B1-P3-C2</v>
      </c>
      <c r="G79" s="14" t="s">
        <v>24</v>
      </c>
      <c r="H79" s="14">
        <v>3</v>
      </c>
      <c r="I79" s="14" t="s">
        <v>112</v>
      </c>
      <c r="J79" s="14" t="s">
        <v>20</v>
      </c>
      <c r="K79" s="13" t="str">
        <f>B79&amp;"-"&amp;C79&amp;"-"&amp;D79&amp;"-"&amp;E79&amp;"-"&amp;G79&amp;H79</f>
        <v>Fagus-B1-P3-C2-B3</v>
      </c>
      <c r="L79" s="14" t="s">
        <v>64</v>
      </c>
      <c r="M79" s="14" t="s">
        <v>22</v>
      </c>
      <c r="N79" s="14" t="s">
        <v>74</v>
      </c>
      <c r="O79" s="26" t="str">
        <f>J79&amp;"_"&amp;M79</f>
        <v>Drought_No</v>
      </c>
      <c r="P79" s="23" t="str">
        <f>J79&amp;"_"&amp;M79</f>
        <v>Drought_No</v>
      </c>
      <c r="Q79" s="23" t="str">
        <f>L79&amp;"_"&amp;M79</f>
        <v>Grey_No</v>
      </c>
      <c r="R79" s="18" t="s">
        <v>2072</v>
      </c>
      <c r="S79" s="23"/>
      <c r="T79" s="23"/>
    </row>
    <row r="80" spans="1:20" s="9" customFormat="1" ht="15.75" customHeight="1" x14ac:dyDescent="0.2">
      <c r="A80" s="13">
        <v>79</v>
      </c>
      <c r="B80" s="14" t="s">
        <v>19</v>
      </c>
      <c r="C80" s="14" t="s">
        <v>14</v>
      </c>
      <c r="D80" s="14" t="s">
        <v>98</v>
      </c>
      <c r="E80" s="14" t="s">
        <v>32</v>
      </c>
      <c r="F80" s="14" t="str">
        <f>C80&amp;"-"&amp;D80&amp;"-"&amp;E80</f>
        <v>B1-P3-C2</v>
      </c>
      <c r="G80" s="14" t="s">
        <v>17</v>
      </c>
      <c r="H80" s="14">
        <v>4</v>
      </c>
      <c r="I80" s="14" t="s">
        <v>113</v>
      </c>
      <c r="J80" s="14" t="s">
        <v>20</v>
      </c>
      <c r="K80" s="13" t="str">
        <f>B80&amp;"-"&amp;C80&amp;"-"&amp;D80&amp;"-"&amp;E80&amp;"-"&amp;G80&amp;H80</f>
        <v>Fagus-B1-P3-C2-A4</v>
      </c>
      <c r="L80" s="14" t="s">
        <v>64</v>
      </c>
      <c r="M80" s="14" t="s">
        <v>22</v>
      </c>
      <c r="N80" s="14" t="s">
        <v>74</v>
      </c>
      <c r="O80" s="26" t="str">
        <f>J80&amp;"_"&amp;M80</f>
        <v>Drought_No</v>
      </c>
      <c r="P80" s="23" t="str">
        <f>J80&amp;"_"&amp;M80</f>
        <v>Drought_No</v>
      </c>
      <c r="Q80" s="23" t="str">
        <f>L80&amp;"_"&amp;M80</f>
        <v>Grey_No</v>
      </c>
      <c r="R80" s="18" t="s">
        <v>2072</v>
      </c>
      <c r="S80" s="23"/>
      <c r="T80" s="23"/>
    </row>
    <row r="81" spans="1:20" s="9" customFormat="1" ht="15.75" customHeight="1" x14ac:dyDescent="0.2">
      <c r="A81" s="13">
        <v>80</v>
      </c>
      <c r="B81" s="14" t="s">
        <v>19</v>
      </c>
      <c r="C81" s="14" t="s">
        <v>14</v>
      </c>
      <c r="D81" s="14" t="s">
        <v>98</v>
      </c>
      <c r="E81" s="14" t="s">
        <v>32</v>
      </c>
      <c r="F81" s="14" t="str">
        <f>C81&amp;"-"&amp;D81&amp;"-"&amp;E81</f>
        <v>B1-P3-C2</v>
      </c>
      <c r="G81" s="14" t="s">
        <v>24</v>
      </c>
      <c r="H81" s="14">
        <v>4</v>
      </c>
      <c r="I81" s="14" t="s">
        <v>114</v>
      </c>
      <c r="J81" s="14" t="s">
        <v>20</v>
      </c>
      <c r="K81" s="13" t="str">
        <f>B81&amp;"-"&amp;C81&amp;"-"&amp;D81&amp;"-"&amp;E81&amp;"-"&amp;G81&amp;H81</f>
        <v>Fagus-B1-P3-C2-B4</v>
      </c>
      <c r="L81" s="14" t="s">
        <v>64</v>
      </c>
      <c r="M81" s="14" t="s">
        <v>22</v>
      </c>
      <c r="N81" s="14" t="s">
        <v>74</v>
      </c>
      <c r="O81" s="26" t="str">
        <f>J81&amp;"_"&amp;M81</f>
        <v>Drought_No</v>
      </c>
      <c r="P81" s="23" t="str">
        <f>J81&amp;"_"&amp;M81</f>
        <v>Drought_No</v>
      </c>
      <c r="Q81" s="23" t="str">
        <f>L81&amp;"_"&amp;M81</f>
        <v>Grey_No</v>
      </c>
      <c r="R81" s="18" t="s">
        <v>2072</v>
      </c>
      <c r="S81" s="23"/>
      <c r="T81" s="23"/>
    </row>
    <row r="82" spans="1:20" s="10" customFormat="1" ht="15.75" customHeight="1" x14ac:dyDescent="0.2">
      <c r="A82" s="21">
        <v>81</v>
      </c>
      <c r="B82" s="20" t="s">
        <v>19</v>
      </c>
      <c r="C82" s="20" t="s">
        <v>14</v>
      </c>
      <c r="D82" s="20" t="s">
        <v>98</v>
      </c>
      <c r="E82" s="20" t="s">
        <v>42</v>
      </c>
      <c r="F82" s="18" t="str">
        <f>C82&amp;"-"&amp;D82&amp;"-"&amp;E82</f>
        <v>B1-P3-C3</v>
      </c>
      <c r="G82" s="20" t="s">
        <v>17</v>
      </c>
      <c r="H82" s="20">
        <v>1</v>
      </c>
      <c r="I82" s="20" t="s">
        <v>115</v>
      </c>
      <c r="J82" s="20" t="s">
        <v>20</v>
      </c>
      <c r="K82" s="19" t="str">
        <f>B82&amp;"-"&amp;C82&amp;"-"&amp;D82&amp;"-"&amp;E82&amp;"-"&amp;G82&amp;H82</f>
        <v>Fagus-B1-P3-C3-A1</v>
      </c>
      <c r="L82" s="20" t="s">
        <v>64</v>
      </c>
      <c r="M82" s="20" t="s">
        <v>44</v>
      </c>
      <c r="N82" s="20" t="s">
        <v>65</v>
      </c>
      <c r="O82" s="27" t="str">
        <f>J82&amp;"_"&amp;M82</f>
        <v>Drought_Yes</v>
      </c>
      <c r="P82" s="2" t="str">
        <f>J82&amp;"_"&amp;M82</f>
        <v>Drought_Yes</v>
      </c>
      <c r="Q82" s="2" t="str">
        <f>L82&amp;"_"&amp;M82</f>
        <v>Grey_Yes</v>
      </c>
      <c r="R82" s="18" t="s">
        <v>2072</v>
      </c>
      <c r="S82" s="18"/>
      <c r="T82" s="18"/>
    </row>
    <row r="83" spans="1:20" s="10" customFormat="1" ht="15.75" customHeight="1" x14ac:dyDescent="0.2">
      <c r="A83" s="21">
        <v>82</v>
      </c>
      <c r="B83" s="20" t="s">
        <v>35</v>
      </c>
      <c r="C83" s="20" t="s">
        <v>14</v>
      </c>
      <c r="D83" s="20" t="s">
        <v>98</v>
      </c>
      <c r="E83" s="20" t="s">
        <v>42</v>
      </c>
      <c r="F83" s="18" t="str">
        <f>C83&amp;"-"&amp;D83&amp;"-"&amp;E83</f>
        <v>B1-P3-C3</v>
      </c>
      <c r="G83" s="20" t="s">
        <v>24</v>
      </c>
      <c r="H83" s="20">
        <v>1</v>
      </c>
      <c r="I83" s="20" t="s">
        <v>116</v>
      </c>
      <c r="J83" s="20" t="s">
        <v>20</v>
      </c>
      <c r="K83" s="19" t="str">
        <f>B83&amp;"-"&amp;C83&amp;"-"&amp;D83&amp;"-"&amp;E83&amp;"-"&amp;G83&amp;H83</f>
        <v>Quercus-B1-P3-C3-B1</v>
      </c>
      <c r="L83" s="20" t="s">
        <v>64</v>
      </c>
      <c r="M83" s="20" t="s">
        <v>44</v>
      </c>
      <c r="N83" s="20" t="s">
        <v>65</v>
      </c>
      <c r="O83" s="27" t="str">
        <f>J83&amp;"_"&amp;M83</f>
        <v>Drought_Yes</v>
      </c>
      <c r="P83" s="2" t="str">
        <f>J83&amp;"_"&amp;M83</f>
        <v>Drought_Yes</v>
      </c>
      <c r="Q83" s="2" t="str">
        <f>L83&amp;"_"&amp;M83</f>
        <v>Grey_Yes</v>
      </c>
      <c r="R83" s="18" t="s">
        <v>2072</v>
      </c>
      <c r="S83" s="18"/>
      <c r="T83" s="18"/>
    </row>
    <row r="84" spans="1:20" s="10" customFormat="1" ht="15.75" customHeight="1" x14ac:dyDescent="0.2">
      <c r="A84" s="21">
        <v>83</v>
      </c>
      <c r="B84" s="20" t="s">
        <v>35</v>
      </c>
      <c r="C84" s="20" t="s">
        <v>14</v>
      </c>
      <c r="D84" s="20" t="s">
        <v>98</v>
      </c>
      <c r="E84" s="20" t="s">
        <v>42</v>
      </c>
      <c r="F84" s="18" t="str">
        <f>C84&amp;"-"&amp;D84&amp;"-"&amp;E84</f>
        <v>B1-P3-C3</v>
      </c>
      <c r="G84" s="20" t="s">
        <v>17</v>
      </c>
      <c r="H84" s="20">
        <v>2</v>
      </c>
      <c r="I84" s="20" t="s">
        <v>117</v>
      </c>
      <c r="J84" s="20" t="s">
        <v>20</v>
      </c>
      <c r="K84" s="19" t="str">
        <f>B84&amp;"-"&amp;C84&amp;"-"&amp;D84&amp;"-"&amp;E84&amp;"-"&amp;G84&amp;H84</f>
        <v>Quercus-B1-P3-C3-A2</v>
      </c>
      <c r="L84" s="20" t="s">
        <v>64</v>
      </c>
      <c r="M84" s="20" t="s">
        <v>44</v>
      </c>
      <c r="N84" s="20" t="s">
        <v>65</v>
      </c>
      <c r="O84" s="27" t="str">
        <f>J84&amp;"_"&amp;M84</f>
        <v>Drought_Yes</v>
      </c>
      <c r="P84" s="2" t="str">
        <f>J84&amp;"_"&amp;M84</f>
        <v>Drought_Yes</v>
      </c>
      <c r="Q84" s="2" t="str">
        <f>L84&amp;"_"&amp;M84</f>
        <v>Grey_Yes</v>
      </c>
      <c r="R84" s="18" t="s">
        <v>2072</v>
      </c>
      <c r="S84" s="18"/>
      <c r="T84" s="18"/>
    </row>
    <row r="85" spans="1:20" s="10" customFormat="1" ht="15.75" customHeight="1" x14ac:dyDescent="0.2">
      <c r="A85" s="21">
        <v>84</v>
      </c>
      <c r="B85" s="20" t="s">
        <v>19</v>
      </c>
      <c r="C85" s="20" t="s">
        <v>14</v>
      </c>
      <c r="D85" s="20" t="s">
        <v>98</v>
      </c>
      <c r="E85" s="20" t="s">
        <v>42</v>
      </c>
      <c r="F85" s="18" t="str">
        <f>C85&amp;"-"&amp;D85&amp;"-"&amp;E85</f>
        <v>B1-P3-C3</v>
      </c>
      <c r="G85" s="20" t="s">
        <v>24</v>
      </c>
      <c r="H85" s="20">
        <v>2</v>
      </c>
      <c r="I85" s="20" t="s">
        <v>118</v>
      </c>
      <c r="J85" s="20" t="s">
        <v>20</v>
      </c>
      <c r="K85" s="19" t="str">
        <f>B85&amp;"-"&amp;C85&amp;"-"&amp;D85&amp;"-"&amp;E85&amp;"-"&amp;G85&amp;H85</f>
        <v>Fagus-B1-P3-C3-B2</v>
      </c>
      <c r="L85" s="20" t="s">
        <v>64</v>
      </c>
      <c r="M85" s="20" t="s">
        <v>44</v>
      </c>
      <c r="N85" s="20" t="s">
        <v>65</v>
      </c>
      <c r="O85" s="27" t="str">
        <f>J85&amp;"_"&amp;M85</f>
        <v>Drought_Yes</v>
      </c>
      <c r="P85" s="2" t="str">
        <f>J85&amp;"_"&amp;M85</f>
        <v>Drought_Yes</v>
      </c>
      <c r="Q85" s="2" t="str">
        <f>L85&amp;"_"&amp;M85</f>
        <v>Grey_Yes</v>
      </c>
      <c r="R85" s="18" t="s">
        <v>2072</v>
      </c>
      <c r="S85" s="18"/>
      <c r="T85" s="18"/>
    </row>
    <row r="86" spans="1:20" s="10" customFormat="1" ht="15.75" customHeight="1" x14ac:dyDescent="0.2">
      <c r="A86" s="21">
        <v>85</v>
      </c>
      <c r="B86" s="20" t="s">
        <v>19</v>
      </c>
      <c r="C86" s="20" t="s">
        <v>14</v>
      </c>
      <c r="D86" s="20" t="s">
        <v>98</v>
      </c>
      <c r="E86" s="20" t="s">
        <v>42</v>
      </c>
      <c r="F86" s="18" t="str">
        <f>C86&amp;"-"&amp;D86&amp;"-"&amp;E86</f>
        <v>B1-P3-C3</v>
      </c>
      <c r="G86" s="20" t="s">
        <v>17</v>
      </c>
      <c r="H86" s="20">
        <v>3</v>
      </c>
      <c r="I86" s="20" t="s">
        <v>119</v>
      </c>
      <c r="J86" s="20" t="s">
        <v>20</v>
      </c>
      <c r="K86" s="19" t="str">
        <f>B86&amp;"-"&amp;C86&amp;"-"&amp;D86&amp;"-"&amp;E86&amp;"-"&amp;G86&amp;H86</f>
        <v>Fagus-B1-P3-C3-A3</v>
      </c>
      <c r="L86" s="20" t="s">
        <v>64</v>
      </c>
      <c r="M86" s="20" t="s">
        <v>44</v>
      </c>
      <c r="N86" s="20" t="s">
        <v>65</v>
      </c>
      <c r="O86" s="27" t="str">
        <f>J86&amp;"_"&amp;M86</f>
        <v>Drought_Yes</v>
      </c>
      <c r="P86" s="2" t="str">
        <f>J86&amp;"_"&amp;M86</f>
        <v>Drought_Yes</v>
      </c>
      <c r="Q86" s="2" t="str">
        <f>L86&amp;"_"&amp;M86</f>
        <v>Grey_Yes</v>
      </c>
      <c r="R86" s="18" t="s">
        <v>2072</v>
      </c>
      <c r="S86" s="18"/>
      <c r="T86" s="18"/>
    </row>
    <row r="87" spans="1:20" s="10" customFormat="1" ht="15.75" customHeight="1" x14ac:dyDescent="0.2">
      <c r="A87" s="21">
        <v>86</v>
      </c>
      <c r="B87" s="20" t="s">
        <v>35</v>
      </c>
      <c r="C87" s="20" t="s">
        <v>14</v>
      </c>
      <c r="D87" s="20" t="s">
        <v>98</v>
      </c>
      <c r="E87" s="20" t="s">
        <v>42</v>
      </c>
      <c r="F87" s="18" t="str">
        <f>C87&amp;"-"&amp;D87&amp;"-"&amp;E87</f>
        <v>B1-P3-C3</v>
      </c>
      <c r="G87" s="20" t="s">
        <v>24</v>
      </c>
      <c r="H87" s="20">
        <v>3</v>
      </c>
      <c r="I87" s="20" t="s">
        <v>120</v>
      </c>
      <c r="J87" s="20" t="s">
        <v>20</v>
      </c>
      <c r="K87" s="19" t="str">
        <f>B87&amp;"-"&amp;C87&amp;"-"&amp;D87&amp;"-"&amp;E87&amp;"-"&amp;G87&amp;H87</f>
        <v>Quercus-B1-P3-C3-B3</v>
      </c>
      <c r="L87" s="20" t="s">
        <v>64</v>
      </c>
      <c r="M87" s="20" t="s">
        <v>44</v>
      </c>
      <c r="N87" s="20" t="s">
        <v>65</v>
      </c>
      <c r="O87" s="27" t="str">
        <f>J87&amp;"_"&amp;M87</f>
        <v>Drought_Yes</v>
      </c>
      <c r="P87" s="2" t="str">
        <f>J87&amp;"_"&amp;M87</f>
        <v>Drought_Yes</v>
      </c>
      <c r="Q87" s="2" t="str">
        <f>L87&amp;"_"&amp;M87</f>
        <v>Grey_Yes</v>
      </c>
      <c r="R87" s="18" t="s">
        <v>2072</v>
      </c>
      <c r="S87" s="18"/>
      <c r="T87" s="18"/>
    </row>
    <row r="88" spans="1:20" s="10" customFormat="1" ht="15.75" customHeight="1" x14ac:dyDescent="0.2">
      <c r="A88" s="21">
        <v>87</v>
      </c>
      <c r="B88" s="20" t="s">
        <v>35</v>
      </c>
      <c r="C88" s="20" t="s">
        <v>14</v>
      </c>
      <c r="D88" s="20" t="s">
        <v>98</v>
      </c>
      <c r="E88" s="20" t="s">
        <v>42</v>
      </c>
      <c r="F88" s="18" t="str">
        <f>C88&amp;"-"&amp;D88&amp;"-"&amp;E88</f>
        <v>B1-P3-C3</v>
      </c>
      <c r="G88" s="20" t="s">
        <v>17</v>
      </c>
      <c r="H88" s="20">
        <v>4</v>
      </c>
      <c r="I88" s="20" t="s">
        <v>121</v>
      </c>
      <c r="J88" s="20" t="s">
        <v>20</v>
      </c>
      <c r="K88" s="19" t="str">
        <f>B88&amp;"-"&amp;C88&amp;"-"&amp;D88&amp;"-"&amp;E88&amp;"-"&amp;G88&amp;H88</f>
        <v>Quercus-B1-P3-C3-A4</v>
      </c>
      <c r="L88" s="20" t="s">
        <v>64</v>
      </c>
      <c r="M88" s="20" t="s">
        <v>44</v>
      </c>
      <c r="N88" s="20" t="s">
        <v>65</v>
      </c>
      <c r="O88" s="27" t="str">
        <f>J88&amp;"_"&amp;M88</f>
        <v>Drought_Yes</v>
      </c>
      <c r="P88" s="2" t="str">
        <f>J88&amp;"_"&amp;M88</f>
        <v>Drought_Yes</v>
      </c>
      <c r="Q88" s="2" t="str">
        <f>L88&amp;"_"&amp;M88</f>
        <v>Grey_Yes</v>
      </c>
      <c r="R88" s="18" t="s">
        <v>2072</v>
      </c>
      <c r="S88" s="18"/>
      <c r="T88" s="18"/>
    </row>
    <row r="89" spans="1:20" s="10" customFormat="1" ht="15.75" customHeight="1" x14ac:dyDescent="0.2">
      <c r="A89" s="21">
        <v>88</v>
      </c>
      <c r="B89" s="20" t="s">
        <v>19</v>
      </c>
      <c r="C89" s="20" t="s">
        <v>14</v>
      </c>
      <c r="D89" s="20" t="s">
        <v>98</v>
      </c>
      <c r="E89" s="20" t="s">
        <v>42</v>
      </c>
      <c r="F89" s="18" t="str">
        <f>C89&amp;"-"&amp;D89&amp;"-"&amp;E89</f>
        <v>B1-P3-C3</v>
      </c>
      <c r="G89" s="20" t="s">
        <v>24</v>
      </c>
      <c r="H89" s="20">
        <v>4</v>
      </c>
      <c r="I89" s="20" t="s">
        <v>122</v>
      </c>
      <c r="J89" s="20" t="s">
        <v>20</v>
      </c>
      <c r="K89" s="19" t="str">
        <f>B89&amp;"-"&amp;C89&amp;"-"&amp;D89&amp;"-"&amp;E89&amp;"-"&amp;G89&amp;H89</f>
        <v>Fagus-B1-P3-C3-B4</v>
      </c>
      <c r="L89" s="20" t="s">
        <v>64</v>
      </c>
      <c r="M89" s="20" t="s">
        <v>44</v>
      </c>
      <c r="N89" s="20" t="s">
        <v>65</v>
      </c>
      <c r="O89" s="27" t="str">
        <f>J89&amp;"_"&amp;M89</f>
        <v>Drought_Yes</v>
      </c>
      <c r="P89" s="2" t="str">
        <f>J89&amp;"_"&amp;M89</f>
        <v>Drought_Yes</v>
      </c>
      <c r="Q89" s="2" t="str">
        <f>L89&amp;"_"&amp;M89</f>
        <v>Grey_Yes</v>
      </c>
      <c r="R89" s="18" t="s">
        <v>2072</v>
      </c>
      <c r="S89" s="18"/>
      <c r="T89" s="18"/>
    </row>
    <row r="90" spans="1:20" s="9" customFormat="1" ht="15.75" customHeight="1" x14ac:dyDescent="0.2">
      <c r="A90" s="13">
        <v>89</v>
      </c>
      <c r="B90" s="14" t="s">
        <v>19</v>
      </c>
      <c r="C90" s="14" t="s">
        <v>14</v>
      </c>
      <c r="D90" s="14" t="s">
        <v>98</v>
      </c>
      <c r="E90" s="14" t="s">
        <v>53</v>
      </c>
      <c r="F90" s="14" t="str">
        <f>C90&amp;"-"&amp;D90&amp;"-"&amp;E90</f>
        <v>B1-P3-C4</v>
      </c>
      <c r="G90" s="14" t="s">
        <v>17</v>
      </c>
      <c r="H90" s="14">
        <v>1</v>
      </c>
      <c r="I90" s="14" t="s">
        <v>123</v>
      </c>
      <c r="J90" s="14" t="s">
        <v>20</v>
      </c>
      <c r="K90" s="13" t="str">
        <f>B90&amp;"-"&amp;C90&amp;"-"&amp;D90&amp;"-"&amp;E90&amp;"-"&amp;G90&amp;H90</f>
        <v>Fagus-B1-P3-C4-A1</v>
      </c>
      <c r="L90" s="14" t="s">
        <v>64</v>
      </c>
      <c r="M90" s="14" t="s">
        <v>44</v>
      </c>
      <c r="N90" s="14" t="s">
        <v>65</v>
      </c>
      <c r="O90" s="26" t="str">
        <f>J90&amp;"_"&amp;M90</f>
        <v>Drought_Yes</v>
      </c>
      <c r="P90" s="23" t="str">
        <f>J90&amp;"_"&amp;M90</f>
        <v>Drought_Yes</v>
      </c>
      <c r="Q90" s="23" t="str">
        <f>L90&amp;"_"&amp;M90</f>
        <v>Grey_Yes</v>
      </c>
      <c r="R90" s="18" t="s">
        <v>2072</v>
      </c>
      <c r="S90" s="23"/>
      <c r="T90" s="23"/>
    </row>
    <row r="91" spans="1:20" s="9" customFormat="1" ht="15.75" customHeight="1" x14ac:dyDescent="0.2">
      <c r="A91" s="13">
        <v>90</v>
      </c>
      <c r="B91" s="14" t="s">
        <v>19</v>
      </c>
      <c r="C91" s="14" t="s">
        <v>14</v>
      </c>
      <c r="D91" s="14" t="s">
        <v>98</v>
      </c>
      <c r="E91" s="14" t="s">
        <v>53</v>
      </c>
      <c r="F91" s="14" t="str">
        <f>C91&amp;"-"&amp;D91&amp;"-"&amp;E91</f>
        <v>B1-P3-C4</v>
      </c>
      <c r="G91" s="14" t="s">
        <v>24</v>
      </c>
      <c r="H91" s="14">
        <v>1</v>
      </c>
      <c r="I91" s="14" t="s">
        <v>124</v>
      </c>
      <c r="J91" s="14" t="s">
        <v>20</v>
      </c>
      <c r="K91" s="13" t="str">
        <f>B91&amp;"-"&amp;C91&amp;"-"&amp;D91&amp;"-"&amp;E91&amp;"-"&amp;G91&amp;H91</f>
        <v>Fagus-B1-P3-C4-B1</v>
      </c>
      <c r="L91" s="14" t="s">
        <v>64</v>
      </c>
      <c r="M91" s="14" t="s">
        <v>44</v>
      </c>
      <c r="N91" s="14" t="s">
        <v>65</v>
      </c>
      <c r="O91" s="26" t="str">
        <f>J91&amp;"_"&amp;M91</f>
        <v>Drought_Yes</v>
      </c>
      <c r="P91" s="23" t="str">
        <f>J91&amp;"_"&amp;M91</f>
        <v>Drought_Yes</v>
      </c>
      <c r="Q91" s="23" t="str">
        <f>L91&amp;"_"&amp;M91</f>
        <v>Grey_Yes</v>
      </c>
      <c r="R91" s="18" t="s">
        <v>2072</v>
      </c>
      <c r="S91" s="23"/>
      <c r="T91" s="23"/>
    </row>
    <row r="92" spans="1:20" s="9" customFormat="1" ht="15.75" customHeight="1" x14ac:dyDescent="0.2">
      <c r="A92" s="13">
        <v>91</v>
      </c>
      <c r="B92" s="14" t="s">
        <v>19</v>
      </c>
      <c r="C92" s="14" t="s">
        <v>14</v>
      </c>
      <c r="D92" s="14" t="s">
        <v>98</v>
      </c>
      <c r="E92" s="14" t="s">
        <v>53</v>
      </c>
      <c r="F92" s="14" t="str">
        <f>C92&amp;"-"&amp;D92&amp;"-"&amp;E92</f>
        <v>B1-P3-C4</v>
      </c>
      <c r="G92" s="14" t="s">
        <v>17</v>
      </c>
      <c r="H92" s="14">
        <v>2</v>
      </c>
      <c r="I92" s="14" t="s">
        <v>125</v>
      </c>
      <c r="J92" s="14" t="s">
        <v>20</v>
      </c>
      <c r="K92" s="13" t="str">
        <f>B92&amp;"-"&amp;C92&amp;"-"&amp;D92&amp;"-"&amp;E92&amp;"-"&amp;G92&amp;H92</f>
        <v>Fagus-B1-P3-C4-A2</v>
      </c>
      <c r="L92" s="14" t="s">
        <v>64</v>
      </c>
      <c r="M92" s="14" t="s">
        <v>44</v>
      </c>
      <c r="N92" s="14" t="s">
        <v>65</v>
      </c>
      <c r="O92" s="26" t="str">
        <f>J92&amp;"_"&amp;M92</f>
        <v>Drought_Yes</v>
      </c>
      <c r="P92" s="23" t="str">
        <f>J92&amp;"_"&amp;M92</f>
        <v>Drought_Yes</v>
      </c>
      <c r="Q92" s="23" t="str">
        <f>L92&amp;"_"&amp;M92</f>
        <v>Grey_Yes</v>
      </c>
      <c r="R92" s="18" t="s">
        <v>2072</v>
      </c>
      <c r="S92" s="23"/>
      <c r="T92" s="23"/>
    </row>
    <row r="93" spans="1:20" s="9" customFormat="1" ht="15.75" customHeight="1" x14ac:dyDescent="0.2">
      <c r="A93" s="13">
        <v>92</v>
      </c>
      <c r="B93" s="14" t="s">
        <v>19</v>
      </c>
      <c r="C93" s="14" t="s">
        <v>14</v>
      </c>
      <c r="D93" s="14" t="s">
        <v>98</v>
      </c>
      <c r="E93" s="14" t="s">
        <v>53</v>
      </c>
      <c r="F93" s="14" t="str">
        <f>C93&amp;"-"&amp;D93&amp;"-"&amp;E93</f>
        <v>B1-P3-C4</v>
      </c>
      <c r="G93" s="14" t="s">
        <v>24</v>
      </c>
      <c r="H93" s="14">
        <v>2</v>
      </c>
      <c r="I93" s="14" t="s">
        <v>126</v>
      </c>
      <c r="J93" s="14" t="s">
        <v>20</v>
      </c>
      <c r="K93" s="13" t="str">
        <f>B93&amp;"-"&amp;C93&amp;"-"&amp;D93&amp;"-"&amp;E93&amp;"-"&amp;G93&amp;H93</f>
        <v>Fagus-B1-P3-C4-B2</v>
      </c>
      <c r="L93" s="14" t="s">
        <v>64</v>
      </c>
      <c r="M93" s="14" t="s">
        <v>44</v>
      </c>
      <c r="N93" s="14" t="s">
        <v>65</v>
      </c>
      <c r="O93" s="26" t="str">
        <f>J93&amp;"_"&amp;M93</f>
        <v>Drought_Yes</v>
      </c>
      <c r="P93" s="23" t="str">
        <f>J93&amp;"_"&amp;M93</f>
        <v>Drought_Yes</v>
      </c>
      <c r="Q93" s="23" t="str">
        <f>L93&amp;"_"&amp;M93</f>
        <v>Grey_Yes</v>
      </c>
      <c r="R93" s="18" t="s">
        <v>2072</v>
      </c>
      <c r="S93" s="23"/>
      <c r="T93" s="23"/>
    </row>
    <row r="94" spans="1:20" s="9" customFormat="1" ht="15.75" customHeight="1" x14ac:dyDescent="0.2">
      <c r="A94" s="13">
        <v>93</v>
      </c>
      <c r="B94" s="14" t="s">
        <v>19</v>
      </c>
      <c r="C94" s="14" t="s">
        <v>14</v>
      </c>
      <c r="D94" s="14" t="s">
        <v>98</v>
      </c>
      <c r="E94" s="14" t="s">
        <v>53</v>
      </c>
      <c r="F94" s="14" t="str">
        <f>C94&amp;"-"&amp;D94&amp;"-"&amp;E94</f>
        <v>B1-P3-C4</v>
      </c>
      <c r="G94" s="14" t="s">
        <v>17</v>
      </c>
      <c r="H94" s="14">
        <v>3</v>
      </c>
      <c r="I94" s="14" t="s">
        <v>127</v>
      </c>
      <c r="J94" s="14" t="s">
        <v>20</v>
      </c>
      <c r="K94" s="13" t="str">
        <f>B94&amp;"-"&amp;C94&amp;"-"&amp;D94&amp;"-"&amp;E94&amp;"-"&amp;G94&amp;H94</f>
        <v>Fagus-B1-P3-C4-A3</v>
      </c>
      <c r="L94" s="14" t="s">
        <v>64</v>
      </c>
      <c r="M94" s="14" t="s">
        <v>44</v>
      </c>
      <c r="N94" s="14" t="s">
        <v>65</v>
      </c>
      <c r="O94" s="26" t="str">
        <f>J94&amp;"_"&amp;M94</f>
        <v>Drought_Yes</v>
      </c>
      <c r="P94" s="23" t="str">
        <f>J94&amp;"_"&amp;M94</f>
        <v>Drought_Yes</v>
      </c>
      <c r="Q94" s="23" t="str">
        <f>L94&amp;"_"&amp;M94</f>
        <v>Grey_Yes</v>
      </c>
      <c r="R94" s="18" t="s">
        <v>2072</v>
      </c>
      <c r="S94" s="23"/>
      <c r="T94" s="23"/>
    </row>
    <row r="95" spans="1:20" s="9" customFormat="1" ht="15.75" customHeight="1" x14ac:dyDescent="0.2">
      <c r="A95" s="13">
        <v>94</v>
      </c>
      <c r="B95" s="14" t="s">
        <v>19</v>
      </c>
      <c r="C95" s="14" t="s">
        <v>14</v>
      </c>
      <c r="D95" s="14" t="s">
        <v>98</v>
      </c>
      <c r="E95" s="14" t="s">
        <v>53</v>
      </c>
      <c r="F95" s="14" t="str">
        <f>C95&amp;"-"&amp;D95&amp;"-"&amp;E95</f>
        <v>B1-P3-C4</v>
      </c>
      <c r="G95" s="14" t="s">
        <v>24</v>
      </c>
      <c r="H95" s="14">
        <v>3</v>
      </c>
      <c r="I95" s="14" t="s">
        <v>128</v>
      </c>
      <c r="J95" s="14" t="s">
        <v>20</v>
      </c>
      <c r="K95" s="13" t="str">
        <f>B95&amp;"-"&amp;C95&amp;"-"&amp;D95&amp;"-"&amp;E95&amp;"-"&amp;G95&amp;H95</f>
        <v>Fagus-B1-P3-C4-B3</v>
      </c>
      <c r="L95" s="14" t="s">
        <v>64</v>
      </c>
      <c r="M95" s="14" t="s">
        <v>44</v>
      </c>
      <c r="N95" s="14" t="s">
        <v>65</v>
      </c>
      <c r="O95" s="26" t="str">
        <f>J95&amp;"_"&amp;M95</f>
        <v>Drought_Yes</v>
      </c>
      <c r="P95" s="23" t="str">
        <f>J95&amp;"_"&amp;M95</f>
        <v>Drought_Yes</v>
      </c>
      <c r="Q95" s="23" t="str">
        <f>L95&amp;"_"&amp;M95</f>
        <v>Grey_Yes</v>
      </c>
      <c r="R95" s="18" t="s">
        <v>2072</v>
      </c>
      <c r="S95" s="23"/>
      <c r="T95" s="23"/>
    </row>
    <row r="96" spans="1:20" s="9" customFormat="1" ht="15.75" customHeight="1" x14ac:dyDescent="0.2">
      <c r="A96" s="13">
        <v>95</v>
      </c>
      <c r="B96" s="14" t="s">
        <v>19</v>
      </c>
      <c r="C96" s="14" t="s">
        <v>14</v>
      </c>
      <c r="D96" s="14" t="s">
        <v>98</v>
      </c>
      <c r="E96" s="14" t="s">
        <v>53</v>
      </c>
      <c r="F96" s="14" t="str">
        <f>C96&amp;"-"&amp;D96&amp;"-"&amp;E96</f>
        <v>B1-P3-C4</v>
      </c>
      <c r="G96" s="14" t="s">
        <v>17</v>
      </c>
      <c r="H96" s="14">
        <v>4</v>
      </c>
      <c r="I96" s="14" t="s">
        <v>129</v>
      </c>
      <c r="J96" s="14" t="s">
        <v>20</v>
      </c>
      <c r="K96" s="13" t="str">
        <f>B96&amp;"-"&amp;C96&amp;"-"&amp;D96&amp;"-"&amp;E96&amp;"-"&amp;G96&amp;H96</f>
        <v>Fagus-B1-P3-C4-A4</v>
      </c>
      <c r="L96" s="14" t="s">
        <v>64</v>
      </c>
      <c r="M96" s="14" t="s">
        <v>44</v>
      </c>
      <c r="N96" s="14" t="s">
        <v>65</v>
      </c>
      <c r="O96" s="26" t="str">
        <f>J96&amp;"_"&amp;M96</f>
        <v>Drought_Yes</v>
      </c>
      <c r="P96" s="23" t="str">
        <f>J96&amp;"_"&amp;M96</f>
        <v>Drought_Yes</v>
      </c>
      <c r="Q96" s="23" t="str">
        <f>L96&amp;"_"&amp;M96</f>
        <v>Grey_Yes</v>
      </c>
      <c r="R96" s="18" t="s">
        <v>2072</v>
      </c>
      <c r="S96" s="23"/>
      <c r="T96" s="23"/>
    </row>
    <row r="97" spans="1:20" s="9" customFormat="1" ht="15.75" customHeight="1" x14ac:dyDescent="0.2">
      <c r="A97" s="13">
        <v>96</v>
      </c>
      <c r="B97" s="14" t="s">
        <v>19</v>
      </c>
      <c r="C97" s="14" t="s">
        <v>14</v>
      </c>
      <c r="D97" s="14" t="s">
        <v>98</v>
      </c>
      <c r="E97" s="14" t="s">
        <v>53</v>
      </c>
      <c r="F97" s="14" t="str">
        <f>C97&amp;"-"&amp;D97&amp;"-"&amp;E97</f>
        <v>B1-P3-C4</v>
      </c>
      <c r="G97" s="14" t="s">
        <v>24</v>
      </c>
      <c r="H97" s="14">
        <v>4</v>
      </c>
      <c r="I97" s="14" t="s">
        <v>130</v>
      </c>
      <c r="J97" s="14" t="s">
        <v>20</v>
      </c>
      <c r="K97" s="13" t="str">
        <f>B97&amp;"-"&amp;C97&amp;"-"&amp;D97&amp;"-"&amp;E97&amp;"-"&amp;G97&amp;H97</f>
        <v>Fagus-B1-P3-C4-B4</v>
      </c>
      <c r="L97" s="14" t="s">
        <v>64</v>
      </c>
      <c r="M97" s="14" t="s">
        <v>44</v>
      </c>
      <c r="N97" s="14" t="s">
        <v>65</v>
      </c>
      <c r="O97" s="26" t="str">
        <f>J97&amp;"_"&amp;M97</f>
        <v>Drought_Yes</v>
      </c>
      <c r="P97" s="23" t="str">
        <f>J97&amp;"_"&amp;M97</f>
        <v>Drought_Yes</v>
      </c>
      <c r="Q97" s="23" t="str">
        <f>L97&amp;"_"&amp;M97</f>
        <v>Grey_Yes</v>
      </c>
      <c r="R97" s="18" t="s">
        <v>2072</v>
      </c>
      <c r="S97" s="23"/>
      <c r="T97" s="23"/>
    </row>
    <row r="98" spans="1:20" s="10" customFormat="1" ht="15.75" customHeight="1" x14ac:dyDescent="0.2">
      <c r="A98" s="21">
        <v>97</v>
      </c>
      <c r="B98" s="20" t="s">
        <v>19</v>
      </c>
      <c r="C98" s="20" t="s">
        <v>14</v>
      </c>
      <c r="D98" s="20" t="s">
        <v>131</v>
      </c>
      <c r="E98" s="20" t="s">
        <v>16</v>
      </c>
      <c r="F98" s="18" t="str">
        <f>C98&amp;"-"&amp;D98&amp;"-"&amp;E98</f>
        <v>B1-P4-C1</v>
      </c>
      <c r="G98" s="20" t="s">
        <v>17</v>
      </c>
      <c r="H98" s="20">
        <v>1</v>
      </c>
      <c r="I98" s="20" t="s">
        <v>132</v>
      </c>
      <c r="J98" s="20" t="s">
        <v>133</v>
      </c>
      <c r="K98" s="19" t="str">
        <f>B98&amp;"-"&amp;C98&amp;"-"&amp;D98&amp;"-"&amp;E98&amp;"-"&amp;G98&amp;H98</f>
        <v>Fagus-B1-P4-C1-A1</v>
      </c>
      <c r="L98" s="20" t="s">
        <v>21</v>
      </c>
      <c r="M98" s="20" t="s">
        <v>22</v>
      </c>
      <c r="N98" s="20" t="s">
        <v>134</v>
      </c>
      <c r="O98" s="27" t="str">
        <f>J98&amp;"_"&amp;M98</f>
        <v>Control_No</v>
      </c>
      <c r="P98" s="2" t="str">
        <f>J98&amp;"_"&amp;M98</f>
        <v>Control_No</v>
      </c>
      <c r="Q98" s="2" t="str">
        <f>L98&amp;"_"&amp;M98</f>
        <v>Yellow_No</v>
      </c>
      <c r="R98" s="23" t="s">
        <v>2071</v>
      </c>
      <c r="S98" s="23"/>
      <c r="T98" s="23"/>
    </row>
    <row r="99" spans="1:20" s="10" customFormat="1" ht="15.75" customHeight="1" x14ac:dyDescent="0.2">
      <c r="A99" s="21">
        <v>98</v>
      </c>
      <c r="B99" s="20" t="s">
        <v>35</v>
      </c>
      <c r="C99" s="20" t="s">
        <v>14</v>
      </c>
      <c r="D99" s="20" t="s">
        <v>131</v>
      </c>
      <c r="E99" s="20" t="s">
        <v>16</v>
      </c>
      <c r="F99" s="18" t="str">
        <f>C99&amp;"-"&amp;D99&amp;"-"&amp;E99</f>
        <v>B1-P4-C1</v>
      </c>
      <c r="G99" s="20" t="s">
        <v>24</v>
      </c>
      <c r="H99" s="20">
        <v>1</v>
      </c>
      <c r="I99" s="20" t="s">
        <v>135</v>
      </c>
      <c r="J99" s="20" t="s">
        <v>133</v>
      </c>
      <c r="K99" s="19" t="str">
        <f>B99&amp;"-"&amp;C99&amp;"-"&amp;D99&amp;"-"&amp;E99&amp;"-"&amp;G99&amp;H99</f>
        <v>Quercus-B1-P4-C1-B1</v>
      </c>
      <c r="L99" s="20" t="s">
        <v>21</v>
      </c>
      <c r="M99" s="20" t="s">
        <v>22</v>
      </c>
      <c r="N99" s="20" t="s">
        <v>134</v>
      </c>
      <c r="O99" s="27" t="str">
        <f>J99&amp;"_"&amp;M99</f>
        <v>Control_No</v>
      </c>
      <c r="P99" s="2" t="str">
        <f>J99&amp;"_"&amp;M99</f>
        <v>Control_No</v>
      </c>
      <c r="Q99" s="2" t="str">
        <f>L99&amp;"_"&amp;M99</f>
        <v>Yellow_No</v>
      </c>
      <c r="R99" s="23" t="s">
        <v>2071</v>
      </c>
      <c r="S99" s="23"/>
      <c r="T99" s="23"/>
    </row>
    <row r="100" spans="1:20" s="10" customFormat="1" ht="15.75" customHeight="1" x14ac:dyDescent="0.2">
      <c r="A100" s="21">
        <v>99</v>
      </c>
      <c r="B100" s="20" t="s">
        <v>35</v>
      </c>
      <c r="C100" s="20" t="s">
        <v>14</v>
      </c>
      <c r="D100" s="20" t="s">
        <v>131</v>
      </c>
      <c r="E100" s="20" t="s">
        <v>16</v>
      </c>
      <c r="F100" s="18" t="str">
        <f>C100&amp;"-"&amp;D100&amp;"-"&amp;E100</f>
        <v>B1-P4-C1</v>
      </c>
      <c r="G100" s="20" t="s">
        <v>17</v>
      </c>
      <c r="H100" s="20">
        <v>2</v>
      </c>
      <c r="I100" s="20" t="s">
        <v>136</v>
      </c>
      <c r="J100" s="20" t="s">
        <v>133</v>
      </c>
      <c r="K100" s="19" t="str">
        <f>B100&amp;"-"&amp;C100&amp;"-"&amp;D100&amp;"-"&amp;E100&amp;"-"&amp;G100&amp;H100</f>
        <v>Quercus-B1-P4-C1-A2</v>
      </c>
      <c r="L100" s="20" t="s">
        <v>21</v>
      </c>
      <c r="M100" s="20" t="s">
        <v>22</v>
      </c>
      <c r="N100" s="20" t="s">
        <v>134</v>
      </c>
      <c r="O100" s="27" t="str">
        <f>J100&amp;"_"&amp;M100</f>
        <v>Control_No</v>
      </c>
      <c r="P100" s="2" t="str">
        <f>J100&amp;"_"&amp;M100</f>
        <v>Control_No</v>
      </c>
      <c r="Q100" s="2" t="str">
        <f>L100&amp;"_"&amp;M100</f>
        <v>Yellow_No</v>
      </c>
      <c r="R100" s="23" t="s">
        <v>2071</v>
      </c>
      <c r="S100" s="23"/>
      <c r="T100" s="23"/>
    </row>
    <row r="101" spans="1:20" s="10" customFormat="1" ht="15.75" customHeight="1" x14ac:dyDescent="0.2">
      <c r="A101" s="21">
        <v>100</v>
      </c>
      <c r="B101" s="20" t="s">
        <v>19</v>
      </c>
      <c r="C101" s="20" t="s">
        <v>14</v>
      </c>
      <c r="D101" s="20" t="s">
        <v>131</v>
      </c>
      <c r="E101" s="20" t="s">
        <v>16</v>
      </c>
      <c r="F101" s="18" t="str">
        <f>C101&amp;"-"&amp;D101&amp;"-"&amp;E101</f>
        <v>B1-P4-C1</v>
      </c>
      <c r="G101" s="20" t="s">
        <v>24</v>
      </c>
      <c r="H101" s="20">
        <v>2</v>
      </c>
      <c r="I101" s="20" t="s">
        <v>137</v>
      </c>
      <c r="J101" s="20" t="s">
        <v>133</v>
      </c>
      <c r="K101" s="19" t="str">
        <f>B101&amp;"-"&amp;C101&amp;"-"&amp;D101&amp;"-"&amp;E101&amp;"-"&amp;G101&amp;H101</f>
        <v>Fagus-B1-P4-C1-B2</v>
      </c>
      <c r="L101" s="20" t="s">
        <v>21</v>
      </c>
      <c r="M101" s="20" t="s">
        <v>22</v>
      </c>
      <c r="N101" s="20" t="s">
        <v>134</v>
      </c>
      <c r="O101" s="27" t="str">
        <f>J101&amp;"_"&amp;M101</f>
        <v>Control_No</v>
      </c>
      <c r="P101" s="2" t="str">
        <f>J101&amp;"_"&amp;M101</f>
        <v>Control_No</v>
      </c>
      <c r="Q101" s="2" t="str">
        <f>L101&amp;"_"&amp;M101</f>
        <v>Yellow_No</v>
      </c>
      <c r="R101" s="23" t="s">
        <v>2071</v>
      </c>
      <c r="S101" s="23"/>
      <c r="T101" s="23"/>
    </row>
    <row r="102" spans="1:20" s="10" customFormat="1" ht="15.75" customHeight="1" x14ac:dyDescent="0.2">
      <c r="A102" s="21">
        <v>101</v>
      </c>
      <c r="B102" s="20" t="s">
        <v>19</v>
      </c>
      <c r="C102" s="20" t="s">
        <v>14</v>
      </c>
      <c r="D102" s="20" t="s">
        <v>131</v>
      </c>
      <c r="E102" s="20" t="s">
        <v>16</v>
      </c>
      <c r="F102" s="18" t="str">
        <f>C102&amp;"-"&amp;D102&amp;"-"&amp;E102</f>
        <v>B1-P4-C1</v>
      </c>
      <c r="G102" s="20" t="s">
        <v>17</v>
      </c>
      <c r="H102" s="20">
        <v>3</v>
      </c>
      <c r="I102" s="20" t="s">
        <v>138</v>
      </c>
      <c r="J102" s="20" t="s">
        <v>133</v>
      </c>
      <c r="K102" s="19" t="str">
        <f>B102&amp;"-"&amp;C102&amp;"-"&amp;D102&amp;"-"&amp;E102&amp;"-"&amp;G102&amp;H102</f>
        <v>Fagus-B1-P4-C1-A3</v>
      </c>
      <c r="L102" s="20" t="s">
        <v>21</v>
      </c>
      <c r="M102" s="20" t="s">
        <v>22</v>
      </c>
      <c r="N102" s="20" t="s">
        <v>134</v>
      </c>
      <c r="O102" s="27" t="str">
        <f>J102&amp;"_"&amp;M102</f>
        <v>Control_No</v>
      </c>
      <c r="P102" s="2" t="str">
        <f>J102&amp;"_"&amp;M102</f>
        <v>Control_No</v>
      </c>
      <c r="Q102" s="2" t="str">
        <f>L102&amp;"_"&amp;M102</f>
        <v>Yellow_No</v>
      </c>
      <c r="R102" s="23" t="s">
        <v>2071</v>
      </c>
      <c r="S102" s="2"/>
      <c r="T102" s="2"/>
    </row>
    <row r="103" spans="1:20" s="10" customFormat="1" ht="15.75" customHeight="1" x14ac:dyDescent="0.2">
      <c r="A103" s="21">
        <v>102</v>
      </c>
      <c r="B103" s="20" t="s">
        <v>35</v>
      </c>
      <c r="C103" s="20" t="s">
        <v>14</v>
      </c>
      <c r="D103" s="20" t="s">
        <v>131</v>
      </c>
      <c r="E103" s="20" t="s">
        <v>16</v>
      </c>
      <c r="F103" s="18" t="str">
        <f>C103&amp;"-"&amp;D103&amp;"-"&amp;E103</f>
        <v>B1-P4-C1</v>
      </c>
      <c r="G103" s="20" t="s">
        <v>24</v>
      </c>
      <c r="H103" s="20">
        <v>3</v>
      </c>
      <c r="I103" s="20" t="s">
        <v>139</v>
      </c>
      <c r="J103" s="20" t="s">
        <v>133</v>
      </c>
      <c r="K103" s="19" t="str">
        <f>B103&amp;"-"&amp;C103&amp;"-"&amp;D103&amp;"-"&amp;E103&amp;"-"&amp;G103&amp;H103</f>
        <v>Quercus-B1-P4-C1-B3</v>
      </c>
      <c r="L103" s="20" t="s">
        <v>21</v>
      </c>
      <c r="M103" s="20" t="s">
        <v>22</v>
      </c>
      <c r="N103" s="20" t="s">
        <v>134</v>
      </c>
      <c r="O103" s="27" t="str">
        <f>J103&amp;"_"&amp;M103</f>
        <v>Control_No</v>
      </c>
      <c r="P103" s="2" t="str">
        <f>J103&amp;"_"&amp;M103</f>
        <v>Control_No</v>
      </c>
      <c r="Q103" s="2" t="str">
        <f>L103&amp;"_"&amp;M103</f>
        <v>Yellow_No</v>
      </c>
      <c r="R103" s="23" t="s">
        <v>2071</v>
      </c>
      <c r="S103" s="2"/>
      <c r="T103" s="2"/>
    </row>
    <row r="104" spans="1:20" s="10" customFormat="1" ht="15.75" customHeight="1" x14ac:dyDescent="0.2">
      <c r="A104" s="21">
        <v>103</v>
      </c>
      <c r="B104" s="20" t="s">
        <v>35</v>
      </c>
      <c r="C104" s="20" t="s">
        <v>14</v>
      </c>
      <c r="D104" s="20" t="s">
        <v>131</v>
      </c>
      <c r="E104" s="20" t="s">
        <v>16</v>
      </c>
      <c r="F104" s="18" t="str">
        <f>C104&amp;"-"&amp;D104&amp;"-"&amp;E104</f>
        <v>B1-P4-C1</v>
      </c>
      <c r="G104" s="20" t="s">
        <v>17</v>
      </c>
      <c r="H104" s="20">
        <v>4</v>
      </c>
      <c r="I104" s="20" t="s">
        <v>140</v>
      </c>
      <c r="J104" s="20" t="s">
        <v>133</v>
      </c>
      <c r="K104" s="19" t="str">
        <f>B104&amp;"-"&amp;C104&amp;"-"&amp;D104&amp;"-"&amp;E104&amp;"-"&amp;G104&amp;H104</f>
        <v>Quercus-B1-P4-C1-A4</v>
      </c>
      <c r="L104" s="20" t="s">
        <v>21</v>
      </c>
      <c r="M104" s="20" t="s">
        <v>22</v>
      </c>
      <c r="N104" s="20" t="s">
        <v>134</v>
      </c>
      <c r="O104" s="27" t="str">
        <f>J104&amp;"_"&amp;M104</f>
        <v>Control_No</v>
      </c>
      <c r="P104" s="2" t="str">
        <f>J104&amp;"_"&amp;M104</f>
        <v>Control_No</v>
      </c>
      <c r="Q104" s="2" t="str">
        <f>L104&amp;"_"&amp;M104</f>
        <v>Yellow_No</v>
      </c>
      <c r="R104" s="23" t="s">
        <v>2071</v>
      </c>
      <c r="S104" s="2"/>
      <c r="T104" s="2"/>
    </row>
    <row r="105" spans="1:20" s="10" customFormat="1" ht="15.75" customHeight="1" x14ac:dyDescent="0.2">
      <c r="A105" s="21">
        <v>104</v>
      </c>
      <c r="B105" s="20" t="s">
        <v>19</v>
      </c>
      <c r="C105" s="20" t="s">
        <v>14</v>
      </c>
      <c r="D105" s="20" t="s">
        <v>131</v>
      </c>
      <c r="E105" s="20" t="s">
        <v>16</v>
      </c>
      <c r="F105" s="18" t="str">
        <f>C105&amp;"-"&amp;D105&amp;"-"&amp;E105</f>
        <v>B1-P4-C1</v>
      </c>
      <c r="G105" s="20" t="s">
        <v>24</v>
      </c>
      <c r="H105" s="20">
        <v>4</v>
      </c>
      <c r="I105" s="20" t="s">
        <v>141</v>
      </c>
      <c r="J105" s="20" t="s">
        <v>133</v>
      </c>
      <c r="K105" s="19" t="str">
        <f>B105&amp;"-"&amp;C105&amp;"-"&amp;D105&amp;"-"&amp;E105&amp;"-"&amp;G105&amp;H105</f>
        <v>Fagus-B1-P4-C1-B4</v>
      </c>
      <c r="L105" s="20" t="s">
        <v>21</v>
      </c>
      <c r="M105" s="20" t="s">
        <v>22</v>
      </c>
      <c r="N105" s="20" t="s">
        <v>134</v>
      </c>
      <c r="O105" s="27" t="str">
        <f>J105&amp;"_"&amp;M105</f>
        <v>Control_No</v>
      </c>
      <c r="P105" s="2" t="str">
        <f>J105&amp;"_"&amp;M105</f>
        <v>Control_No</v>
      </c>
      <c r="Q105" s="2" t="str">
        <f>L105&amp;"_"&amp;M105</f>
        <v>Yellow_No</v>
      </c>
      <c r="R105" s="23" t="s">
        <v>2071</v>
      </c>
      <c r="S105" s="2"/>
      <c r="T105" s="2"/>
    </row>
    <row r="106" spans="1:20" ht="15.75" customHeight="1" x14ac:dyDescent="0.2">
      <c r="A106" s="13">
        <v>105</v>
      </c>
      <c r="B106" s="14" t="s">
        <v>19</v>
      </c>
      <c r="C106" s="14" t="s">
        <v>14</v>
      </c>
      <c r="D106" s="14" t="s">
        <v>131</v>
      </c>
      <c r="E106" s="14" t="s">
        <v>32</v>
      </c>
      <c r="F106" s="14" t="str">
        <f>C106&amp;"-"&amp;D106&amp;"-"&amp;E106</f>
        <v>B1-P4-C2</v>
      </c>
      <c r="G106" s="14" t="s">
        <v>17</v>
      </c>
      <c r="H106" s="14">
        <v>1</v>
      </c>
      <c r="I106" s="14" t="s">
        <v>142</v>
      </c>
      <c r="J106" s="14" t="s">
        <v>133</v>
      </c>
      <c r="K106" s="13" t="str">
        <f>B106&amp;"-"&amp;C106&amp;"-"&amp;D106&amp;"-"&amp;E106&amp;"-"&amp;G106&amp;H106</f>
        <v>Fagus-B1-P4-C2-A1</v>
      </c>
      <c r="L106" s="14" t="s">
        <v>21</v>
      </c>
      <c r="M106" s="14" t="s">
        <v>44</v>
      </c>
      <c r="N106" s="14" t="s">
        <v>143</v>
      </c>
      <c r="O106" s="24" t="str">
        <f>J106&amp;"_"&amp;M106</f>
        <v>Control_Yes</v>
      </c>
      <c r="P106" s="1" t="str">
        <f>J106&amp;"_"&amp;M106</f>
        <v>Control_Yes</v>
      </c>
      <c r="Q106" s="1" t="str">
        <f>L106&amp;"_"&amp;M106</f>
        <v>Yellow_Yes</v>
      </c>
      <c r="R106" s="23" t="s">
        <v>2071</v>
      </c>
      <c r="S106" s="2"/>
      <c r="T106" s="2"/>
    </row>
    <row r="107" spans="1:20" ht="15.75" customHeight="1" x14ac:dyDescent="0.2">
      <c r="A107" s="13">
        <v>106</v>
      </c>
      <c r="B107" s="14" t="s">
        <v>19</v>
      </c>
      <c r="C107" s="14" t="s">
        <v>14</v>
      </c>
      <c r="D107" s="14" t="s">
        <v>131</v>
      </c>
      <c r="E107" s="14" t="s">
        <v>32</v>
      </c>
      <c r="F107" s="14" t="str">
        <f>C107&amp;"-"&amp;D107&amp;"-"&amp;E107</f>
        <v>B1-P4-C2</v>
      </c>
      <c r="G107" s="14" t="s">
        <v>24</v>
      </c>
      <c r="H107" s="14">
        <v>1</v>
      </c>
      <c r="I107" s="14" t="s">
        <v>144</v>
      </c>
      <c r="J107" s="14" t="s">
        <v>133</v>
      </c>
      <c r="K107" s="13" t="str">
        <f>B107&amp;"-"&amp;C107&amp;"-"&amp;D107&amp;"-"&amp;E107&amp;"-"&amp;G107&amp;H107</f>
        <v>Fagus-B1-P4-C2-B1</v>
      </c>
      <c r="L107" s="14" t="s">
        <v>21</v>
      </c>
      <c r="M107" s="14" t="s">
        <v>44</v>
      </c>
      <c r="N107" s="14" t="s">
        <v>143</v>
      </c>
      <c r="O107" s="24" t="str">
        <f>J107&amp;"_"&amp;M107</f>
        <v>Control_Yes</v>
      </c>
      <c r="P107" s="1" t="str">
        <f>J107&amp;"_"&amp;M107</f>
        <v>Control_Yes</v>
      </c>
      <c r="Q107" s="1" t="str">
        <f>L107&amp;"_"&amp;M107</f>
        <v>Yellow_Yes</v>
      </c>
      <c r="R107" s="23" t="s">
        <v>2071</v>
      </c>
      <c r="S107" s="2"/>
      <c r="T107" s="2"/>
    </row>
    <row r="108" spans="1:20" ht="15.75" customHeight="1" x14ac:dyDescent="0.2">
      <c r="A108" s="13">
        <v>107</v>
      </c>
      <c r="B108" s="14" t="s">
        <v>19</v>
      </c>
      <c r="C108" s="14" t="s">
        <v>14</v>
      </c>
      <c r="D108" s="14" t="s">
        <v>131</v>
      </c>
      <c r="E108" s="14" t="s">
        <v>32</v>
      </c>
      <c r="F108" s="14" t="str">
        <f>C108&amp;"-"&amp;D108&amp;"-"&amp;E108</f>
        <v>B1-P4-C2</v>
      </c>
      <c r="G108" s="14" t="s">
        <v>17</v>
      </c>
      <c r="H108" s="14">
        <v>2</v>
      </c>
      <c r="I108" s="14" t="s">
        <v>145</v>
      </c>
      <c r="J108" s="14" t="s">
        <v>133</v>
      </c>
      <c r="K108" s="13" t="str">
        <f>B108&amp;"-"&amp;C108&amp;"-"&amp;D108&amp;"-"&amp;E108&amp;"-"&amp;G108&amp;H108</f>
        <v>Fagus-B1-P4-C2-A2</v>
      </c>
      <c r="L108" s="14" t="s">
        <v>21</v>
      </c>
      <c r="M108" s="14" t="s">
        <v>44</v>
      </c>
      <c r="N108" s="14" t="s">
        <v>143</v>
      </c>
      <c r="O108" s="24" t="str">
        <f>J108&amp;"_"&amp;M108</f>
        <v>Control_Yes</v>
      </c>
      <c r="P108" s="1" t="str">
        <f>J108&amp;"_"&amp;M108</f>
        <v>Control_Yes</v>
      </c>
      <c r="Q108" s="1" t="str">
        <f>L108&amp;"_"&amp;M108</f>
        <v>Yellow_Yes</v>
      </c>
      <c r="R108" s="23" t="s">
        <v>2071</v>
      </c>
      <c r="S108" s="2"/>
      <c r="T108" s="2"/>
    </row>
    <row r="109" spans="1:20" ht="15.75" customHeight="1" x14ac:dyDescent="0.2">
      <c r="A109" s="13">
        <v>108</v>
      </c>
      <c r="B109" s="14" t="s">
        <v>19</v>
      </c>
      <c r="C109" s="14" t="s">
        <v>14</v>
      </c>
      <c r="D109" s="14" t="s">
        <v>131</v>
      </c>
      <c r="E109" s="14" t="s">
        <v>32</v>
      </c>
      <c r="F109" s="14" t="str">
        <f>C109&amp;"-"&amp;D109&amp;"-"&amp;E109</f>
        <v>B1-P4-C2</v>
      </c>
      <c r="G109" s="14" t="s">
        <v>24</v>
      </c>
      <c r="H109" s="14">
        <v>2</v>
      </c>
      <c r="I109" s="14" t="s">
        <v>146</v>
      </c>
      <c r="J109" s="14" t="s">
        <v>133</v>
      </c>
      <c r="K109" s="13" t="str">
        <f>B109&amp;"-"&amp;C109&amp;"-"&amp;D109&amp;"-"&amp;E109&amp;"-"&amp;G109&amp;H109</f>
        <v>Fagus-B1-P4-C2-B2</v>
      </c>
      <c r="L109" s="14" t="s">
        <v>21</v>
      </c>
      <c r="M109" s="14" t="s">
        <v>44</v>
      </c>
      <c r="N109" s="14" t="s">
        <v>143</v>
      </c>
      <c r="O109" s="24" t="str">
        <f>J109&amp;"_"&amp;M109</f>
        <v>Control_Yes</v>
      </c>
      <c r="P109" s="1" t="str">
        <f>J109&amp;"_"&amp;M109</f>
        <v>Control_Yes</v>
      </c>
      <c r="Q109" s="1" t="str">
        <f>L109&amp;"_"&amp;M109</f>
        <v>Yellow_Yes</v>
      </c>
      <c r="R109" s="23" t="s">
        <v>2071</v>
      </c>
      <c r="S109" s="2"/>
      <c r="T109" s="2"/>
    </row>
    <row r="110" spans="1:20" ht="15.75" customHeight="1" x14ac:dyDescent="0.2">
      <c r="A110" s="13">
        <v>109</v>
      </c>
      <c r="B110" s="14" t="s">
        <v>19</v>
      </c>
      <c r="C110" s="14" t="s">
        <v>14</v>
      </c>
      <c r="D110" s="14" t="s">
        <v>131</v>
      </c>
      <c r="E110" s="14" t="s">
        <v>32</v>
      </c>
      <c r="F110" s="14" t="str">
        <f>C110&amp;"-"&amp;D110&amp;"-"&amp;E110</f>
        <v>B1-P4-C2</v>
      </c>
      <c r="G110" s="14" t="s">
        <v>17</v>
      </c>
      <c r="H110" s="14">
        <v>3</v>
      </c>
      <c r="I110" s="14" t="s">
        <v>147</v>
      </c>
      <c r="J110" s="14" t="s">
        <v>133</v>
      </c>
      <c r="K110" s="13" t="str">
        <f>B110&amp;"-"&amp;C110&amp;"-"&amp;D110&amp;"-"&amp;E110&amp;"-"&amp;G110&amp;H110</f>
        <v>Fagus-B1-P4-C2-A3</v>
      </c>
      <c r="L110" s="14" t="s">
        <v>21</v>
      </c>
      <c r="M110" s="14" t="s">
        <v>44</v>
      </c>
      <c r="N110" s="14" t="s">
        <v>143</v>
      </c>
      <c r="O110" s="24" t="str">
        <f>J110&amp;"_"&amp;M110</f>
        <v>Control_Yes</v>
      </c>
      <c r="P110" s="1" t="str">
        <f>J110&amp;"_"&amp;M110</f>
        <v>Control_Yes</v>
      </c>
      <c r="Q110" s="1" t="str">
        <f>L110&amp;"_"&amp;M110</f>
        <v>Yellow_Yes</v>
      </c>
      <c r="R110" s="23" t="s">
        <v>2071</v>
      </c>
      <c r="S110" s="23"/>
      <c r="T110" s="23"/>
    </row>
    <row r="111" spans="1:20" ht="15.75" customHeight="1" x14ac:dyDescent="0.2">
      <c r="A111" s="13">
        <v>110</v>
      </c>
      <c r="B111" s="14" t="s">
        <v>19</v>
      </c>
      <c r="C111" s="14" t="s">
        <v>14</v>
      </c>
      <c r="D111" s="14" t="s">
        <v>131</v>
      </c>
      <c r="E111" s="14" t="s">
        <v>32</v>
      </c>
      <c r="F111" s="14" t="str">
        <f>C111&amp;"-"&amp;D111&amp;"-"&amp;E111</f>
        <v>B1-P4-C2</v>
      </c>
      <c r="G111" s="14" t="s">
        <v>24</v>
      </c>
      <c r="H111" s="14">
        <v>3</v>
      </c>
      <c r="I111" s="14" t="s">
        <v>148</v>
      </c>
      <c r="J111" s="14" t="s">
        <v>133</v>
      </c>
      <c r="K111" s="13" t="str">
        <f>B111&amp;"-"&amp;C111&amp;"-"&amp;D111&amp;"-"&amp;E111&amp;"-"&amp;G111&amp;H111</f>
        <v>Fagus-B1-P4-C2-B3</v>
      </c>
      <c r="L111" s="14" t="s">
        <v>21</v>
      </c>
      <c r="M111" s="14" t="s">
        <v>44</v>
      </c>
      <c r="N111" s="14" t="s">
        <v>143</v>
      </c>
      <c r="O111" s="24" t="str">
        <f>J111&amp;"_"&amp;M111</f>
        <v>Control_Yes</v>
      </c>
      <c r="P111" s="1" t="str">
        <f>J111&amp;"_"&amp;M111</f>
        <v>Control_Yes</v>
      </c>
      <c r="Q111" s="1" t="str">
        <f>L111&amp;"_"&amp;M111</f>
        <v>Yellow_Yes</v>
      </c>
      <c r="R111" s="23" t="s">
        <v>2071</v>
      </c>
      <c r="S111" s="23"/>
      <c r="T111" s="23"/>
    </row>
    <row r="112" spans="1:20" ht="15.75" customHeight="1" x14ac:dyDescent="0.2">
      <c r="A112" s="13">
        <v>111</v>
      </c>
      <c r="B112" s="14" t="s">
        <v>19</v>
      </c>
      <c r="C112" s="14" t="s">
        <v>14</v>
      </c>
      <c r="D112" s="14" t="s">
        <v>131</v>
      </c>
      <c r="E112" s="14" t="s">
        <v>32</v>
      </c>
      <c r="F112" s="14" t="str">
        <f>C112&amp;"-"&amp;D112&amp;"-"&amp;E112</f>
        <v>B1-P4-C2</v>
      </c>
      <c r="G112" s="14" t="s">
        <v>17</v>
      </c>
      <c r="H112" s="14">
        <v>4</v>
      </c>
      <c r="I112" s="14" t="s">
        <v>149</v>
      </c>
      <c r="J112" s="14" t="s">
        <v>133</v>
      </c>
      <c r="K112" s="13" t="str">
        <f>B112&amp;"-"&amp;C112&amp;"-"&amp;D112&amp;"-"&amp;E112&amp;"-"&amp;G112&amp;H112</f>
        <v>Fagus-B1-P4-C2-A4</v>
      </c>
      <c r="L112" s="14" t="s">
        <v>21</v>
      </c>
      <c r="M112" s="14" t="s">
        <v>44</v>
      </c>
      <c r="N112" s="14" t="s">
        <v>143</v>
      </c>
      <c r="O112" s="24" t="str">
        <f>J112&amp;"_"&amp;M112</f>
        <v>Control_Yes</v>
      </c>
      <c r="P112" s="1" t="str">
        <f>J112&amp;"_"&amp;M112</f>
        <v>Control_Yes</v>
      </c>
      <c r="Q112" s="1" t="str">
        <f>L112&amp;"_"&amp;M112</f>
        <v>Yellow_Yes</v>
      </c>
      <c r="R112" s="23" t="s">
        <v>2071</v>
      </c>
      <c r="S112" s="23"/>
      <c r="T112" s="23"/>
    </row>
    <row r="113" spans="1:20" ht="15.75" customHeight="1" x14ac:dyDescent="0.2">
      <c r="A113" s="13">
        <v>112</v>
      </c>
      <c r="B113" s="14" t="s">
        <v>19</v>
      </c>
      <c r="C113" s="14" t="s">
        <v>14</v>
      </c>
      <c r="D113" s="14" t="s">
        <v>131</v>
      </c>
      <c r="E113" s="14" t="s">
        <v>32</v>
      </c>
      <c r="F113" s="14" t="str">
        <f>C113&amp;"-"&amp;D113&amp;"-"&amp;E113</f>
        <v>B1-P4-C2</v>
      </c>
      <c r="G113" s="14" t="s">
        <v>24</v>
      </c>
      <c r="H113" s="14">
        <v>4</v>
      </c>
      <c r="I113" s="14" t="s">
        <v>150</v>
      </c>
      <c r="J113" s="14" t="s">
        <v>133</v>
      </c>
      <c r="K113" s="13" t="str">
        <f>B113&amp;"-"&amp;C113&amp;"-"&amp;D113&amp;"-"&amp;E113&amp;"-"&amp;G113&amp;H113</f>
        <v>Fagus-B1-P4-C2-B4</v>
      </c>
      <c r="L113" s="14" t="s">
        <v>21</v>
      </c>
      <c r="M113" s="14" t="s">
        <v>44</v>
      </c>
      <c r="N113" s="14" t="s">
        <v>143</v>
      </c>
      <c r="O113" s="24" t="str">
        <f>J113&amp;"_"&amp;M113</f>
        <v>Control_Yes</v>
      </c>
      <c r="P113" s="1" t="str">
        <f>J113&amp;"_"&amp;M113</f>
        <v>Control_Yes</v>
      </c>
      <c r="Q113" s="1" t="str">
        <f>L113&amp;"_"&amp;M113</f>
        <v>Yellow_Yes</v>
      </c>
      <c r="R113" s="23" t="s">
        <v>2071</v>
      </c>
      <c r="S113" s="23"/>
      <c r="T113" s="23"/>
    </row>
    <row r="114" spans="1:20" s="10" customFormat="1" ht="15.75" customHeight="1" x14ac:dyDescent="0.2">
      <c r="A114" s="21">
        <v>113</v>
      </c>
      <c r="B114" s="20" t="s">
        <v>35</v>
      </c>
      <c r="C114" s="20" t="s">
        <v>14</v>
      </c>
      <c r="D114" s="20" t="s">
        <v>131</v>
      </c>
      <c r="E114" s="20" t="s">
        <v>42</v>
      </c>
      <c r="F114" s="18" t="str">
        <f>C114&amp;"-"&amp;D114&amp;"-"&amp;E114</f>
        <v>B1-P4-C3</v>
      </c>
      <c r="G114" s="20" t="s">
        <v>17</v>
      </c>
      <c r="H114" s="20">
        <v>1</v>
      </c>
      <c r="I114" s="20" t="s">
        <v>151</v>
      </c>
      <c r="J114" s="20" t="s">
        <v>133</v>
      </c>
      <c r="K114" s="19" t="str">
        <f>B114&amp;"-"&amp;C114&amp;"-"&amp;D114&amp;"-"&amp;E114&amp;"-"&amp;G114&amp;H114</f>
        <v>Quercus-B1-P4-C3-A1</v>
      </c>
      <c r="L114" s="20" t="s">
        <v>21</v>
      </c>
      <c r="M114" s="20" t="s">
        <v>44</v>
      </c>
      <c r="N114" s="20" t="s">
        <v>143</v>
      </c>
      <c r="O114" s="27" t="str">
        <f>J114&amp;"_"&amp;M114</f>
        <v>Control_Yes</v>
      </c>
      <c r="P114" s="2" t="str">
        <f>J114&amp;"_"&amp;M114</f>
        <v>Control_Yes</v>
      </c>
      <c r="Q114" s="2" t="str">
        <f>L114&amp;"_"&amp;M114</f>
        <v>Yellow_Yes</v>
      </c>
      <c r="R114" s="23" t="s">
        <v>2071</v>
      </c>
      <c r="S114" s="23"/>
      <c r="T114" s="23"/>
    </row>
    <row r="115" spans="1:20" s="10" customFormat="1" ht="15.75" customHeight="1" x14ac:dyDescent="0.2">
      <c r="A115" s="21">
        <v>114</v>
      </c>
      <c r="B115" s="20" t="s">
        <v>35</v>
      </c>
      <c r="C115" s="20" t="s">
        <v>14</v>
      </c>
      <c r="D115" s="20" t="s">
        <v>131</v>
      </c>
      <c r="E115" s="20" t="s">
        <v>42</v>
      </c>
      <c r="F115" s="18" t="str">
        <f>C115&amp;"-"&amp;D115&amp;"-"&amp;E115</f>
        <v>B1-P4-C3</v>
      </c>
      <c r="G115" s="20" t="s">
        <v>24</v>
      </c>
      <c r="H115" s="20">
        <v>1</v>
      </c>
      <c r="I115" s="20" t="s">
        <v>152</v>
      </c>
      <c r="J115" s="20" t="s">
        <v>133</v>
      </c>
      <c r="K115" s="19" t="str">
        <f>B115&amp;"-"&amp;C115&amp;"-"&amp;D115&amp;"-"&amp;E115&amp;"-"&amp;G115&amp;H115</f>
        <v>Quercus-B1-P4-C3-B1</v>
      </c>
      <c r="L115" s="20" t="s">
        <v>21</v>
      </c>
      <c r="M115" s="20" t="s">
        <v>44</v>
      </c>
      <c r="N115" s="20" t="s">
        <v>143</v>
      </c>
      <c r="O115" s="27" t="str">
        <f>J115&amp;"_"&amp;M115</f>
        <v>Control_Yes</v>
      </c>
      <c r="P115" s="2" t="str">
        <f>J115&amp;"_"&amp;M115</f>
        <v>Control_Yes</v>
      </c>
      <c r="Q115" s="2" t="str">
        <f>L115&amp;"_"&amp;M115</f>
        <v>Yellow_Yes</v>
      </c>
      <c r="R115" s="23" t="s">
        <v>2071</v>
      </c>
      <c r="S115" s="23"/>
      <c r="T115" s="23"/>
    </row>
    <row r="116" spans="1:20" s="10" customFormat="1" ht="15.75" customHeight="1" x14ac:dyDescent="0.2">
      <c r="A116" s="21">
        <v>115</v>
      </c>
      <c r="B116" s="20" t="s">
        <v>35</v>
      </c>
      <c r="C116" s="20" t="s">
        <v>14</v>
      </c>
      <c r="D116" s="20" t="s">
        <v>131</v>
      </c>
      <c r="E116" s="20" t="s">
        <v>42</v>
      </c>
      <c r="F116" s="18" t="str">
        <f>C116&amp;"-"&amp;D116&amp;"-"&amp;E116</f>
        <v>B1-P4-C3</v>
      </c>
      <c r="G116" s="20" t="s">
        <v>17</v>
      </c>
      <c r="H116" s="20">
        <v>2</v>
      </c>
      <c r="I116" s="20" t="s">
        <v>153</v>
      </c>
      <c r="J116" s="20" t="s">
        <v>133</v>
      </c>
      <c r="K116" s="19" t="str">
        <f>B116&amp;"-"&amp;C116&amp;"-"&amp;D116&amp;"-"&amp;E116&amp;"-"&amp;G116&amp;H116</f>
        <v>Quercus-B1-P4-C3-A2</v>
      </c>
      <c r="L116" s="20" t="s">
        <v>21</v>
      </c>
      <c r="M116" s="20" t="s">
        <v>44</v>
      </c>
      <c r="N116" s="20" t="s">
        <v>143</v>
      </c>
      <c r="O116" s="27" t="str">
        <f>J116&amp;"_"&amp;M116</f>
        <v>Control_Yes</v>
      </c>
      <c r="P116" s="2" t="str">
        <f>J116&amp;"_"&amp;M116</f>
        <v>Control_Yes</v>
      </c>
      <c r="Q116" s="2" t="str">
        <f>L116&amp;"_"&amp;M116</f>
        <v>Yellow_Yes</v>
      </c>
      <c r="R116" s="23" t="s">
        <v>2071</v>
      </c>
      <c r="S116" s="23"/>
      <c r="T116" s="23"/>
    </row>
    <row r="117" spans="1:20" s="10" customFormat="1" ht="15.75" customHeight="1" x14ac:dyDescent="0.2">
      <c r="A117" s="21">
        <v>116</v>
      </c>
      <c r="B117" s="20" t="s">
        <v>35</v>
      </c>
      <c r="C117" s="20" t="s">
        <v>14</v>
      </c>
      <c r="D117" s="20" t="s">
        <v>131</v>
      </c>
      <c r="E117" s="20" t="s">
        <v>42</v>
      </c>
      <c r="F117" s="18" t="str">
        <f>C117&amp;"-"&amp;D117&amp;"-"&amp;E117</f>
        <v>B1-P4-C3</v>
      </c>
      <c r="G117" s="20" t="s">
        <v>24</v>
      </c>
      <c r="H117" s="20">
        <v>2</v>
      </c>
      <c r="I117" s="20" t="s">
        <v>154</v>
      </c>
      <c r="J117" s="20" t="s">
        <v>133</v>
      </c>
      <c r="K117" s="19" t="str">
        <f>B117&amp;"-"&amp;C117&amp;"-"&amp;D117&amp;"-"&amp;E117&amp;"-"&amp;G117&amp;H117</f>
        <v>Quercus-B1-P4-C3-B2</v>
      </c>
      <c r="L117" s="20" t="s">
        <v>21</v>
      </c>
      <c r="M117" s="20" t="s">
        <v>44</v>
      </c>
      <c r="N117" s="20" t="s">
        <v>143</v>
      </c>
      <c r="O117" s="27" t="str">
        <f>J117&amp;"_"&amp;M117</f>
        <v>Control_Yes</v>
      </c>
      <c r="P117" s="2" t="str">
        <f>J117&amp;"_"&amp;M117</f>
        <v>Control_Yes</v>
      </c>
      <c r="Q117" s="2" t="str">
        <f>L117&amp;"_"&amp;M117</f>
        <v>Yellow_Yes</v>
      </c>
      <c r="R117" s="23" t="s">
        <v>2071</v>
      </c>
      <c r="S117" s="23"/>
      <c r="T117" s="23"/>
    </row>
    <row r="118" spans="1:20" s="10" customFormat="1" ht="15.75" customHeight="1" x14ac:dyDescent="0.2">
      <c r="A118" s="21">
        <v>117</v>
      </c>
      <c r="B118" s="20" t="s">
        <v>35</v>
      </c>
      <c r="C118" s="20" t="s">
        <v>14</v>
      </c>
      <c r="D118" s="20" t="s">
        <v>131</v>
      </c>
      <c r="E118" s="20" t="s">
        <v>42</v>
      </c>
      <c r="F118" s="18" t="str">
        <f>C118&amp;"-"&amp;D118&amp;"-"&amp;E118</f>
        <v>B1-P4-C3</v>
      </c>
      <c r="G118" s="20" t="s">
        <v>17</v>
      </c>
      <c r="H118" s="20">
        <v>3</v>
      </c>
      <c r="I118" s="20" t="s">
        <v>155</v>
      </c>
      <c r="J118" s="20" t="s">
        <v>133</v>
      </c>
      <c r="K118" s="19" t="str">
        <f>B118&amp;"-"&amp;C118&amp;"-"&amp;D118&amp;"-"&amp;E118&amp;"-"&amp;G118&amp;H118</f>
        <v>Quercus-B1-P4-C3-A3</v>
      </c>
      <c r="L118" s="20" t="s">
        <v>21</v>
      </c>
      <c r="M118" s="20" t="s">
        <v>44</v>
      </c>
      <c r="N118" s="20" t="s">
        <v>143</v>
      </c>
      <c r="O118" s="27" t="str">
        <f>J118&amp;"_"&amp;M118</f>
        <v>Control_Yes</v>
      </c>
      <c r="P118" s="2" t="str">
        <f>J118&amp;"_"&amp;M118</f>
        <v>Control_Yes</v>
      </c>
      <c r="Q118" s="2" t="str">
        <f>L118&amp;"_"&amp;M118</f>
        <v>Yellow_Yes</v>
      </c>
      <c r="R118" s="23" t="s">
        <v>2071</v>
      </c>
      <c r="S118" s="2"/>
      <c r="T118" s="2"/>
    </row>
    <row r="119" spans="1:20" s="10" customFormat="1" ht="15.75" customHeight="1" x14ac:dyDescent="0.2">
      <c r="A119" s="21">
        <v>118</v>
      </c>
      <c r="B119" s="20" t="s">
        <v>35</v>
      </c>
      <c r="C119" s="20" t="s">
        <v>14</v>
      </c>
      <c r="D119" s="20" t="s">
        <v>131</v>
      </c>
      <c r="E119" s="20" t="s">
        <v>42</v>
      </c>
      <c r="F119" s="18" t="str">
        <f>C119&amp;"-"&amp;D119&amp;"-"&amp;E119</f>
        <v>B1-P4-C3</v>
      </c>
      <c r="G119" s="20" t="s">
        <v>24</v>
      </c>
      <c r="H119" s="20">
        <v>3</v>
      </c>
      <c r="I119" s="20" t="s">
        <v>156</v>
      </c>
      <c r="J119" s="20" t="s">
        <v>133</v>
      </c>
      <c r="K119" s="19" t="str">
        <f>B119&amp;"-"&amp;C119&amp;"-"&amp;D119&amp;"-"&amp;E119&amp;"-"&amp;G119&amp;H119</f>
        <v>Quercus-B1-P4-C3-B3</v>
      </c>
      <c r="L119" s="20" t="s">
        <v>21</v>
      </c>
      <c r="M119" s="20" t="s">
        <v>44</v>
      </c>
      <c r="N119" s="20" t="s">
        <v>143</v>
      </c>
      <c r="O119" s="27" t="str">
        <f>J119&amp;"_"&amp;M119</f>
        <v>Control_Yes</v>
      </c>
      <c r="P119" s="2" t="str">
        <f>J119&amp;"_"&amp;M119</f>
        <v>Control_Yes</v>
      </c>
      <c r="Q119" s="2" t="str">
        <f>L119&amp;"_"&amp;M119</f>
        <v>Yellow_Yes</v>
      </c>
      <c r="R119" s="23" t="s">
        <v>2071</v>
      </c>
      <c r="S119" s="2"/>
      <c r="T119" s="2"/>
    </row>
    <row r="120" spans="1:20" s="10" customFormat="1" ht="15.75" customHeight="1" x14ac:dyDescent="0.2">
      <c r="A120" s="21">
        <v>119</v>
      </c>
      <c r="B120" s="20" t="s">
        <v>35</v>
      </c>
      <c r="C120" s="20" t="s">
        <v>14</v>
      </c>
      <c r="D120" s="20" t="s">
        <v>131</v>
      </c>
      <c r="E120" s="20" t="s">
        <v>42</v>
      </c>
      <c r="F120" s="18" t="str">
        <f>C120&amp;"-"&amp;D120&amp;"-"&amp;E120</f>
        <v>B1-P4-C3</v>
      </c>
      <c r="G120" s="20" t="s">
        <v>17</v>
      </c>
      <c r="H120" s="20">
        <v>4</v>
      </c>
      <c r="I120" s="20" t="s">
        <v>157</v>
      </c>
      <c r="J120" s="20" t="s">
        <v>133</v>
      </c>
      <c r="K120" s="19" t="str">
        <f>B120&amp;"-"&amp;C120&amp;"-"&amp;D120&amp;"-"&amp;E120&amp;"-"&amp;G120&amp;H120</f>
        <v>Quercus-B1-P4-C3-A4</v>
      </c>
      <c r="L120" s="20" t="s">
        <v>21</v>
      </c>
      <c r="M120" s="20" t="s">
        <v>44</v>
      </c>
      <c r="N120" s="20" t="s">
        <v>143</v>
      </c>
      <c r="O120" s="27" t="str">
        <f>J120&amp;"_"&amp;M120</f>
        <v>Control_Yes</v>
      </c>
      <c r="P120" s="2" t="str">
        <f>J120&amp;"_"&amp;M120</f>
        <v>Control_Yes</v>
      </c>
      <c r="Q120" s="2" t="str">
        <f>L120&amp;"_"&amp;M120</f>
        <v>Yellow_Yes</v>
      </c>
      <c r="R120" s="23" t="s">
        <v>2071</v>
      </c>
      <c r="S120" s="2"/>
      <c r="T120" s="2"/>
    </row>
    <row r="121" spans="1:20" s="10" customFormat="1" ht="15.75" customHeight="1" x14ac:dyDescent="0.2">
      <c r="A121" s="21">
        <v>120</v>
      </c>
      <c r="B121" s="20" t="s">
        <v>35</v>
      </c>
      <c r="C121" s="20" t="s">
        <v>14</v>
      </c>
      <c r="D121" s="20" t="s">
        <v>131</v>
      </c>
      <c r="E121" s="20" t="s">
        <v>42</v>
      </c>
      <c r="F121" s="18" t="str">
        <f>C121&amp;"-"&amp;D121&amp;"-"&amp;E121</f>
        <v>B1-P4-C3</v>
      </c>
      <c r="G121" s="20" t="s">
        <v>24</v>
      </c>
      <c r="H121" s="20">
        <v>4</v>
      </c>
      <c r="I121" s="20" t="s">
        <v>158</v>
      </c>
      <c r="J121" s="20" t="s">
        <v>133</v>
      </c>
      <c r="K121" s="19" t="str">
        <f>B121&amp;"-"&amp;C121&amp;"-"&amp;D121&amp;"-"&amp;E121&amp;"-"&amp;G121&amp;H121</f>
        <v>Quercus-B1-P4-C3-B4</v>
      </c>
      <c r="L121" s="20" t="s">
        <v>21</v>
      </c>
      <c r="M121" s="20" t="s">
        <v>44</v>
      </c>
      <c r="N121" s="20" t="s">
        <v>143</v>
      </c>
      <c r="O121" s="27" t="str">
        <f>J121&amp;"_"&amp;M121</f>
        <v>Control_Yes</v>
      </c>
      <c r="P121" s="2" t="str">
        <f>J121&amp;"_"&amp;M121</f>
        <v>Control_Yes</v>
      </c>
      <c r="Q121" s="2" t="str">
        <f>L121&amp;"_"&amp;M121</f>
        <v>Yellow_Yes</v>
      </c>
      <c r="R121" s="23" t="s">
        <v>2071</v>
      </c>
      <c r="S121" s="2"/>
      <c r="T121" s="2"/>
    </row>
    <row r="122" spans="1:20" ht="15.75" customHeight="1" x14ac:dyDescent="0.2">
      <c r="A122" s="13">
        <v>121</v>
      </c>
      <c r="B122" s="14" t="s">
        <v>19</v>
      </c>
      <c r="C122" s="14" t="s">
        <v>14</v>
      </c>
      <c r="D122" s="14" t="s">
        <v>131</v>
      </c>
      <c r="E122" s="14" t="s">
        <v>53</v>
      </c>
      <c r="F122" s="14" t="str">
        <f>C122&amp;"-"&amp;D122&amp;"-"&amp;E122</f>
        <v>B1-P4-C4</v>
      </c>
      <c r="G122" s="14" t="s">
        <v>17</v>
      </c>
      <c r="H122" s="14">
        <v>1</v>
      </c>
      <c r="I122" s="14" t="s">
        <v>159</v>
      </c>
      <c r="J122" s="14" t="s">
        <v>133</v>
      </c>
      <c r="K122" s="13" t="str">
        <f>B122&amp;"-"&amp;C122&amp;"-"&amp;D122&amp;"-"&amp;E122&amp;"-"&amp;G122&amp;H122</f>
        <v>Fagus-B1-P4-C4-A1</v>
      </c>
      <c r="L122" s="14" t="s">
        <v>21</v>
      </c>
      <c r="M122" s="14" t="s">
        <v>44</v>
      </c>
      <c r="N122" s="14" t="s">
        <v>143</v>
      </c>
      <c r="O122" s="24" t="str">
        <f>J122&amp;"_"&amp;M122</f>
        <v>Control_Yes</v>
      </c>
      <c r="P122" s="1" t="str">
        <f>J122&amp;"_"&amp;M122</f>
        <v>Control_Yes</v>
      </c>
      <c r="Q122" s="1" t="str">
        <f>L122&amp;"_"&amp;M122</f>
        <v>Yellow_Yes</v>
      </c>
      <c r="R122" s="23" t="s">
        <v>2071</v>
      </c>
      <c r="S122" s="2"/>
      <c r="T122" s="2"/>
    </row>
    <row r="123" spans="1:20" ht="15.75" customHeight="1" x14ac:dyDescent="0.2">
      <c r="A123" s="13">
        <v>122</v>
      </c>
      <c r="B123" s="14" t="s">
        <v>35</v>
      </c>
      <c r="C123" s="14" t="s">
        <v>14</v>
      </c>
      <c r="D123" s="14" t="s">
        <v>131</v>
      </c>
      <c r="E123" s="14" t="s">
        <v>53</v>
      </c>
      <c r="F123" s="14" t="str">
        <f>C123&amp;"-"&amp;D123&amp;"-"&amp;E123</f>
        <v>B1-P4-C4</v>
      </c>
      <c r="G123" s="14" t="s">
        <v>24</v>
      </c>
      <c r="H123" s="14">
        <v>1</v>
      </c>
      <c r="I123" s="14" t="s">
        <v>160</v>
      </c>
      <c r="J123" s="14" t="s">
        <v>133</v>
      </c>
      <c r="K123" s="13" t="str">
        <f>B123&amp;"-"&amp;C123&amp;"-"&amp;D123&amp;"-"&amp;E123&amp;"-"&amp;G123&amp;H123</f>
        <v>Quercus-B1-P4-C4-B1</v>
      </c>
      <c r="L123" s="14" t="s">
        <v>21</v>
      </c>
      <c r="M123" s="14" t="s">
        <v>44</v>
      </c>
      <c r="N123" s="14" t="s">
        <v>143</v>
      </c>
      <c r="O123" s="24" t="str">
        <f>J123&amp;"_"&amp;M123</f>
        <v>Control_Yes</v>
      </c>
      <c r="P123" s="1" t="str">
        <f>J123&amp;"_"&amp;M123</f>
        <v>Control_Yes</v>
      </c>
      <c r="Q123" s="1" t="str">
        <f>L123&amp;"_"&amp;M123</f>
        <v>Yellow_Yes</v>
      </c>
      <c r="R123" s="23" t="s">
        <v>2071</v>
      </c>
      <c r="S123" s="2"/>
      <c r="T123" s="2"/>
    </row>
    <row r="124" spans="1:20" ht="15.75" customHeight="1" x14ac:dyDescent="0.2">
      <c r="A124" s="13">
        <v>123</v>
      </c>
      <c r="B124" s="14" t="s">
        <v>35</v>
      </c>
      <c r="C124" s="14" t="s">
        <v>14</v>
      </c>
      <c r="D124" s="14" t="s">
        <v>131</v>
      </c>
      <c r="E124" s="14" t="s">
        <v>53</v>
      </c>
      <c r="F124" s="14" t="str">
        <f>C124&amp;"-"&amp;D124&amp;"-"&amp;E124</f>
        <v>B1-P4-C4</v>
      </c>
      <c r="G124" s="14" t="s">
        <v>17</v>
      </c>
      <c r="H124" s="14">
        <v>2</v>
      </c>
      <c r="I124" s="14" t="s">
        <v>161</v>
      </c>
      <c r="J124" s="14" t="s">
        <v>133</v>
      </c>
      <c r="K124" s="13" t="str">
        <f>B124&amp;"-"&amp;C124&amp;"-"&amp;D124&amp;"-"&amp;E124&amp;"-"&amp;G124&amp;H124</f>
        <v>Quercus-B1-P4-C4-A2</v>
      </c>
      <c r="L124" s="14" t="s">
        <v>21</v>
      </c>
      <c r="M124" s="14" t="s">
        <v>44</v>
      </c>
      <c r="N124" s="14" t="s">
        <v>143</v>
      </c>
      <c r="O124" s="24" t="str">
        <f>J124&amp;"_"&amp;M124</f>
        <v>Control_Yes</v>
      </c>
      <c r="P124" s="1" t="str">
        <f>J124&amp;"_"&amp;M124</f>
        <v>Control_Yes</v>
      </c>
      <c r="Q124" s="1" t="str">
        <f>L124&amp;"_"&amp;M124</f>
        <v>Yellow_Yes</v>
      </c>
      <c r="R124" s="23" t="s">
        <v>2071</v>
      </c>
      <c r="S124" s="2"/>
      <c r="T124" s="2"/>
    </row>
    <row r="125" spans="1:20" ht="15.75" customHeight="1" x14ac:dyDescent="0.2">
      <c r="A125" s="13">
        <v>124</v>
      </c>
      <c r="B125" s="14" t="s">
        <v>19</v>
      </c>
      <c r="C125" s="14" t="s">
        <v>14</v>
      </c>
      <c r="D125" s="14" t="s">
        <v>131</v>
      </c>
      <c r="E125" s="14" t="s">
        <v>53</v>
      </c>
      <c r="F125" s="14" t="str">
        <f>C125&amp;"-"&amp;D125&amp;"-"&amp;E125</f>
        <v>B1-P4-C4</v>
      </c>
      <c r="G125" s="14" t="s">
        <v>24</v>
      </c>
      <c r="H125" s="14">
        <v>2</v>
      </c>
      <c r="I125" s="14" t="s">
        <v>162</v>
      </c>
      <c r="J125" s="14" t="s">
        <v>133</v>
      </c>
      <c r="K125" s="13" t="str">
        <f>B125&amp;"-"&amp;C125&amp;"-"&amp;D125&amp;"-"&amp;E125&amp;"-"&amp;G125&amp;H125</f>
        <v>Fagus-B1-P4-C4-B2</v>
      </c>
      <c r="L125" s="14" t="s">
        <v>21</v>
      </c>
      <c r="M125" s="14" t="s">
        <v>44</v>
      </c>
      <c r="N125" s="14" t="s">
        <v>143</v>
      </c>
      <c r="O125" s="24" t="str">
        <f>J125&amp;"_"&amp;M125</f>
        <v>Control_Yes</v>
      </c>
      <c r="P125" s="1" t="str">
        <f>J125&amp;"_"&amp;M125</f>
        <v>Control_Yes</v>
      </c>
      <c r="Q125" s="1" t="str">
        <f>L125&amp;"_"&amp;M125</f>
        <v>Yellow_Yes</v>
      </c>
      <c r="R125" s="23" t="s">
        <v>2071</v>
      </c>
      <c r="S125" s="2"/>
      <c r="T125" s="2"/>
    </row>
    <row r="126" spans="1:20" ht="15.75" customHeight="1" x14ac:dyDescent="0.2">
      <c r="A126" s="13">
        <v>125</v>
      </c>
      <c r="B126" s="14" t="s">
        <v>19</v>
      </c>
      <c r="C126" s="14" t="s">
        <v>14</v>
      </c>
      <c r="D126" s="14" t="s">
        <v>131</v>
      </c>
      <c r="E126" s="14" t="s">
        <v>53</v>
      </c>
      <c r="F126" s="14" t="str">
        <f>C126&amp;"-"&amp;D126&amp;"-"&amp;E126</f>
        <v>B1-P4-C4</v>
      </c>
      <c r="G126" s="14" t="s">
        <v>17</v>
      </c>
      <c r="H126" s="14">
        <v>3</v>
      </c>
      <c r="I126" s="14" t="s">
        <v>163</v>
      </c>
      <c r="J126" s="14" t="s">
        <v>133</v>
      </c>
      <c r="K126" s="13" t="str">
        <f>B126&amp;"-"&amp;C126&amp;"-"&amp;D126&amp;"-"&amp;E126&amp;"-"&amp;G126&amp;H126</f>
        <v>Fagus-B1-P4-C4-A3</v>
      </c>
      <c r="L126" s="14" t="s">
        <v>21</v>
      </c>
      <c r="M126" s="14" t="s">
        <v>44</v>
      </c>
      <c r="N126" s="14" t="s">
        <v>143</v>
      </c>
      <c r="O126" s="24" t="str">
        <f>J126&amp;"_"&amp;M126</f>
        <v>Control_Yes</v>
      </c>
      <c r="P126" s="1" t="str">
        <f>J126&amp;"_"&amp;M126</f>
        <v>Control_Yes</v>
      </c>
      <c r="Q126" s="1" t="str">
        <f>L126&amp;"_"&amp;M126</f>
        <v>Yellow_Yes</v>
      </c>
      <c r="R126" s="23" t="s">
        <v>2071</v>
      </c>
      <c r="S126" s="23"/>
      <c r="T126" s="23"/>
    </row>
    <row r="127" spans="1:20" ht="15.75" customHeight="1" x14ac:dyDescent="0.2">
      <c r="A127" s="13">
        <v>126</v>
      </c>
      <c r="B127" s="14" t="s">
        <v>35</v>
      </c>
      <c r="C127" s="14" t="s">
        <v>14</v>
      </c>
      <c r="D127" s="14" t="s">
        <v>131</v>
      </c>
      <c r="E127" s="14" t="s">
        <v>53</v>
      </c>
      <c r="F127" s="14" t="str">
        <f>C127&amp;"-"&amp;D127&amp;"-"&amp;E127</f>
        <v>B1-P4-C4</v>
      </c>
      <c r="G127" s="14" t="s">
        <v>24</v>
      </c>
      <c r="H127" s="14">
        <v>3</v>
      </c>
      <c r="I127" s="14" t="s">
        <v>164</v>
      </c>
      <c r="J127" s="14" t="s">
        <v>133</v>
      </c>
      <c r="K127" s="13" t="str">
        <f>B127&amp;"-"&amp;C127&amp;"-"&amp;D127&amp;"-"&amp;E127&amp;"-"&amp;G127&amp;H127</f>
        <v>Quercus-B1-P4-C4-B3</v>
      </c>
      <c r="L127" s="14" t="s">
        <v>21</v>
      </c>
      <c r="M127" s="14" t="s">
        <v>44</v>
      </c>
      <c r="N127" s="14" t="s">
        <v>143</v>
      </c>
      <c r="O127" s="24" t="str">
        <f>J127&amp;"_"&amp;M127</f>
        <v>Control_Yes</v>
      </c>
      <c r="P127" s="1" t="str">
        <f>J127&amp;"_"&amp;M127</f>
        <v>Control_Yes</v>
      </c>
      <c r="Q127" s="1" t="str">
        <f>L127&amp;"_"&amp;M127</f>
        <v>Yellow_Yes</v>
      </c>
      <c r="R127" s="23" t="s">
        <v>2071</v>
      </c>
      <c r="S127" s="23"/>
      <c r="T127" s="23"/>
    </row>
    <row r="128" spans="1:20" ht="15.75" customHeight="1" x14ac:dyDescent="0.2">
      <c r="A128" s="13">
        <v>127</v>
      </c>
      <c r="B128" s="14" t="s">
        <v>35</v>
      </c>
      <c r="C128" s="14" t="s">
        <v>14</v>
      </c>
      <c r="D128" s="14" t="s">
        <v>131</v>
      </c>
      <c r="E128" s="14" t="s">
        <v>53</v>
      </c>
      <c r="F128" s="14" t="str">
        <f>C128&amp;"-"&amp;D128&amp;"-"&amp;E128</f>
        <v>B1-P4-C4</v>
      </c>
      <c r="G128" s="14" t="s">
        <v>17</v>
      </c>
      <c r="H128" s="14">
        <v>4</v>
      </c>
      <c r="I128" s="14" t="s">
        <v>165</v>
      </c>
      <c r="J128" s="14" t="s">
        <v>133</v>
      </c>
      <c r="K128" s="13" t="str">
        <f>B128&amp;"-"&amp;C128&amp;"-"&amp;D128&amp;"-"&amp;E128&amp;"-"&amp;G128&amp;H128</f>
        <v>Quercus-B1-P4-C4-A4</v>
      </c>
      <c r="L128" s="14" t="s">
        <v>21</v>
      </c>
      <c r="M128" s="14" t="s">
        <v>44</v>
      </c>
      <c r="N128" s="14" t="s">
        <v>143</v>
      </c>
      <c r="O128" s="24" t="str">
        <f>J128&amp;"_"&amp;M128</f>
        <v>Control_Yes</v>
      </c>
      <c r="P128" s="1" t="str">
        <f>J128&amp;"_"&amp;M128</f>
        <v>Control_Yes</v>
      </c>
      <c r="Q128" s="1" t="str">
        <f>L128&amp;"_"&amp;M128</f>
        <v>Yellow_Yes</v>
      </c>
      <c r="R128" s="23" t="s">
        <v>2071</v>
      </c>
      <c r="S128" s="23"/>
      <c r="T128" s="23"/>
    </row>
    <row r="129" spans="1:20" ht="15.75" customHeight="1" x14ac:dyDescent="0.2">
      <c r="A129" s="13">
        <v>128</v>
      </c>
      <c r="B129" s="14" t="s">
        <v>19</v>
      </c>
      <c r="C129" s="14" t="s">
        <v>14</v>
      </c>
      <c r="D129" s="14" t="s">
        <v>131</v>
      </c>
      <c r="E129" s="14" t="s">
        <v>53</v>
      </c>
      <c r="F129" s="14" t="str">
        <f>C129&amp;"-"&amp;D129&amp;"-"&amp;E129</f>
        <v>B1-P4-C4</v>
      </c>
      <c r="G129" s="14" t="s">
        <v>24</v>
      </c>
      <c r="H129" s="14">
        <v>4</v>
      </c>
      <c r="I129" s="14" t="s">
        <v>166</v>
      </c>
      <c r="J129" s="14" t="s">
        <v>133</v>
      </c>
      <c r="K129" s="13" t="str">
        <f>B129&amp;"-"&amp;C129&amp;"-"&amp;D129&amp;"-"&amp;E129&amp;"-"&amp;G129&amp;H129</f>
        <v>Fagus-B1-P4-C4-B4</v>
      </c>
      <c r="L129" s="14" t="s">
        <v>21</v>
      </c>
      <c r="M129" s="14" t="s">
        <v>44</v>
      </c>
      <c r="N129" s="14" t="s">
        <v>143</v>
      </c>
      <c r="O129" s="24" t="str">
        <f>J129&amp;"_"&amp;M129</f>
        <v>Control_Yes</v>
      </c>
      <c r="P129" s="1" t="str">
        <f>J129&amp;"_"&amp;M129</f>
        <v>Control_Yes</v>
      </c>
      <c r="Q129" s="1" t="str">
        <f>L129&amp;"_"&amp;M129</f>
        <v>Yellow_Yes</v>
      </c>
      <c r="R129" s="23" t="s">
        <v>2071</v>
      </c>
      <c r="S129" s="23"/>
      <c r="T129" s="23"/>
    </row>
    <row r="130" spans="1:20" s="10" customFormat="1" ht="15.75" customHeight="1" x14ac:dyDescent="0.2">
      <c r="A130" s="21">
        <v>129</v>
      </c>
      <c r="B130" s="20" t="s">
        <v>35</v>
      </c>
      <c r="C130" s="20" t="s">
        <v>14</v>
      </c>
      <c r="D130" s="20" t="s">
        <v>167</v>
      </c>
      <c r="E130" s="20" t="s">
        <v>16</v>
      </c>
      <c r="F130" s="18" t="str">
        <f>C130&amp;"-"&amp;D130&amp;"-"&amp;E130</f>
        <v>B1-P5-C1</v>
      </c>
      <c r="G130" s="20" t="s">
        <v>17</v>
      </c>
      <c r="H130" s="20">
        <v>1</v>
      </c>
      <c r="I130" s="20" t="s">
        <v>168</v>
      </c>
      <c r="J130" s="20" t="s">
        <v>133</v>
      </c>
      <c r="K130" s="19" t="str">
        <f>B130&amp;"-"&amp;C130&amp;"-"&amp;D130&amp;"-"&amp;E130&amp;"-"&amp;G130&amp;H130</f>
        <v>Quercus-B1-P5-C1-A1</v>
      </c>
      <c r="L130" s="20" t="s">
        <v>64</v>
      </c>
      <c r="M130" s="20" t="s">
        <v>44</v>
      </c>
      <c r="N130" s="20" t="s">
        <v>169</v>
      </c>
      <c r="O130" s="27" t="str">
        <f>J130&amp;"_"&amp;M130</f>
        <v>Control_Yes</v>
      </c>
      <c r="P130" s="2" t="str">
        <f>J130&amp;"_"&amp;M130</f>
        <v>Control_Yes</v>
      </c>
      <c r="Q130" s="2" t="str">
        <f>L130&amp;"_"&amp;M130</f>
        <v>Grey_Yes</v>
      </c>
      <c r="R130" s="18" t="s">
        <v>2072</v>
      </c>
      <c r="S130" s="18"/>
      <c r="T130" s="18"/>
    </row>
    <row r="131" spans="1:20" s="10" customFormat="1" ht="15.75" customHeight="1" x14ac:dyDescent="0.2">
      <c r="A131" s="21">
        <v>130</v>
      </c>
      <c r="B131" s="20" t="s">
        <v>35</v>
      </c>
      <c r="C131" s="20" t="s">
        <v>14</v>
      </c>
      <c r="D131" s="20" t="s">
        <v>167</v>
      </c>
      <c r="E131" s="20" t="s">
        <v>16</v>
      </c>
      <c r="F131" s="18" t="str">
        <f>C131&amp;"-"&amp;D131&amp;"-"&amp;E131</f>
        <v>B1-P5-C1</v>
      </c>
      <c r="G131" s="20" t="s">
        <v>24</v>
      </c>
      <c r="H131" s="20">
        <v>1</v>
      </c>
      <c r="I131" s="20" t="s">
        <v>170</v>
      </c>
      <c r="J131" s="20" t="s">
        <v>133</v>
      </c>
      <c r="K131" s="19" t="str">
        <f>B131&amp;"-"&amp;C131&amp;"-"&amp;D131&amp;"-"&amp;E131&amp;"-"&amp;G131&amp;H131</f>
        <v>Quercus-B1-P5-C1-B1</v>
      </c>
      <c r="L131" s="20" t="s">
        <v>64</v>
      </c>
      <c r="M131" s="20" t="s">
        <v>44</v>
      </c>
      <c r="N131" s="20" t="s">
        <v>169</v>
      </c>
      <c r="O131" s="27" t="str">
        <f>J131&amp;"_"&amp;M131</f>
        <v>Control_Yes</v>
      </c>
      <c r="P131" s="2" t="str">
        <f>J131&amp;"_"&amp;M131</f>
        <v>Control_Yes</v>
      </c>
      <c r="Q131" s="2" t="str">
        <f>L131&amp;"_"&amp;M131</f>
        <v>Grey_Yes</v>
      </c>
      <c r="R131" s="18" t="s">
        <v>2072</v>
      </c>
      <c r="S131" s="18"/>
      <c r="T131" s="18"/>
    </row>
    <row r="132" spans="1:20" s="10" customFormat="1" ht="15.75" customHeight="1" x14ac:dyDescent="0.2">
      <c r="A132" s="21">
        <v>131</v>
      </c>
      <c r="B132" s="20" t="s">
        <v>35</v>
      </c>
      <c r="C132" s="20" t="s">
        <v>14</v>
      </c>
      <c r="D132" s="20" t="s">
        <v>167</v>
      </c>
      <c r="E132" s="20" t="s">
        <v>16</v>
      </c>
      <c r="F132" s="18" t="str">
        <f>C132&amp;"-"&amp;D132&amp;"-"&amp;E132</f>
        <v>B1-P5-C1</v>
      </c>
      <c r="G132" s="20" t="s">
        <v>17</v>
      </c>
      <c r="H132" s="20">
        <v>2</v>
      </c>
      <c r="I132" s="20" t="s">
        <v>171</v>
      </c>
      <c r="J132" s="20" t="s">
        <v>133</v>
      </c>
      <c r="K132" s="19" t="str">
        <f>B132&amp;"-"&amp;C132&amp;"-"&amp;D132&amp;"-"&amp;E132&amp;"-"&amp;G132&amp;H132</f>
        <v>Quercus-B1-P5-C1-A2</v>
      </c>
      <c r="L132" s="20" t="s">
        <v>64</v>
      </c>
      <c r="M132" s="20" t="s">
        <v>44</v>
      </c>
      <c r="N132" s="20" t="s">
        <v>169</v>
      </c>
      <c r="O132" s="27" t="str">
        <f>J132&amp;"_"&amp;M132</f>
        <v>Control_Yes</v>
      </c>
      <c r="P132" s="2" t="str">
        <f>J132&amp;"_"&amp;M132</f>
        <v>Control_Yes</v>
      </c>
      <c r="Q132" s="2" t="str">
        <f>L132&amp;"_"&amp;M132</f>
        <v>Grey_Yes</v>
      </c>
      <c r="R132" s="18" t="s">
        <v>2072</v>
      </c>
      <c r="S132" s="18"/>
      <c r="T132" s="18"/>
    </row>
    <row r="133" spans="1:20" s="10" customFormat="1" ht="15.75" customHeight="1" x14ac:dyDescent="0.2">
      <c r="A133" s="21">
        <v>132</v>
      </c>
      <c r="B133" s="20" t="s">
        <v>35</v>
      </c>
      <c r="C133" s="20" t="s">
        <v>14</v>
      </c>
      <c r="D133" s="20" t="s">
        <v>167</v>
      </c>
      <c r="E133" s="20" t="s">
        <v>16</v>
      </c>
      <c r="F133" s="18" t="str">
        <f>C133&amp;"-"&amp;D133&amp;"-"&amp;E133</f>
        <v>B1-P5-C1</v>
      </c>
      <c r="G133" s="20" t="s">
        <v>24</v>
      </c>
      <c r="H133" s="20">
        <v>2</v>
      </c>
      <c r="I133" s="20" t="s">
        <v>172</v>
      </c>
      <c r="J133" s="20" t="s">
        <v>133</v>
      </c>
      <c r="K133" s="19" t="str">
        <f>B133&amp;"-"&amp;C133&amp;"-"&amp;D133&amp;"-"&amp;E133&amp;"-"&amp;G133&amp;H133</f>
        <v>Quercus-B1-P5-C1-B2</v>
      </c>
      <c r="L133" s="20" t="s">
        <v>64</v>
      </c>
      <c r="M133" s="20" t="s">
        <v>44</v>
      </c>
      <c r="N133" s="20" t="s">
        <v>169</v>
      </c>
      <c r="O133" s="27" t="str">
        <f>J133&amp;"_"&amp;M133</f>
        <v>Control_Yes</v>
      </c>
      <c r="P133" s="2" t="str">
        <f>J133&amp;"_"&amp;M133</f>
        <v>Control_Yes</v>
      </c>
      <c r="Q133" s="2" t="str">
        <f>L133&amp;"_"&amp;M133</f>
        <v>Grey_Yes</v>
      </c>
      <c r="R133" s="18" t="s">
        <v>2072</v>
      </c>
      <c r="S133" s="18"/>
      <c r="T133" s="18"/>
    </row>
    <row r="134" spans="1:20" s="10" customFormat="1" ht="15.75" customHeight="1" x14ac:dyDescent="0.2">
      <c r="A134" s="21">
        <v>133</v>
      </c>
      <c r="B134" s="20" t="s">
        <v>35</v>
      </c>
      <c r="C134" s="20" t="s">
        <v>14</v>
      </c>
      <c r="D134" s="20" t="s">
        <v>167</v>
      </c>
      <c r="E134" s="20" t="s">
        <v>16</v>
      </c>
      <c r="F134" s="18" t="str">
        <f>C134&amp;"-"&amp;D134&amp;"-"&amp;E134</f>
        <v>B1-P5-C1</v>
      </c>
      <c r="G134" s="20" t="s">
        <v>17</v>
      </c>
      <c r="H134" s="20">
        <v>3</v>
      </c>
      <c r="I134" s="20" t="s">
        <v>173</v>
      </c>
      <c r="J134" s="20" t="s">
        <v>133</v>
      </c>
      <c r="K134" s="19" t="str">
        <f>B134&amp;"-"&amp;C134&amp;"-"&amp;D134&amp;"-"&amp;E134&amp;"-"&amp;G134&amp;H134</f>
        <v>Quercus-B1-P5-C1-A3</v>
      </c>
      <c r="L134" s="20" t="s">
        <v>64</v>
      </c>
      <c r="M134" s="20" t="s">
        <v>44</v>
      </c>
      <c r="N134" s="20" t="s">
        <v>169</v>
      </c>
      <c r="O134" s="27" t="str">
        <f>J134&amp;"_"&amp;M134</f>
        <v>Control_Yes</v>
      </c>
      <c r="P134" s="2" t="str">
        <f>J134&amp;"_"&amp;M134</f>
        <v>Control_Yes</v>
      </c>
      <c r="Q134" s="2" t="str">
        <f>L134&amp;"_"&amp;M134</f>
        <v>Grey_Yes</v>
      </c>
      <c r="R134" s="18" t="s">
        <v>2072</v>
      </c>
      <c r="S134" s="18"/>
      <c r="T134" s="18"/>
    </row>
    <row r="135" spans="1:20" s="10" customFormat="1" ht="15.75" customHeight="1" x14ac:dyDescent="0.2">
      <c r="A135" s="21">
        <v>134</v>
      </c>
      <c r="B135" s="20" t="s">
        <v>35</v>
      </c>
      <c r="C135" s="20" t="s">
        <v>14</v>
      </c>
      <c r="D135" s="20" t="s">
        <v>167</v>
      </c>
      <c r="E135" s="20" t="s">
        <v>16</v>
      </c>
      <c r="F135" s="18" t="str">
        <f>C135&amp;"-"&amp;D135&amp;"-"&amp;E135</f>
        <v>B1-P5-C1</v>
      </c>
      <c r="G135" s="20" t="s">
        <v>24</v>
      </c>
      <c r="H135" s="20">
        <v>3</v>
      </c>
      <c r="I135" s="20" t="s">
        <v>174</v>
      </c>
      <c r="J135" s="20" t="s">
        <v>133</v>
      </c>
      <c r="K135" s="19" t="str">
        <f>B135&amp;"-"&amp;C135&amp;"-"&amp;D135&amp;"-"&amp;E135&amp;"-"&amp;G135&amp;H135</f>
        <v>Quercus-B1-P5-C1-B3</v>
      </c>
      <c r="L135" s="20" t="s">
        <v>64</v>
      </c>
      <c r="M135" s="20" t="s">
        <v>44</v>
      </c>
      <c r="N135" s="20" t="s">
        <v>169</v>
      </c>
      <c r="O135" s="27" t="str">
        <f>J135&amp;"_"&amp;M135</f>
        <v>Control_Yes</v>
      </c>
      <c r="P135" s="2" t="str">
        <f>J135&amp;"_"&amp;M135</f>
        <v>Control_Yes</v>
      </c>
      <c r="Q135" s="2" t="str">
        <f>L135&amp;"_"&amp;M135</f>
        <v>Grey_Yes</v>
      </c>
      <c r="R135" s="18" t="s">
        <v>2072</v>
      </c>
      <c r="S135" s="18"/>
      <c r="T135" s="18"/>
    </row>
    <row r="136" spans="1:20" s="10" customFormat="1" ht="15.75" customHeight="1" x14ac:dyDescent="0.2">
      <c r="A136" s="21">
        <v>135</v>
      </c>
      <c r="B136" s="20" t="s">
        <v>35</v>
      </c>
      <c r="C136" s="20" t="s">
        <v>14</v>
      </c>
      <c r="D136" s="20" t="s">
        <v>167</v>
      </c>
      <c r="E136" s="20" t="s">
        <v>16</v>
      </c>
      <c r="F136" s="18" t="str">
        <f>C136&amp;"-"&amp;D136&amp;"-"&amp;E136</f>
        <v>B1-P5-C1</v>
      </c>
      <c r="G136" s="20" t="s">
        <v>17</v>
      </c>
      <c r="H136" s="20">
        <v>4</v>
      </c>
      <c r="I136" s="20" t="s">
        <v>175</v>
      </c>
      <c r="J136" s="20" t="s">
        <v>133</v>
      </c>
      <c r="K136" s="19" t="str">
        <f>B136&amp;"-"&amp;C136&amp;"-"&amp;D136&amp;"-"&amp;E136&amp;"-"&amp;G136&amp;H136</f>
        <v>Quercus-B1-P5-C1-A4</v>
      </c>
      <c r="L136" s="20" t="s">
        <v>64</v>
      </c>
      <c r="M136" s="20" t="s">
        <v>44</v>
      </c>
      <c r="N136" s="20" t="s">
        <v>169</v>
      </c>
      <c r="O136" s="27" t="str">
        <f>J136&amp;"_"&amp;M136</f>
        <v>Control_Yes</v>
      </c>
      <c r="P136" s="2" t="str">
        <f>J136&amp;"_"&amp;M136</f>
        <v>Control_Yes</v>
      </c>
      <c r="Q136" s="2" t="str">
        <f>L136&amp;"_"&amp;M136</f>
        <v>Grey_Yes</v>
      </c>
      <c r="R136" s="18" t="s">
        <v>2072</v>
      </c>
      <c r="S136" s="18"/>
      <c r="T136" s="18"/>
    </row>
    <row r="137" spans="1:20" s="10" customFormat="1" ht="15.75" customHeight="1" x14ac:dyDescent="0.2">
      <c r="A137" s="21">
        <v>136</v>
      </c>
      <c r="B137" s="20" t="s">
        <v>35</v>
      </c>
      <c r="C137" s="20" t="s">
        <v>14</v>
      </c>
      <c r="D137" s="20" t="s">
        <v>167</v>
      </c>
      <c r="E137" s="20" t="s">
        <v>16</v>
      </c>
      <c r="F137" s="18" t="str">
        <f>C137&amp;"-"&amp;D137&amp;"-"&amp;E137</f>
        <v>B1-P5-C1</v>
      </c>
      <c r="G137" s="20" t="s">
        <v>24</v>
      </c>
      <c r="H137" s="20">
        <v>4</v>
      </c>
      <c r="I137" s="20" t="s">
        <v>176</v>
      </c>
      <c r="J137" s="20" t="s">
        <v>133</v>
      </c>
      <c r="K137" s="19" t="str">
        <f>B137&amp;"-"&amp;C137&amp;"-"&amp;D137&amp;"-"&amp;E137&amp;"-"&amp;G137&amp;H137</f>
        <v>Quercus-B1-P5-C1-B4</v>
      </c>
      <c r="L137" s="20" t="s">
        <v>64</v>
      </c>
      <c r="M137" s="20" t="s">
        <v>44</v>
      </c>
      <c r="N137" s="20" t="s">
        <v>169</v>
      </c>
      <c r="O137" s="27" t="str">
        <f>J137&amp;"_"&amp;M137</f>
        <v>Control_Yes</v>
      </c>
      <c r="P137" s="2" t="str">
        <f>J137&amp;"_"&amp;M137</f>
        <v>Control_Yes</v>
      </c>
      <c r="Q137" s="2" t="str">
        <f>L137&amp;"_"&amp;M137</f>
        <v>Grey_Yes</v>
      </c>
      <c r="R137" s="18" t="s">
        <v>2072</v>
      </c>
      <c r="S137" s="18"/>
      <c r="T137" s="18"/>
    </row>
    <row r="138" spans="1:20" ht="15.75" customHeight="1" x14ac:dyDescent="0.2">
      <c r="A138" s="13">
        <v>137</v>
      </c>
      <c r="B138" s="14" t="s">
        <v>19</v>
      </c>
      <c r="C138" s="14" t="s">
        <v>14</v>
      </c>
      <c r="D138" s="14" t="s">
        <v>167</v>
      </c>
      <c r="E138" s="14" t="s">
        <v>32</v>
      </c>
      <c r="F138" s="14" t="str">
        <f>C138&amp;"-"&amp;D138&amp;"-"&amp;E138</f>
        <v>B1-P5-C2</v>
      </c>
      <c r="G138" s="14" t="s">
        <v>17</v>
      </c>
      <c r="H138" s="14">
        <v>1</v>
      </c>
      <c r="I138" s="14" t="s">
        <v>177</v>
      </c>
      <c r="J138" s="14" t="s">
        <v>133</v>
      </c>
      <c r="K138" s="13" t="str">
        <f>B138&amp;"-"&amp;C138&amp;"-"&amp;D138&amp;"-"&amp;E138&amp;"-"&amp;G138&amp;H138</f>
        <v>Fagus-B1-P5-C2-A1</v>
      </c>
      <c r="L138" s="14" t="s">
        <v>64</v>
      </c>
      <c r="M138" s="14" t="s">
        <v>44</v>
      </c>
      <c r="N138" s="14" t="s">
        <v>169</v>
      </c>
      <c r="O138" s="24" t="str">
        <f>J138&amp;"_"&amp;M138</f>
        <v>Control_Yes</v>
      </c>
      <c r="P138" s="1" t="str">
        <f>J138&amp;"_"&amp;M138</f>
        <v>Control_Yes</v>
      </c>
      <c r="Q138" s="1" t="str">
        <f>L138&amp;"_"&amp;M138</f>
        <v>Grey_Yes</v>
      </c>
      <c r="R138" s="18" t="s">
        <v>2072</v>
      </c>
      <c r="S138" s="23"/>
      <c r="T138" s="23"/>
    </row>
    <row r="139" spans="1:20" ht="15.75" customHeight="1" x14ac:dyDescent="0.2">
      <c r="A139" s="13">
        <v>138</v>
      </c>
      <c r="B139" s="14" t="s">
        <v>35</v>
      </c>
      <c r="C139" s="14" t="s">
        <v>14</v>
      </c>
      <c r="D139" s="14" t="s">
        <v>167</v>
      </c>
      <c r="E139" s="14" t="s">
        <v>32</v>
      </c>
      <c r="F139" s="14" t="str">
        <f>C139&amp;"-"&amp;D139&amp;"-"&amp;E139</f>
        <v>B1-P5-C2</v>
      </c>
      <c r="G139" s="14" t="s">
        <v>24</v>
      </c>
      <c r="H139" s="14">
        <v>1</v>
      </c>
      <c r="I139" s="14" t="s">
        <v>178</v>
      </c>
      <c r="J139" s="14" t="s">
        <v>133</v>
      </c>
      <c r="K139" s="13" t="str">
        <f>B139&amp;"-"&amp;C139&amp;"-"&amp;D139&amp;"-"&amp;E139&amp;"-"&amp;G139&amp;H139</f>
        <v>Quercus-B1-P5-C2-B1</v>
      </c>
      <c r="L139" s="14" t="s">
        <v>64</v>
      </c>
      <c r="M139" s="14" t="s">
        <v>44</v>
      </c>
      <c r="N139" s="14" t="s">
        <v>169</v>
      </c>
      <c r="O139" s="24" t="str">
        <f>J139&amp;"_"&amp;M139</f>
        <v>Control_Yes</v>
      </c>
      <c r="P139" s="1" t="str">
        <f>J139&amp;"_"&amp;M139</f>
        <v>Control_Yes</v>
      </c>
      <c r="Q139" s="1" t="str">
        <f>L139&amp;"_"&amp;M139</f>
        <v>Grey_Yes</v>
      </c>
      <c r="R139" s="18" t="s">
        <v>2072</v>
      </c>
    </row>
    <row r="140" spans="1:20" ht="15.75" customHeight="1" x14ac:dyDescent="0.2">
      <c r="A140" s="13">
        <v>139</v>
      </c>
      <c r="B140" s="14" t="s">
        <v>35</v>
      </c>
      <c r="C140" s="14" t="s">
        <v>14</v>
      </c>
      <c r="D140" s="14" t="s">
        <v>167</v>
      </c>
      <c r="E140" s="14" t="s">
        <v>32</v>
      </c>
      <c r="F140" s="14" t="str">
        <f>C140&amp;"-"&amp;D140&amp;"-"&amp;E140</f>
        <v>B1-P5-C2</v>
      </c>
      <c r="G140" s="14" t="s">
        <v>17</v>
      </c>
      <c r="H140" s="14">
        <v>2</v>
      </c>
      <c r="I140" s="14" t="s">
        <v>179</v>
      </c>
      <c r="J140" s="14" t="s">
        <v>133</v>
      </c>
      <c r="K140" s="13" t="str">
        <f>B140&amp;"-"&amp;C140&amp;"-"&amp;D140&amp;"-"&amp;E140&amp;"-"&amp;G140&amp;H140</f>
        <v>Quercus-B1-P5-C2-A2</v>
      </c>
      <c r="L140" s="14" t="s">
        <v>64</v>
      </c>
      <c r="M140" s="14" t="s">
        <v>44</v>
      </c>
      <c r="N140" s="14" t="s">
        <v>169</v>
      </c>
      <c r="O140" s="24" t="str">
        <f>J140&amp;"_"&amp;M140</f>
        <v>Control_Yes</v>
      </c>
      <c r="P140" s="1" t="str">
        <f>J140&amp;"_"&amp;M140</f>
        <v>Control_Yes</v>
      </c>
      <c r="Q140" s="1" t="str">
        <f>L140&amp;"_"&amp;M140</f>
        <v>Grey_Yes</v>
      </c>
      <c r="R140" s="18" t="s">
        <v>2072</v>
      </c>
    </row>
    <row r="141" spans="1:20" ht="15.75" customHeight="1" x14ac:dyDescent="0.2">
      <c r="A141" s="13">
        <v>140</v>
      </c>
      <c r="B141" s="14" t="s">
        <v>19</v>
      </c>
      <c r="C141" s="14" t="s">
        <v>14</v>
      </c>
      <c r="D141" s="14" t="s">
        <v>167</v>
      </c>
      <c r="E141" s="14" t="s">
        <v>32</v>
      </c>
      <c r="F141" s="14" t="str">
        <f>C141&amp;"-"&amp;D141&amp;"-"&amp;E141</f>
        <v>B1-P5-C2</v>
      </c>
      <c r="G141" s="14" t="s">
        <v>24</v>
      </c>
      <c r="H141" s="14">
        <v>2</v>
      </c>
      <c r="I141" s="14" t="s">
        <v>180</v>
      </c>
      <c r="J141" s="14" t="s">
        <v>133</v>
      </c>
      <c r="K141" s="13" t="str">
        <f>B141&amp;"-"&amp;C141&amp;"-"&amp;D141&amp;"-"&amp;E141&amp;"-"&amp;G141&amp;H141</f>
        <v>Fagus-B1-P5-C2-B2</v>
      </c>
      <c r="L141" s="14" t="s">
        <v>64</v>
      </c>
      <c r="M141" s="14" t="s">
        <v>44</v>
      </c>
      <c r="N141" s="14" t="s">
        <v>169</v>
      </c>
      <c r="O141" s="24" t="str">
        <f>J141&amp;"_"&amp;M141</f>
        <v>Control_Yes</v>
      </c>
      <c r="P141" s="1" t="str">
        <f>J141&amp;"_"&amp;M141</f>
        <v>Control_Yes</v>
      </c>
      <c r="Q141" s="1" t="str">
        <f>L141&amp;"_"&amp;M141</f>
        <v>Grey_Yes</v>
      </c>
      <c r="R141" s="18" t="s">
        <v>2072</v>
      </c>
    </row>
    <row r="142" spans="1:20" ht="15.75" customHeight="1" x14ac:dyDescent="0.2">
      <c r="A142" s="13">
        <v>141</v>
      </c>
      <c r="B142" s="14" t="s">
        <v>19</v>
      </c>
      <c r="C142" s="14" t="s">
        <v>14</v>
      </c>
      <c r="D142" s="14" t="s">
        <v>167</v>
      </c>
      <c r="E142" s="14" t="s">
        <v>32</v>
      </c>
      <c r="F142" s="14" t="str">
        <f>C142&amp;"-"&amp;D142&amp;"-"&amp;E142</f>
        <v>B1-P5-C2</v>
      </c>
      <c r="G142" s="14" t="s">
        <v>17</v>
      </c>
      <c r="H142" s="14">
        <v>3</v>
      </c>
      <c r="I142" s="14" t="s">
        <v>181</v>
      </c>
      <c r="J142" s="14" t="s">
        <v>133</v>
      </c>
      <c r="K142" s="13" t="str">
        <f>B142&amp;"-"&amp;C142&amp;"-"&amp;D142&amp;"-"&amp;E142&amp;"-"&amp;G142&amp;H142</f>
        <v>Fagus-B1-P5-C2-A3</v>
      </c>
      <c r="L142" s="14" t="s">
        <v>64</v>
      </c>
      <c r="M142" s="14" t="s">
        <v>44</v>
      </c>
      <c r="N142" s="14" t="s">
        <v>169</v>
      </c>
      <c r="O142" s="24" t="str">
        <f>J142&amp;"_"&amp;M142</f>
        <v>Control_Yes</v>
      </c>
      <c r="P142" s="1" t="str">
        <f>J142&amp;"_"&amp;M142</f>
        <v>Control_Yes</v>
      </c>
      <c r="Q142" s="1" t="str">
        <f>L142&amp;"_"&amp;M142</f>
        <v>Grey_Yes</v>
      </c>
      <c r="R142" s="18" t="s">
        <v>2072</v>
      </c>
    </row>
    <row r="143" spans="1:20" ht="15.75" customHeight="1" x14ac:dyDescent="0.2">
      <c r="A143" s="13">
        <v>142</v>
      </c>
      <c r="B143" s="14" t="s">
        <v>35</v>
      </c>
      <c r="C143" s="14" t="s">
        <v>14</v>
      </c>
      <c r="D143" s="14" t="s">
        <v>167</v>
      </c>
      <c r="E143" s="14" t="s">
        <v>32</v>
      </c>
      <c r="F143" s="14" t="str">
        <f>C143&amp;"-"&amp;D143&amp;"-"&amp;E143</f>
        <v>B1-P5-C2</v>
      </c>
      <c r="G143" s="14" t="s">
        <v>24</v>
      </c>
      <c r="H143" s="14">
        <v>3</v>
      </c>
      <c r="I143" s="14" t="s">
        <v>182</v>
      </c>
      <c r="J143" s="14" t="s">
        <v>133</v>
      </c>
      <c r="K143" s="13" t="str">
        <f>B143&amp;"-"&amp;C143&amp;"-"&amp;D143&amp;"-"&amp;E143&amp;"-"&amp;G143&amp;H143</f>
        <v>Quercus-B1-P5-C2-B3</v>
      </c>
      <c r="L143" s="14" t="s">
        <v>64</v>
      </c>
      <c r="M143" s="14" t="s">
        <v>44</v>
      </c>
      <c r="N143" s="14" t="s">
        <v>169</v>
      </c>
      <c r="O143" s="24" t="str">
        <f>J143&amp;"_"&amp;M143</f>
        <v>Control_Yes</v>
      </c>
      <c r="P143" s="1" t="str">
        <f>J143&amp;"_"&amp;M143</f>
        <v>Control_Yes</v>
      </c>
      <c r="Q143" s="1" t="str">
        <f>L143&amp;"_"&amp;M143</f>
        <v>Grey_Yes</v>
      </c>
      <c r="R143" s="18" t="s">
        <v>2072</v>
      </c>
    </row>
    <row r="144" spans="1:20" ht="15.75" customHeight="1" x14ac:dyDescent="0.2">
      <c r="A144" s="13">
        <v>143</v>
      </c>
      <c r="B144" s="14" t="s">
        <v>35</v>
      </c>
      <c r="C144" s="14" t="s">
        <v>14</v>
      </c>
      <c r="D144" s="14" t="s">
        <v>167</v>
      </c>
      <c r="E144" s="14" t="s">
        <v>32</v>
      </c>
      <c r="F144" s="14" t="str">
        <f>C144&amp;"-"&amp;D144&amp;"-"&amp;E144</f>
        <v>B1-P5-C2</v>
      </c>
      <c r="G144" s="14" t="s">
        <v>17</v>
      </c>
      <c r="H144" s="14">
        <v>4</v>
      </c>
      <c r="I144" s="14" t="s">
        <v>183</v>
      </c>
      <c r="J144" s="14" t="s">
        <v>133</v>
      </c>
      <c r="K144" s="13" t="str">
        <f>B144&amp;"-"&amp;C144&amp;"-"&amp;D144&amp;"-"&amp;E144&amp;"-"&amp;G144&amp;H144</f>
        <v>Quercus-B1-P5-C2-A4</v>
      </c>
      <c r="L144" s="14" t="s">
        <v>64</v>
      </c>
      <c r="M144" s="14" t="s">
        <v>44</v>
      </c>
      <c r="N144" s="14" t="s">
        <v>169</v>
      </c>
      <c r="O144" s="24" t="str">
        <f>J144&amp;"_"&amp;M144</f>
        <v>Control_Yes</v>
      </c>
      <c r="P144" s="1" t="str">
        <f>J144&amp;"_"&amp;M144</f>
        <v>Control_Yes</v>
      </c>
      <c r="Q144" s="1" t="str">
        <f>L144&amp;"_"&amp;M144</f>
        <v>Grey_Yes</v>
      </c>
      <c r="R144" s="18" t="s">
        <v>2072</v>
      </c>
    </row>
    <row r="145" spans="1:20" ht="15.75" customHeight="1" x14ac:dyDescent="0.2">
      <c r="A145" s="13">
        <v>144</v>
      </c>
      <c r="B145" s="14" t="s">
        <v>19</v>
      </c>
      <c r="C145" s="14" t="s">
        <v>14</v>
      </c>
      <c r="D145" s="14" t="s">
        <v>167</v>
      </c>
      <c r="E145" s="14" t="s">
        <v>32</v>
      </c>
      <c r="F145" s="14" t="str">
        <f>C145&amp;"-"&amp;D145&amp;"-"&amp;E145</f>
        <v>B1-P5-C2</v>
      </c>
      <c r="G145" s="14" t="s">
        <v>24</v>
      </c>
      <c r="H145" s="14">
        <v>4</v>
      </c>
      <c r="I145" s="14" t="s">
        <v>184</v>
      </c>
      <c r="J145" s="14" t="s">
        <v>133</v>
      </c>
      <c r="K145" s="13" t="str">
        <f>B145&amp;"-"&amp;C145&amp;"-"&amp;D145&amp;"-"&amp;E145&amp;"-"&amp;G145&amp;H145</f>
        <v>Fagus-B1-P5-C2-B4</v>
      </c>
      <c r="L145" s="14" t="s">
        <v>64</v>
      </c>
      <c r="M145" s="14" t="s">
        <v>44</v>
      </c>
      <c r="N145" s="14" t="s">
        <v>169</v>
      </c>
      <c r="O145" s="24" t="str">
        <f>J145&amp;"_"&amp;M145</f>
        <v>Control_Yes</v>
      </c>
      <c r="P145" s="1" t="str">
        <f>J145&amp;"_"&amp;M145</f>
        <v>Control_Yes</v>
      </c>
      <c r="Q145" s="1" t="str">
        <f>L145&amp;"_"&amp;M145</f>
        <v>Grey_Yes</v>
      </c>
      <c r="R145" s="18" t="s">
        <v>2072</v>
      </c>
      <c r="S145" s="23"/>
      <c r="T145" s="23"/>
    </row>
    <row r="146" spans="1:20" s="10" customFormat="1" ht="15.75" customHeight="1" x14ac:dyDescent="0.2">
      <c r="A146" s="21">
        <v>145</v>
      </c>
      <c r="B146" s="20" t="s">
        <v>19</v>
      </c>
      <c r="C146" s="20" t="s">
        <v>14</v>
      </c>
      <c r="D146" s="20" t="s">
        <v>167</v>
      </c>
      <c r="E146" s="20" t="s">
        <v>42</v>
      </c>
      <c r="F146" s="18" t="str">
        <f>C146&amp;"-"&amp;D146&amp;"-"&amp;E146</f>
        <v>B1-P5-C3</v>
      </c>
      <c r="G146" s="20" t="s">
        <v>17</v>
      </c>
      <c r="H146" s="20">
        <v>1</v>
      </c>
      <c r="I146" s="20" t="s">
        <v>185</v>
      </c>
      <c r="J146" s="20" t="s">
        <v>133</v>
      </c>
      <c r="K146" s="19" t="str">
        <f>B146&amp;"-"&amp;C146&amp;"-"&amp;D146&amp;"-"&amp;E146&amp;"-"&amp;G146&amp;H146</f>
        <v>Fagus-B1-P5-C3-A1</v>
      </c>
      <c r="L146" s="20" t="s">
        <v>21</v>
      </c>
      <c r="M146" s="20" t="s">
        <v>22</v>
      </c>
      <c r="N146" s="20" t="s">
        <v>134</v>
      </c>
      <c r="O146" s="27" t="str">
        <f>J146&amp;"_"&amp;M146</f>
        <v>Control_No</v>
      </c>
      <c r="P146" s="2" t="str">
        <f>J146&amp;"_"&amp;M146</f>
        <v>Control_No</v>
      </c>
      <c r="Q146" s="2" t="str">
        <f>L146&amp;"_"&amp;M146</f>
        <v>Yellow_No</v>
      </c>
      <c r="R146" s="23" t="s">
        <v>2071</v>
      </c>
      <c r="S146" s="23"/>
      <c r="T146" s="23"/>
    </row>
    <row r="147" spans="1:20" s="10" customFormat="1" ht="15.75" customHeight="1" x14ac:dyDescent="0.2">
      <c r="A147" s="21">
        <v>146</v>
      </c>
      <c r="B147" s="20" t="s">
        <v>19</v>
      </c>
      <c r="C147" s="20" t="s">
        <v>14</v>
      </c>
      <c r="D147" s="20" t="s">
        <v>167</v>
      </c>
      <c r="E147" s="20" t="s">
        <v>42</v>
      </c>
      <c r="F147" s="18" t="str">
        <f>C147&amp;"-"&amp;D147&amp;"-"&amp;E147</f>
        <v>B1-P5-C3</v>
      </c>
      <c r="G147" s="20" t="s">
        <v>24</v>
      </c>
      <c r="H147" s="20">
        <v>1</v>
      </c>
      <c r="I147" s="20" t="s">
        <v>186</v>
      </c>
      <c r="J147" s="20" t="s">
        <v>133</v>
      </c>
      <c r="K147" s="19" t="str">
        <f>B147&amp;"-"&amp;C147&amp;"-"&amp;D147&amp;"-"&amp;E147&amp;"-"&amp;G147&amp;H147</f>
        <v>Fagus-B1-P5-C3-B1</v>
      </c>
      <c r="L147" s="20" t="s">
        <v>21</v>
      </c>
      <c r="M147" s="20" t="s">
        <v>22</v>
      </c>
      <c r="N147" s="20" t="s">
        <v>134</v>
      </c>
      <c r="O147" s="27" t="str">
        <f>J147&amp;"_"&amp;M147</f>
        <v>Control_No</v>
      </c>
      <c r="P147" s="2" t="str">
        <f>J147&amp;"_"&amp;M147</f>
        <v>Control_No</v>
      </c>
      <c r="Q147" s="2" t="str">
        <f>L147&amp;"_"&amp;M147</f>
        <v>Yellow_No</v>
      </c>
      <c r="R147" s="23" t="s">
        <v>2071</v>
      </c>
      <c r="S147" s="23"/>
      <c r="T147" s="23"/>
    </row>
    <row r="148" spans="1:20" s="10" customFormat="1" ht="15.75" customHeight="1" x14ac:dyDescent="0.2">
      <c r="A148" s="21">
        <v>147</v>
      </c>
      <c r="B148" s="20" t="s">
        <v>19</v>
      </c>
      <c r="C148" s="20" t="s">
        <v>14</v>
      </c>
      <c r="D148" s="20" t="s">
        <v>167</v>
      </c>
      <c r="E148" s="20" t="s">
        <v>42</v>
      </c>
      <c r="F148" s="18" t="str">
        <f>C148&amp;"-"&amp;D148&amp;"-"&amp;E148</f>
        <v>B1-P5-C3</v>
      </c>
      <c r="G148" s="20" t="s">
        <v>17</v>
      </c>
      <c r="H148" s="20">
        <v>2</v>
      </c>
      <c r="I148" s="20" t="s">
        <v>187</v>
      </c>
      <c r="J148" s="20" t="s">
        <v>133</v>
      </c>
      <c r="K148" s="19" t="str">
        <f>B148&amp;"-"&amp;C148&amp;"-"&amp;D148&amp;"-"&amp;E148&amp;"-"&amp;G148&amp;H148</f>
        <v>Fagus-B1-P5-C3-A2</v>
      </c>
      <c r="L148" s="20" t="s">
        <v>21</v>
      </c>
      <c r="M148" s="20" t="s">
        <v>22</v>
      </c>
      <c r="N148" s="20" t="s">
        <v>134</v>
      </c>
      <c r="O148" s="27" t="str">
        <f>J148&amp;"_"&amp;M148</f>
        <v>Control_No</v>
      </c>
      <c r="P148" s="2" t="str">
        <f>J148&amp;"_"&amp;M148</f>
        <v>Control_No</v>
      </c>
      <c r="Q148" s="2" t="str">
        <f>L148&amp;"_"&amp;M148</f>
        <v>Yellow_No</v>
      </c>
      <c r="R148" s="23" t="s">
        <v>2071</v>
      </c>
      <c r="S148" s="23"/>
      <c r="T148" s="23"/>
    </row>
    <row r="149" spans="1:20" s="10" customFormat="1" ht="15.75" customHeight="1" x14ac:dyDescent="0.2">
      <c r="A149" s="21">
        <v>148</v>
      </c>
      <c r="B149" s="20" t="s">
        <v>19</v>
      </c>
      <c r="C149" s="20" t="s">
        <v>14</v>
      </c>
      <c r="D149" s="20" t="s">
        <v>167</v>
      </c>
      <c r="E149" s="20" t="s">
        <v>42</v>
      </c>
      <c r="F149" s="18" t="str">
        <f>C149&amp;"-"&amp;D149&amp;"-"&amp;E149</f>
        <v>B1-P5-C3</v>
      </c>
      <c r="G149" s="20" t="s">
        <v>24</v>
      </c>
      <c r="H149" s="20">
        <v>2</v>
      </c>
      <c r="I149" s="20" t="s">
        <v>188</v>
      </c>
      <c r="J149" s="20" t="s">
        <v>133</v>
      </c>
      <c r="K149" s="19" t="str">
        <f>B149&amp;"-"&amp;C149&amp;"-"&amp;D149&amp;"-"&amp;E149&amp;"-"&amp;G149&amp;H149</f>
        <v>Fagus-B1-P5-C3-B2</v>
      </c>
      <c r="L149" s="20" t="s">
        <v>21</v>
      </c>
      <c r="M149" s="20" t="s">
        <v>22</v>
      </c>
      <c r="N149" s="20" t="s">
        <v>134</v>
      </c>
      <c r="O149" s="27" t="str">
        <f>J149&amp;"_"&amp;M149</f>
        <v>Control_No</v>
      </c>
      <c r="P149" s="2" t="str">
        <f>J149&amp;"_"&amp;M149</f>
        <v>Control_No</v>
      </c>
      <c r="Q149" s="2" t="str">
        <f>L149&amp;"_"&amp;M149</f>
        <v>Yellow_No</v>
      </c>
      <c r="R149" s="23" t="s">
        <v>2071</v>
      </c>
      <c r="S149" s="23"/>
      <c r="T149" s="23"/>
    </row>
    <row r="150" spans="1:20" s="10" customFormat="1" ht="15.75" customHeight="1" x14ac:dyDescent="0.2">
      <c r="A150" s="21">
        <v>149</v>
      </c>
      <c r="B150" s="20" t="s">
        <v>19</v>
      </c>
      <c r="C150" s="20" t="s">
        <v>14</v>
      </c>
      <c r="D150" s="20" t="s">
        <v>167</v>
      </c>
      <c r="E150" s="20" t="s">
        <v>42</v>
      </c>
      <c r="F150" s="18" t="str">
        <f>C150&amp;"-"&amp;D150&amp;"-"&amp;E150</f>
        <v>B1-P5-C3</v>
      </c>
      <c r="G150" s="20" t="s">
        <v>17</v>
      </c>
      <c r="H150" s="20">
        <v>3</v>
      </c>
      <c r="I150" s="20" t="s">
        <v>189</v>
      </c>
      <c r="J150" s="20" t="s">
        <v>133</v>
      </c>
      <c r="K150" s="19" t="str">
        <f>B150&amp;"-"&amp;C150&amp;"-"&amp;D150&amp;"-"&amp;E150&amp;"-"&amp;G150&amp;H150</f>
        <v>Fagus-B1-P5-C3-A3</v>
      </c>
      <c r="L150" s="20" t="s">
        <v>21</v>
      </c>
      <c r="M150" s="20" t="s">
        <v>22</v>
      </c>
      <c r="N150" s="20" t="s">
        <v>134</v>
      </c>
      <c r="O150" s="27" t="str">
        <f>J150&amp;"_"&amp;M150</f>
        <v>Control_No</v>
      </c>
      <c r="P150" s="2" t="str">
        <f>J150&amp;"_"&amp;M150</f>
        <v>Control_No</v>
      </c>
      <c r="Q150" s="2" t="str">
        <f>L150&amp;"_"&amp;M150</f>
        <v>Yellow_No</v>
      </c>
      <c r="R150" s="23" t="s">
        <v>2071</v>
      </c>
      <c r="S150" s="2"/>
      <c r="T150" s="2"/>
    </row>
    <row r="151" spans="1:20" s="10" customFormat="1" ht="15.75" customHeight="1" x14ac:dyDescent="0.2">
      <c r="A151" s="21">
        <v>150</v>
      </c>
      <c r="B151" s="20" t="s">
        <v>19</v>
      </c>
      <c r="C151" s="20" t="s">
        <v>14</v>
      </c>
      <c r="D151" s="20" t="s">
        <v>167</v>
      </c>
      <c r="E151" s="20" t="s">
        <v>42</v>
      </c>
      <c r="F151" s="18" t="str">
        <f>C151&amp;"-"&amp;D151&amp;"-"&amp;E151</f>
        <v>B1-P5-C3</v>
      </c>
      <c r="G151" s="20" t="s">
        <v>24</v>
      </c>
      <c r="H151" s="20">
        <v>3</v>
      </c>
      <c r="I151" s="20" t="s">
        <v>190</v>
      </c>
      <c r="J151" s="20" t="s">
        <v>133</v>
      </c>
      <c r="K151" s="19" t="str">
        <f>B151&amp;"-"&amp;C151&amp;"-"&amp;D151&amp;"-"&amp;E151&amp;"-"&amp;G151&amp;H151</f>
        <v>Fagus-B1-P5-C3-B3</v>
      </c>
      <c r="L151" s="20" t="s">
        <v>21</v>
      </c>
      <c r="M151" s="20" t="s">
        <v>22</v>
      </c>
      <c r="N151" s="20" t="s">
        <v>134</v>
      </c>
      <c r="O151" s="27" t="str">
        <f>J151&amp;"_"&amp;M151</f>
        <v>Control_No</v>
      </c>
      <c r="P151" s="2" t="str">
        <f>J151&amp;"_"&amp;M151</f>
        <v>Control_No</v>
      </c>
      <c r="Q151" s="2" t="str">
        <f>L151&amp;"_"&amp;M151</f>
        <v>Yellow_No</v>
      </c>
      <c r="R151" s="23" t="s">
        <v>2071</v>
      </c>
      <c r="S151" s="2"/>
      <c r="T151" s="2"/>
    </row>
    <row r="152" spans="1:20" s="10" customFormat="1" ht="15.75" customHeight="1" x14ac:dyDescent="0.2">
      <c r="A152" s="21">
        <v>151</v>
      </c>
      <c r="B152" s="20" t="s">
        <v>19</v>
      </c>
      <c r="C152" s="20" t="s">
        <v>14</v>
      </c>
      <c r="D152" s="20" t="s">
        <v>167</v>
      </c>
      <c r="E152" s="20" t="s">
        <v>42</v>
      </c>
      <c r="F152" s="18" t="str">
        <f>C152&amp;"-"&amp;D152&amp;"-"&amp;E152</f>
        <v>B1-P5-C3</v>
      </c>
      <c r="G152" s="20" t="s">
        <v>17</v>
      </c>
      <c r="H152" s="20">
        <v>4</v>
      </c>
      <c r="I152" s="20" t="s">
        <v>191</v>
      </c>
      <c r="J152" s="20" t="s">
        <v>133</v>
      </c>
      <c r="K152" s="19" t="str">
        <f>B152&amp;"-"&amp;C152&amp;"-"&amp;D152&amp;"-"&amp;E152&amp;"-"&amp;G152&amp;H152</f>
        <v>Fagus-B1-P5-C3-A4</v>
      </c>
      <c r="L152" s="20" t="s">
        <v>21</v>
      </c>
      <c r="M152" s="20" t="s">
        <v>22</v>
      </c>
      <c r="N152" s="20" t="s">
        <v>134</v>
      </c>
      <c r="O152" s="27" t="str">
        <f>J152&amp;"_"&amp;M152</f>
        <v>Control_No</v>
      </c>
      <c r="P152" s="2" t="str">
        <f>J152&amp;"_"&amp;M152</f>
        <v>Control_No</v>
      </c>
      <c r="Q152" s="2" t="str">
        <f>L152&amp;"_"&amp;M152</f>
        <v>Yellow_No</v>
      </c>
      <c r="R152" s="23" t="s">
        <v>2071</v>
      </c>
      <c r="S152" s="2"/>
      <c r="T152" s="2"/>
    </row>
    <row r="153" spans="1:20" s="10" customFormat="1" ht="15.75" customHeight="1" x14ac:dyDescent="0.2">
      <c r="A153" s="21">
        <v>152</v>
      </c>
      <c r="B153" s="20" t="s">
        <v>19</v>
      </c>
      <c r="C153" s="20" t="s">
        <v>14</v>
      </c>
      <c r="D153" s="20" t="s">
        <v>167</v>
      </c>
      <c r="E153" s="20" t="s">
        <v>42</v>
      </c>
      <c r="F153" s="18" t="str">
        <f>C153&amp;"-"&amp;D153&amp;"-"&amp;E153</f>
        <v>B1-P5-C3</v>
      </c>
      <c r="G153" s="20" t="s">
        <v>24</v>
      </c>
      <c r="H153" s="20">
        <v>4</v>
      </c>
      <c r="I153" s="20" t="s">
        <v>192</v>
      </c>
      <c r="J153" s="20" t="s">
        <v>133</v>
      </c>
      <c r="K153" s="19" t="str">
        <f>B153&amp;"-"&amp;C153&amp;"-"&amp;D153&amp;"-"&amp;E153&amp;"-"&amp;G153&amp;H153</f>
        <v>Fagus-B1-P5-C3-B4</v>
      </c>
      <c r="L153" s="20" t="s">
        <v>21</v>
      </c>
      <c r="M153" s="20" t="s">
        <v>22</v>
      </c>
      <c r="N153" s="20" t="s">
        <v>134</v>
      </c>
      <c r="O153" s="27" t="str">
        <f>J153&amp;"_"&amp;M153</f>
        <v>Control_No</v>
      </c>
      <c r="P153" s="2" t="str">
        <f>J153&amp;"_"&amp;M153</f>
        <v>Control_No</v>
      </c>
      <c r="Q153" s="2" t="str">
        <f>L153&amp;"_"&amp;M153</f>
        <v>Yellow_No</v>
      </c>
      <c r="R153" s="23" t="s">
        <v>2071</v>
      </c>
      <c r="S153" s="2"/>
      <c r="T153" s="2"/>
    </row>
    <row r="154" spans="1:20" ht="15.75" customHeight="1" x14ac:dyDescent="0.2">
      <c r="A154" s="13">
        <v>153</v>
      </c>
      <c r="B154" s="14" t="s">
        <v>35</v>
      </c>
      <c r="C154" s="14" t="s">
        <v>14</v>
      </c>
      <c r="D154" s="14" t="s">
        <v>167</v>
      </c>
      <c r="E154" s="14" t="s">
        <v>53</v>
      </c>
      <c r="F154" s="14" t="str">
        <f>C154&amp;"-"&amp;D154&amp;"-"&amp;E154</f>
        <v>B1-P5-C4</v>
      </c>
      <c r="G154" s="14" t="s">
        <v>17</v>
      </c>
      <c r="H154" s="14">
        <v>1</v>
      </c>
      <c r="I154" s="14" t="s">
        <v>193</v>
      </c>
      <c r="J154" s="14" t="s">
        <v>133</v>
      </c>
      <c r="K154" s="13" t="str">
        <f>B154&amp;"-"&amp;C154&amp;"-"&amp;D154&amp;"-"&amp;E154&amp;"-"&amp;G154&amp;H154</f>
        <v>Quercus-B1-P5-C4-A1</v>
      </c>
      <c r="L154" s="14" t="s">
        <v>21</v>
      </c>
      <c r="M154" s="14" t="s">
        <v>22</v>
      </c>
      <c r="N154" s="14" t="s">
        <v>134</v>
      </c>
      <c r="O154" s="24" t="str">
        <f>J154&amp;"_"&amp;M154</f>
        <v>Control_No</v>
      </c>
      <c r="P154" s="1" t="str">
        <f>J154&amp;"_"&amp;M154</f>
        <v>Control_No</v>
      </c>
      <c r="Q154" s="1" t="str">
        <f>L154&amp;"_"&amp;M154</f>
        <v>Yellow_No</v>
      </c>
      <c r="R154" s="23" t="s">
        <v>2071</v>
      </c>
      <c r="S154" s="2"/>
      <c r="T154" s="2"/>
    </row>
    <row r="155" spans="1:20" ht="15.75" customHeight="1" x14ac:dyDescent="0.2">
      <c r="A155" s="13">
        <v>154</v>
      </c>
      <c r="B155" s="14" t="s">
        <v>35</v>
      </c>
      <c r="C155" s="14" t="s">
        <v>14</v>
      </c>
      <c r="D155" s="14" t="s">
        <v>167</v>
      </c>
      <c r="E155" s="14" t="s">
        <v>53</v>
      </c>
      <c r="F155" s="14" t="str">
        <f>C155&amp;"-"&amp;D155&amp;"-"&amp;E155</f>
        <v>B1-P5-C4</v>
      </c>
      <c r="G155" s="14" t="s">
        <v>24</v>
      </c>
      <c r="H155" s="14">
        <v>1</v>
      </c>
      <c r="I155" s="14" t="s">
        <v>194</v>
      </c>
      <c r="J155" s="14" t="s">
        <v>133</v>
      </c>
      <c r="K155" s="13" t="str">
        <f>B155&amp;"-"&amp;C155&amp;"-"&amp;D155&amp;"-"&amp;E155&amp;"-"&amp;G155&amp;H155</f>
        <v>Quercus-B1-P5-C4-B1</v>
      </c>
      <c r="L155" s="14" t="s">
        <v>21</v>
      </c>
      <c r="M155" s="14" t="s">
        <v>22</v>
      </c>
      <c r="N155" s="14" t="s">
        <v>134</v>
      </c>
      <c r="O155" s="24" t="str">
        <f>J155&amp;"_"&amp;M155</f>
        <v>Control_No</v>
      </c>
      <c r="P155" s="1" t="str">
        <f>J155&amp;"_"&amp;M155</f>
        <v>Control_No</v>
      </c>
      <c r="Q155" s="1" t="str">
        <f>L155&amp;"_"&amp;M155</f>
        <v>Yellow_No</v>
      </c>
      <c r="R155" s="23" t="s">
        <v>2071</v>
      </c>
      <c r="S155" s="2"/>
      <c r="T155" s="2"/>
    </row>
    <row r="156" spans="1:20" ht="15.75" customHeight="1" x14ac:dyDescent="0.2">
      <c r="A156" s="13">
        <v>155</v>
      </c>
      <c r="B156" s="14" t="s">
        <v>35</v>
      </c>
      <c r="C156" s="14" t="s">
        <v>14</v>
      </c>
      <c r="D156" s="14" t="s">
        <v>167</v>
      </c>
      <c r="E156" s="14" t="s">
        <v>53</v>
      </c>
      <c r="F156" s="14" t="str">
        <f>C156&amp;"-"&amp;D156&amp;"-"&amp;E156</f>
        <v>B1-P5-C4</v>
      </c>
      <c r="G156" s="14" t="s">
        <v>17</v>
      </c>
      <c r="H156" s="14">
        <v>2</v>
      </c>
      <c r="I156" s="14" t="s">
        <v>195</v>
      </c>
      <c r="J156" s="14" t="s">
        <v>133</v>
      </c>
      <c r="K156" s="13" t="str">
        <f>B156&amp;"-"&amp;C156&amp;"-"&amp;D156&amp;"-"&amp;E156&amp;"-"&amp;G156&amp;H156</f>
        <v>Quercus-B1-P5-C4-A2</v>
      </c>
      <c r="L156" s="14" t="s">
        <v>21</v>
      </c>
      <c r="M156" s="14" t="s">
        <v>22</v>
      </c>
      <c r="N156" s="14" t="s">
        <v>134</v>
      </c>
      <c r="O156" s="24" t="str">
        <f>J156&amp;"_"&amp;M156</f>
        <v>Control_No</v>
      </c>
      <c r="P156" s="1" t="str">
        <f>J156&amp;"_"&amp;M156</f>
        <v>Control_No</v>
      </c>
      <c r="Q156" s="1" t="str">
        <f>L156&amp;"_"&amp;M156</f>
        <v>Yellow_No</v>
      </c>
      <c r="R156" s="23" t="s">
        <v>2071</v>
      </c>
      <c r="S156" s="2"/>
      <c r="T156" s="2"/>
    </row>
    <row r="157" spans="1:20" ht="15.75" customHeight="1" x14ac:dyDescent="0.2">
      <c r="A157" s="13">
        <v>156</v>
      </c>
      <c r="B157" s="14" t="s">
        <v>35</v>
      </c>
      <c r="C157" s="14" t="s">
        <v>14</v>
      </c>
      <c r="D157" s="14" t="s">
        <v>167</v>
      </c>
      <c r="E157" s="14" t="s">
        <v>53</v>
      </c>
      <c r="F157" s="14" t="str">
        <f>C157&amp;"-"&amp;D157&amp;"-"&amp;E157</f>
        <v>B1-P5-C4</v>
      </c>
      <c r="G157" s="14" t="s">
        <v>24</v>
      </c>
      <c r="H157" s="14">
        <v>2</v>
      </c>
      <c r="I157" s="14" t="s">
        <v>196</v>
      </c>
      <c r="J157" s="14" t="s">
        <v>133</v>
      </c>
      <c r="K157" s="13" t="str">
        <f>B157&amp;"-"&amp;C157&amp;"-"&amp;D157&amp;"-"&amp;E157&amp;"-"&amp;G157&amp;H157</f>
        <v>Quercus-B1-P5-C4-B2</v>
      </c>
      <c r="L157" s="14" t="s">
        <v>21</v>
      </c>
      <c r="M157" s="14" t="s">
        <v>22</v>
      </c>
      <c r="N157" s="14" t="s">
        <v>134</v>
      </c>
      <c r="O157" s="24" t="str">
        <f>J157&amp;"_"&amp;M157</f>
        <v>Control_No</v>
      </c>
      <c r="P157" s="1" t="str">
        <f>J157&amp;"_"&amp;M157</f>
        <v>Control_No</v>
      </c>
      <c r="Q157" s="1" t="str">
        <f>L157&amp;"_"&amp;M157</f>
        <v>Yellow_No</v>
      </c>
      <c r="R157" s="23" t="s">
        <v>2071</v>
      </c>
      <c r="S157" s="2"/>
      <c r="T157" s="2"/>
    </row>
    <row r="158" spans="1:20" ht="15.75" customHeight="1" x14ac:dyDescent="0.2">
      <c r="A158" s="13">
        <v>157</v>
      </c>
      <c r="B158" s="14" t="s">
        <v>35</v>
      </c>
      <c r="C158" s="14" t="s">
        <v>14</v>
      </c>
      <c r="D158" s="14" t="s">
        <v>167</v>
      </c>
      <c r="E158" s="14" t="s">
        <v>53</v>
      </c>
      <c r="F158" s="14" t="str">
        <f>C158&amp;"-"&amp;D158&amp;"-"&amp;E158</f>
        <v>B1-P5-C4</v>
      </c>
      <c r="G158" s="14" t="s">
        <v>17</v>
      </c>
      <c r="H158" s="14">
        <v>3</v>
      </c>
      <c r="I158" s="14" t="s">
        <v>197</v>
      </c>
      <c r="J158" s="14" t="s">
        <v>133</v>
      </c>
      <c r="K158" s="13" t="str">
        <f>B158&amp;"-"&amp;C158&amp;"-"&amp;D158&amp;"-"&amp;E158&amp;"-"&amp;G158&amp;H158</f>
        <v>Quercus-B1-P5-C4-A3</v>
      </c>
      <c r="L158" s="14" t="s">
        <v>21</v>
      </c>
      <c r="M158" s="14" t="s">
        <v>22</v>
      </c>
      <c r="N158" s="14" t="s">
        <v>134</v>
      </c>
      <c r="O158" s="24" t="str">
        <f>J158&amp;"_"&amp;M158</f>
        <v>Control_No</v>
      </c>
      <c r="P158" s="1" t="str">
        <f>J158&amp;"_"&amp;M158</f>
        <v>Control_No</v>
      </c>
      <c r="Q158" s="1" t="str">
        <f>L158&amp;"_"&amp;M158</f>
        <v>Yellow_No</v>
      </c>
      <c r="R158" s="23" t="s">
        <v>2071</v>
      </c>
      <c r="S158" s="23"/>
      <c r="T158" s="23"/>
    </row>
    <row r="159" spans="1:20" ht="15.75" customHeight="1" x14ac:dyDescent="0.2">
      <c r="A159" s="13">
        <v>158</v>
      </c>
      <c r="B159" s="14" t="s">
        <v>35</v>
      </c>
      <c r="C159" s="14" t="s">
        <v>14</v>
      </c>
      <c r="D159" s="14" t="s">
        <v>167</v>
      </c>
      <c r="E159" s="14" t="s">
        <v>53</v>
      </c>
      <c r="F159" s="14" t="str">
        <f>C159&amp;"-"&amp;D159&amp;"-"&amp;E159</f>
        <v>B1-P5-C4</v>
      </c>
      <c r="G159" s="14" t="s">
        <v>24</v>
      </c>
      <c r="H159" s="14">
        <v>3</v>
      </c>
      <c r="I159" s="14" t="s">
        <v>198</v>
      </c>
      <c r="J159" s="14" t="s">
        <v>133</v>
      </c>
      <c r="K159" s="13" t="str">
        <f>B159&amp;"-"&amp;C159&amp;"-"&amp;D159&amp;"-"&amp;E159&amp;"-"&amp;G159&amp;H159</f>
        <v>Quercus-B1-P5-C4-B3</v>
      </c>
      <c r="L159" s="14" t="s">
        <v>21</v>
      </c>
      <c r="M159" s="14" t="s">
        <v>22</v>
      </c>
      <c r="N159" s="14" t="s">
        <v>134</v>
      </c>
      <c r="O159" s="24" t="str">
        <f>J159&amp;"_"&amp;M159</f>
        <v>Control_No</v>
      </c>
      <c r="P159" s="1" t="str">
        <f>J159&amp;"_"&amp;M159</f>
        <v>Control_No</v>
      </c>
      <c r="Q159" s="1" t="str">
        <f>L159&amp;"_"&amp;M159</f>
        <v>Yellow_No</v>
      </c>
      <c r="R159" s="23" t="s">
        <v>2071</v>
      </c>
      <c r="S159" s="23"/>
      <c r="T159" s="23"/>
    </row>
    <row r="160" spans="1:20" ht="15.75" customHeight="1" x14ac:dyDescent="0.2">
      <c r="A160" s="13">
        <v>159</v>
      </c>
      <c r="B160" s="14" t="s">
        <v>35</v>
      </c>
      <c r="C160" s="14" t="s">
        <v>14</v>
      </c>
      <c r="D160" s="14" t="s">
        <v>167</v>
      </c>
      <c r="E160" s="14" t="s">
        <v>53</v>
      </c>
      <c r="F160" s="14" t="str">
        <f>C160&amp;"-"&amp;D160&amp;"-"&amp;E160</f>
        <v>B1-P5-C4</v>
      </c>
      <c r="G160" s="14" t="s">
        <v>17</v>
      </c>
      <c r="H160" s="14">
        <v>4</v>
      </c>
      <c r="I160" s="14" t="s">
        <v>199</v>
      </c>
      <c r="J160" s="14" t="s">
        <v>133</v>
      </c>
      <c r="K160" s="13" t="str">
        <f>B160&amp;"-"&amp;C160&amp;"-"&amp;D160&amp;"-"&amp;E160&amp;"-"&amp;G160&amp;H160</f>
        <v>Quercus-B1-P5-C4-A4</v>
      </c>
      <c r="L160" s="14" t="s">
        <v>21</v>
      </c>
      <c r="M160" s="14" t="s">
        <v>22</v>
      </c>
      <c r="N160" s="14" t="s">
        <v>134</v>
      </c>
      <c r="O160" s="24" t="str">
        <f>J160&amp;"_"&amp;M160</f>
        <v>Control_No</v>
      </c>
      <c r="P160" s="1" t="str">
        <f>J160&amp;"_"&amp;M160</f>
        <v>Control_No</v>
      </c>
      <c r="Q160" s="1" t="str">
        <f>L160&amp;"_"&amp;M160</f>
        <v>Yellow_No</v>
      </c>
      <c r="R160" s="23" t="s">
        <v>2071</v>
      </c>
      <c r="S160" s="23"/>
      <c r="T160" s="23"/>
    </row>
    <row r="161" spans="1:20" ht="15.75" customHeight="1" x14ac:dyDescent="0.2">
      <c r="A161" s="13">
        <v>160</v>
      </c>
      <c r="B161" s="14" t="s">
        <v>35</v>
      </c>
      <c r="C161" s="14" t="s">
        <v>14</v>
      </c>
      <c r="D161" s="14" t="s">
        <v>167</v>
      </c>
      <c r="E161" s="14" t="s">
        <v>53</v>
      </c>
      <c r="F161" s="14" t="str">
        <f>C161&amp;"-"&amp;D161&amp;"-"&amp;E161</f>
        <v>B1-P5-C4</v>
      </c>
      <c r="G161" s="14" t="s">
        <v>24</v>
      </c>
      <c r="H161" s="14">
        <v>4</v>
      </c>
      <c r="I161" s="14" t="s">
        <v>198</v>
      </c>
      <c r="J161" s="14" t="s">
        <v>133</v>
      </c>
      <c r="K161" s="13" t="str">
        <f>B161&amp;"-"&amp;C161&amp;"-"&amp;D161&amp;"-"&amp;E161&amp;"-"&amp;G161&amp;H161</f>
        <v>Quercus-B1-P5-C4-B4</v>
      </c>
      <c r="L161" s="14" t="s">
        <v>21</v>
      </c>
      <c r="M161" s="14" t="s">
        <v>22</v>
      </c>
      <c r="N161" s="14" t="s">
        <v>134</v>
      </c>
      <c r="O161" s="24" t="str">
        <f>J161&amp;"_"&amp;M161</f>
        <v>Control_No</v>
      </c>
      <c r="P161" s="1" t="str">
        <f>J161&amp;"_"&amp;M161</f>
        <v>Control_No</v>
      </c>
      <c r="Q161" s="1" t="str">
        <f>L161&amp;"_"&amp;M161</f>
        <v>Yellow_No</v>
      </c>
      <c r="R161" s="23" t="s">
        <v>2071</v>
      </c>
      <c r="S161" s="23"/>
      <c r="T161" s="23"/>
    </row>
    <row r="162" spans="1:20" s="10" customFormat="1" ht="15.75" customHeight="1" x14ac:dyDescent="0.2">
      <c r="A162" s="21">
        <v>161</v>
      </c>
      <c r="B162" s="20" t="s">
        <v>19</v>
      </c>
      <c r="C162" s="20" t="s">
        <v>14</v>
      </c>
      <c r="D162" s="20" t="s">
        <v>200</v>
      </c>
      <c r="E162" s="20" t="s">
        <v>16</v>
      </c>
      <c r="F162" s="18" t="str">
        <f>C162&amp;"-"&amp;D162&amp;"-"&amp;E162</f>
        <v>B1-P6-C1</v>
      </c>
      <c r="G162" s="20" t="s">
        <v>17</v>
      </c>
      <c r="H162" s="20">
        <v>1</v>
      </c>
      <c r="I162" s="20" t="s">
        <v>201</v>
      </c>
      <c r="J162" s="20" t="s">
        <v>133</v>
      </c>
      <c r="K162" s="19" t="str">
        <f>B162&amp;"-"&amp;C162&amp;"-"&amp;D162&amp;"-"&amp;E162&amp;"-"&amp;G162&amp;H162</f>
        <v>Fagus-B1-P6-C1-A1</v>
      </c>
      <c r="L162" s="20" t="s">
        <v>64</v>
      </c>
      <c r="M162" s="20" t="s">
        <v>22</v>
      </c>
      <c r="N162" s="20" t="s">
        <v>202</v>
      </c>
      <c r="O162" s="27" t="str">
        <f>J162&amp;"_"&amp;M162</f>
        <v>Control_No</v>
      </c>
      <c r="P162" s="2" t="str">
        <f>J162&amp;"_"&amp;M162</f>
        <v>Control_No</v>
      </c>
      <c r="Q162" s="2" t="str">
        <f>L162&amp;"_"&amp;M162</f>
        <v>Grey_No</v>
      </c>
      <c r="R162" s="18" t="s">
        <v>2072</v>
      </c>
      <c r="S162" s="2"/>
      <c r="T162" s="2"/>
    </row>
    <row r="163" spans="1:20" s="10" customFormat="1" ht="15.75" customHeight="1" x14ac:dyDescent="0.2">
      <c r="A163" s="21">
        <v>162</v>
      </c>
      <c r="B163" s="20" t="s">
        <v>19</v>
      </c>
      <c r="C163" s="20" t="s">
        <v>14</v>
      </c>
      <c r="D163" s="20" t="s">
        <v>200</v>
      </c>
      <c r="E163" s="20" t="s">
        <v>16</v>
      </c>
      <c r="F163" s="18" t="str">
        <f>C163&amp;"-"&amp;D163&amp;"-"&amp;E163</f>
        <v>B1-P6-C1</v>
      </c>
      <c r="G163" s="20" t="s">
        <v>24</v>
      </c>
      <c r="H163" s="20">
        <v>1</v>
      </c>
      <c r="I163" s="20" t="s">
        <v>203</v>
      </c>
      <c r="J163" s="20" t="s">
        <v>133</v>
      </c>
      <c r="K163" s="19" t="str">
        <f>B163&amp;"-"&amp;C163&amp;"-"&amp;D163&amp;"-"&amp;E163&amp;"-"&amp;G163&amp;H163</f>
        <v>Fagus-B1-P6-C1-B1</v>
      </c>
      <c r="L163" s="20" t="s">
        <v>64</v>
      </c>
      <c r="M163" s="20" t="s">
        <v>22</v>
      </c>
      <c r="N163" s="20" t="s">
        <v>202</v>
      </c>
      <c r="O163" s="27" t="str">
        <f>J163&amp;"_"&amp;M163</f>
        <v>Control_No</v>
      </c>
      <c r="P163" s="2" t="str">
        <f>J163&amp;"_"&amp;M163</f>
        <v>Control_No</v>
      </c>
      <c r="Q163" s="2" t="str">
        <f>L163&amp;"_"&amp;M163</f>
        <v>Grey_No</v>
      </c>
      <c r="R163" s="18" t="s">
        <v>2072</v>
      </c>
      <c r="S163" s="2"/>
      <c r="T163" s="2"/>
    </row>
    <row r="164" spans="1:20" s="10" customFormat="1" ht="15.75" customHeight="1" x14ac:dyDescent="0.2">
      <c r="A164" s="21">
        <v>163</v>
      </c>
      <c r="B164" s="20" t="s">
        <v>19</v>
      </c>
      <c r="C164" s="20" t="s">
        <v>14</v>
      </c>
      <c r="D164" s="20" t="s">
        <v>200</v>
      </c>
      <c r="E164" s="20" t="s">
        <v>16</v>
      </c>
      <c r="F164" s="18" t="str">
        <f>C164&amp;"-"&amp;D164&amp;"-"&amp;E164</f>
        <v>B1-P6-C1</v>
      </c>
      <c r="G164" s="20" t="s">
        <v>17</v>
      </c>
      <c r="H164" s="20">
        <v>2</v>
      </c>
      <c r="I164" s="20" t="s">
        <v>204</v>
      </c>
      <c r="J164" s="20" t="s">
        <v>133</v>
      </c>
      <c r="K164" s="19" t="str">
        <f>B164&amp;"-"&amp;C164&amp;"-"&amp;D164&amp;"-"&amp;E164&amp;"-"&amp;G164&amp;H164</f>
        <v>Fagus-B1-P6-C1-A2</v>
      </c>
      <c r="L164" s="20" t="s">
        <v>64</v>
      </c>
      <c r="M164" s="20" t="s">
        <v>22</v>
      </c>
      <c r="N164" s="20" t="s">
        <v>202</v>
      </c>
      <c r="O164" s="27" t="str">
        <f>J164&amp;"_"&amp;M164</f>
        <v>Control_No</v>
      </c>
      <c r="P164" s="2" t="str">
        <f>J164&amp;"_"&amp;M164</f>
        <v>Control_No</v>
      </c>
      <c r="Q164" s="2" t="str">
        <f>L164&amp;"_"&amp;M164</f>
        <v>Grey_No</v>
      </c>
      <c r="R164" s="18" t="s">
        <v>2072</v>
      </c>
      <c r="S164" s="2"/>
      <c r="T164" s="2"/>
    </row>
    <row r="165" spans="1:20" s="10" customFormat="1" ht="15.75" customHeight="1" x14ac:dyDescent="0.2">
      <c r="A165" s="21">
        <v>164</v>
      </c>
      <c r="B165" s="20" t="s">
        <v>19</v>
      </c>
      <c r="C165" s="20" t="s">
        <v>14</v>
      </c>
      <c r="D165" s="20" t="s">
        <v>200</v>
      </c>
      <c r="E165" s="20" t="s">
        <v>16</v>
      </c>
      <c r="F165" s="18" t="str">
        <f>C165&amp;"-"&amp;D165&amp;"-"&amp;E165</f>
        <v>B1-P6-C1</v>
      </c>
      <c r="G165" s="20" t="s">
        <v>24</v>
      </c>
      <c r="H165" s="20">
        <v>2</v>
      </c>
      <c r="I165" s="20" t="s">
        <v>205</v>
      </c>
      <c r="J165" s="20" t="s">
        <v>133</v>
      </c>
      <c r="K165" s="19" t="str">
        <f>B165&amp;"-"&amp;C165&amp;"-"&amp;D165&amp;"-"&amp;E165&amp;"-"&amp;G165&amp;H165</f>
        <v>Fagus-B1-P6-C1-B2</v>
      </c>
      <c r="L165" s="20" t="s">
        <v>64</v>
      </c>
      <c r="M165" s="20" t="s">
        <v>22</v>
      </c>
      <c r="N165" s="20" t="s">
        <v>202</v>
      </c>
      <c r="O165" s="27" t="str">
        <f>J165&amp;"_"&amp;M165</f>
        <v>Control_No</v>
      </c>
      <c r="P165" s="2" t="str">
        <f>J165&amp;"_"&amp;M165</f>
        <v>Control_No</v>
      </c>
      <c r="Q165" s="2" t="str">
        <f>L165&amp;"_"&amp;M165</f>
        <v>Grey_No</v>
      </c>
      <c r="R165" s="18" t="s">
        <v>2072</v>
      </c>
      <c r="S165" s="2"/>
      <c r="T165" s="2"/>
    </row>
    <row r="166" spans="1:20" s="10" customFormat="1" ht="15.75" customHeight="1" x14ac:dyDescent="0.2">
      <c r="A166" s="21">
        <v>165</v>
      </c>
      <c r="B166" s="20" t="s">
        <v>19</v>
      </c>
      <c r="C166" s="20" t="s">
        <v>14</v>
      </c>
      <c r="D166" s="20" t="s">
        <v>200</v>
      </c>
      <c r="E166" s="20" t="s">
        <v>16</v>
      </c>
      <c r="F166" s="18" t="str">
        <f>C166&amp;"-"&amp;D166&amp;"-"&amp;E166</f>
        <v>B1-P6-C1</v>
      </c>
      <c r="G166" s="20" t="s">
        <v>17</v>
      </c>
      <c r="H166" s="20">
        <v>3</v>
      </c>
      <c r="I166" s="20" t="s">
        <v>206</v>
      </c>
      <c r="J166" s="20" t="s">
        <v>133</v>
      </c>
      <c r="K166" s="19" t="str">
        <f>B166&amp;"-"&amp;C166&amp;"-"&amp;D166&amp;"-"&amp;E166&amp;"-"&amp;G166&amp;H166</f>
        <v>Fagus-B1-P6-C1-A3</v>
      </c>
      <c r="L166" s="20" t="s">
        <v>64</v>
      </c>
      <c r="M166" s="20" t="s">
        <v>22</v>
      </c>
      <c r="N166" s="20" t="s">
        <v>202</v>
      </c>
      <c r="O166" s="27" t="str">
        <f>J166&amp;"_"&amp;M166</f>
        <v>Control_No</v>
      </c>
      <c r="P166" s="2" t="str">
        <f>J166&amp;"_"&amp;M166</f>
        <v>Control_No</v>
      </c>
      <c r="Q166" s="2" t="str">
        <f>L166&amp;"_"&amp;M166</f>
        <v>Grey_No</v>
      </c>
      <c r="R166" s="18" t="s">
        <v>2072</v>
      </c>
      <c r="S166" s="2"/>
      <c r="T166" s="2"/>
    </row>
    <row r="167" spans="1:20" s="10" customFormat="1" ht="15.75" customHeight="1" x14ac:dyDescent="0.2">
      <c r="A167" s="21">
        <v>166</v>
      </c>
      <c r="B167" s="20" t="s">
        <v>19</v>
      </c>
      <c r="C167" s="20" t="s">
        <v>14</v>
      </c>
      <c r="D167" s="20" t="s">
        <v>200</v>
      </c>
      <c r="E167" s="20" t="s">
        <v>16</v>
      </c>
      <c r="F167" s="18" t="str">
        <f>C167&amp;"-"&amp;D167&amp;"-"&amp;E167</f>
        <v>B1-P6-C1</v>
      </c>
      <c r="G167" s="20" t="s">
        <v>24</v>
      </c>
      <c r="H167" s="20">
        <v>3</v>
      </c>
      <c r="I167" s="20" t="s">
        <v>207</v>
      </c>
      <c r="J167" s="20" t="s">
        <v>133</v>
      </c>
      <c r="K167" s="19" t="str">
        <f>B167&amp;"-"&amp;C167&amp;"-"&amp;D167&amp;"-"&amp;E167&amp;"-"&amp;G167&amp;H167</f>
        <v>Fagus-B1-P6-C1-B3</v>
      </c>
      <c r="L167" s="20" t="s">
        <v>64</v>
      </c>
      <c r="M167" s="20" t="s">
        <v>22</v>
      </c>
      <c r="N167" s="20" t="s">
        <v>202</v>
      </c>
      <c r="O167" s="27" t="str">
        <f>J167&amp;"_"&amp;M167</f>
        <v>Control_No</v>
      </c>
      <c r="P167" s="2" t="str">
        <f>J167&amp;"_"&amp;M167</f>
        <v>Control_No</v>
      </c>
      <c r="Q167" s="2" t="str">
        <f>L167&amp;"_"&amp;M167</f>
        <v>Grey_No</v>
      </c>
      <c r="R167" s="18" t="s">
        <v>2072</v>
      </c>
      <c r="S167" s="2"/>
      <c r="T167" s="2"/>
    </row>
    <row r="168" spans="1:20" s="10" customFormat="1" ht="15.75" customHeight="1" x14ac:dyDescent="0.2">
      <c r="A168" s="21">
        <v>167</v>
      </c>
      <c r="B168" s="20" t="s">
        <v>19</v>
      </c>
      <c r="C168" s="20" t="s">
        <v>14</v>
      </c>
      <c r="D168" s="20" t="s">
        <v>200</v>
      </c>
      <c r="E168" s="20" t="s">
        <v>16</v>
      </c>
      <c r="F168" s="18" t="str">
        <f>C168&amp;"-"&amp;D168&amp;"-"&amp;E168</f>
        <v>B1-P6-C1</v>
      </c>
      <c r="G168" s="20" t="s">
        <v>17</v>
      </c>
      <c r="H168" s="20">
        <v>4</v>
      </c>
      <c r="I168" s="20" t="s">
        <v>208</v>
      </c>
      <c r="J168" s="20" t="s">
        <v>133</v>
      </c>
      <c r="K168" s="19" t="str">
        <f>B168&amp;"-"&amp;C168&amp;"-"&amp;D168&amp;"-"&amp;E168&amp;"-"&amp;G168&amp;H168</f>
        <v>Fagus-B1-P6-C1-A4</v>
      </c>
      <c r="L168" s="20" t="s">
        <v>64</v>
      </c>
      <c r="M168" s="20" t="s">
        <v>22</v>
      </c>
      <c r="N168" s="20" t="s">
        <v>202</v>
      </c>
      <c r="O168" s="27" t="str">
        <f>J168&amp;"_"&amp;M168</f>
        <v>Control_No</v>
      </c>
      <c r="P168" s="2" t="str">
        <f>J168&amp;"_"&amp;M168</f>
        <v>Control_No</v>
      </c>
      <c r="Q168" s="2" t="str">
        <f>L168&amp;"_"&amp;M168</f>
        <v>Grey_No</v>
      </c>
      <c r="R168" s="18" t="s">
        <v>2072</v>
      </c>
      <c r="S168" s="2"/>
      <c r="T168" s="2"/>
    </row>
    <row r="169" spans="1:20" s="10" customFormat="1" ht="15.75" customHeight="1" x14ac:dyDescent="0.2">
      <c r="A169" s="21">
        <v>168</v>
      </c>
      <c r="B169" s="20" t="s">
        <v>19</v>
      </c>
      <c r="C169" s="20" t="s">
        <v>14</v>
      </c>
      <c r="D169" s="20" t="s">
        <v>200</v>
      </c>
      <c r="E169" s="20" t="s">
        <v>16</v>
      </c>
      <c r="F169" s="18" t="str">
        <f>C169&amp;"-"&amp;D169&amp;"-"&amp;E169</f>
        <v>B1-P6-C1</v>
      </c>
      <c r="G169" s="20" t="s">
        <v>24</v>
      </c>
      <c r="H169" s="20">
        <v>4</v>
      </c>
      <c r="I169" s="20" t="s">
        <v>209</v>
      </c>
      <c r="J169" s="20" t="s">
        <v>133</v>
      </c>
      <c r="K169" s="19" t="str">
        <f>B169&amp;"-"&amp;C169&amp;"-"&amp;D169&amp;"-"&amp;E169&amp;"-"&amp;G169&amp;H169</f>
        <v>Fagus-B1-P6-C1-B4</v>
      </c>
      <c r="L169" s="20" t="s">
        <v>64</v>
      </c>
      <c r="M169" s="20" t="s">
        <v>22</v>
      </c>
      <c r="N169" s="20" t="s">
        <v>202</v>
      </c>
      <c r="O169" s="27" t="str">
        <f>J169&amp;"_"&amp;M169</f>
        <v>Control_No</v>
      </c>
      <c r="P169" s="2" t="str">
        <f>J169&amp;"_"&amp;M169</f>
        <v>Control_No</v>
      </c>
      <c r="Q169" s="2" t="str">
        <f>L169&amp;"_"&amp;M169</f>
        <v>Grey_No</v>
      </c>
      <c r="R169" s="18" t="s">
        <v>2072</v>
      </c>
      <c r="S169" s="2"/>
      <c r="T169" s="2"/>
    </row>
    <row r="170" spans="1:20" ht="15.75" customHeight="1" x14ac:dyDescent="0.2">
      <c r="A170" s="13">
        <v>169</v>
      </c>
      <c r="B170" s="14" t="s">
        <v>35</v>
      </c>
      <c r="C170" s="14" t="s">
        <v>14</v>
      </c>
      <c r="D170" s="14" t="s">
        <v>200</v>
      </c>
      <c r="E170" s="14" t="s">
        <v>32</v>
      </c>
      <c r="F170" s="14" t="str">
        <f>C170&amp;"-"&amp;D170&amp;"-"&amp;E170</f>
        <v>B1-P6-C2</v>
      </c>
      <c r="G170" s="14" t="s">
        <v>17</v>
      </c>
      <c r="H170" s="14">
        <v>1</v>
      </c>
      <c r="I170" s="14" t="s">
        <v>210</v>
      </c>
      <c r="J170" s="14" t="s">
        <v>133</v>
      </c>
      <c r="K170" s="13" t="str">
        <f>B170&amp;"-"&amp;C170&amp;"-"&amp;D170&amp;"-"&amp;E170&amp;"-"&amp;G170&amp;H170</f>
        <v>Quercus-B1-P6-C2-A1</v>
      </c>
      <c r="L170" s="14" t="s">
        <v>64</v>
      </c>
      <c r="M170" s="14" t="s">
        <v>22</v>
      </c>
      <c r="N170" s="14" t="s">
        <v>202</v>
      </c>
      <c r="O170" s="24" t="str">
        <f>J170&amp;"_"&amp;M170</f>
        <v>Control_No</v>
      </c>
      <c r="P170" s="1" t="str">
        <f>J170&amp;"_"&amp;M170</f>
        <v>Control_No</v>
      </c>
      <c r="Q170" s="1" t="str">
        <f>L170&amp;"_"&amp;M170</f>
        <v>Grey_No</v>
      </c>
      <c r="R170" s="18" t="s">
        <v>2072</v>
      </c>
      <c r="S170" s="23"/>
      <c r="T170" s="23"/>
    </row>
    <row r="171" spans="1:20" ht="15.75" customHeight="1" x14ac:dyDescent="0.2">
      <c r="A171" s="13">
        <v>170</v>
      </c>
      <c r="B171" s="14" t="s">
        <v>35</v>
      </c>
      <c r="C171" s="14" t="s">
        <v>14</v>
      </c>
      <c r="D171" s="14" t="s">
        <v>200</v>
      </c>
      <c r="E171" s="14" t="s">
        <v>32</v>
      </c>
      <c r="F171" s="14" t="str">
        <f>C171&amp;"-"&amp;D171&amp;"-"&amp;E171</f>
        <v>B1-P6-C2</v>
      </c>
      <c r="G171" s="14" t="s">
        <v>24</v>
      </c>
      <c r="H171" s="14">
        <v>1</v>
      </c>
      <c r="I171" s="14" t="s">
        <v>211</v>
      </c>
      <c r="J171" s="14" t="s">
        <v>133</v>
      </c>
      <c r="K171" s="13" t="str">
        <f>B171&amp;"-"&amp;C171&amp;"-"&amp;D171&amp;"-"&amp;E171&amp;"-"&amp;G171&amp;H171</f>
        <v>Quercus-B1-P6-C2-B1</v>
      </c>
      <c r="L171" s="14" t="s">
        <v>64</v>
      </c>
      <c r="M171" s="14" t="s">
        <v>22</v>
      </c>
      <c r="N171" s="14" t="s">
        <v>202</v>
      </c>
      <c r="O171" s="24" t="str">
        <f>J171&amp;"_"&amp;M171</f>
        <v>Control_No</v>
      </c>
      <c r="P171" s="1" t="str">
        <f>J171&amp;"_"&amp;M171</f>
        <v>Control_No</v>
      </c>
      <c r="Q171" s="1" t="str">
        <f>L171&amp;"_"&amp;M171</f>
        <v>Grey_No</v>
      </c>
      <c r="R171" s="18" t="s">
        <v>2072</v>
      </c>
      <c r="S171" s="23"/>
      <c r="T171" s="23"/>
    </row>
    <row r="172" spans="1:20" ht="15.75" customHeight="1" x14ac:dyDescent="0.2">
      <c r="A172" s="13">
        <v>171</v>
      </c>
      <c r="B172" s="14" t="s">
        <v>35</v>
      </c>
      <c r="C172" s="14" t="s">
        <v>14</v>
      </c>
      <c r="D172" s="14" t="s">
        <v>200</v>
      </c>
      <c r="E172" s="14" t="s">
        <v>32</v>
      </c>
      <c r="F172" s="14" t="str">
        <f>C172&amp;"-"&amp;D172&amp;"-"&amp;E172</f>
        <v>B1-P6-C2</v>
      </c>
      <c r="G172" s="14" t="s">
        <v>17</v>
      </c>
      <c r="H172" s="14">
        <v>2</v>
      </c>
      <c r="I172" s="14" t="s">
        <v>212</v>
      </c>
      <c r="J172" s="14" t="s">
        <v>133</v>
      </c>
      <c r="K172" s="13" t="str">
        <f>B172&amp;"-"&amp;C172&amp;"-"&amp;D172&amp;"-"&amp;E172&amp;"-"&amp;G172&amp;H172</f>
        <v>Quercus-B1-P6-C2-A2</v>
      </c>
      <c r="L172" s="14" t="s">
        <v>64</v>
      </c>
      <c r="M172" s="14" t="s">
        <v>22</v>
      </c>
      <c r="N172" s="14" t="s">
        <v>202</v>
      </c>
      <c r="O172" s="24" t="str">
        <f>J172&amp;"_"&amp;M172</f>
        <v>Control_No</v>
      </c>
      <c r="P172" s="1" t="str">
        <f>J172&amp;"_"&amp;M172</f>
        <v>Control_No</v>
      </c>
      <c r="Q172" s="1" t="str">
        <f>L172&amp;"_"&amp;M172</f>
        <v>Grey_No</v>
      </c>
      <c r="R172" s="18" t="s">
        <v>2072</v>
      </c>
      <c r="S172" s="23"/>
      <c r="T172" s="23"/>
    </row>
    <row r="173" spans="1:20" ht="15.75" customHeight="1" x14ac:dyDescent="0.2">
      <c r="A173" s="13">
        <v>172</v>
      </c>
      <c r="B173" s="14" t="s">
        <v>35</v>
      </c>
      <c r="C173" s="14" t="s">
        <v>14</v>
      </c>
      <c r="D173" s="14" t="s">
        <v>200</v>
      </c>
      <c r="E173" s="14" t="s">
        <v>32</v>
      </c>
      <c r="F173" s="14" t="str">
        <f>C173&amp;"-"&amp;D173&amp;"-"&amp;E173</f>
        <v>B1-P6-C2</v>
      </c>
      <c r="G173" s="14" t="s">
        <v>24</v>
      </c>
      <c r="H173" s="14">
        <v>2</v>
      </c>
      <c r="I173" s="14" t="s">
        <v>213</v>
      </c>
      <c r="J173" s="14" t="s">
        <v>133</v>
      </c>
      <c r="K173" s="13" t="str">
        <f>B173&amp;"-"&amp;C173&amp;"-"&amp;D173&amp;"-"&amp;E173&amp;"-"&amp;G173&amp;H173</f>
        <v>Quercus-B1-P6-C2-B2</v>
      </c>
      <c r="L173" s="14" t="s">
        <v>64</v>
      </c>
      <c r="M173" s="14" t="s">
        <v>22</v>
      </c>
      <c r="N173" s="14" t="s">
        <v>202</v>
      </c>
      <c r="O173" s="24" t="str">
        <f>J173&amp;"_"&amp;M173</f>
        <v>Control_No</v>
      </c>
      <c r="P173" s="1" t="str">
        <f>J173&amp;"_"&amp;M173</f>
        <v>Control_No</v>
      </c>
      <c r="Q173" s="1" t="str">
        <f>L173&amp;"_"&amp;M173</f>
        <v>Grey_No</v>
      </c>
      <c r="R173" s="18" t="s">
        <v>2072</v>
      </c>
      <c r="S173" s="23"/>
      <c r="T173" s="23"/>
    </row>
    <row r="174" spans="1:20" ht="15.75" customHeight="1" x14ac:dyDescent="0.2">
      <c r="A174" s="13">
        <v>173</v>
      </c>
      <c r="B174" s="14" t="s">
        <v>35</v>
      </c>
      <c r="C174" s="14" t="s">
        <v>14</v>
      </c>
      <c r="D174" s="14" t="s">
        <v>200</v>
      </c>
      <c r="E174" s="14" t="s">
        <v>32</v>
      </c>
      <c r="F174" s="14" t="str">
        <f>C174&amp;"-"&amp;D174&amp;"-"&amp;E174</f>
        <v>B1-P6-C2</v>
      </c>
      <c r="G174" s="14" t="s">
        <v>17</v>
      </c>
      <c r="H174" s="14">
        <v>3</v>
      </c>
      <c r="I174" s="14" t="s">
        <v>214</v>
      </c>
      <c r="J174" s="14" t="s">
        <v>133</v>
      </c>
      <c r="K174" s="13" t="str">
        <f>B174&amp;"-"&amp;C174&amp;"-"&amp;D174&amp;"-"&amp;E174&amp;"-"&amp;G174&amp;H174</f>
        <v>Quercus-B1-P6-C2-A3</v>
      </c>
      <c r="L174" s="14" t="s">
        <v>64</v>
      </c>
      <c r="M174" s="14" t="s">
        <v>22</v>
      </c>
      <c r="N174" s="14" t="s">
        <v>202</v>
      </c>
      <c r="O174" s="24" t="str">
        <f>J174&amp;"_"&amp;M174</f>
        <v>Control_No</v>
      </c>
      <c r="P174" s="1" t="str">
        <f>J174&amp;"_"&amp;M174</f>
        <v>Control_No</v>
      </c>
      <c r="Q174" s="1" t="str">
        <f>L174&amp;"_"&amp;M174</f>
        <v>Grey_No</v>
      </c>
      <c r="R174" s="18" t="s">
        <v>2072</v>
      </c>
      <c r="S174" s="23"/>
      <c r="T174" s="23"/>
    </row>
    <row r="175" spans="1:20" ht="15.75" customHeight="1" x14ac:dyDescent="0.2">
      <c r="A175" s="13">
        <v>174</v>
      </c>
      <c r="B175" s="14" t="s">
        <v>35</v>
      </c>
      <c r="C175" s="14" t="s">
        <v>14</v>
      </c>
      <c r="D175" s="14" t="s">
        <v>200</v>
      </c>
      <c r="E175" s="14" t="s">
        <v>32</v>
      </c>
      <c r="F175" s="14" t="str">
        <f>C175&amp;"-"&amp;D175&amp;"-"&amp;E175</f>
        <v>B1-P6-C2</v>
      </c>
      <c r="G175" s="14" t="s">
        <v>24</v>
      </c>
      <c r="H175" s="14">
        <v>3</v>
      </c>
      <c r="I175" s="14" t="s">
        <v>215</v>
      </c>
      <c r="J175" s="14" t="s">
        <v>133</v>
      </c>
      <c r="K175" s="13" t="str">
        <f>B175&amp;"-"&amp;C175&amp;"-"&amp;D175&amp;"-"&amp;E175&amp;"-"&amp;G175&amp;H175</f>
        <v>Quercus-B1-P6-C2-B3</v>
      </c>
      <c r="L175" s="14" t="s">
        <v>64</v>
      </c>
      <c r="M175" s="14" t="s">
        <v>22</v>
      </c>
      <c r="N175" s="14" t="s">
        <v>202</v>
      </c>
      <c r="O175" s="24" t="str">
        <f>J175&amp;"_"&amp;M175</f>
        <v>Control_No</v>
      </c>
      <c r="P175" s="1" t="str">
        <f>J175&amp;"_"&amp;M175</f>
        <v>Control_No</v>
      </c>
      <c r="Q175" s="1" t="str">
        <f>L175&amp;"_"&amp;M175</f>
        <v>Grey_No</v>
      </c>
      <c r="R175" s="18" t="s">
        <v>2072</v>
      </c>
      <c r="S175" s="23"/>
      <c r="T175" s="23"/>
    </row>
    <row r="176" spans="1:20" ht="15.75" customHeight="1" x14ac:dyDescent="0.2">
      <c r="A176" s="13">
        <v>175</v>
      </c>
      <c r="B176" s="14" t="s">
        <v>35</v>
      </c>
      <c r="C176" s="14" t="s">
        <v>14</v>
      </c>
      <c r="D176" s="14" t="s">
        <v>200</v>
      </c>
      <c r="E176" s="14" t="s">
        <v>32</v>
      </c>
      <c r="F176" s="14" t="str">
        <f>C176&amp;"-"&amp;D176&amp;"-"&amp;E176</f>
        <v>B1-P6-C2</v>
      </c>
      <c r="G176" s="14" t="s">
        <v>17</v>
      </c>
      <c r="H176" s="14">
        <v>4</v>
      </c>
      <c r="I176" s="14" t="s">
        <v>216</v>
      </c>
      <c r="J176" s="14" t="s">
        <v>133</v>
      </c>
      <c r="K176" s="13" t="str">
        <f>B176&amp;"-"&amp;C176&amp;"-"&amp;D176&amp;"-"&amp;E176&amp;"-"&amp;G176&amp;H176</f>
        <v>Quercus-B1-P6-C2-A4</v>
      </c>
      <c r="L176" s="14" t="s">
        <v>64</v>
      </c>
      <c r="M176" s="14" t="s">
        <v>22</v>
      </c>
      <c r="N176" s="14" t="s">
        <v>202</v>
      </c>
      <c r="O176" s="24" t="str">
        <f>J176&amp;"_"&amp;M176</f>
        <v>Control_No</v>
      </c>
      <c r="P176" s="1" t="str">
        <f>J176&amp;"_"&amp;M176</f>
        <v>Control_No</v>
      </c>
      <c r="Q176" s="1" t="str">
        <f>L176&amp;"_"&amp;M176</f>
        <v>Grey_No</v>
      </c>
      <c r="R176" s="18" t="s">
        <v>2072</v>
      </c>
      <c r="S176" s="23"/>
      <c r="T176" s="23"/>
    </row>
    <row r="177" spans="1:20" ht="15.75" customHeight="1" x14ac:dyDescent="0.2">
      <c r="A177" s="13">
        <v>176</v>
      </c>
      <c r="B177" s="14" t="s">
        <v>35</v>
      </c>
      <c r="C177" s="14" t="s">
        <v>14</v>
      </c>
      <c r="D177" s="14" t="s">
        <v>200</v>
      </c>
      <c r="E177" s="14" t="s">
        <v>32</v>
      </c>
      <c r="F177" s="14" t="str">
        <f>C177&amp;"-"&amp;D177&amp;"-"&amp;E177</f>
        <v>B1-P6-C2</v>
      </c>
      <c r="G177" s="14" t="s">
        <v>24</v>
      </c>
      <c r="H177" s="14">
        <v>4</v>
      </c>
      <c r="I177" s="14" t="s">
        <v>217</v>
      </c>
      <c r="J177" s="14" t="s">
        <v>133</v>
      </c>
      <c r="K177" s="13" t="str">
        <f>B177&amp;"-"&amp;C177&amp;"-"&amp;D177&amp;"-"&amp;E177&amp;"-"&amp;G177&amp;H177</f>
        <v>Quercus-B1-P6-C2-B4</v>
      </c>
      <c r="L177" s="14" t="s">
        <v>64</v>
      </c>
      <c r="M177" s="14" t="s">
        <v>22</v>
      </c>
      <c r="N177" s="14" t="s">
        <v>202</v>
      </c>
      <c r="O177" s="24" t="str">
        <f>J177&amp;"_"&amp;M177</f>
        <v>Control_No</v>
      </c>
      <c r="P177" s="1" t="str">
        <f>J177&amp;"_"&amp;M177</f>
        <v>Control_No</v>
      </c>
      <c r="Q177" s="1" t="str">
        <f>L177&amp;"_"&amp;M177</f>
        <v>Grey_No</v>
      </c>
      <c r="R177" s="18" t="s">
        <v>2072</v>
      </c>
      <c r="S177" s="23"/>
      <c r="T177" s="23"/>
    </row>
    <row r="178" spans="1:20" s="10" customFormat="1" ht="15.75" customHeight="1" x14ac:dyDescent="0.2">
      <c r="A178" s="21">
        <v>177</v>
      </c>
      <c r="B178" s="20" t="s">
        <v>19</v>
      </c>
      <c r="C178" s="20" t="s">
        <v>14</v>
      </c>
      <c r="D178" s="20" t="s">
        <v>200</v>
      </c>
      <c r="E178" s="20" t="s">
        <v>42</v>
      </c>
      <c r="F178" s="18" t="str">
        <f>C178&amp;"-"&amp;D178&amp;"-"&amp;E178</f>
        <v>B1-P6-C3</v>
      </c>
      <c r="G178" s="20" t="s">
        <v>17</v>
      </c>
      <c r="H178" s="20">
        <v>1</v>
      </c>
      <c r="I178" s="20" t="s">
        <v>218</v>
      </c>
      <c r="J178" s="20" t="s">
        <v>133</v>
      </c>
      <c r="K178" s="19" t="str">
        <f>B178&amp;"-"&amp;C178&amp;"-"&amp;D178&amp;"-"&amp;E178&amp;"-"&amp;G178&amp;H178</f>
        <v>Fagus-B1-P6-C3-A1</v>
      </c>
      <c r="L178" s="20" t="s">
        <v>64</v>
      </c>
      <c r="M178" s="20" t="s">
        <v>22</v>
      </c>
      <c r="N178" s="20" t="s">
        <v>202</v>
      </c>
      <c r="O178" s="27" t="str">
        <f>J178&amp;"_"&amp;M178</f>
        <v>Control_No</v>
      </c>
      <c r="P178" s="2" t="str">
        <f>J178&amp;"_"&amp;M178</f>
        <v>Control_No</v>
      </c>
      <c r="Q178" s="2" t="str">
        <f>L178&amp;"_"&amp;M178</f>
        <v>Grey_No</v>
      </c>
      <c r="R178" s="18" t="s">
        <v>2072</v>
      </c>
      <c r="S178" s="2"/>
      <c r="T178" s="2"/>
    </row>
    <row r="179" spans="1:20" s="10" customFormat="1" ht="15.75" customHeight="1" x14ac:dyDescent="0.2">
      <c r="A179" s="21">
        <v>178</v>
      </c>
      <c r="B179" s="20" t="s">
        <v>35</v>
      </c>
      <c r="C179" s="20" t="s">
        <v>14</v>
      </c>
      <c r="D179" s="20" t="s">
        <v>200</v>
      </c>
      <c r="E179" s="20" t="s">
        <v>42</v>
      </c>
      <c r="F179" s="18" t="str">
        <f>C179&amp;"-"&amp;D179&amp;"-"&amp;E179</f>
        <v>B1-P6-C3</v>
      </c>
      <c r="G179" s="20" t="s">
        <v>24</v>
      </c>
      <c r="H179" s="20">
        <v>1</v>
      </c>
      <c r="I179" s="20" t="s">
        <v>219</v>
      </c>
      <c r="J179" s="20" t="s">
        <v>133</v>
      </c>
      <c r="K179" s="19" t="str">
        <f>B179&amp;"-"&amp;C179&amp;"-"&amp;D179&amp;"-"&amp;E179&amp;"-"&amp;G179&amp;H179</f>
        <v>Quercus-B1-P6-C3-B1</v>
      </c>
      <c r="L179" s="20" t="s">
        <v>64</v>
      </c>
      <c r="M179" s="20" t="s">
        <v>22</v>
      </c>
      <c r="N179" s="20" t="s">
        <v>202</v>
      </c>
      <c r="O179" s="27" t="str">
        <f>J179&amp;"_"&amp;M179</f>
        <v>Control_No</v>
      </c>
      <c r="P179" s="2" t="str">
        <f>J179&amp;"_"&amp;M179</f>
        <v>Control_No</v>
      </c>
      <c r="Q179" s="2" t="str">
        <f>L179&amp;"_"&amp;M179</f>
        <v>Grey_No</v>
      </c>
      <c r="R179" s="18" t="s">
        <v>2072</v>
      </c>
      <c r="S179" s="2"/>
      <c r="T179" s="2"/>
    </row>
    <row r="180" spans="1:20" s="10" customFormat="1" ht="15.75" customHeight="1" x14ac:dyDescent="0.2">
      <c r="A180" s="21">
        <v>179</v>
      </c>
      <c r="B180" s="20" t="s">
        <v>35</v>
      </c>
      <c r="C180" s="20" t="s">
        <v>14</v>
      </c>
      <c r="D180" s="20" t="s">
        <v>200</v>
      </c>
      <c r="E180" s="20" t="s">
        <v>42</v>
      </c>
      <c r="F180" s="18" t="str">
        <f>C180&amp;"-"&amp;D180&amp;"-"&amp;E180</f>
        <v>B1-P6-C3</v>
      </c>
      <c r="G180" s="20" t="s">
        <v>17</v>
      </c>
      <c r="H180" s="20">
        <v>2</v>
      </c>
      <c r="I180" s="20" t="s">
        <v>220</v>
      </c>
      <c r="J180" s="20" t="s">
        <v>133</v>
      </c>
      <c r="K180" s="19" t="str">
        <f>B180&amp;"-"&amp;C180&amp;"-"&amp;D180&amp;"-"&amp;E180&amp;"-"&amp;G180&amp;H180</f>
        <v>Quercus-B1-P6-C3-A2</v>
      </c>
      <c r="L180" s="20" t="s">
        <v>64</v>
      </c>
      <c r="M180" s="20" t="s">
        <v>22</v>
      </c>
      <c r="N180" s="20" t="s">
        <v>202</v>
      </c>
      <c r="O180" s="27" t="str">
        <f>J180&amp;"_"&amp;M180</f>
        <v>Control_No</v>
      </c>
      <c r="P180" s="2" t="str">
        <f>J180&amp;"_"&amp;M180</f>
        <v>Control_No</v>
      </c>
      <c r="Q180" s="2" t="str">
        <f>L180&amp;"_"&amp;M180</f>
        <v>Grey_No</v>
      </c>
      <c r="R180" s="18" t="s">
        <v>2072</v>
      </c>
      <c r="S180" s="2"/>
      <c r="T180" s="2"/>
    </row>
    <row r="181" spans="1:20" s="10" customFormat="1" ht="15.75" customHeight="1" x14ac:dyDescent="0.2">
      <c r="A181" s="21">
        <v>180</v>
      </c>
      <c r="B181" s="20" t="s">
        <v>19</v>
      </c>
      <c r="C181" s="20" t="s">
        <v>14</v>
      </c>
      <c r="D181" s="20" t="s">
        <v>200</v>
      </c>
      <c r="E181" s="20" t="s">
        <v>42</v>
      </c>
      <c r="F181" s="18" t="str">
        <f>C181&amp;"-"&amp;D181&amp;"-"&amp;E181</f>
        <v>B1-P6-C3</v>
      </c>
      <c r="G181" s="20" t="s">
        <v>24</v>
      </c>
      <c r="H181" s="20">
        <v>2</v>
      </c>
      <c r="I181" s="20" t="s">
        <v>221</v>
      </c>
      <c r="J181" s="20" t="s">
        <v>133</v>
      </c>
      <c r="K181" s="19" t="str">
        <f>B181&amp;"-"&amp;C181&amp;"-"&amp;D181&amp;"-"&amp;E181&amp;"-"&amp;G181&amp;H181</f>
        <v>Fagus-B1-P6-C3-B2</v>
      </c>
      <c r="L181" s="20" t="s">
        <v>64</v>
      </c>
      <c r="M181" s="20" t="s">
        <v>22</v>
      </c>
      <c r="N181" s="20" t="s">
        <v>202</v>
      </c>
      <c r="O181" s="27" t="str">
        <f>J181&amp;"_"&amp;M181</f>
        <v>Control_No</v>
      </c>
      <c r="P181" s="2" t="str">
        <f>J181&amp;"_"&amp;M181</f>
        <v>Control_No</v>
      </c>
      <c r="Q181" s="2" t="str">
        <f>L181&amp;"_"&amp;M181</f>
        <v>Grey_No</v>
      </c>
      <c r="R181" s="18" t="s">
        <v>2072</v>
      </c>
      <c r="S181" s="2"/>
      <c r="T181" s="2"/>
    </row>
    <row r="182" spans="1:20" s="10" customFormat="1" ht="15.75" customHeight="1" x14ac:dyDescent="0.2">
      <c r="A182" s="21">
        <v>181</v>
      </c>
      <c r="B182" s="20" t="s">
        <v>19</v>
      </c>
      <c r="C182" s="20" t="s">
        <v>14</v>
      </c>
      <c r="D182" s="20" t="s">
        <v>200</v>
      </c>
      <c r="E182" s="20" t="s">
        <v>42</v>
      </c>
      <c r="F182" s="18" t="str">
        <f>C182&amp;"-"&amp;D182&amp;"-"&amp;E182</f>
        <v>B1-P6-C3</v>
      </c>
      <c r="G182" s="20" t="s">
        <v>17</v>
      </c>
      <c r="H182" s="20">
        <v>3</v>
      </c>
      <c r="I182" s="20" t="s">
        <v>222</v>
      </c>
      <c r="J182" s="20" t="s">
        <v>133</v>
      </c>
      <c r="K182" s="19" t="str">
        <f>B182&amp;"-"&amp;C182&amp;"-"&amp;D182&amp;"-"&amp;E182&amp;"-"&amp;G182&amp;H182</f>
        <v>Fagus-B1-P6-C3-A3</v>
      </c>
      <c r="L182" s="20" t="s">
        <v>64</v>
      </c>
      <c r="M182" s="20" t="s">
        <v>22</v>
      </c>
      <c r="N182" s="20" t="s">
        <v>202</v>
      </c>
      <c r="O182" s="27" t="str">
        <f>J182&amp;"_"&amp;M182</f>
        <v>Control_No</v>
      </c>
      <c r="P182" s="2" t="str">
        <f>J182&amp;"_"&amp;M182</f>
        <v>Control_No</v>
      </c>
      <c r="Q182" s="2" t="str">
        <f>L182&amp;"_"&amp;M182</f>
        <v>Grey_No</v>
      </c>
      <c r="R182" s="18" t="s">
        <v>2072</v>
      </c>
      <c r="S182" s="2"/>
      <c r="T182" s="2"/>
    </row>
    <row r="183" spans="1:20" s="10" customFormat="1" ht="15.75" customHeight="1" x14ac:dyDescent="0.2">
      <c r="A183" s="21">
        <v>182</v>
      </c>
      <c r="B183" s="20" t="s">
        <v>35</v>
      </c>
      <c r="C183" s="20" t="s">
        <v>14</v>
      </c>
      <c r="D183" s="20" t="s">
        <v>200</v>
      </c>
      <c r="E183" s="20" t="s">
        <v>42</v>
      </c>
      <c r="F183" s="18" t="str">
        <f>C183&amp;"-"&amp;D183&amp;"-"&amp;E183</f>
        <v>B1-P6-C3</v>
      </c>
      <c r="G183" s="20" t="s">
        <v>24</v>
      </c>
      <c r="H183" s="20">
        <v>3</v>
      </c>
      <c r="I183" s="20" t="s">
        <v>223</v>
      </c>
      <c r="J183" s="20" t="s">
        <v>133</v>
      </c>
      <c r="K183" s="19" t="str">
        <f>B183&amp;"-"&amp;C183&amp;"-"&amp;D183&amp;"-"&amp;E183&amp;"-"&amp;G183&amp;H183</f>
        <v>Quercus-B1-P6-C3-B3</v>
      </c>
      <c r="L183" s="20" t="s">
        <v>64</v>
      </c>
      <c r="M183" s="20" t="s">
        <v>22</v>
      </c>
      <c r="N183" s="20" t="s">
        <v>202</v>
      </c>
      <c r="O183" s="27" t="str">
        <f>J183&amp;"_"&amp;M183</f>
        <v>Control_No</v>
      </c>
      <c r="P183" s="2" t="str">
        <f>J183&amp;"_"&amp;M183</f>
        <v>Control_No</v>
      </c>
      <c r="Q183" s="2" t="str">
        <f>L183&amp;"_"&amp;M183</f>
        <v>Grey_No</v>
      </c>
      <c r="R183" s="18" t="s">
        <v>2072</v>
      </c>
      <c r="S183" s="2"/>
      <c r="T183" s="2"/>
    </row>
    <row r="184" spans="1:20" s="10" customFormat="1" ht="15.75" customHeight="1" x14ac:dyDescent="0.2">
      <c r="A184" s="21">
        <v>183</v>
      </c>
      <c r="B184" s="20" t="s">
        <v>35</v>
      </c>
      <c r="C184" s="20" t="s">
        <v>14</v>
      </c>
      <c r="D184" s="20" t="s">
        <v>200</v>
      </c>
      <c r="E184" s="20" t="s">
        <v>42</v>
      </c>
      <c r="F184" s="18" t="str">
        <f>C184&amp;"-"&amp;D184&amp;"-"&amp;E184</f>
        <v>B1-P6-C3</v>
      </c>
      <c r="G184" s="20" t="s">
        <v>17</v>
      </c>
      <c r="H184" s="20">
        <v>4</v>
      </c>
      <c r="I184" s="20" t="s">
        <v>224</v>
      </c>
      <c r="J184" s="20" t="s">
        <v>133</v>
      </c>
      <c r="K184" s="19" t="str">
        <f>B184&amp;"-"&amp;C184&amp;"-"&amp;D184&amp;"-"&amp;E184&amp;"-"&amp;G184&amp;H184</f>
        <v>Quercus-B1-P6-C3-A4</v>
      </c>
      <c r="L184" s="20" t="s">
        <v>64</v>
      </c>
      <c r="M184" s="20" t="s">
        <v>22</v>
      </c>
      <c r="N184" s="20" t="s">
        <v>202</v>
      </c>
      <c r="O184" s="27" t="str">
        <f>J184&amp;"_"&amp;M184</f>
        <v>Control_No</v>
      </c>
      <c r="P184" s="2" t="str">
        <f>J184&amp;"_"&amp;M184</f>
        <v>Control_No</v>
      </c>
      <c r="Q184" s="2" t="str">
        <f>L184&amp;"_"&amp;M184</f>
        <v>Grey_No</v>
      </c>
      <c r="R184" s="18" t="s">
        <v>2072</v>
      </c>
      <c r="S184" s="2"/>
      <c r="T184" s="2"/>
    </row>
    <row r="185" spans="1:20" s="10" customFormat="1" ht="15.75" customHeight="1" x14ac:dyDescent="0.2">
      <c r="A185" s="21">
        <v>184</v>
      </c>
      <c r="B185" s="20" t="s">
        <v>19</v>
      </c>
      <c r="C185" s="20" t="s">
        <v>14</v>
      </c>
      <c r="D185" s="20" t="s">
        <v>200</v>
      </c>
      <c r="E185" s="20" t="s">
        <v>42</v>
      </c>
      <c r="F185" s="18" t="str">
        <f>C185&amp;"-"&amp;D185&amp;"-"&amp;E185</f>
        <v>B1-P6-C3</v>
      </c>
      <c r="G185" s="20" t="s">
        <v>24</v>
      </c>
      <c r="H185" s="20">
        <v>4</v>
      </c>
      <c r="I185" s="20" t="s">
        <v>225</v>
      </c>
      <c r="J185" s="20" t="s">
        <v>133</v>
      </c>
      <c r="K185" s="19" t="str">
        <f>B185&amp;"-"&amp;C185&amp;"-"&amp;D185&amp;"-"&amp;E185&amp;"-"&amp;G185&amp;H185</f>
        <v>Fagus-B1-P6-C3-B4</v>
      </c>
      <c r="L185" s="20" t="s">
        <v>64</v>
      </c>
      <c r="M185" s="20" t="s">
        <v>22</v>
      </c>
      <c r="N185" s="20" t="s">
        <v>202</v>
      </c>
      <c r="O185" s="27" t="str">
        <f>J185&amp;"_"&amp;M185</f>
        <v>Control_No</v>
      </c>
      <c r="P185" s="2" t="str">
        <f>J185&amp;"_"&amp;M185</f>
        <v>Control_No</v>
      </c>
      <c r="Q185" s="2" t="str">
        <f>L185&amp;"_"&amp;M185</f>
        <v>Grey_No</v>
      </c>
      <c r="R185" s="18" t="s">
        <v>2072</v>
      </c>
      <c r="S185" s="2"/>
      <c r="T185" s="2"/>
    </row>
    <row r="186" spans="1:20" ht="15.75" customHeight="1" x14ac:dyDescent="0.2">
      <c r="A186" s="13">
        <v>185</v>
      </c>
      <c r="B186" s="14" t="s">
        <v>35</v>
      </c>
      <c r="C186" s="14" t="s">
        <v>14</v>
      </c>
      <c r="D186" s="14" t="s">
        <v>200</v>
      </c>
      <c r="E186" s="14" t="s">
        <v>53</v>
      </c>
      <c r="F186" s="14" t="str">
        <f>C186&amp;"-"&amp;D186&amp;"-"&amp;E186</f>
        <v>B1-P6-C4</v>
      </c>
      <c r="G186" s="14" t="s">
        <v>17</v>
      </c>
      <c r="H186" s="14">
        <v>1</v>
      </c>
      <c r="I186" s="14" t="s">
        <v>226</v>
      </c>
      <c r="J186" s="14" t="s">
        <v>133</v>
      </c>
      <c r="K186" s="13" t="str">
        <f>B186&amp;"-"&amp;C186&amp;"-"&amp;D186&amp;"-"&amp;E186&amp;"-"&amp;G186&amp;H186</f>
        <v>Quercus-B1-P6-C4-A1</v>
      </c>
      <c r="L186" s="14" t="s">
        <v>64</v>
      </c>
      <c r="M186" s="14" t="s">
        <v>44</v>
      </c>
      <c r="N186" s="14" t="s">
        <v>169</v>
      </c>
      <c r="O186" s="24" t="str">
        <f>J186&amp;"_"&amp;M186</f>
        <v>Control_Yes</v>
      </c>
      <c r="P186" s="1" t="str">
        <f>J186&amp;"_"&amp;M186</f>
        <v>Control_Yes</v>
      </c>
      <c r="Q186" s="1" t="str">
        <f>L186&amp;"_"&amp;M186</f>
        <v>Grey_Yes</v>
      </c>
      <c r="R186" s="18" t="s">
        <v>2072</v>
      </c>
      <c r="S186" s="23"/>
      <c r="T186" s="23"/>
    </row>
    <row r="187" spans="1:20" ht="15.75" customHeight="1" x14ac:dyDescent="0.2">
      <c r="A187" s="13">
        <v>186</v>
      </c>
      <c r="B187" s="14" t="s">
        <v>35</v>
      </c>
      <c r="C187" s="14" t="s">
        <v>14</v>
      </c>
      <c r="D187" s="14" t="s">
        <v>200</v>
      </c>
      <c r="E187" s="14" t="s">
        <v>53</v>
      </c>
      <c r="F187" s="14" t="str">
        <f>C187&amp;"-"&amp;D187&amp;"-"&amp;E187</f>
        <v>B1-P6-C4</v>
      </c>
      <c r="G187" s="14" t="s">
        <v>24</v>
      </c>
      <c r="H187" s="14">
        <v>1</v>
      </c>
      <c r="I187" s="14" t="s">
        <v>227</v>
      </c>
      <c r="J187" s="14" t="s">
        <v>133</v>
      </c>
      <c r="K187" s="13" t="str">
        <f>B187&amp;"-"&amp;C187&amp;"-"&amp;D187&amp;"-"&amp;E187&amp;"-"&amp;G187&amp;H187</f>
        <v>Quercus-B1-P6-C4-B1</v>
      </c>
      <c r="L187" s="14" t="s">
        <v>64</v>
      </c>
      <c r="M187" s="14" t="s">
        <v>44</v>
      </c>
      <c r="N187" s="14" t="s">
        <v>169</v>
      </c>
      <c r="O187" s="24" t="str">
        <f>J187&amp;"_"&amp;M187</f>
        <v>Control_Yes</v>
      </c>
      <c r="P187" s="1" t="str">
        <f>J187&amp;"_"&amp;M187</f>
        <v>Control_Yes</v>
      </c>
      <c r="Q187" s="1" t="str">
        <f>L187&amp;"_"&amp;M187</f>
        <v>Grey_Yes</v>
      </c>
      <c r="R187" s="18" t="s">
        <v>2072</v>
      </c>
      <c r="S187" s="23"/>
      <c r="T187" s="23"/>
    </row>
    <row r="188" spans="1:20" ht="15.75" customHeight="1" x14ac:dyDescent="0.2">
      <c r="A188" s="13">
        <v>187</v>
      </c>
      <c r="B188" s="14" t="s">
        <v>35</v>
      </c>
      <c r="C188" s="14" t="s">
        <v>14</v>
      </c>
      <c r="D188" s="14" t="s">
        <v>200</v>
      </c>
      <c r="E188" s="14" t="s">
        <v>53</v>
      </c>
      <c r="F188" s="14" t="str">
        <f>C188&amp;"-"&amp;D188&amp;"-"&amp;E188</f>
        <v>B1-P6-C4</v>
      </c>
      <c r="G188" s="14" t="s">
        <v>17</v>
      </c>
      <c r="H188" s="14">
        <v>2</v>
      </c>
      <c r="I188" s="14" t="s">
        <v>228</v>
      </c>
      <c r="J188" s="14" t="s">
        <v>133</v>
      </c>
      <c r="K188" s="13" t="str">
        <f>B188&amp;"-"&amp;C188&amp;"-"&amp;D188&amp;"-"&amp;E188&amp;"-"&amp;G188&amp;H188</f>
        <v>Quercus-B1-P6-C4-A2</v>
      </c>
      <c r="L188" s="14" t="s">
        <v>64</v>
      </c>
      <c r="M188" s="14" t="s">
        <v>44</v>
      </c>
      <c r="N188" s="14" t="s">
        <v>169</v>
      </c>
      <c r="O188" s="24" t="str">
        <f>J188&amp;"_"&amp;M188</f>
        <v>Control_Yes</v>
      </c>
      <c r="P188" s="1" t="str">
        <f>J188&amp;"_"&amp;M188</f>
        <v>Control_Yes</v>
      </c>
      <c r="Q188" s="1" t="str">
        <f>L188&amp;"_"&amp;M188</f>
        <v>Grey_Yes</v>
      </c>
      <c r="R188" s="18" t="s">
        <v>2072</v>
      </c>
      <c r="S188" s="23"/>
      <c r="T188" s="23"/>
    </row>
    <row r="189" spans="1:20" ht="15.75" customHeight="1" x14ac:dyDescent="0.2">
      <c r="A189" s="13">
        <v>188</v>
      </c>
      <c r="B189" s="14" t="s">
        <v>35</v>
      </c>
      <c r="C189" s="14" t="s">
        <v>14</v>
      </c>
      <c r="D189" s="14" t="s">
        <v>200</v>
      </c>
      <c r="E189" s="14" t="s">
        <v>53</v>
      </c>
      <c r="F189" s="14" t="str">
        <f>C189&amp;"-"&amp;D189&amp;"-"&amp;E189</f>
        <v>B1-P6-C4</v>
      </c>
      <c r="G189" s="14" t="s">
        <v>24</v>
      </c>
      <c r="H189" s="14">
        <v>2</v>
      </c>
      <c r="I189" s="14" t="s">
        <v>229</v>
      </c>
      <c r="J189" s="14" t="s">
        <v>133</v>
      </c>
      <c r="K189" s="13" t="str">
        <f>B189&amp;"-"&amp;C189&amp;"-"&amp;D189&amp;"-"&amp;E189&amp;"-"&amp;G189&amp;H189</f>
        <v>Quercus-B1-P6-C4-B2</v>
      </c>
      <c r="L189" s="14" t="s">
        <v>64</v>
      </c>
      <c r="M189" s="14" t="s">
        <v>44</v>
      </c>
      <c r="N189" s="14" t="s">
        <v>169</v>
      </c>
      <c r="O189" s="24" t="str">
        <f>J189&amp;"_"&amp;M189</f>
        <v>Control_Yes</v>
      </c>
      <c r="P189" s="1" t="str">
        <f>J189&amp;"_"&amp;M189</f>
        <v>Control_Yes</v>
      </c>
      <c r="Q189" s="1" t="str">
        <f>L189&amp;"_"&amp;M189</f>
        <v>Grey_Yes</v>
      </c>
      <c r="R189" s="18" t="s">
        <v>2072</v>
      </c>
      <c r="S189" s="23"/>
      <c r="T189" s="23"/>
    </row>
    <row r="190" spans="1:20" ht="15.75" customHeight="1" x14ac:dyDescent="0.2">
      <c r="A190" s="13">
        <v>189</v>
      </c>
      <c r="B190" s="14" t="s">
        <v>35</v>
      </c>
      <c r="C190" s="14" t="s">
        <v>14</v>
      </c>
      <c r="D190" s="14" t="s">
        <v>200</v>
      </c>
      <c r="E190" s="14" t="s">
        <v>53</v>
      </c>
      <c r="F190" s="14" t="str">
        <f>C190&amp;"-"&amp;D190&amp;"-"&amp;E190</f>
        <v>B1-P6-C4</v>
      </c>
      <c r="G190" s="14" t="s">
        <v>17</v>
      </c>
      <c r="H190" s="14">
        <v>3</v>
      </c>
      <c r="I190" s="14" t="s">
        <v>230</v>
      </c>
      <c r="J190" s="14" t="s">
        <v>133</v>
      </c>
      <c r="K190" s="13" t="str">
        <f>B190&amp;"-"&amp;C190&amp;"-"&amp;D190&amp;"-"&amp;E190&amp;"-"&amp;G190&amp;H190</f>
        <v>Quercus-B1-P6-C4-A3</v>
      </c>
      <c r="L190" s="14" t="s">
        <v>64</v>
      </c>
      <c r="M190" s="14" t="s">
        <v>44</v>
      </c>
      <c r="N190" s="14" t="s">
        <v>169</v>
      </c>
      <c r="O190" s="24" t="str">
        <f>J190&amp;"_"&amp;M190</f>
        <v>Control_Yes</v>
      </c>
      <c r="P190" s="1" t="str">
        <f>J190&amp;"_"&amp;M190</f>
        <v>Control_Yes</v>
      </c>
      <c r="Q190" s="1" t="str">
        <f>L190&amp;"_"&amp;M190</f>
        <v>Grey_Yes</v>
      </c>
      <c r="R190" s="18" t="s">
        <v>2072</v>
      </c>
      <c r="S190" s="23"/>
      <c r="T190" s="23"/>
    </row>
    <row r="191" spans="1:20" ht="15.75" customHeight="1" x14ac:dyDescent="0.2">
      <c r="A191" s="13">
        <v>190</v>
      </c>
      <c r="B191" s="14" t="s">
        <v>35</v>
      </c>
      <c r="C191" s="14" t="s">
        <v>14</v>
      </c>
      <c r="D191" s="14" t="s">
        <v>200</v>
      </c>
      <c r="E191" s="14" t="s">
        <v>53</v>
      </c>
      <c r="F191" s="14" t="str">
        <f>C191&amp;"-"&amp;D191&amp;"-"&amp;E191</f>
        <v>B1-P6-C4</v>
      </c>
      <c r="G191" s="14" t="s">
        <v>24</v>
      </c>
      <c r="H191" s="14">
        <v>3</v>
      </c>
      <c r="I191" s="14" t="s">
        <v>231</v>
      </c>
      <c r="J191" s="14" t="s">
        <v>133</v>
      </c>
      <c r="K191" s="13" t="str">
        <f>B191&amp;"-"&amp;C191&amp;"-"&amp;D191&amp;"-"&amp;E191&amp;"-"&amp;G191&amp;H191</f>
        <v>Quercus-B1-P6-C4-B3</v>
      </c>
      <c r="L191" s="14" t="s">
        <v>64</v>
      </c>
      <c r="M191" s="14" t="s">
        <v>44</v>
      </c>
      <c r="N191" s="14" t="s">
        <v>169</v>
      </c>
      <c r="O191" s="24" t="str">
        <f>J191&amp;"_"&amp;M191</f>
        <v>Control_Yes</v>
      </c>
      <c r="P191" s="1" t="str">
        <f>J191&amp;"_"&amp;M191</f>
        <v>Control_Yes</v>
      </c>
      <c r="Q191" s="1" t="str">
        <f>L191&amp;"_"&amp;M191</f>
        <v>Grey_Yes</v>
      </c>
      <c r="R191" s="18" t="s">
        <v>2072</v>
      </c>
      <c r="S191" s="23"/>
      <c r="T191" s="23"/>
    </row>
    <row r="192" spans="1:20" ht="15.75" customHeight="1" x14ac:dyDescent="0.2">
      <c r="A192" s="13">
        <v>191</v>
      </c>
      <c r="B192" s="14" t="s">
        <v>35</v>
      </c>
      <c r="C192" s="14" t="s">
        <v>14</v>
      </c>
      <c r="D192" s="14" t="s">
        <v>200</v>
      </c>
      <c r="E192" s="14" t="s">
        <v>53</v>
      </c>
      <c r="F192" s="14" t="str">
        <f>C192&amp;"-"&amp;D192&amp;"-"&amp;E192</f>
        <v>B1-P6-C4</v>
      </c>
      <c r="G192" s="14" t="s">
        <v>17</v>
      </c>
      <c r="H192" s="14">
        <v>4</v>
      </c>
      <c r="I192" s="14" t="s">
        <v>232</v>
      </c>
      <c r="J192" s="14" t="s">
        <v>133</v>
      </c>
      <c r="K192" s="13" t="str">
        <f>B192&amp;"-"&amp;C192&amp;"-"&amp;D192&amp;"-"&amp;E192&amp;"-"&amp;G192&amp;H192</f>
        <v>Quercus-B1-P6-C4-A4</v>
      </c>
      <c r="L192" s="14" t="s">
        <v>64</v>
      </c>
      <c r="M192" s="14" t="s">
        <v>44</v>
      </c>
      <c r="N192" s="14" t="s">
        <v>169</v>
      </c>
      <c r="O192" s="24" t="str">
        <f>J192&amp;"_"&amp;M192</f>
        <v>Control_Yes</v>
      </c>
      <c r="P192" s="1" t="str">
        <f>J192&amp;"_"&amp;M192</f>
        <v>Control_Yes</v>
      </c>
      <c r="Q192" s="1" t="str">
        <f>L192&amp;"_"&amp;M192</f>
        <v>Grey_Yes</v>
      </c>
      <c r="R192" s="18" t="s">
        <v>2072</v>
      </c>
      <c r="S192" s="23"/>
      <c r="T192" s="23"/>
    </row>
    <row r="193" spans="1:20" ht="15.75" customHeight="1" x14ac:dyDescent="0.2">
      <c r="A193" s="13">
        <v>192</v>
      </c>
      <c r="B193" s="14" t="s">
        <v>35</v>
      </c>
      <c r="C193" s="14" t="s">
        <v>14</v>
      </c>
      <c r="D193" s="14" t="s">
        <v>200</v>
      </c>
      <c r="E193" s="14" t="s">
        <v>53</v>
      </c>
      <c r="F193" s="14" t="str">
        <f>C193&amp;"-"&amp;D193&amp;"-"&amp;E193</f>
        <v>B1-P6-C4</v>
      </c>
      <c r="G193" s="14" t="s">
        <v>24</v>
      </c>
      <c r="H193" s="14">
        <v>4</v>
      </c>
      <c r="I193" s="14" t="s">
        <v>233</v>
      </c>
      <c r="J193" s="14" t="s">
        <v>133</v>
      </c>
      <c r="K193" s="13" t="str">
        <f>B193&amp;"-"&amp;C193&amp;"-"&amp;D193&amp;"-"&amp;E193&amp;"-"&amp;G193&amp;H193</f>
        <v>Quercus-B1-P6-C4-B4</v>
      </c>
      <c r="L193" s="14" t="s">
        <v>64</v>
      </c>
      <c r="M193" s="14" t="s">
        <v>44</v>
      </c>
      <c r="N193" s="14" t="s">
        <v>169</v>
      </c>
      <c r="O193" s="24" t="str">
        <f>J193&amp;"_"&amp;M193</f>
        <v>Control_Yes</v>
      </c>
      <c r="P193" s="1" t="str">
        <f>J193&amp;"_"&amp;M193</f>
        <v>Control_Yes</v>
      </c>
      <c r="Q193" s="1" t="str">
        <f>L193&amp;"_"&amp;M193</f>
        <v>Grey_Yes</v>
      </c>
      <c r="R193" s="18" t="s">
        <v>2072</v>
      </c>
      <c r="S193" s="23"/>
      <c r="T193" s="23"/>
    </row>
    <row r="194" spans="1:20" s="10" customFormat="1" ht="15.75" customHeight="1" x14ac:dyDescent="0.2">
      <c r="A194" s="21">
        <v>193</v>
      </c>
      <c r="B194" s="20" t="s">
        <v>19</v>
      </c>
      <c r="C194" s="20" t="s">
        <v>234</v>
      </c>
      <c r="D194" s="20" t="s">
        <v>15</v>
      </c>
      <c r="E194" s="20" t="s">
        <v>16</v>
      </c>
      <c r="F194" s="18" t="str">
        <f>C194&amp;"-"&amp;D194&amp;"-"&amp;E194</f>
        <v>B2-P1-C1</v>
      </c>
      <c r="G194" s="20" t="s">
        <v>17</v>
      </c>
      <c r="H194" s="20">
        <v>1</v>
      </c>
      <c r="I194" s="20" t="s">
        <v>235</v>
      </c>
      <c r="J194" s="20" t="s">
        <v>133</v>
      </c>
      <c r="K194" s="19" t="str">
        <f>B194&amp;"-"&amp;C194&amp;"-"&amp;D194&amp;"-"&amp;E194&amp;"-"&amp;G194&amp;H194</f>
        <v>Fagus-B2-P1-C1-A1</v>
      </c>
      <c r="L194" s="20" t="s">
        <v>64</v>
      </c>
      <c r="M194" s="20" t="s">
        <v>44</v>
      </c>
      <c r="N194" s="20" t="s">
        <v>169</v>
      </c>
      <c r="O194" s="27" t="str">
        <f>J194&amp;"_"&amp;M194</f>
        <v>Control_Yes</v>
      </c>
      <c r="P194" s="2" t="str">
        <f>J194&amp;"_"&amp;M194</f>
        <v>Control_Yes</v>
      </c>
      <c r="Q194" s="2" t="str">
        <f>L194&amp;"_"&amp;M194</f>
        <v>Grey_Yes</v>
      </c>
      <c r="R194" s="18" t="s">
        <v>2072</v>
      </c>
      <c r="S194" s="2"/>
      <c r="T194" s="2"/>
    </row>
    <row r="195" spans="1:20" s="10" customFormat="1" ht="15.75" customHeight="1" x14ac:dyDescent="0.2">
      <c r="A195" s="21">
        <v>194</v>
      </c>
      <c r="B195" s="20" t="s">
        <v>19</v>
      </c>
      <c r="C195" s="20" t="s">
        <v>234</v>
      </c>
      <c r="D195" s="20" t="s">
        <v>15</v>
      </c>
      <c r="E195" s="20" t="s">
        <v>16</v>
      </c>
      <c r="F195" s="18" t="str">
        <f>C195&amp;"-"&amp;D195&amp;"-"&amp;E195</f>
        <v>B2-P1-C1</v>
      </c>
      <c r="G195" s="20" t="s">
        <v>24</v>
      </c>
      <c r="H195" s="20">
        <v>1</v>
      </c>
      <c r="I195" s="20" t="s">
        <v>236</v>
      </c>
      <c r="J195" s="20" t="s">
        <v>133</v>
      </c>
      <c r="K195" s="19" t="str">
        <f>B195&amp;"-"&amp;C195&amp;"-"&amp;D195&amp;"-"&amp;E195&amp;"-"&amp;G195&amp;H195</f>
        <v>Fagus-B2-P1-C1-B1</v>
      </c>
      <c r="L195" s="20" t="s">
        <v>64</v>
      </c>
      <c r="M195" s="20" t="s">
        <v>44</v>
      </c>
      <c r="N195" s="20" t="s">
        <v>169</v>
      </c>
      <c r="O195" s="27" t="str">
        <f>J195&amp;"_"&amp;M195</f>
        <v>Control_Yes</v>
      </c>
      <c r="P195" s="2" t="str">
        <f>J195&amp;"_"&amp;M195</f>
        <v>Control_Yes</v>
      </c>
      <c r="Q195" s="2" t="str">
        <f>L195&amp;"_"&amp;M195</f>
        <v>Grey_Yes</v>
      </c>
      <c r="R195" s="18" t="s">
        <v>2072</v>
      </c>
      <c r="S195" s="2"/>
      <c r="T195" s="2"/>
    </row>
    <row r="196" spans="1:20" s="10" customFormat="1" ht="15.75" customHeight="1" x14ac:dyDescent="0.2">
      <c r="A196" s="21">
        <v>195</v>
      </c>
      <c r="B196" s="20" t="s">
        <v>19</v>
      </c>
      <c r="C196" s="20" t="s">
        <v>234</v>
      </c>
      <c r="D196" s="20" t="s">
        <v>15</v>
      </c>
      <c r="E196" s="20" t="s">
        <v>16</v>
      </c>
      <c r="F196" s="18" t="str">
        <f>C196&amp;"-"&amp;D196&amp;"-"&amp;E196</f>
        <v>B2-P1-C1</v>
      </c>
      <c r="G196" s="20" t="s">
        <v>17</v>
      </c>
      <c r="H196" s="20">
        <v>2</v>
      </c>
      <c r="I196" s="20" t="s">
        <v>237</v>
      </c>
      <c r="J196" s="20" t="s">
        <v>133</v>
      </c>
      <c r="K196" s="19" t="str">
        <f>B196&amp;"-"&amp;C196&amp;"-"&amp;D196&amp;"-"&amp;E196&amp;"-"&amp;G196&amp;H196</f>
        <v>Fagus-B2-P1-C1-A2</v>
      </c>
      <c r="L196" s="20" t="s">
        <v>64</v>
      </c>
      <c r="M196" s="20" t="s">
        <v>44</v>
      </c>
      <c r="N196" s="20" t="s">
        <v>169</v>
      </c>
      <c r="O196" s="27" t="str">
        <f>J196&amp;"_"&amp;M196</f>
        <v>Control_Yes</v>
      </c>
      <c r="P196" s="2" t="str">
        <f>J196&amp;"_"&amp;M196</f>
        <v>Control_Yes</v>
      </c>
      <c r="Q196" s="2" t="str">
        <f>L196&amp;"_"&amp;M196</f>
        <v>Grey_Yes</v>
      </c>
      <c r="R196" s="18" t="s">
        <v>2072</v>
      </c>
      <c r="S196" s="2"/>
      <c r="T196" s="2"/>
    </row>
    <row r="197" spans="1:20" s="10" customFormat="1" ht="15.75" customHeight="1" x14ac:dyDescent="0.2">
      <c r="A197" s="21">
        <v>196</v>
      </c>
      <c r="B197" s="20" t="s">
        <v>19</v>
      </c>
      <c r="C197" s="20" t="s">
        <v>234</v>
      </c>
      <c r="D197" s="20" t="s">
        <v>15</v>
      </c>
      <c r="E197" s="20" t="s">
        <v>16</v>
      </c>
      <c r="F197" s="18" t="str">
        <f>C197&amp;"-"&amp;D197&amp;"-"&amp;E197</f>
        <v>B2-P1-C1</v>
      </c>
      <c r="G197" s="20" t="s">
        <v>24</v>
      </c>
      <c r="H197" s="20">
        <v>2</v>
      </c>
      <c r="I197" s="20" t="s">
        <v>238</v>
      </c>
      <c r="J197" s="20" t="s">
        <v>133</v>
      </c>
      <c r="K197" s="19" t="str">
        <f>B197&amp;"-"&amp;C197&amp;"-"&amp;D197&amp;"-"&amp;E197&amp;"-"&amp;G197&amp;H197</f>
        <v>Fagus-B2-P1-C1-B2</v>
      </c>
      <c r="L197" s="20" t="s">
        <v>64</v>
      </c>
      <c r="M197" s="20" t="s">
        <v>44</v>
      </c>
      <c r="N197" s="20" t="s">
        <v>169</v>
      </c>
      <c r="O197" s="27" t="str">
        <f>J197&amp;"_"&amp;M197</f>
        <v>Control_Yes</v>
      </c>
      <c r="P197" s="2" t="str">
        <f>J197&amp;"_"&amp;M197</f>
        <v>Control_Yes</v>
      </c>
      <c r="Q197" s="2" t="str">
        <f>L197&amp;"_"&amp;M197</f>
        <v>Grey_Yes</v>
      </c>
      <c r="R197" s="18" t="s">
        <v>2072</v>
      </c>
      <c r="S197" s="2"/>
      <c r="T197" s="2"/>
    </row>
    <row r="198" spans="1:20" s="10" customFormat="1" ht="15.75" customHeight="1" x14ac:dyDescent="0.2">
      <c r="A198" s="21">
        <v>197</v>
      </c>
      <c r="B198" s="20" t="s">
        <v>19</v>
      </c>
      <c r="C198" s="20" t="s">
        <v>234</v>
      </c>
      <c r="D198" s="20" t="s">
        <v>15</v>
      </c>
      <c r="E198" s="20" t="s">
        <v>16</v>
      </c>
      <c r="F198" s="18" t="str">
        <f>C198&amp;"-"&amp;D198&amp;"-"&amp;E198</f>
        <v>B2-P1-C1</v>
      </c>
      <c r="G198" s="20" t="s">
        <v>17</v>
      </c>
      <c r="H198" s="20">
        <v>3</v>
      </c>
      <c r="I198" s="20" t="s">
        <v>239</v>
      </c>
      <c r="J198" s="20" t="s">
        <v>133</v>
      </c>
      <c r="K198" s="19" t="str">
        <f>B198&amp;"-"&amp;C198&amp;"-"&amp;D198&amp;"-"&amp;E198&amp;"-"&amp;G198&amp;H198</f>
        <v>Fagus-B2-P1-C1-A3</v>
      </c>
      <c r="L198" s="20" t="s">
        <v>64</v>
      </c>
      <c r="M198" s="20" t="s">
        <v>44</v>
      </c>
      <c r="N198" s="20" t="s">
        <v>169</v>
      </c>
      <c r="O198" s="27" t="str">
        <f>J198&amp;"_"&amp;M198</f>
        <v>Control_Yes</v>
      </c>
      <c r="P198" s="2" t="str">
        <f>J198&amp;"_"&amp;M198</f>
        <v>Control_Yes</v>
      </c>
      <c r="Q198" s="2" t="str">
        <f>L198&amp;"_"&amp;M198</f>
        <v>Grey_Yes</v>
      </c>
      <c r="R198" s="18" t="s">
        <v>2072</v>
      </c>
      <c r="S198" s="2"/>
      <c r="T198" s="2"/>
    </row>
    <row r="199" spans="1:20" s="10" customFormat="1" ht="15.75" customHeight="1" x14ac:dyDescent="0.2">
      <c r="A199" s="21">
        <v>198</v>
      </c>
      <c r="B199" s="20" t="s">
        <v>19</v>
      </c>
      <c r="C199" s="20" t="s">
        <v>234</v>
      </c>
      <c r="D199" s="20" t="s">
        <v>15</v>
      </c>
      <c r="E199" s="20" t="s">
        <v>16</v>
      </c>
      <c r="F199" s="18" t="str">
        <f>C199&amp;"-"&amp;D199&amp;"-"&amp;E199</f>
        <v>B2-P1-C1</v>
      </c>
      <c r="G199" s="20" t="s">
        <v>24</v>
      </c>
      <c r="H199" s="20">
        <v>3</v>
      </c>
      <c r="I199" s="20" t="s">
        <v>240</v>
      </c>
      <c r="J199" s="20" t="s">
        <v>133</v>
      </c>
      <c r="K199" s="19" t="str">
        <f>B199&amp;"-"&amp;C199&amp;"-"&amp;D199&amp;"-"&amp;E199&amp;"-"&amp;G199&amp;H199</f>
        <v>Fagus-B2-P1-C1-B3</v>
      </c>
      <c r="L199" s="20" t="s">
        <v>64</v>
      </c>
      <c r="M199" s="20" t="s">
        <v>44</v>
      </c>
      <c r="N199" s="20" t="s">
        <v>169</v>
      </c>
      <c r="O199" s="27" t="str">
        <f>J199&amp;"_"&amp;M199</f>
        <v>Control_Yes</v>
      </c>
      <c r="P199" s="2" t="str">
        <f>J199&amp;"_"&amp;M199</f>
        <v>Control_Yes</v>
      </c>
      <c r="Q199" s="2" t="str">
        <f>L199&amp;"_"&amp;M199</f>
        <v>Grey_Yes</v>
      </c>
      <c r="R199" s="18" t="s">
        <v>2072</v>
      </c>
      <c r="S199" s="2"/>
      <c r="T199" s="2"/>
    </row>
    <row r="200" spans="1:20" s="10" customFormat="1" ht="15.75" customHeight="1" x14ac:dyDescent="0.2">
      <c r="A200" s="21">
        <v>199</v>
      </c>
      <c r="B200" s="20" t="s">
        <v>19</v>
      </c>
      <c r="C200" s="20" t="s">
        <v>234</v>
      </c>
      <c r="D200" s="20" t="s">
        <v>15</v>
      </c>
      <c r="E200" s="20" t="s">
        <v>16</v>
      </c>
      <c r="F200" s="18" t="str">
        <f>C200&amp;"-"&amp;D200&amp;"-"&amp;E200</f>
        <v>B2-P1-C1</v>
      </c>
      <c r="G200" s="20" t="s">
        <v>17</v>
      </c>
      <c r="H200" s="20">
        <v>4</v>
      </c>
      <c r="I200" s="20" t="s">
        <v>241</v>
      </c>
      <c r="J200" s="20" t="s">
        <v>133</v>
      </c>
      <c r="K200" s="19" t="str">
        <f>B200&amp;"-"&amp;C200&amp;"-"&amp;D200&amp;"-"&amp;E200&amp;"-"&amp;G200&amp;H200</f>
        <v>Fagus-B2-P1-C1-A4</v>
      </c>
      <c r="L200" s="20" t="s">
        <v>64</v>
      </c>
      <c r="M200" s="20" t="s">
        <v>44</v>
      </c>
      <c r="N200" s="20" t="s">
        <v>169</v>
      </c>
      <c r="O200" s="27" t="str">
        <f>J200&amp;"_"&amp;M200</f>
        <v>Control_Yes</v>
      </c>
      <c r="P200" s="2" t="str">
        <f>J200&amp;"_"&amp;M200</f>
        <v>Control_Yes</v>
      </c>
      <c r="Q200" s="2" t="str">
        <f>L200&amp;"_"&amp;M200</f>
        <v>Grey_Yes</v>
      </c>
      <c r="R200" s="18" t="s">
        <v>2072</v>
      </c>
      <c r="S200" s="2"/>
      <c r="T200" s="2"/>
    </row>
    <row r="201" spans="1:20" s="10" customFormat="1" ht="15.75" customHeight="1" x14ac:dyDescent="0.2">
      <c r="A201" s="21">
        <v>200</v>
      </c>
      <c r="B201" s="20" t="s">
        <v>19</v>
      </c>
      <c r="C201" s="20" t="s">
        <v>234</v>
      </c>
      <c r="D201" s="20" t="s">
        <v>15</v>
      </c>
      <c r="E201" s="20" t="s">
        <v>16</v>
      </c>
      <c r="F201" s="18" t="str">
        <f>C201&amp;"-"&amp;D201&amp;"-"&amp;E201</f>
        <v>B2-P1-C1</v>
      </c>
      <c r="G201" s="20" t="s">
        <v>24</v>
      </c>
      <c r="H201" s="20">
        <v>4</v>
      </c>
      <c r="I201" s="20" t="s">
        <v>242</v>
      </c>
      <c r="J201" s="20" t="s">
        <v>133</v>
      </c>
      <c r="K201" s="19" t="str">
        <f>B201&amp;"-"&amp;C201&amp;"-"&amp;D201&amp;"-"&amp;E201&amp;"-"&amp;G201&amp;H201</f>
        <v>Fagus-B2-P1-C1-B4</v>
      </c>
      <c r="L201" s="20" t="s">
        <v>64</v>
      </c>
      <c r="M201" s="20" t="s">
        <v>44</v>
      </c>
      <c r="N201" s="20" t="s">
        <v>169</v>
      </c>
      <c r="O201" s="27" t="str">
        <f>J201&amp;"_"&amp;M201</f>
        <v>Control_Yes</v>
      </c>
      <c r="P201" s="2" t="str">
        <f>J201&amp;"_"&amp;M201</f>
        <v>Control_Yes</v>
      </c>
      <c r="Q201" s="2" t="str">
        <f>L201&amp;"_"&amp;M201</f>
        <v>Grey_Yes</v>
      </c>
      <c r="R201" s="18" t="s">
        <v>2072</v>
      </c>
      <c r="S201" s="2"/>
      <c r="T201" s="2"/>
    </row>
    <row r="202" spans="1:20" s="9" customFormat="1" ht="15.75" customHeight="1" x14ac:dyDescent="0.2">
      <c r="A202" s="13">
        <v>201</v>
      </c>
      <c r="B202" s="14" t="s">
        <v>19</v>
      </c>
      <c r="C202" s="14" t="s">
        <v>234</v>
      </c>
      <c r="D202" s="14" t="s">
        <v>15</v>
      </c>
      <c r="E202" s="14" t="s">
        <v>32</v>
      </c>
      <c r="F202" s="14" t="str">
        <f>C202&amp;"-"&amp;D202&amp;"-"&amp;E202</f>
        <v>B2-P1-C2</v>
      </c>
      <c r="G202" s="14" t="s">
        <v>17</v>
      </c>
      <c r="H202" s="14">
        <v>1</v>
      </c>
      <c r="I202" s="14" t="s">
        <v>243</v>
      </c>
      <c r="J202" s="14" t="s">
        <v>133</v>
      </c>
      <c r="K202" s="13" t="str">
        <f>B202&amp;"-"&amp;C202&amp;"-"&amp;D202&amp;"-"&amp;E202&amp;"-"&amp;G202&amp;H202</f>
        <v>Fagus-B2-P1-C2-A1</v>
      </c>
      <c r="L202" s="14" t="s">
        <v>64</v>
      </c>
      <c r="M202" s="14" t="s">
        <v>22</v>
      </c>
      <c r="N202" s="14" t="s">
        <v>202</v>
      </c>
      <c r="O202" s="26" t="str">
        <f>J202&amp;"_"&amp;M202</f>
        <v>Control_No</v>
      </c>
      <c r="P202" s="23" t="str">
        <f>J202&amp;"_"&amp;M202</f>
        <v>Control_No</v>
      </c>
      <c r="Q202" s="23" t="str">
        <f>L202&amp;"_"&amp;M202</f>
        <v>Grey_No</v>
      </c>
      <c r="R202" s="18" t="s">
        <v>2072</v>
      </c>
      <c r="S202" s="1"/>
      <c r="T202" s="1"/>
    </row>
    <row r="203" spans="1:20" s="9" customFormat="1" ht="15.75" customHeight="1" x14ac:dyDescent="0.2">
      <c r="A203" s="13">
        <v>202</v>
      </c>
      <c r="B203" s="14" t="s">
        <v>19</v>
      </c>
      <c r="C203" s="14" t="s">
        <v>234</v>
      </c>
      <c r="D203" s="14" t="s">
        <v>15</v>
      </c>
      <c r="E203" s="14" t="s">
        <v>32</v>
      </c>
      <c r="F203" s="14" t="str">
        <f>C203&amp;"-"&amp;D203&amp;"-"&amp;E203</f>
        <v>B2-P1-C2</v>
      </c>
      <c r="G203" s="14" t="s">
        <v>24</v>
      </c>
      <c r="H203" s="14">
        <v>1</v>
      </c>
      <c r="I203" s="14" t="s">
        <v>244</v>
      </c>
      <c r="J203" s="14" t="s">
        <v>133</v>
      </c>
      <c r="K203" s="13" t="str">
        <f>B203&amp;"-"&amp;C203&amp;"-"&amp;D203&amp;"-"&amp;E203&amp;"-"&amp;G203&amp;H203</f>
        <v>Fagus-B2-P1-C2-B1</v>
      </c>
      <c r="L203" s="14" t="s">
        <v>64</v>
      </c>
      <c r="M203" s="14" t="s">
        <v>22</v>
      </c>
      <c r="N203" s="14" t="s">
        <v>202</v>
      </c>
      <c r="O203" s="26" t="str">
        <f>J203&amp;"_"&amp;M203</f>
        <v>Control_No</v>
      </c>
      <c r="P203" s="23" t="str">
        <f>J203&amp;"_"&amp;M203</f>
        <v>Control_No</v>
      </c>
      <c r="Q203" s="23" t="str">
        <f>L203&amp;"_"&amp;M203</f>
        <v>Grey_No</v>
      </c>
      <c r="R203" s="18" t="s">
        <v>2072</v>
      </c>
      <c r="S203" s="1"/>
      <c r="T203" s="1"/>
    </row>
    <row r="204" spans="1:20" s="9" customFormat="1" ht="15.75" customHeight="1" x14ac:dyDescent="0.2">
      <c r="A204" s="13">
        <v>203</v>
      </c>
      <c r="B204" s="14" t="s">
        <v>19</v>
      </c>
      <c r="C204" s="14" t="s">
        <v>234</v>
      </c>
      <c r="D204" s="14" t="s">
        <v>15</v>
      </c>
      <c r="E204" s="14" t="s">
        <v>32</v>
      </c>
      <c r="F204" s="14" t="str">
        <f>C204&amp;"-"&amp;D204&amp;"-"&amp;E204</f>
        <v>B2-P1-C2</v>
      </c>
      <c r="G204" s="14" t="s">
        <v>17</v>
      </c>
      <c r="H204" s="14">
        <v>2</v>
      </c>
      <c r="I204" s="14" t="s">
        <v>245</v>
      </c>
      <c r="J204" s="14" t="s">
        <v>133</v>
      </c>
      <c r="K204" s="13" t="str">
        <f>B204&amp;"-"&amp;C204&amp;"-"&amp;D204&amp;"-"&amp;E204&amp;"-"&amp;G204&amp;H204</f>
        <v>Fagus-B2-P1-C2-A2</v>
      </c>
      <c r="L204" s="14" t="s">
        <v>64</v>
      </c>
      <c r="M204" s="14" t="s">
        <v>22</v>
      </c>
      <c r="N204" s="14" t="s">
        <v>202</v>
      </c>
      <c r="O204" s="26" t="str">
        <f>J204&amp;"_"&amp;M204</f>
        <v>Control_No</v>
      </c>
      <c r="P204" s="23" t="str">
        <f>J204&amp;"_"&amp;M204</f>
        <v>Control_No</v>
      </c>
      <c r="Q204" s="23" t="str">
        <f>L204&amp;"_"&amp;M204</f>
        <v>Grey_No</v>
      </c>
      <c r="R204" s="18" t="s">
        <v>2072</v>
      </c>
      <c r="S204" s="1"/>
      <c r="T204" s="1"/>
    </row>
    <row r="205" spans="1:20" s="9" customFormat="1" ht="15.75" customHeight="1" x14ac:dyDescent="0.2">
      <c r="A205" s="13">
        <v>204</v>
      </c>
      <c r="B205" s="14" t="s">
        <v>19</v>
      </c>
      <c r="C205" s="14" t="s">
        <v>234</v>
      </c>
      <c r="D205" s="14" t="s">
        <v>15</v>
      </c>
      <c r="E205" s="14" t="s">
        <v>32</v>
      </c>
      <c r="F205" s="14" t="str">
        <f>C205&amp;"-"&amp;D205&amp;"-"&amp;E205</f>
        <v>B2-P1-C2</v>
      </c>
      <c r="G205" s="14" t="s">
        <v>24</v>
      </c>
      <c r="H205" s="14">
        <v>2</v>
      </c>
      <c r="I205" s="14" t="s">
        <v>246</v>
      </c>
      <c r="J205" s="14" t="s">
        <v>133</v>
      </c>
      <c r="K205" s="13" t="str">
        <f>B205&amp;"-"&amp;C205&amp;"-"&amp;D205&amp;"-"&amp;E205&amp;"-"&amp;G205&amp;H205</f>
        <v>Fagus-B2-P1-C2-B2</v>
      </c>
      <c r="L205" s="14" t="s">
        <v>64</v>
      </c>
      <c r="M205" s="14" t="s">
        <v>22</v>
      </c>
      <c r="N205" s="14" t="s">
        <v>202</v>
      </c>
      <c r="O205" s="26" t="str">
        <f>J205&amp;"_"&amp;M205</f>
        <v>Control_No</v>
      </c>
      <c r="P205" s="23" t="str">
        <f>J205&amp;"_"&amp;M205</f>
        <v>Control_No</v>
      </c>
      <c r="Q205" s="23" t="str">
        <f>L205&amp;"_"&amp;M205</f>
        <v>Grey_No</v>
      </c>
      <c r="R205" s="18" t="s">
        <v>2072</v>
      </c>
      <c r="S205" s="1"/>
      <c r="T205" s="1"/>
    </row>
    <row r="206" spans="1:20" s="9" customFormat="1" ht="15.75" customHeight="1" x14ac:dyDescent="0.2">
      <c r="A206" s="13">
        <v>205</v>
      </c>
      <c r="B206" s="14" t="s">
        <v>19</v>
      </c>
      <c r="C206" s="14" t="s">
        <v>234</v>
      </c>
      <c r="D206" s="14" t="s">
        <v>15</v>
      </c>
      <c r="E206" s="14" t="s">
        <v>32</v>
      </c>
      <c r="F206" s="14" t="str">
        <f>C206&amp;"-"&amp;D206&amp;"-"&amp;E206</f>
        <v>B2-P1-C2</v>
      </c>
      <c r="G206" s="14" t="s">
        <v>17</v>
      </c>
      <c r="H206" s="14">
        <v>3</v>
      </c>
      <c r="I206" s="14" t="s">
        <v>247</v>
      </c>
      <c r="J206" s="14" t="s">
        <v>133</v>
      </c>
      <c r="K206" s="13" t="str">
        <f>B206&amp;"-"&amp;C206&amp;"-"&amp;D206&amp;"-"&amp;E206&amp;"-"&amp;G206&amp;H206</f>
        <v>Fagus-B2-P1-C2-A3</v>
      </c>
      <c r="L206" s="14" t="s">
        <v>64</v>
      </c>
      <c r="M206" s="14" t="s">
        <v>22</v>
      </c>
      <c r="N206" s="14" t="s">
        <v>202</v>
      </c>
      <c r="O206" s="26" t="str">
        <f>J206&amp;"_"&amp;M206</f>
        <v>Control_No</v>
      </c>
      <c r="P206" s="23" t="str">
        <f>J206&amp;"_"&amp;M206</f>
        <v>Control_No</v>
      </c>
      <c r="Q206" s="23" t="str">
        <f>L206&amp;"_"&amp;M206</f>
        <v>Grey_No</v>
      </c>
      <c r="R206" s="18" t="s">
        <v>2072</v>
      </c>
      <c r="S206" s="1"/>
      <c r="T206" s="1"/>
    </row>
    <row r="207" spans="1:20" s="9" customFormat="1" ht="15.75" customHeight="1" x14ac:dyDescent="0.2">
      <c r="A207" s="13">
        <v>206</v>
      </c>
      <c r="B207" s="14" t="s">
        <v>19</v>
      </c>
      <c r="C207" s="14" t="s">
        <v>234</v>
      </c>
      <c r="D207" s="14" t="s">
        <v>15</v>
      </c>
      <c r="E207" s="14" t="s">
        <v>32</v>
      </c>
      <c r="F207" s="14" t="str">
        <f>C207&amp;"-"&amp;D207&amp;"-"&amp;E207</f>
        <v>B2-P1-C2</v>
      </c>
      <c r="G207" s="14" t="s">
        <v>24</v>
      </c>
      <c r="H207" s="14">
        <v>3</v>
      </c>
      <c r="I207" s="14" t="s">
        <v>248</v>
      </c>
      <c r="J207" s="14" t="s">
        <v>133</v>
      </c>
      <c r="K207" s="13" t="str">
        <f>B207&amp;"-"&amp;C207&amp;"-"&amp;D207&amp;"-"&amp;E207&amp;"-"&amp;G207&amp;H207</f>
        <v>Fagus-B2-P1-C2-B3</v>
      </c>
      <c r="L207" s="14" t="s">
        <v>64</v>
      </c>
      <c r="M207" s="14" t="s">
        <v>22</v>
      </c>
      <c r="N207" s="14" t="s">
        <v>202</v>
      </c>
      <c r="O207" s="26" t="str">
        <f>J207&amp;"_"&amp;M207</f>
        <v>Control_No</v>
      </c>
      <c r="P207" s="23" t="str">
        <f>J207&amp;"_"&amp;M207</f>
        <v>Control_No</v>
      </c>
      <c r="Q207" s="23" t="str">
        <f>L207&amp;"_"&amp;M207</f>
        <v>Grey_No</v>
      </c>
      <c r="R207" s="18" t="s">
        <v>2072</v>
      </c>
      <c r="S207" s="1"/>
      <c r="T207" s="1"/>
    </row>
    <row r="208" spans="1:20" s="9" customFormat="1" ht="15.75" customHeight="1" x14ac:dyDescent="0.2">
      <c r="A208" s="13">
        <v>207</v>
      </c>
      <c r="B208" s="14" t="s">
        <v>19</v>
      </c>
      <c r="C208" s="14" t="s">
        <v>234</v>
      </c>
      <c r="D208" s="14" t="s">
        <v>15</v>
      </c>
      <c r="E208" s="14" t="s">
        <v>32</v>
      </c>
      <c r="F208" s="14" t="str">
        <f>C208&amp;"-"&amp;D208&amp;"-"&amp;E208</f>
        <v>B2-P1-C2</v>
      </c>
      <c r="G208" s="14" t="s">
        <v>17</v>
      </c>
      <c r="H208" s="14">
        <v>4</v>
      </c>
      <c r="I208" s="14" t="s">
        <v>249</v>
      </c>
      <c r="J208" s="14" t="s">
        <v>133</v>
      </c>
      <c r="K208" s="13" t="str">
        <f>B208&amp;"-"&amp;C208&amp;"-"&amp;D208&amp;"-"&amp;E208&amp;"-"&amp;G208&amp;H208</f>
        <v>Fagus-B2-P1-C2-A4</v>
      </c>
      <c r="L208" s="14" t="s">
        <v>64</v>
      </c>
      <c r="M208" s="14" t="s">
        <v>22</v>
      </c>
      <c r="N208" s="14" t="s">
        <v>202</v>
      </c>
      <c r="O208" s="26" t="str">
        <f>J208&amp;"_"&amp;M208</f>
        <v>Control_No</v>
      </c>
      <c r="P208" s="23" t="str">
        <f>J208&amp;"_"&amp;M208</f>
        <v>Control_No</v>
      </c>
      <c r="Q208" s="23" t="str">
        <f>L208&amp;"_"&amp;M208</f>
        <v>Grey_No</v>
      </c>
      <c r="R208" s="18" t="s">
        <v>2072</v>
      </c>
      <c r="S208" s="1"/>
      <c r="T208" s="1"/>
    </row>
    <row r="209" spans="1:20" s="9" customFormat="1" ht="15.75" customHeight="1" x14ac:dyDescent="0.2">
      <c r="A209" s="13">
        <v>208</v>
      </c>
      <c r="B209" s="14" t="s">
        <v>19</v>
      </c>
      <c r="C209" s="14" t="s">
        <v>234</v>
      </c>
      <c r="D209" s="14" t="s">
        <v>15</v>
      </c>
      <c r="E209" s="14" t="s">
        <v>32</v>
      </c>
      <c r="F209" s="14" t="str">
        <f>C209&amp;"-"&amp;D209&amp;"-"&amp;E209</f>
        <v>B2-P1-C2</v>
      </c>
      <c r="G209" s="14" t="s">
        <v>24</v>
      </c>
      <c r="H209" s="14">
        <v>4</v>
      </c>
      <c r="I209" s="14" t="s">
        <v>250</v>
      </c>
      <c r="J209" s="14" t="s">
        <v>133</v>
      </c>
      <c r="K209" s="13" t="str">
        <f>B209&amp;"-"&amp;C209&amp;"-"&amp;D209&amp;"-"&amp;E209&amp;"-"&amp;G209&amp;H209</f>
        <v>Fagus-B2-P1-C2-B4</v>
      </c>
      <c r="L209" s="14" t="s">
        <v>64</v>
      </c>
      <c r="M209" s="14" t="s">
        <v>22</v>
      </c>
      <c r="N209" s="14" t="s">
        <v>202</v>
      </c>
      <c r="O209" s="26" t="str">
        <f>J209&amp;"_"&amp;M209</f>
        <v>Control_No</v>
      </c>
      <c r="P209" s="23" t="str">
        <f>J209&amp;"_"&amp;M209</f>
        <v>Control_No</v>
      </c>
      <c r="Q209" s="23" t="str">
        <f>L209&amp;"_"&amp;M209</f>
        <v>Grey_No</v>
      </c>
      <c r="R209" s="18" t="s">
        <v>2072</v>
      </c>
      <c r="S209" s="1"/>
      <c r="T209" s="1"/>
    </row>
    <row r="210" spans="1:20" s="10" customFormat="1" ht="15.75" customHeight="1" x14ac:dyDescent="0.2">
      <c r="A210" s="21">
        <v>209</v>
      </c>
      <c r="B210" s="20" t="s">
        <v>19</v>
      </c>
      <c r="C210" s="20" t="s">
        <v>234</v>
      </c>
      <c r="D210" s="20" t="s">
        <v>15</v>
      </c>
      <c r="E210" s="20" t="s">
        <v>42</v>
      </c>
      <c r="F210" s="18" t="str">
        <f>C210&amp;"-"&amp;D210&amp;"-"&amp;E210</f>
        <v>B2-P1-C3</v>
      </c>
      <c r="G210" s="20" t="s">
        <v>17</v>
      </c>
      <c r="H210" s="20">
        <v>1</v>
      </c>
      <c r="I210" s="20" t="s">
        <v>251</v>
      </c>
      <c r="J210" s="20" t="s">
        <v>133</v>
      </c>
      <c r="K210" s="19" t="str">
        <f>B210&amp;"-"&amp;C210&amp;"-"&amp;D210&amp;"-"&amp;E210&amp;"-"&amp;G210&amp;H210</f>
        <v>Fagus-B2-P1-C3-A1</v>
      </c>
      <c r="L210" s="20" t="s">
        <v>64</v>
      </c>
      <c r="M210" s="20" t="s">
        <v>44</v>
      </c>
      <c r="N210" s="20" t="s">
        <v>169</v>
      </c>
      <c r="O210" s="27" t="str">
        <f>J210&amp;"_"&amp;M210</f>
        <v>Control_Yes</v>
      </c>
      <c r="P210" s="2" t="str">
        <f>J210&amp;"_"&amp;M210</f>
        <v>Control_Yes</v>
      </c>
      <c r="Q210" s="2" t="str">
        <f>L210&amp;"_"&amp;M210</f>
        <v>Grey_Yes</v>
      </c>
      <c r="R210" s="18" t="s">
        <v>2072</v>
      </c>
      <c r="S210" s="2"/>
      <c r="T210" s="2"/>
    </row>
    <row r="211" spans="1:20" s="10" customFormat="1" ht="15.75" customHeight="1" x14ac:dyDescent="0.2">
      <c r="A211" s="21">
        <v>210</v>
      </c>
      <c r="B211" s="20" t="s">
        <v>35</v>
      </c>
      <c r="C211" s="20" t="s">
        <v>234</v>
      </c>
      <c r="D211" s="20" t="s">
        <v>15</v>
      </c>
      <c r="E211" s="20" t="s">
        <v>42</v>
      </c>
      <c r="F211" s="18" t="str">
        <f>C211&amp;"-"&amp;D211&amp;"-"&amp;E211</f>
        <v>B2-P1-C3</v>
      </c>
      <c r="G211" s="20" t="s">
        <v>24</v>
      </c>
      <c r="H211" s="20">
        <v>1</v>
      </c>
      <c r="I211" s="20" t="s">
        <v>252</v>
      </c>
      <c r="J211" s="20" t="s">
        <v>133</v>
      </c>
      <c r="K211" s="19" t="str">
        <f>B211&amp;"-"&amp;C211&amp;"-"&amp;D211&amp;"-"&amp;E211&amp;"-"&amp;G211&amp;H211</f>
        <v>Quercus-B2-P1-C3-B1</v>
      </c>
      <c r="L211" s="20" t="s">
        <v>64</v>
      </c>
      <c r="M211" s="20" t="s">
        <v>44</v>
      </c>
      <c r="N211" s="20" t="s">
        <v>169</v>
      </c>
      <c r="O211" s="27" t="str">
        <f>J211&amp;"_"&amp;M211</f>
        <v>Control_Yes</v>
      </c>
      <c r="P211" s="2" t="str">
        <f>J211&amp;"_"&amp;M211</f>
        <v>Control_Yes</v>
      </c>
      <c r="Q211" s="2" t="str">
        <f>L211&amp;"_"&amp;M211</f>
        <v>Grey_Yes</v>
      </c>
      <c r="R211" s="18" t="s">
        <v>2072</v>
      </c>
      <c r="S211" s="2"/>
      <c r="T211" s="2"/>
    </row>
    <row r="212" spans="1:20" s="10" customFormat="1" ht="15.75" customHeight="1" x14ac:dyDescent="0.2">
      <c r="A212" s="21">
        <v>211</v>
      </c>
      <c r="B212" s="20" t="s">
        <v>35</v>
      </c>
      <c r="C212" s="20" t="s">
        <v>234</v>
      </c>
      <c r="D212" s="20" t="s">
        <v>15</v>
      </c>
      <c r="E212" s="20" t="s">
        <v>42</v>
      </c>
      <c r="F212" s="18" t="str">
        <f>C212&amp;"-"&amp;D212&amp;"-"&amp;E212</f>
        <v>B2-P1-C3</v>
      </c>
      <c r="G212" s="20" t="s">
        <v>17</v>
      </c>
      <c r="H212" s="20">
        <v>2</v>
      </c>
      <c r="I212" s="20" t="s">
        <v>253</v>
      </c>
      <c r="J212" s="20" t="s">
        <v>133</v>
      </c>
      <c r="K212" s="19" t="str">
        <f>B212&amp;"-"&amp;C212&amp;"-"&amp;D212&amp;"-"&amp;E212&amp;"-"&amp;G212&amp;H212</f>
        <v>Quercus-B2-P1-C3-A2</v>
      </c>
      <c r="L212" s="20" t="s">
        <v>64</v>
      </c>
      <c r="M212" s="20" t="s">
        <v>44</v>
      </c>
      <c r="N212" s="20" t="s">
        <v>169</v>
      </c>
      <c r="O212" s="27" t="str">
        <f>J212&amp;"_"&amp;M212</f>
        <v>Control_Yes</v>
      </c>
      <c r="P212" s="2" t="str">
        <f>J212&amp;"_"&amp;M212</f>
        <v>Control_Yes</v>
      </c>
      <c r="Q212" s="2" t="str">
        <f>L212&amp;"_"&amp;M212</f>
        <v>Grey_Yes</v>
      </c>
      <c r="R212" s="18" t="s">
        <v>2072</v>
      </c>
      <c r="S212" s="2"/>
      <c r="T212" s="2"/>
    </row>
    <row r="213" spans="1:20" s="10" customFormat="1" ht="15.75" customHeight="1" x14ac:dyDescent="0.2">
      <c r="A213" s="21">
        <v>212</v>
      </c>
      <c r="B213" s="20" t="s">
        <v>19</v>
      </c>
      <c r="C213" s="20" t="s">
        <v>234</v>
      </c>
      <c r="D213" s="20" t="s">
        <v>15</v>
      </c>
      <c r="E213" s="20" t="s">
        <v>42</v>
      </c>
      <c r="F213" s="18" t="str">
        <f>C213&amp;"-"&amp;D213&amp;"-"&amp;E213</f>
        <v>B2-P1-C3</v>
      </c>
      <c r="G213" s="20" t="s">
        <v>24</v>
      </c>
      <c r="H213" s="20">
        <v>2</v>
      </c>
      <c r="I213" s="20" t="s">
        <v>254</v>
      </c>
      <c r="J213" s="20" t="s">
        <v>133</v>
      </c>
      <c r="K213" s="19" t="str">
        <f>B213&amp;"-"&amp;C213&amp;"-"&amp;D213&amp;"-"&amp;E213&amp;"-"&amp;G213&amp;H213</f>
        <v>Fagus-B2-P1-C3-B2</v>
      </c>
      <c r="L213" s="20" t="s">
        <v>64</v>
      </c>
      <c r="M213" s="20" t="s">
        <v>44</v>
      </c>
      <c r="N213" s="20" t="s">
        <v>169</v>
      </c>
      <c r="O213" s="27" t="str">
        <f>J213&amp;"_"&amp;M213</f>
        <v>Control_Yes</v>
      </c>
      <c r="P213" s="2" t="str">
        <f>J213&amp;"_"&amp;M213</f>
        <v>Control_Yes</v>
      </c>
      <c r="Q213" s="2" t="str">
        <f>L213&amp;"_"&amp;M213</f>
        <v>Grey_Yes</v>
      </c>
      <c r="R213" s="18" t="s">
        <v>2072</v>
      </c>
      <c r="S213" s="2"/>
      <c r="T213" s="2"/>
    </row>
    <row r="214" spans="1:20" s="10" customFormat="1" ht="15.75" customHeight="1" x14ac:dyDescent="0.2">
      <c r="A214" s="21">
        <v>213</v>
      </c>
      <c r="B214" s="20" t="s">
        <v>19</v>
      </c>
      <c r="C214" s="20" t="s">
        <v>234</v>
      </c>
      <c r="D214" s="20" t="s">
        <v>15</v>
      </c>
      <c r="E214" s="20" t="s">
        <v>42</v>
      </c>
      <c r="F214" s="18" t="str">
        <f>C214&amp;"-"&amp;D214&amp;"-"&amp;E214</f>
        <v>B2-P1-C3</v>
      </c>
      <c r="G214" s="20" t="s">
        <v>17</v>
      </c>
      <c r="H214" s="20">
        <v>3</v>
      </c>
      <c r="I214" s="20" t="s">
        <v>255</v>
      </c>
      <c r="J214" s="20" t="s">
        <v>133</v>
      </c>
      <c r="K214" s="19" t="str">
        <f>B214&amp;"-"&amp;C214&amp;"-"&amp;D214&amp;"-"&amp;E214&amp;"-"&amp;G214&amp;H214</f>
        <v>Fagus-B2-P1-C3-A3</v>
      </c>
      <c r="L214" s="20" t="s">
        <v>64</v>
      </c>
      <c r="M214" s="20" t="s">
        <v>44</v>
      </c>
      <c r="N214" s="20" t="s">
        <v>169</v>
      </c>
      <c r="O214" s="27" t="str">
        <f>J214&amp;"_"&amp;M214</f>
        <v>Control_Yes</v>
      </c>
      <c r="P214" s="2" t="str">
        <f>J214&amp;"_"&amp;M214</f>
        <v>Control_Yes</v>
      </c>
      <c r="Q214" s="2" t="str">
        <f>L214&amp;"_"&amp;M214</f>
        <v>Grey_Yes</v>
      </c>
      <c r="R214" s="18" t="s">
        <v>2072</v>
      </c>
      <c r="S214" s="2"/>
      <c r="T214" s="2"/>
    </row>
    <row r="215" spans="1:20" s="10" customFormat="1" ht="15.75" customHeight="1" x14ac:dyDescent="0.2">
      <c r="A215" s="21">
        <v>214</v>
      </c>
      <c r="B215" s="20" t="s">
        <v>35</v>
      </c>
      <c r="C215" s="20" t="s">
        <v>234</v>
      </c>
      <c r="D215" s="20" t="s">
        <v>15</v>
      </c>
      <c r="E215" s="20" t="s">
        <v>42</v>
      </c>
      <c r="F215" s="18" t="str">
        <f>C215&amp;"-"&amp;D215&amp;"-"&amp;E215</f>
        <v>B2-P1-C3</v>
      </c>
      <c r="G215" s="20" t="s">
        <v>24</v>
      </c>
      <c r="H215" s="20">
        <v>3</v>
      </c>
      <c r="I215" s="20" t="s">
        <v>256</v>
      </c>
      <c r="J215" s="20" t="s">
        <v>133</v>
      </c>
      <c r="K215" s="19" t="str">
        <f>B215&amp;"-"&amp;C215&amp;"-"&amp;D215&amp;"-"&amp;E215&amp;"-"&amp;G215&amp;H215</f>
        <v>Quercus-B2-P1-C3-B3</v>
      </c>
      <c r="L215" s="20" t="s">
        <v>64</v>
      </c>
      <c r="M215" s="20" t="s">
        <v>44</v>
      </c>
      <c r="N215" s="20" t="s">
        <v>169</v>
      </c>
      <c r="O215" s="27" t="str">
        <f>J215&amp;"_"&amp;M215</f>
        <v>Control_Yes</v>
      </c>
      <c r="P215" s="2" t="str">
        <f>J215&amp;"_"&amp;M215</f>
        <v>Control_Yes</v>
      </c>
      <c r="Q215" s="2" t="str">
        <f>L215&amp;"_"&amp;M215</f>
        <v>Grey_Yes</v>
      </c>
      <c r="R215" s="18" t="s">
        <v>2072</v>
      </c>
      <c r="S215" s="2"/>
      <c r="T215" s="2"/>
    </row>
    <row r="216" spans="1:20" s="10" customFormat="1" ht="15.75" customHeight="1" x14ac:dyDescent="0.2">
      <c r="A216" s="21">
        <v>215</v>
      </c>
      <c r="B216" s="20" t="s">
        <v>35</v>
      </c>
      <c r="C216" s="20" t="s">
        <v>234</v>
      </c>
      <c r="D216" s="20" t="s">
        <v>15</v>
      </c>
      <c r="E216" s="20" t="s">
        <v>42</v>
      </c>
      <c r="F216" s="18" t="str">
        <f>C216&amp;"-"&amp;D216&amp;"-"&amp;E216</f>
        <v>B2-P1-C3</v>
      </c>
      <c r="G216" s="20" t="s">
        <v>17</v>
      </c>
      <c r="H216" s="20">
        <v>4</v>
      </c>
      <c r="I216" s="20" t="s">
        <v>257</v>
      </c>
      <c r="J216" s="20" t="s">
        <v>133</v>
      </c>
      <c r="K216" s="19" t="str">
        <f>B216&amp;"-"&amp;C216&amp;"-"&amp;D216&amp;"-"&amp;E216&amp;"-"&amp;G216&amp;H216</f>
        <v>Quercus-B2-P1-C3-A4</v>
      </c>
      <c r="L216" s="20" t="s">
        <v>64</v>
      </c>
      <c r="M216" s="20" t="s">
        <v>44</v>
      </c>
      <c r="N216" s="20" t="s">
        <v>169</v>
      </c>
      <c r="O216" s="27" t="str">
        <f>J216&amp;"_"&amp;M216</f>
        <v>Control_Yes</v>
      </c>
      <c r="P216" s="2" t="str">
        <f>J216&amp;"_"&amp;M216</f>
        <v>Control_Yes</v>
      </c>
      <c r="Q216" s="2" t="str">
        <f>L216&amp;"_"&amp;M216</f>
        <v>Grey_Yes</v>
      </c>
      <c r="R216" s="18" t="s">
        <v>2072</v>
      </c>
      <c r="S216" s="2"/>
      <c r="T216" s="2"/>
    </row>
    <row r="217" spans="1:20" s="10" customFormat="1" ht="15.75" customHeight="1" x14ac:dyDescent="0.2">
      <c r="A217" s="21">
        <v>216</v>
      </c>
      <c r="B217" s="20" t="s">
        <v>19</v>
      </c>
      <c r="C217" s="20" t="s">
        <v>234</v>
      </c>
      <c r="D217" s="20" t="s">
        <v>15</v>
      </c>
      <c r="E217" s="20" t="s">
        <v>42</v>
      </c>
      <c r="F217" s="18" t="str">
        <f>C217&amp;"-"&amp;D217&amp;"-"&amp;E217</f>
        <v>B2-P1-C3</v>
      </c>
      <c r="G217" s="20" t="s">
        <v>24</v>
      </c>
      <c r="H217" s="20">
        <v>4</v>
      </c>
      <c r="I217" s="20" t="s">
        <v>258</v>
      </c>
      <c r="J217" s="20" t="s">
        <v>133</v>
      </c>
      <c r="K217" s="19" t="str">
        <f>B217&amp;"-"&amp;C217&amp;"-"&amp;D217&amp;"-"&amp;E217&amp;"-"&amp;G217&amp;H217</f>
        <v>Fagus-B2-P1-C3-B4</v>
      </c>
      <c r="L217" s="20" t="s">
        <v>64</v>
      </c>
      <c r="M217" s="20" t="s">
        <v>44</v>
      </c>
      <c r="N217" s="20" t="s">
        <v>169</v>
      </c>
      <c r="O217" s="27" t="str">
        <f>J217&amp;"_"&amp;M217</f>
        <v>Control_Yes</v>
      </c>
      <c r="P217" s="2" t="str">
        <f>J217&amp;"_"&amp;M217</f>
        <v>Control_Yes</v>
      </c>
      <c r="Q217" s="2" t="str">
        <f>L217&amp;"_"&amp;M217</f>
        <v>Grey_Yes</v>
      </c>
      <c r="R217" s="18" t="s">
        <v>2072</v>
      </c>
      <c r="S217" s="2"/>
      <c r="T217" s="2"/>
    </row>
    <row r="218" spans="1:20" s="9" customFormat="1" ht="15.75" customHeight="1" x14ac:dyDescent="0.2">
      <c r="A218" s="13">
        <v>217</v>
      </c>
      <c r="B218" s="14" t="s">
        <v>19</v>
      </c>
      <c r="C218" s="14" t="s">
        <v>234</v>
      </c>
      <c r="D218" s="14" t="s">
        <v>15</v>
      </c>
      <c r="E218" s="14" t="s">
        <v>53</v>
      </c>
      <c r="F218" s="14" t="str">
        <f>C218&amp;"-"&amp;D218&amp;"-"&amp;E218</f>
        <v>B2-P1-C4</v>
      </c>
      <c r="G218" s="14" t="s">
        <v>17</v>
      </c>
      <c r="H218" s="14">
        <v>1</v>
      </c>
      <c r="I218" s="14" t="s">
        <v>259</v>
      </c>
      <c r="J218" s="14" t="s">
        <v>133</v>
      </c>
      <c r="K218" s="13" t="str">
        <f>B218&amp;"-"&amp;C218&amp;"-"&amp;D218&amp;"-"&amp;E218&amp;"-"&amp;G218&amp;H218</f>
        <v>Fagus-B2-P1-C4-A1</v>
      </c>
      <c r="L218" s="14" t="s">
        <v>64</v>
      </c>
      <c r="M218" s="14" t="s">
        <v>22</v>
      </c>
      <c r="N218" s="14" t="s">
        <v>202</v>
      </c>
      <c r="O218" s="26" t="str">
        <f>J218&amp;"_"&amp;M218</f>
        <v>Control_No</v>
      </c>
      <c r="P218" s="23" t="str">
        <f>J218&amp;"_"&amp;M218</f>
        <v>Control_No</v>
      </c>
      <c r="Q218" s="23" t="str">
        <f>L218&amp;"_"&amp;M218</f>
        <v>Grey_No</v>
      </c>
      <c r="R218" s="18" t="s">
        <v>2072</v>
      </c>
      <c r="S218" s="1"/>
      <c r="T218" s="1"/>
    </row>
    <row r="219" spans="1:20" s="9" customFormat="1" ht="15.75" customHeight="1" x14ac:dyDescent="0.2">
      <c r="A219" s="13">
        <v>218</v>
      </c>
      <c r="B219" s="14" t="s">
        <v>35</v>
      </c>
      <c r="C219" s="14" t="s">
        <v>234</v>
      </c>
      <c r="D219" s="14" t="s">
        <v>15</v>
      </c>
      <c r="E219" s="14" t="s">
        <v>53</v>
      </c>
      <c r="F219" s="14" t="str">
        <f>C219&amp;"-"&amp;D219&amp;"-"&amp;E219</f>
        <v>B2-P1-C4</v>
      </c>
      <c r="G219" s="14" t="s">
        <v>24</v>
      </c>
      <c r="H219" s="14">
        <v>1</v>
      </c>
      <c r="I219" s="14" t="s">
        <v>260</v>
      </c>
      <c r="J219" s="14" t="s">
        <v>133</v>
      </c>
      <c r="K219" s="13" t="str">
        <f>B219&amp;"-"&amp;C219&amp;"-"&amp;D219&amp;"-"&amp;E219&amp;"-"&amp;G219&amp;H219</f>
        <v>Quercus-B2-P1-C4-B1</v>
      </c>
      <c r="L219" s="14" t="s">
        <v>64</v>
      </c>
      <c r="M219" s="14" t="s">
        <v>22</v>
      </c>
      <c r="N219" s="14" t="s">
        <v>202</v>
      </c>
      <c r="O219" s="26" t="str">
        <f>J219&amp;"_"&amp;M219</f>
        <v>Control_No</v>
      </c>
      <c r="P219" s="23" t="str">
        <f>J219&amp;"_"&amp;M219</f>
        <v>Control_No</v>
      </c>
      <c r="Q219" s="23" t="str">
        <f>L219&amp;"_"&amp;M219</f>
        <v>Grey_No</v>
      </c>
      <c r="R219" s="18" t="s">
        <v>2072</v>
      </c>
      <c r="S219" s="1"/>
      <c r="T219" s="1"/>
    </row>
    <row r="220" spans="1:20" s="9" customFormat="1" ht="15.75" customHeight="1" x14ac:dyDescent="0.2">
      <c r="A220" s="13">
        <v>219</v>
      </c>
      <c r="B220" s="14" t="s">
        <v>35</v>
      </c>
      <c r="C220" s="14" t="s">
        <v>234</v>
      </c>
      <c r="D220" s="14" t="s">
        <v>15</v>
      </c>
      <c r="E220" s="14" t="s">
        <v>53</v>
      </c>
      <c r="F220" s="14" t="str">
        <f>C220&amp;"-"&amp;D220&amp;"-"&amp;E220</f>
        <v>B2-P1-C4</v>
      </c>
      <c r="G220" s="14" t="s">
        <v>17</v>
      </c>
      <c r="H220" s="14">
        <v>2</v>
      </c>
      <c r="I220" s="14" t="s">
        <v>261</v>
      </c>
      <c r="J220" s="14" t="s">
        <v>133</v>
      </c>
      <c r="K220" s="13" t="str">
        <f>B220&amp;"-"&amp;C220&amp;"-"&amp;D220&amp;"-"&amp;E220&amp;"-"&amp;G220&amp;H220</f>
        <v>Quercus-B2-P1-C4-A2</v>
      </c>
      <c r="L220" s="14" t="s">
        <v>64</v>
      </c>
      <c r="M220" s="14" t="s">
        <v>22</v>
      </c>
      <c r="N220" s="14" t="s">
        <v>202</v>
      </c>
      <c r="O220" s="26" t="str">
        <f>J220&amp;"_"&amp;M220</f>
        <v>Control_No</v>
      </c>
      <c r="P220" s="23" t="str">
        <f>J220&amp;"_"&amp;M220</f>
        <v>Control_No</v>
      </c>
      <c r="Q220" s="23" t="str">
        <f>L220&amp;"_"&amp;M220</f>
        <v>Grey_No</v>
      </c>
      <c r="R220" s="18" t="s">
        <v>2072</v>
      </c>
      <c r="S220" s="1"/>
      <c r="T220" s="1"/>
    </row>
    <row r="221" spans="1:20" s="9" customFormat="1" ht="15.75" customHeight="1" x14ac:dyDescent="0.2">
      <c r="A221" s="13">
        <v>220</v>
      </c>
      <c r="B221" s="14" t="s">
        <v>19</v>
      </c>
      <c r="C221" s="14" t="s">
        <v>234</v>
      </c>
      <c r="D221" s="14" t="s">
        <v>15</v>
      </c>
      <c r="E221" s="14" t="s">
        <v>53</v>
      </c>
      <c r="F221" s="14" t="str">
        <f>C221&amp;"-"&amp;D221&amp;"-"&amp;E221</f>
        <v>B2-P1-C4</v>
      </c>
      <c r="G221" s="14" t="s">
        <v>24</v>
      </c>
      <c r="H221" s="14">
        <v>2</v>
      </c>
      <c r="I221" s="14" t="s">
        <v>262</v>
      </c>
      <c r="J221" s="14" t="s">
        <v>133</v>
      </c>
      <c r="K221" s="13" t="str">
        <f>B221&amp;"-"&amp;C221&amp;"-"&amp;D221&amp;"-"&amp;E221&amp;"-"&amp;G221&amp;H221</f>
        <v>Fagus-B2-P1-C4-B2</v>
      </c>
      <c r="L221" s="14" t="s">
        <v>64</v>
      </c>
      <c r="M221" s="14" t="s">
        <v>22</v>
      </c>
      <c r="N221" s="14" t="s">
        <v>202</v>
      </c>
      <c r="O221" s="26" t="str">
        <f>J221&amp;"_"&amp;M221</f>
        <v>Control_No</v>
      </c>
      <c r="P221" s="23" t="str">
        <f>J221&amp;"_"&amp;M221</f>
        <v>Control_No</v>
      </c>
      <c r="Q221" s="23" t="str">
        <f>L221&amp;"_"&amp;M221</f>
        <v>Grey_No</v>
      </c>
      <c r="R221" s="18" t="s">
        <v>2072</v>
      </c>
      <c r="S221" s="1"/>
      <c r="T221" s="1"/>
    </row>
    <row r="222" spans="1:20" s="9" customFormat="1" ht="15.75" customHeight="1" x14ac:dyDescent="0.2">
      <c r="A222" s="13">
        <v>221</v>
      </c>
      <c r="B222" s="14" t="s">
        <v>19</v>
      </c>
      <c r="C222" s="14" t="s">
        <v>234</v>
      </c>
      <c r="D222" s="14" t="s">
        <v>15</v>
      </c>
      <c r="E222" s="14" t="s">
        <v>53</v>
      </c>
      <c r="F222" s="14" t="str">
        <f>C222&amp;"-"&amp;D222&amp;"-"&amp;E222</f>
        <v>B2-P1-C4</v>
      </c>
      <c r="G222" s="14" t="s">
        <v>17</v>
      </c>
      <c r="H222" s="14">
        <v>3</v>
      </c>
      <c r="I222" s="14" t="s">
        <v>263</v>
      </c>
      <c r="J222" s="14" t="s">
        <v>133</v>
      </c>
      <c r="K222" s="13" t="str">
        <f>B222&amp;"-"&amp;C222&amp;"-"&amp;D222&amp;"-"&amp;E222&amp;"-"&amp;G222&amp;H222</f>
        <v>Fagus-B2-P1-C4-A3</v>
      </c>
      <c r="L222" s="14" t="s">
        <v>64</v>
      </c>
      <c r="M222" s="14" t="s">
        <v>22</v>
      </c>
      <c r="N222" s="14" t="s">
        <v>202</v>
      </c>
      <c r="O222" s="26" t="str">
        <f>J222&amp;"_"&amp;M222</f>
        <v>Control_No</v>
      </c>
      <c r="P222" s="23" t="str">
        <f>J222&amp;"_"&amp;M222</f>
        <v>Control_No</v>
      </c>
      <c r="Q222" s="23" t="str">
        <f>L222&amp;"_"&amp;M222</f>
        <v>Grey_No</v>
      </c>
      <c r="R222" s="18" t="s">
        <v>2072</v>
      </c>
      <c r="S222" s="1"/>
      <c r="T222" s="1"/>
    </row>
    <row r="223" spans="1:20" s="9" customFormat="1" ht="15.75" customHeight="1" x14ac:dyDescent="0.2">
      <c r="A223" s="13">
        <v>222</v>
      </c>
      <c r="B223" s="14" t="s">
        <v>35</v>
      </c>
      <c r="C223" s="14" t="s">
        <v>234</v>
      </c>
      <c r="D223" s="14" t="s">
        <v>15</v>
      </c>
      <c r="E223" s="14" t="s">
        <v>53</v>
      </c>
      <c r="F223" s="14" t="str">
        <f>C223&amp;"-"&amp;D223&amp;"-"&amp;E223</f>
        <v>B2-P1-C4</v>
      </c>
      <c r="G223" s="14" t="s">
        <v>24</v>
      </c>
      <c r="H223" s="14">
        <v>3</v>
      </c>
      <c r="I223" s="14" t="s">
        <v>264</v>
      </c>
      <c r="J223" s="14" t="s">
        <v>133</v>
      </c>
      <c r="K223" s="13" t="str">
        <f>B223&amp;"-"&amp;C223&amp;"-"&amp;D223&amp;"-"&amp;E223&amp;"-"&amp;G223&amp;H223</f>
        <v>Quercus-B2-P1-C4-B3</v>
      </c>
      <c r="L223" s="14" t="s">
        <v>64</v>
      </c>
      <c r="M223" s="14" t="s">
        <v>22</v>
      </c>
      <c r="N223" s="14" t="s">
        <v>202</v>
      </c>
      <c r="O223" s="26" t="str">
        <f>J223&amp;"_"&amp;M223</f>
        <v>Control_No</v>
      </c>
      <c r="P223" s="23" t="str">
        <f>J223&amp;"_"&amp;M223</f>
        <v>Control_No</v>
      </c>
      <c r="Q223" s="23" t="str">
        <f>L223&amp;"_"&amp;M223</f>
        <v>Grey_No</v>
      </c>
      <c r="R223" s="18" t="s">
        <v>2072</v>
      </c>
      <c r="S223" s="1"/>
      <c r="T223" s="1"/>
    </row>
    <row r="224" spans="1:20" s="9" customFormat="1" ht="15.75" customHeight="1" x14ac:dyDescent="0.2">
      <c r="A224" s="13">
        <v>223</v>
      </c>
      <c r="B224" s="14" t="s">
        <v>35</v>
      </c>
      <c r="C224" s="14" t="s">
        <v>234</v>
      </c>
      <c r="D224" s="14" t="s">
        <v>15</v>
      </c>
      <c r="E224" s="14" t="s">
        <v>53</v>
      </c>
      <c r="F224" s="14" t="str">
        <f>C224&amp;"-"&amp;D224&amp;"-"&amp;E224</f>
        <v>B2-P1-C4</v>
      </c>
      <c r="G224" s="14" t="s">
        <v>17</v>
      </c>
      <c r="H224" s="14">
        <v>4</v>
      </c>
      <c r="I224" s="14" t="s">
        <v>265</v>
      </c>
      <c r="J224" s="14" t="s">
        <v>133</v>
      </c>
      <c r="K224" s="13" t="str">
        <f>B224&amp;"-"&amp;C224&amp;"-"&amp;D224&amp;"-"&amp;E224&amp;"-"&amp;G224&amp;H224</f>
        <v>Quercus-B2-P1-C4-A4</v>
      </c>
      <c r="L224" s="14" t="s">
        <v>64</v>
      </c>
      <c r="M224" s="14" t="s">
        <v>22</v>
      </c>
      <c r="N224" s="14" t="s">
        <v>202</v>
      </c>
      <c r="O224" s="26" t="str">
        <f>J224&amp;"_"&amp;M224</f>
        <v>Control_No</v>
      </c>
      <c r="P224" s="23" t="str">
        <f>J224&amp;"_"&amp;M224</f>
        <v>Control_No</v>
      </c>
      <c r="Q224" s="23" t="str">
        <f>L224&amp;"_"&amp;M224</f>
        <v>Grey_No</v>
      </c>
      <c r="R224" s="18" t="s">
        <v>2072</v>
      </c>
      <c r="S224" s="1"/>
      <c r="T224" s="1"/>
    </row>
    <row r="225" spans="1:20" s="9" customFormat="1" ht="15.75" customHeight="1" x14ac:dyDescent="0.2">
      <c r="A225" s="13">
        <v>224</v>
      </c>
      <c r="B225" s="14" t="s">
        <v>19</v>
      </c>
      <c r="C225" s="14" t="s">
        <v>234</v>
      </c>
      <c r="D225" s="14" t="s">
        <v>15</v>
      </c>
      <c r="E225" s="14" t="s">
        <v>53</v>
      </c>
      <c r="F225" s="14" t="str">
        <f>C225&amp;"-"&amp;D225&amp;"-"&amp;E225</f>
        <v>B2-P1-C4</v>
      </c>
      <c r="G225" s="14" t="s">
        <v>24</v>
      </c>
      <c r="H225" s="14">
        <v>4</v>
      </c>
      <c r="I225" s="14" t="s">
        <v>266</v>
      </c>
      <c r="J225" s="14" t="s">
        <v>133</v>
      </c>
      <c r="K225" s="13" t="str">
        <f>B225&amp;"-"&amp;C225&amp;"-"&amp;D225&amp;"-"&amp;E225&amp;"-"&amp;G225&amp;H225</f>
        <v>Fagus-B2-P1-C4-B4</v>
      </c>
      <c r="L225" s="14" t="s">
        <v>64</v>
      </c>
      <c r="M225" s="14" t="s">
        <v>22</v>
      </c>
      <c r="N225" s="14" t="s">
        <v>202</v>
      </c>
      <c r="O225" s="26" t="str">
        <f>J225&amp;"_"&amp;M225</f>
        <v>Control_No</v>
      </c>
      <c r="P225" s="23" t="str">
        <f>J225&amp;"_"&amp;M225</f>
        <v>Control_No</v>
      </c>
      <c r="Q225" s="23" t="str">
        <f>L225&amp;"_"&amp;M225</f>
        <v>Grey_No</v>
      </c>
      <c r="R225" s="18" t="s">
        <v>2072</v>
      </c>
      <c r="S225" s="1"/>
      <c r="T225" s="1"/>
    </row>
    <row r="226" spans="1:20" s="10" customFormat="1" ht="15.75" customHeight="1" x14ac:dyDescent="0.2">
      <c r="A226" s="21">
        <v>225</v>
      </c>
      <c r="B226" s="20" t="s">
        <v>19</v>
      </c>
      <c r="C226" s="20" t="s">
        <v>234</v>
      </c>
      <c r="D226" s="20" t="s">
        <v>62</v>
      </c>
      <c r="E226" s="20" t="s">
        <v>16</v>
      </c>
      <c r="F226" s="18" t="str">
        <f>C226&amp;"-"&amp;D226&amp;"-"&amp;E226</f>
        <v>B2-P2-C1</v>
      </c>
      <c r="G226" s="20" t="s">
        <v>17</v>
      </c>
      <c r="H226" s="20">
        <v>1</v>
      </c>
      <c r="I226" s="20" t="s">
        <v>267</v>
      </c>
      <c r="J226" s="20" t="s">
        <v>133</v>
      </c>
      <c r="K226" s="19" t="str">
        <f>B226&amp;"-"&amp;C226&amp;"-"&amp;D226&amp;"-"&amp;E226&amp;"-"&amp;G226&amp;H226</f>
        <v>Fagus-B2-P2-C1-A1</v>
      </c>
      <c r="L226" s="20" t="s">
        <v>21</v>
      </c>
      <c r="M226" s="20" t="s">
        <v>44</v>
      </c>
      <c r="N226" s="20" t="s">
        <v>143</v>
      </c>
      <c r="O226" s="27" t="str">
        <f>J226&amp;"_"&amp;M226</f>
        <v>Control_Yes</v>
      </c>
      <c r="P226" s="2" t="str">
        <f>J226&amp;"_"&amp;M226</f>
        <v>Control_Yes</v>
      </c>
      <c r="Q226" s="2" t="str">
        <f>L226&amp;"_"&amp;M226</f>
        <v>Yellow_Yes</v>
      </c>
      <c r="R226" s="23" t="s">
        <v>2071</v>
      </c>
      <c r="S226" s="23"/>
      <c r="T226" s="23"/>
    </row>
    <row r="227" spans="1:20" s="10" customFormat="1" ht="15.75" customHeight="1" x14ac:dyDescent="0.2">
      <c r="A227" s="21">
        <v>226</v>
      </c>
      <c r="B227" s="20" t="s">
        <v>19</v>
      </c>
      <c r="C227" s="20" t="s">
        <v>234</v>
      </c>
      <c r="D227" s="20" t="s">
        <v>62</v>
      </c>
      <c r="E227" s="20" t="s">
        <v>16</v>
      </c>
      <c r="F227" s="18" t="str">
        <f>C227&amp;"-"&amp;D227&amp;"-"&amp;E227</f>
        <v>B2-P2-C1</v>
      </c>
      <c r="G227" s="20" t="s">
        <v>24</v>
      </c>
      <c r="H227" s="20">
        <v>1</v>
      </c>
      <c r="I227" s="20" t="s">
        <v>268</v>
      </c>
      <c r="J227" s="20" t="s">
        <v>133</v>
      </c>
      <c r="K227" s="19" t="str">
        <f>B227&amp;"-"&amp;C227&amp;"-"&amp;D227&amp;"-"&amp;E227&amp;"-"&amp;G227&amp;H227</f>
        <v>Fagus-B2-P2-C1-B1</v>
      </c>
      <c r="L227" s="20" t="s">
        <v>21</v>
      </c>
      <c r="M227" s="20" t="s">
        <v>44</v>
      </c>
      <c r="N227" s="20" t="s">
        <v>143</v>
      </c>
      <c r="O227" s="27" t="str">
        <f>J227&amp;"_"&amp;M227</f>
        <v>Control_Yes</v>
      </c>
      <c r="P227" s="2" t="str">
        <f>J227&amp;"_"&amp;M227</f>
        <v>Control_Yes</v>
      </c>
      <c r="Q227" s="2" t="str">
        <f>L227&amp;"_"&amp;M227</f>
        <v>Yellow_Yes</v>
      </c>
      <c r="R227" s="23" t="s">
        <v>2071</v>
      </c>
      <c r="S227" s="23"/>
      <c r="T227" s="23"/>
    </row>
    <row r="228" spans="1:20" s="10" customFormat="1" ht="15.75" customHeight="1" x14ac:dyDescent="0.2">
      <c r="A228" s="21">
        <v>227</v>
      </c>
      <c r="B228" s="20" t="s">
        <v>19</v>
      </c>
      <c r="C228" s="20" t="s">
        <v>234</v>
      </c>
      <c r="D228" s="20" t="s">
        <v>62</v>
      </c>
      <c r="E228" s="20" t="s">
        <v>16</v>
      </c>
      <c r="F228" s="18" t="str">
        <f>C228&amp;"-"&amp;D228&amp;"-"&amp;E228</f>
        <v>B2-P2-C1</v>
      </c>
      <c r="G228" s="20" t="s">
        <v>17</v>
      </c>
      <c r="H228" s="20">
        <v>2</v>
      </c>
      <c r="I228" s="20" t="s">
        <v>269</v>
      </c>
      <c r="J228" s="20" t="s">
        <v>133</v>
      </c>
      <c r="K228" s="19" t="str">
        <f>B228&amp;"-"&amp;C228&amp;"-"&amp;D228&amp;"-"&amp;E228&amp;"-"&amp;G228&amp;H228</f>
        <v>Fagus-B2-P2-C1-A2</v>
      </c>
      <c r="L228" s="20" t="s">
        <v>21</v>
      </c>
      <c r="M228" s="20" t="s">
        <v>44</v>
      </c>
      <c r="N228" s="20" t="s">
        <v>143</v>
      </c>
      <c r="O228" s="27" t="str">
        <f>J228&amp;"_"&amp;M228</f>
        <v>Control_Yes</v>
      </c>
      <c r="P228" s="2" t="str">
        <f>J228&amp;"_"&amp;M228</f>
        <v>Control_Yes</v>
      </c>
      <c r="Q228" s="2" t="str">
        <f>L228&amp;"_"&amp;M228</f>
        <v>Yellow_Yes</v>
      </c>
      <c r="R228" s="23" t="s">
        <v>2071</v>
      </c>
      <c r="S228" s="23"/>
      <c r="T228" s="23"/>
    </row>
    <row r="229" spans="1:20" s="10" customFormat="1" ht="15.75" customHeight="1" x14ac:dyDescent="0.2">
      <c r="A229" s="21">
        <v>228</v>
      </c>
      <c r="B229" s="20" t="s">
        <v>19</v>
      </c>
      <c r="C229" s="20" t="s">
        <v>234</v>
      </c>
      <c r="D229" s="20" t="s">
        <v>62</v>
      </c>
      <c r="E229" s="20" t="s">
        <v>16</v>
      </c>
      <c r="F229" s="18" t="str">
        <f>C229&amp;"-"&amp;D229&amp;"-"&amp;E229</f>
        <v>B2-P2-C1</v>
      </c>
      <c r="G229" s="20" t="s">
        <v>24</v>
      </c>
      <c r="H229" s="20">
        <v>2</v>
      </c>
      <c r="I229" s="20" t="s">
        <v>270</v>
      </c>
      <c r="J229" s="20" t="s">
        <v>133</v>
      </c>
      <c r="K229" s="19" t="str">
        <f>B229&amp;"-"&amp;C229&amp;"-"&amp;D229&amp;"-"&amp;E229&amp;"-"&amp;G229&amp;H229</f>
        <v>Fagus-B2-P2-C1-B2</v>
      </c>
      <c r="L229" s="20" t="s">
        <v>21</v>
      </c>
      <c r="M229" s="20" t="s">
        <v>44</v>
      </c>
      <c r="N229" s="20" t="s">
        <v>143</v>
      </c>
      <c r="O229" s="27" t="str">
        <f>J229&amp;"_"&amp;M229</f>
        <v>Control_Yes</v>
      </c>
      <c r="P229" s="2" t="str">
        <f>J229&amp;"_"&amp;M229</f>
        <v>Control_Yes</v>
      </c>
      <c r="Q229" s="2" t="str">
        <f>L229&amp;"_"&amp;M229</f>
        <v>Yellow_Yes</v>
      </c>
      <c r="R229" s="23" t="s">
        <v>2071</v>
      </c>
      <c r="S229" s="23"/>
      <c r="T229" s="23"/>
    </row>
    <row r="230" spans="1:20" s="10" customFormat="1" ht="15.75" customHeight="1" x14ac:dyDescent="0.2">
      <c r="A230" s="21">
        <v>229</v>
      </c>
      <c r="B230" s="20" t="s">
        <v>19</v>
      </c>
      <c r="C230" s="20" t="s">
        <v>234</v>
      </c>
      <c r="D230" s="20" t="s">
        <v>62</v>
      </c>
      <c r="E230" s="20" t="s">
        <v>16</v>
      </c>
      <c r="F230" s="18" t="str">
        <f>C230&amp;"-"&amp;D230&amp;"-"&amp;E230</f>
        <v>B2-P2-C1</v>
      </c>
      <c r="G230" s="20" t="s">
        <v>17</v>
      </c>
      <c r="H230" s="20">
        <v>3</v>
      </c>
      <c r="I230" s="20" t="s">
        <v>271</v>
      </c>
      <c r="J230" s="20" t="s">
        <v>133</v>
      </c>
      <c r="K230" s="19" t="str">
        <f>B230&amp;"-"&amp;C230&amp;"-"&amp;D230&amp;"-"&amp;E230&amp;"-"&amp;G230&amp;H230</f>
        <v>Fagus-B2-P2-C1-A3</v>
      </c>
      <c r="L230" s="20" t="s">
        <v>21</v>
      </c>
      <c r="M230" s="20" t="s">
        <v>44</v>
      </c>
      <c r="N230" s="20" t="s">
        <v>143</v>
      </c>
      <c r="O230" s="27" t="str">
        <f>J230&amp;"_"&amp;M230</f>
        <v>Control_Yes</v>
      </c>
      <c r="P230" s="2" t="str">
        <f>J230&amp;"_"&amp;M230</f>
        <v>Control_Yes</v>
      </c>
      <c r="Q230" s="2" t="str">
        <f>L230&amp;"_"&amp;M230</f>
        <v>Yellow_Yes</v>
      </c>
      <c r="R230" s="23" t="s">
        <v>2071</v>
      </c>
      <c r="S230" s="2"/>
      <c r="T230" s="2"/>
    </row>
    <row r="231" spans="1:20" s="10" customFormat="1" ht="15.75" customHeight="1" x14ac:dyDescent="0.2">
      <c r="A231" s="21">
        <v>230</v>
      </c>
      <c r="B231" s="20" t="s">
        <v>19</v>
      </c>
      <c r="C231" s="20" t="s">
        <v>234</v>
      </c>
      <c r="D231" s="20" t="s">
        <v>62</v>
      </c>
      <c r="E231" s="20" t="s">
        <v>16</v>
      </c>
      <c r="F231" s="18" t="str">
        <f>C231&amp;"-"&amp;D231&amp;"-"&amp;E231</f>
        <v>B2-P2-C1</v>
      </c>
      <c r="G231" s="20" t="s">
        <v>24</v>
      </c>
      <c r="H231" s="20">
        <v>3</v>
      </c>
      <c r="I231" s="20" t="s">
        <v>272</v>
      </c>
      <c r="J231" s="20" t="s">
        <v>133</v>
      </c>
      <c r="K231" s="19" t="str">
        <f>B231&amp;"-"&amp;C231&amp;"-"&amp;D231&amp;"-"&amp;E231&amp;"-"&amp;G231&amp;H231</f>
        <v>Fagus-B2-P2-C1-B3</v>
      </c>
      <c r="L231" s="20" t="s">
        <v>21</v>
      </c>
      <c r="M231" s="20" t="s">
        <v>44</v>
      </c>
      <c r="N231" s="20" t="s">
        <v>143</v>
      </c>
      <c r="O231" s="27" t="str">
        <f>J231&amp;"_"&amp;M231</f>
        <v>Control_Yes</v>
      </c>
      <c r="P231" s="2" t="str">
        <f>J231&amp;"_"&amp;M231</f>
        <v>Control_Yes</v>
      </c>
      <c r="Q231" s="2" t="str">
        <f>L231&amp;"_"&amp;M231</f>
        <v>Yellow_Yes</v>
      </c>
      <c r="R231" s="23" t="s">
        <v>2071</v>
      </c>
      <c r="S231" s="2"/>
      <c r="T231" s="2"/>
    </row>
    <row r="232" spans="1:20" s="10" customFormat="1" ht="15.75" customHeight="1" x14ac:dyDescent="0.2">
      <c r="A232" s="21">
        <v>231</v>
      </c>
      <c r="B232" s="20" t="s">
        <v>19</v>
      </c>
      <c r="C232" s="20" t="s">
        <v>234</v>
      </c>
      <c r="D232" s="20" t="s">
        <v>62</v>
      </c>
      <c r="E232" s="20" t="s">
        <v>16</v>
      </c>
      <c r="F232" s="18" t="str">
        <f>C232&amp;"-"&amp;D232&amp;"-"&amp;E232</f>
        <v>B2-P2-C1</v>
      </c>
      <c r="G232" s="20" t="s">
        <v>17</v>
      </c>
      <c r="H232" s="20">
        <v>4</v>
      </c>
      <c r="I232" s="20" t="s">
        <v>273</v>
      </c>
      <c r="J232" s="20" t="s">
        <v>133</v>
      </c>
      <c r="K232" s="19" t="str">
        <f>B232&amp;"-"&amp;C232&amp;"-"&amp;D232&amp;"-"&amp;E232&amp;"-"&amp;G232&amp;H232</f>
        <v>Fagus-B2-P2-C1-A4</v>
      </c>
      <c r="L232" s="20" t="s">
        <v>21</v>
      </c>
      <c r="M232" s="20" t="s">
        <v>44</v>
      </c>
      <c r="N232" s="20" t="s">
        <v>143</v>
      </c>
      <c r="O232" s="27" t="str">
        <f>J232&amp;"_"&amp;M232</f>
        <v>Control_Yes</v>
      </c>
      <c r="P232" s="2" t="str">
        <f>J232&amp;"_"&amp;M232</f>
        <v>Control_Yes</v>
      </c>
      <c r="Q232" s="2" t="str">
        <f>L232&amp;"_"&amp;M232</f>
        <v>Yellow_Yes</v>
      </c>
      <c r="R232" s="23" t="s">
        <v>2071</v>
      </c>
      <c r="S232" s="2"/>
      <c r="T232" s="2"/>
    </row>
    <row r="233" spans="1:20" s="10" customFormat="1" ht="15.75" customHeight="1" x14ac:dyDescent="0.2">
      <c r="A233" s="21">
        <v>232</v>
      </c>
      <c r="B233" s="20" t="s">
        <v>19</v>
      </c>
      <c r="C233" s="20" t="s">
        <v>234</v>
      </c>
      <c r="D233" s="20" t="s">
        <v>62</v>
      </c>
      <c r="E233" s="20" t="s">
        <v>16</v>
      </c>
      <c r="F233" s="18" t="str">
        <f>C233&amp;"-"&amp;D233&amp;"-"&amp;E233</f>
        <v>B2-P2-C1</v>
      </c>
      <c r="G233" s="20" t="s">
        <v>24</v>
      </c>
      <c r="H233" s="20">
        <v>4</v>
      </c>
      <c r="I233" s="20" t="s">
        <v>274</v>
      </c>
      <c r="J233" s="20" t="s">
        <v>133</v>
      </c>
      <c r="K233" s="19" t="str">
        <f>B233&amp;"-"&amp;C233&amp;"-"&amp;D233&amp;"-"&amp;E233&amp;"-"&amp;G233&amp;H233</f>
        <v>Fagus-B2-P2-C1-B4</v>
      </c>
      <c r="L233" s="20" t="s">
        <v>21</v>
      </c>
      <c r="M233" s="20" t="s">
        <v>44</v>
      </c>
      <c r="N233" s="20" t="s">
        <v>143</v>
      </c>
      <c r="O233" s="27" t="str">
        <f>J233&amp;"_"&amp;M233</f>
        <v>Control_Yes</v>
      </c>
      <c r="P233" s="2" t="str">
        <f>J233&amp;"_"&amp;M233</f>
        <v>Control_Yes</v>
      </c>
      <c r="Q233" s="2" t="str">
        <f>L233&amp;"_"&amp;M233</f>
        <v>Yellow_Yes</v>
      </c>
      <c r="R233" s="23" t="s">
        <v>2071</v>
      </c>
      <c r="S233" s="2"/>
      <c r="T233" s="2"/>
    </row>
    <row r="234" spans="1:20" s="9" customFormat="1" ht="15.75" customHeight="1" x14ac:dyDescent="0.2">
      <c r="A234" s="13">
        <v>233</v>
      </c>
      <c r="B234" s="14" t="s">
        <v>19</v>
      </c>
      <c r="C234" s="14" t="s">
        <v>234</v>
      </c>
      <c r="D234" s="14" t="s">
        <v>62</v>
      </c>
      <c r="E234" s="14" t="s">
        <v>32</v>
      </c>
      <c r="F234" s="14" t="str">
        <f>C234&amp;"-"&amp;D234&amp;"-"&amp;E234</f>
        <v>B2-P2-C2</v>
      </c>
      <c r="G234" s="14" t="s">
        <v>17</v>
      </c>
      <c r="H234" s="14">
        <v>1</v>
      </c>
      <c r="I234" s="14" t="s">
        <v>275</v>
      </c>
      <c r="J234" s="14" t="s">
        <v>133</v>
      </c>
      <c r="K234" s="13" t="str">
        <f>B234&amp;"-"&amp;C234&amp;"-"&amp;D234&amp;"-"&amp;E234&amp;"-"&amp;G234&amp;H234</f>
        <v>Fagus-B2-P2-C2-A1</v>
      </c>
      <c r="L234" s="14" t="s">
        <v>21</v>
      </c>
      <c r="M234" s="14" t="s">
        <v>44</v>
      </c>
      <c r="N234" s="14" t="s">
        <v>143</v>
      </c>
      <c r="O234" s="26" t="str">
        <f>J234&amp;"_"&amp;M234</f>
        <v>Control_Yes</v>
      </c>
      <c r="P234" s="23" t="str">
        <f>J234&amp;"_"&amp;M234</f>
        <v>Control_Yes</v>
      </c>
      <c r="Q234" s="23" t="str">
        <f>L234&amp;"_"&amp;M234</f>
        <v>Yellow_Yes</v>
      </c>
      <c r="R234" s="23" t="s">
        <v>2071</v>
      </c>
      <c r="S234" s="2"/>
      <c r="T234" s="2"/>
    </row>
    <row r="235" spans="1:20" s="9" customFormat="1" ht="15.75" customHeight="1" x14ac:dyDescent="0.2">
      <c r="A235" s="13">
        <v>234</v>
      </c>
      <c r="B235" s="14" t="s">
        <v>35</v>
      </c>
      <c r="C235" s="14" t="s">
        <v>234</v>
      </c>
      <c r="D235" s="14" t="s">
        <v>62</v>
      </c>
      <c r="E235" s="14" t="s">
        <v>32</v>
      </c>
      <c r="F235" s="14" t="str">
        <f>C235&amp;"-"&amp;D235&amp;"-"&amp;E235</f>
        <v>B2-P2-C2</v>
      </c>
      <c r="G235" s="14" t="s">
        <v>24</v>
      </c>
      <c r="H235" s="14">
        <v>1</v>
      </c>
      <c r="I235" s="14" t="s">
        <v>276</v>
      </c>
      <c r="J235" s="14" t="s">
        <v>133</v>
      </c>
      <c r="K235" s="13" t="str">
        <f>B235&amp;"-"&amp;C235&amp;"-"&amp;D235&amp;"-"&amp;E235&amp;"-"&amp;G235&amp;H235</f>
        <v>Quercus-B2-P2-C2-B1</v>
      </c>
      <c r="L235" s="14" t="s">
        <v>21</v>
      </c>
      <c r="M235" s="14" t="s">
        <v>44</v>
      </c>
      <c r="N235" s="14" t="s">
        <v>143</v>
      </c>
      <c r="O235" s="26" t="str">
        <f>J235&amp;"_"&amp;M235</f>
        <v>Control_Yes</v>
      </c>
      <c r="P235" s="23" t="str">
        <f>J235&amp;"_"&amp;M235</f>
        <v>Control_Yes</v>
      </c>
      <c r="Q235" s="23" t="str">
        <f>L235&amp;"_"&amp;M235</f>
        <v>Yellow_Yes</v>
      </c>
      <c r="R235" s="23" t="s">
        <v>2071</v>
      </c>
      <c r="S235" s="2"/>
      <c r="T235" s="2"/>
    </row>
    <row r="236" spans="1:20" s="9" customFormat="1" ht="15.75" customHeight="1" x14ac:dyDescent="0.2">
      <c r="A236" s="13">
        <v>235</v>
      </c>
      <c r="B236" s="14" t="s">
        <v>35</v>
      </c>
      <c r="C236" s="14" t="s">
        <v>234</v>
      </c>
      <c r="D236" s="14" t="s">
        <v>62</v>
      </c>
      <c r="E236" s="14" t="s">
        <v>32</v>
      </c>
      <c r="F236" s="14" t="str">
        <f>C236&amp;"-"&amp;D236&amp;"-"&amp;E236</f>
        <v>B2-P2-C2</v>
      </c>
      <c r="G236" s="14" t="s">
        <v>17</v>
      </c>
      <c r="H236" s="14">
        <v>2</v>
      </c>
      <c r="I236" s="14" t="s">
        <v>277</v>
      </c>
      <c r="J236" s="14" t="s">
        <v>133</v>
      </c>
      <c r="K236" s="13" t="str">
        <f>B236&amp;"-"&amp;C236&amp;"-"&amp;D236&amp;"-"&amp;E236&amp;"-"&amp;G236&amp;H236</f>
        <v>Quercus-B2-P2-C2-A2</v>
      </c>
      <c r="L236" s="14" t="s">
        <v>21</v>
      </c>
      <c r="M236" s="14" t="s">
        <v>44</v>
      </c>
      <c r="N236" s="14" t="s">
        <v>143</v>
      </c>
      <c r="O236" s="26" t="str">
        <f>J236&amp;"_"&amp;M236</f>
        <v>Control_Yes</v>
      </c>
      <c r="P236" s="23" t="str">
        <f>J236&amp;"_"&amp;M236</f>
        <v>Control_Yes</v>
      </c>
      <c r="Q236" s="23" t="str">
        <f>L236&amp;"_"&amp;M236</f>
        <v>Yellow_Yes</v>
      </c>
      <c r="R236" s="23" t="s">
        <v>2071</v>
      </c>
      <c r="S236" s="2"/>
      <c r="T236" s="2"/>
    </row>
    <row r="237" spans="1:20" s="9" customFormat="1" ht="15.75" customHeight="1" x14ac:dyDescent="0.2">
      <c r="A237" s="13">
        <v>236</v>
      </c>
      <c r="B237" s="14" t="s">
        <v>19</v>
      </c>
      <c r="C237" s="14" t="s">
        <v>234</v>
      </c>
      <c r="D237" s="14" t="s">
        <v>62</v>
      </c>
      <c r="E237" s="14" t="s">
        <v>32</v>
      </c>
      <c r="F237" s="14" t="str">
        <f>C237&amp;"-"&amp;D237&amp;"-"&amp;E237</f>
        <v>B2-P2-C2</v>
      </c>
      <c r="G237" s="14" t="s">
        <v>24</v>
      </c>
      <c r="H237" s="14">
        <v>2</v>
      </c>
      <c r="I237" s="14" t="s">
        <v>278</v>
      </c>
      <c r="J237" s="14" t="s">
        <v>133</v>
      </c>
      <c r="K237" s="13" t="str">
        <f>B237&amp;"-"&amp;C237&amp;"-"&amp;D237&amp;"-"&amp;E237&amp;"-"&amp;G237&amp;H237</f>
        <v>Fagus-B2-P2-C2-B2</v>
      </c>
      <c r="L237" s="14" t="s">
        <v>21</v>
      </c>
      <c r="M237" s="14" t="s">
        <v>44</v>
      </c>
      <c r="N237" s="14" t="s">
        <v>143</v>
      </c>
      <c r="O237" s="26" t="str">
        <f>J237&amp;"_"&amp;M237</f>
        <v>Control_Yes</v>
      </c>
      <c r="P237" s="23" t="str">
        <f>J237&amp;"_"&amp;M237</f>
        <v>Control_Yes</v>
      </c>
      <c r="Q237" s="23" t="str">
        <f>L237&amp;"_"&amp;M237</f>
        <v>Yellow_Yes</v>
      </c>
      <c r="R237" s="23" t="s">
        <v>2071</v>
      </c>
      <c r="S237" s="2"/>
      <c r="T237" s="2"/>
    </row>
    <row r="238" spans="1:20" s="9" customFormat="1" ht="15.75" customHeight="1" x14ac:dyDescent="0.2">
      <c r="A238" s="13">
        <v>237</v>
      </c>
      <c r="B238" s="14" t="s">
        <v>19</v>
      </c>
      <c r="C238" s="14" t="s">
        <v>234</v>
      </c>
      <c r="D238" s="14" t="s">
        <v>62</v>
      </c>
      <c r="E238" s="14" t="s">
        <v>32</v>
      </c>
      <c r="F238" s="14" t="str">
        <f>C238&amp;"-"&amp;D238&amp;"-"&amp;E238</f>
        <v>B2-P2-C2</v>
      </c>
      <c r="G238" s="14" t="s">
        <v>17</v>
      </c>
      <c r="H238" s="14">
        <v>3</v>
      </c>
      <c r="I238" s="14" t="s">
        <v>279</v>
      </c>
      <c r="J238" s="14" t="s">
        <v>133</v>
      </c>
      <c r="K238" s="13" t="str">
        <f>B238&amp;"-"&amp;C238&amp;"-"&amp;D238&amp;"-"&amp;E238&amp;"-"&amp;G238&amp;H238</f>
        <v>Fagus-B2-P2-C2-A3</v>
      </c>
      <c r="L238" s="14" t="s">
        <v>21</v>
      </c>
      <c r="M238" s="14" t="s">
        <v>44</v>
      </c>
      <c r="N238" s="14" t="s">
        <v>143</v>
      </c>
      <c r="O238" s="26" t="str">
        <f>J238&amp;"_"&amp;M238</f>
        <v>Control_Yes</v>
      </c>
      <c r="P238" s="23" t="str">
        <f>J238&amp;"_"&amp;M238</f>
        <v>Control_Yes</v>
      </c>
      <c r="Q238" s="23" t="str">
        <f>L238&amp;"_"&amp;M238</f>
        <v>Yellow_Yes</v>
      </c>
      <c r="R238" s="23" t="s">
        <v>2071</v>
      </c>
      <c r="S238" s="23"/>
      <c r="T238" s="23"/>
    </row>
    <row r="239" spans="1:20" s="9" customFormat="1" ht="15.75" customHeight="1" x14ac:dyDescent="0.2">
      <c r="A239" s="13">
        <v>238</v>
      </c>
      <c r="B239" s="14" t="s">
        <v>35</v>
      </c>
      <c r="C239" s="14" t="s">
        <v>234</v>
      </c>
      <c r="D239" s="14" t="s">
        <v>62</v>
      </c>
      <c r="E239" s="14" t="s">
        <v>32</v>
      </c>
      <c r="F239" s="14" t="str">
        <f>C239&amp;"-"&amp;D239&amp;"-"&amp;E239</f>
        <v>B2-P2-C2</v>
      </c>
      <c r="G239" s="14" t="s">
        <v>24</v>
      </c>
      <c r="H239" s="14">
        <v>3</v>
      </c>
      <c r="I239" s="14" t="s">
        <v>280</v>
      </c>
      <c r="J239" s="14" t="s">
        <v>133</v>
      </c>
      <c r="K239" s="13" t="str">
        <f>B239&amp;"-"&amp;C239&amp;"-"&amp;D239&amp;"-"&amp;E239&amp;"-"&amp;G239&amp;H239</f>
        <v>Quercus-B2-P2-C2-B3</v>
      </c>
      <c r="L239" s="14" t="s">
        <v>21</v>
      </c>
      <c r="M239" s="14" t="s">
        <v>44</v>
      </c>
      <c r="N239" s="14" t="s">
        <v>143</v>
      </c>
      <c r="O239" s="26" t="str">
        <f>J239&amp;"_"&amp;M239</f>
        <v>Control_Yes</v>
      </c>
      <c r="P239" s="23" t="str">
        <f>J239&amp;"_"&amp;M239</f>
        <v>Control_Yes</v>
      </c>
      <c r="Q239" s="23" t="str">
        <f>L239&amp;"_"&amp;M239</f>
        <v>Yellow_Yes</v>
      </c>
      <c r="R239" s="23" t="s">
        <v>2071</v>
      </c>
      <c r="S239" s="23"/>
      <c r="T239" s="23"/>
    </row>
    <row r="240" spans="1:20" s="9" customFormat="1" ht="15.75" customHeight="1" x14ac:dyDescent="0.2">
      <c r="A240" s="13">
        <v>239</v>
      </c>
      <c r="B240" s="14" t="s">
        <v>35</v>
      </c>
      <c r="C240" s="14" t="s">
        <v>234</v>
      </c>
      <c r="D240" s="14" t="s">
        <v>62</v>
      </c>
      <c r="E240" s="14" t="s">
        <v>32</v>
      </c>
      <c r="F240" s="14" t="str">
        <f>C240&amp;"-"&amp;D240&amp;"-"&amp;E240</f>
        <v>B2-P2-C2</v>
      </c>
      <c r="G240" s="14" t="s">
        <v>17</v>
      </c>
      <c r="H240" s="14">
        <v>4</v>
      </c>
      <c r="I240" s="14" t="s">
        <v>281</v>
      </c>
      <c r="J240" s="14" t="s">
        <v>133</v>
      </c>
      <c r="K240" s="13" t="str">
        <f>B240&amp;"-"&amp;C240&amp;"-"&amp;D240&amp;"-"&amp;E240&amp;"-"&amp;G240&amp;H240</f>
        <v>Quercus-B2-P2-C2-A4</v>
      </c>
      <c r="L240" s="14" t="s">
        <v>21</v>
      </c>
      <c r="M240" s="14" t="s">
        <v>44</v>
      </c>
      <c r="N240" s="14" t="s">
        <v>143</v>
      </c>
      <c r="O240" s="26" t="str">
        <f>J240&amp;"_"&amp;M240</f>
        <v>Control_Yes</v>
      </c>
      <c r="P240" s="23" t="str">
        <f>J240&amp;"_"&amp;M240</f>
        <v>Control_Yes</v>
      </c>
      <c r="Q240" s="23" t="str">
        <f>L240&amp;"_"&amp;M240</f>
        <v>Yellow_Yes</v>
      </c>
      <c r="R240" s="23" t="s">
        <v>2071</v>
      </c>
      <c r="S240" s="23"/>
      <c r="T240" s="23"/>
    </row>
    <row r="241" spans="1:20" s="9" customFormat="1" ht="15.75" customHeight="1" x14ac:dyDescent="0.2">
      <c r="A241" s="13">
        <v>240</v>
      </c>
      <c r="B241" s="14" t="s">
        <v>19</v>
      </c>
      <c r="C241" s="14" t="s">
        <v>234</v>
      </c>
      <c r="D241" s="14" t="s">
        <v>62</v>
      </c>
      <c r="E241" s="14" t="s">
        <v>32</v>
      </c>
      <c r="F241" s="14" t="str">
        <f>C241&amp;"-"&amp;D241&amp;"-"&amp;E241</f>
        <v>B2-P2-C2</v>
      </c>
      <c r="G241" s="14" t="s">
        <v>24</v>
      </c>
      <c r="H241" s="14">
        <v>4</v>
      </c>
      <c r="I241" s="14" t="s">
        <v>282</v>
      </c>
      <c r="J241" s="14" t="s">
        <v>133</v>
      </c>
      <c r="K241" s="13" t="str">
        <f>B241&amp;"-"&amp;C241&amp;"-"&amp;D241&amp;"-"&amp;E241&amp;"-"&amp;G241&amp;H241</f>
        <v>Fagus-B2-P2-C2-B4</v>
      </c>
      <c r="L241" s="14" t="s">
        <v>21</v>
      </c>
      <c r="M241" s="14" t="s">
        <v>44</v>
      </c>
      <c r="N241" s="14" t="s">
        <v>143</v>
      </c>
      <c r="O241" s="26" t="str">
        <f>J241&amp;"_"&amp;M241</f>
        <v>Control_Yes</v>
      </c>
      <c r="P241" s="23" t="str">
        <f>J241&amp;"_"&amp;M241</f>
        <v>Control_Yes</v>
      </c>
      <c r="Q241" s="23" t="str">
        <f>L241&amp;"_"&amp;M241</f>
        <v>Yellow_Yes</v>
      </c>
      <c r="R241" s="23" t="s">
        <v>2071</v>
      </c>
      <c r="S241" s="23"/>
      <c r="T241" s="23"/>
    </row>
    <row r="242" spans="1:20" s="10" customFormat="1" ht="15.75" customHeight="1" x14ac:dyDescent="0.2">
      <c r="A242" s="21">
        <v>241</v>
      </c>
      <c r="B242" s="20" t="s">
        <v>19</v>
      </c>
      <c r="C242" s="20" t="s">
        <v>234</v>
      </c>
      <c r="D242" s="20" t="s">
        <v>62</v>
      </c>
      <c r="E242" s="20" t="s">
        <v>42</v>
      </c>
      <c r="F242" s="18" t="str">
        <f>C242&amp;"-"&amp;D242&amp;"-"&amp;E242</f>
        <v>B2-P2-C3</v>
      </c>
      <c r="G242" s="20" t="s">
        <v>17</v>
      </c>
      <c r="H242" s="20">
        <v>1</v>
      </c>
      <c r="I242" s="20" t="s">
        <v>283</v>
      </c>
      <c r="J242" s="20" t="s">
        <v>133</v>
      </c>
      <c r="K242" s="19" t="str">
        <f>B242&amp;"-"&amp;C242&amp;"-"&amp;D242&amp;"-"&amp;E242&amp;"-"&amp;G242&amp;H242</f>
        <v>Fagus-B2-P2-C3-A1</v>
      </c>
      <c r="L242" s="20" t="s">
        <v>21</v>
      </c>
      <c r="M242" s="20" t="s">
        <v>22</v>
      </c>
      <c r="N242" s="20" t="s">
        <v>134</v>
      </c>
      <c r="O242" s="27" t="str">
        <f>J242&amp;"_"&amp;M242</f>
        <v>Control_No</v>
      </c>
      <c r="P242" s="2" t="str">
        <f>J242&amp;"_"&amp;M242</f>
        <v>Control_No</v>
      </c>
      <c r="Q242" s="2" t="str">
        <f>L242&amp;"_"&amp;M242</f>
        <v>Yellow_No</v>
      </c>
      <c r="R242" s="23" t="s">
        <v>2071</v>
      </c>
      <c r="S242" s="23"/>
      <c r="T242" s="23"/>
    </row>
    <row r="243" spans="1:20" s="10" customFormat="1" ht="15.75" customHeight="1" x14ac:dyDescent="0.2">
      <c r="A243" s="21">
        <v>242</v>
      </c>
      <c r="B243" s="20" t="s">
        <v>35</v>
      </c>
      <c r="C243" s="20" t="s">
        <v>234</v>
      </c>
      <c r="D243" s="20" t="s">
        <v>62</v>
      </c>
      <c r="E243" s="20" t="s">
        <v>42</v>
      </c>
      <c r="F243" s="18" t="str">
        <f>C243&amp;"-"&amp;D243&amp;"-"&amp;E243</f>
        <v>B2-P2-C3</v>
      </c>
      <c r="G243" s="20" t="s">
        <v>24</v>
      </c>
      <c r="H243" s="20">
        <v>1</v>
      </c>
      <c r="I243" s="20" t="s">
        <v>284</v>
      </c>
      <c r="J243" s="20" t="s">
        <v>133</v>
      </c>
      <c r="K243" s="19" t="str">
        <f>B243&amp;"-"&amp;C243&amp;"-"&amp;D243&amp;"-"&amp;E243&amp;"-"&amp;G243&amp;H243</f>
        <v>Quercus-B2-P2-C3-B1</v>
      </c>
      <c r="L243" s="20" t="s">
        <v>21</v>
      </c>
      <c r="M243" s="20" t="s">
        <v>22</v>
      </c>
      <c r="N243" s="20" t="s">
        <v>134</v>
      </c>
      <c r="O243" s="27" t="str">
        <f>J243&amp;"_"&amp;M243</f>
        <v>Control_No</v>
      </c>
      <c r="P243" s="2" t="str">
        <f>J243&amp;"_"&amp;M243</f>
        <v>Control_No</v>
      </c>
      <c r="Q243" s="2" t="str">
        <f>L243&amp;"_"&amp;M243</f>
        <v>Yellow_No</v>
      </c>
      <c r="R243" s="23" t="s">
        <v>2071</v>
      </c>
      <c r="S243" s="23"/>
      <c r="T243" s="23"/>
    </row>
    <row r="244" spans="1:20" s="10" customFormat="1" ht="15.75" customHeight="1" x14ac:dyDescent="0.2">
      <c r="A244" s="21">
        <v>243</v>
      </c>
      <c r="B244" s="20" t="s">
        <v>35</v>
      </c>
      <c r="C244" s="20" t="s">
        <v>234</v>
      </c>
      <c r="D244" s="20" t="s">
        <v>62</v>
      </c>
      <c r="E244" s="20" t="s">
        <v>42</v>
      </c>
      <c r="F244" s="18" t="str">
        <f>C244&amp;"-"&amp;D244&amp;"-"&amp;E244</f>
        <v>B2-P2-C3</v>
      </c>
      <c r="G244" s="20" t="s">
        <v>17</v>
      </c>
      <c r="H244" s="20">
        <v>2</v>
      </c>
      <c r="I244" s="20" t="s">
        <v>285</v>
      </c>
      <c r="J244" s="20" t="s">
        <v>133</v>
      </c>
      <c r="K244" s="19" t="str">
        <f>B244&amp;"-"&amp;C244&amp;"-"&amp;D244&amp;"-"&amp;E244&amp;"-"&amp;G244&amp;H244</f>
        <v>Quercus-B2-P2-C3-A2</v>
      </c>
      <c r="L244" s="20" t="s">
        <v>21</v>
      </c>
      <c r="M244" s="20" t="s">
        <v>22</v>
      </c>
      <c r="N244" s="20" t="s">
        <v>134</v>
      </c>
      <c r="O244" s="27" t="str">
        <f>J244&amp;"_"&amp;M244</f>
        <v>Control_No</v>
      </c>
      <c r="P244" s="2" t="str">
        <f>J244&amp;"_"&amp;M244</f>
        <v>Control_No</v>
      </c>
      <c r="Q244" s="2" t="str">
        <f>L244&amp;"_"&amp;M244</f>
        <v>Yellow_No</v>
      </c>
      <c r="R244" s="23" t="s">
        <v>2071</v>
      </c>
      <c r="S244" s="23"/>
      <c r="T244" s="23"/>
    </row>
    <row r="245" spans="1:20" s="10" customFormat="1" ht="15.75" customHeight="1" x14ac:dyDescent="0.2">
      <c r="A245" s="21">
        <v>244</v>
      </c>
      <c r="B245" s="20" t="s">
        <v>19</v>
      </c>
      <c r="C245" s="20" t="s">
        <v>234</v>
      </c>
      <c r="D245" s="20" t="s">
        <v>62</v>
      </c>
      <c r="E245" s="20" t="s">
        <v>42</v>
      </c>
      <c r="F245" s="18" t="str">
        <f>C245&amp;"-"&amp;D245&amp;"-"&amp;E245</f>
        <v>B2-P2-C3</v>
      </c>
      <c r="G245" s="20" t="s">
        <v>24</v>
      </c>
      <c r="H245" s="20">
        <v>2</v>
      </c>
      <c r="I245" s="20" t="s">
        <v>286</v>
      </c>
      <c r="J245" s="20" t="s">
        <v>133</v>
      </c>
      <c r="K245" s="19" t="str">
        <f>B245&amp;"-"&amp;C245&amp;"-"&amp;D245&amp;"-"&amp;E245&amp;"-"&amp;G245&amp;H245</f>
        <v>Fagus-B2-P2-C3-B2</v>
      </c>
      <c r="L245" s="20" t="s">
        <v>21</v>
      </c>
      <c r="M245" s="20" t="s">
        <v>22</v>
      </c>
      <c r="N245" s="20" t="s">
        <v>134</v>
      </c>
      <c r="O245" s="27" t="str">
        <f>J245&amp;"_"&amp;M245</f>
        <v>Control_No</v>
      </c>
      <c r="P245" s="2" t="str">
        <f>J245&amp;"_"&amp;M245</f>
        <v>Control_No</v>
      </c>
      <c r="Q245" s="2" t="str">
        <f>L245&amp;"_"&amp;M245</f>
        <v>Yellow_No</v>
      </c>
      <c r="R245" s="23" t="s">
        <v>2071</v>
      </c>
      <c r="S245" s="23"/>
      <c r="T245" s="23"/>
    </row>
    <row r="246" spans="1:20" s="10" customFormat="1" ht="15.75" customHeight="1" x14ac:dyDescent="0.2">
      <c r="A246" s="21">
        <v>245</v>
      </c>
      <c r="B246" s="20" t="s">
        <v>19</v>
      </c>
      <c r="C246" s="20" t="s">
        <v>234</v>
      </c>
      <c r="D246" s="20" t="s">
        <v>62</v>
      </c>
      <c r="E246" s="20" t="s">
        <v>42</v>
      </c>
      <c r="F246" s="18" t="str">
        <f>C246&amp;"-"&amp;D246&amp;"-"&amp;E246</f>
        <v>B2-P2-C3</v>
      </c>
      <c r="G246" s="20" t="s">
        <v>17</v>
      </c>
      <c r="H246" s="20">
        <v>3</v>
      </c>
      <c r="I246" s="20" t="s">
        <v>287</v>
      </c>
      <c r="J246" s="20" t="s">
        <v>133</v>
      </c>
      <c r="K246" s="19" t="str">
        <f>B246&amp;"-"&amp;C246&amp;"-"&amp;D246&amp;"-"&amp;E246&amp;"-"&amp;G246&amp;H246</f>
        <v>Fagus-B2-P2-C3-A3</v>
      </c>
      <c r="L246" s="20" t="s">
        <v>21</v>
      </c>
      <c r="M246" s="20" t="s">
        <v>22</v>
      </c>
      <c r="N246" s="20" t="s">
        <v>134</v>
      </c>
      <c r="O246" s="27" t="str">
        <f>J246&amp;"_"&amp;M246</f>
        <v>Control_No</v>
      </c>
      <c r="P246" s="2" t="str">
        <f>J246&amp;"_"&amp;M246</f>
        <v>Control_No</v>
      </c>
      <c r="Q246" s="2" t="str">
        <f>L246&amp;"_"&amp;M246</f>
        <v>Yellow_No</v>
      </c>
      <c r="R246" s="23" t="s">
        <v>2071</v>
      </c>
      <c r="S246" s="2"/>
      <c r="T246" s="2"/>
    </row>
    <row r="247" spans="1:20" s="10" customFormat="1" ht="15.75" customHeight="1" x14ac:dyDescent="0.2">
      <c r="A247" s="21">
        <v>246</v>
      </c>
      <c r="B247" s="20" t="s">
        <v>35</v>
      </c>
      <c r="C247" s="20" t="s">
        <v>234</v>
      </c>
      <c r="D247" s="20" t="s">
        <v>62</v>
      </c>
      <c r="E247" s="20" t="s">
        <v>42</v>
      </c>
      <c r="F247" s="18" t="str">
        <f>C247&amp;"-"&amp;D247&amp;"-"&amp;E247</f>
        <v>B2-P2-C3</v>
      </c>
      <c r="G247" s="20" t="s">
        <v>24</v>
      </c>
      <c r="H247" s="20">
        <v>3</v>
      </c>
      <c r="I247" s="20" t="s">
        <v>288</v>
      </c>
      <c r="J247" s="20" t="s">
        <v>133</v>
      </c>
      <c r="K247" s="19" t="str">
        <f>B247&amp;"-"&amp;C247&amp;"-"&amp;D247&amp;"-"&amp;E247&amp;"-"&amp;G247&amp;H247</f>
        <v>Quercus-B2-P2-C3-B3</v>
      </c>
      <c r="L247" s="20" t="s">
        <v>21</v>
      </c>
      <c r="M247" s="20" t="s">
        <v>22</v>
      </c>
      <c r="N247" s="20" t="s">
        <v>134</v>
      </c>
      <c r="O247" s="27" t="str">
        <f>J247&amp;"_"&amp;M247</f>
        <v>Control_No</v>
      </c>
      <c r="P247" s="2" t="str">
        <f>J247&amp;"_"&amp;M247</f>
        <v>Control_No</v>
      </c>
      <c r="Q247" s="2" t="str">
        <f>L247&amp;"_"&amp;M247</f>
        <v>Yellow_No</v>
      </c>
      <c r="R247" s="23" t="s">
        <v>2071</v>
      </c>
      <c r="S247" s="2"/>
      <c r="T247" s="2"/>
    </row>
    <row r="248" spans="1:20" s="10" customFormat="1" ht="15.75" customHeight="1" x14ac:dyDescent="0.2">
      <c r="A248" s="21">
        <v>247</v>
      </c>
      <c r="B248" s="20" t="s">
        <v>35</v>
      </c>
      <c r="C248" s="20" t="s">
        <v>234</v>
      </c>
      <c r="D248" s="20" t="s">
        <v>62</v>
      </c>
      <c r="E248" s="20" t="s">
        <v>42</v>
      </c>
      <c r="F248" s="18" t="str">
        <f>C248&amp;"-"&amp;D248&amp;"-"&amp;E248</f>
        <v>B2-P2-C3</v>
      </c>
      <c r="G248" s="20" t="s">
        <v>17</v>
      </c>
      <c r="H248" s="20">
        <v>4</v>
      </c>
      <c r="I248" s="20" t="s">
        <v>289</v>
      </c>
      <c r="J248" s="20" t="s">
        <v>133</v>
      </c>
      <c r="K248" s="19" t="str">
        <f>B248&amp;"-"&amp;C248&amp;"-"&amp;D248&amp;"-"&amp;E248&amp;"-"&amp;G248&amp;H248</f>
        <v>Quercus-B2-P2-C3-A4</v>
      </c>
      <c r="L248" s="20" t="s">
        <v>21</v>
      </c>
      <c r="M248" s="20" t="s">
        <v>22</v>
      </c>
      <c r="N248" s="20" t="s">
        <v>134</v>
      </c>
      <c r="O248" s="27" t="str">
        <f>J248&amp;"_"&amp;M248</f>
        <v>Control_No</v>
      </c>
      <c r="P248" s="2" t="str">
        <f>J248&amp;"_"&amp;M248</f>
        <v>Control_No</v>
      </c>
      <c r="Q248" s="2" t="str">
        <f>L248&amp;"_"&amp;M248</f>
        <v>Yellow_No</v>
      </c>
      <c r="R248" s="23" t="s">
        <v>2071</v>
      </c>
      <c r="S248" s="2"/>
      <c r="T248" s="2"/>
    </row>
    <row r="249" spans="1:20" s="10" customFormat="1" ht="15.75" customHeight="1" x14ac:dyDescent="0.2">
      <c r="A249" s="21">
        <v>248</v>
      </c>
      <c r="B249" s="20" t="s">
        <v>19</v>
      </c>
      <c r="C249" s="20" t="s">
        <v>234</v>
      </c>
      <c r="D249" s="20" t="s">
        <v>62</v>
      </c>
      <c r="E249" s="20" t="s">
        <v>42</v>
      </c>
      <c r="F249" s="18" t="str">
        <f>C249&amp;"-"&amp;D249&amp;"-"&amp;E249</f>
        <v>B2-P2-C3</v>
      </c>
      <c r="G249" s="20" t="s">
        <v>24</v>
      </c>
      <c r="H249" s="20">
        <v>4</v>
      </c>
      <c r="I249" s="20" t="s">
        <v>290</v>
      </c>
      <c r="J249" s="20" t="s">
        <v>133</v>
      </c>
      <c r="K249" s="19" t="str">
        <f>B249&amp;"-"&amp;C249&amp;"-"&amp;D249&amp;"-"&amp;E249&amp;"-"&amp;G249&amp;H249</f>
        <v>Fagus-B2-P2-C3-B4</v>
      </c>
      <c r="L249" s="20" t="s">
        <v>21</v>
      </c>
      <c r="M249" s="20" t="s">
        <v>22</v>
      </c>
      <c r="N249" s="20" t="s">
        <v>134</v>
      </c>
      <c r="O249" s="27" t="str">
        <f>J249&amp;"_"&amp;M249</f>
        <v>Control_No</v>
      </c>
      <c r="P249" s="2" t="str">
        <f>J249&amp;"_"&amp;M249</f>
        <v>Control_No</v>
      </c>
      <c r="Q249" s="2" t="str">
        <f>L249&amp;"_"&amp;M249</f>
        <v>Yellow_No</v>
      </c>
      <c r="R249" s="23" t="s">
        <v>2071</v>
      </c>
      <c r="S249" s="2"/>
      <c r="T249" s="2"/>
    </row>
    <row r="250" spans="1:20" s="9" customFormat="1" ht="15.75" customHeight="1" x14ac:dyDescent="0.2">
      <c r="A250" s="13">
        <v>249</v>
      </c>
      <c r="B250" s="14" t="s">
        <v>35</v>
      </c>
      <c r="C250" s="14" t="s">
        <v>234</v>
      </c>
      <c r="D250" s="14" t="s">
        <v>62</v>
      </c>
      <c r="E250" s="14" t="s">
        <v>53</v>
      </c>
      <c r="F250" s="14" t="str">
        <f>C250&amp;"-"&amp;D250&amp;"-"&amp;E250</f>
        <v>B2-P2-C4</v>
      </c>
      <c r="G250" s="14" t="s">
        <v>17</v>
      </c>
      <c r="H250" s="14">
        <v>1</v>
      </c>
      <c r="I250" s="14" t="s">
        <v>291</v>
      </c>
      <c r="J250" s="14" t="s">
        <v>133</v>
      </c>
      <c r="K250" s="13" t="str">
        <f>B250&amp;"-"&amp;C250&amp;"-"&amp;D250&amp;"-"&amp;E250&amp;"-"&amp;G250&amp;H250</f>
        <v>Quercus-B2-P2-C4-A1</v>
      </c>
      <c r="L250" s="14" t="s">
        <v>21</v>
      </c>
      <c r="M250" s="14" t="s">
        <v>44</v>
      </c>
      <c r="N250" s="14" t="s">
        <v>143</v>
      </c>
      <c r="O250" s="26" t="str">
        <f>J250&amp;"_"&amp;M250</f>
        <v>Control_Yes</v>
      </c>
      <c r="P250" s="23" t="str">
        <f>J250&amp;"_"&amp;M250</f>
        <v>Control_Yes</v>
      </c>
      <c r="Q250" s="23" t="str">
        <f>L250&amp;"_"&amp;M250</f>
        <v>Yellow_Yes</v>
      </c>
      <c r="R250" s="23" t="s">
        <v>2071</v>
      </c>
      <c r="S250" s="2"/>
      <c r="T250" s="2"/>
    </row>
    <row r="251" spans="1:20" s="9" customFormat="1" ht="15.75" customHeight="1" x14ac:dyDescent="0.2">
      <c r="A251" s="13">
        <v>250</v>
      </c>
      <c r="B251" s="14" t="s">
        <v>35</v>
      </c>
      <c r="C251" s="14" t="s">
        <v>234</v>
      </c>
      <c r="D251" s="14" t="s">
        <v>62</v>
      </c>
      <c r="E251" s="14" t="s">
        <v>53</v>
      </c>
      <c r="F251" s="14" t="str">
        <f>C251&amp;"-"&amp;D251&amp;"-"&amp;E251</f>
        <v>B2-P2-C4</v>
      </c>
      <c r="G251" s="14" t="s">
        <v>24</v>
      </c>
      <c r="H251" s="14">
        <v>1</v>
      </c>
      <c r="I251" s="14" t="s">
        <v>292</v>
      </c>
      <c r="J251" s="14" t="s">
        <v>133</v>
      </c>
      <c r="K251" s="13" t="str">
        <f>B251&amp;"-"&amp;C251&amp;"-"&amp;D251&amp;"-"&amp;E251&amp;"-"&amp;G251&amp;H251</f>
        <v>Quercus-B2-P2-C4-B1</v>
      </c>
      <c r="L251" s="14" t="s">
        <v>21</v>
      </c>
      <c r="M251" s="14" t="s">
        <v>44</v>
      </c>
      <c r="N251" s="14" t="s">
        <v>143</v>
      </c>
      <c r="O251" s="26" t="str">
        <f>J251&amp;"_"&amp;M251</f>
        <v>Control_Yes</v>
      </c>
      <c r="P251" s="23" t="str">
        <f>J251&amp;"_"&amp;M251</f>
        <v>Control_Yes</v>
      </c>
      <c r="Q251" s="23" t="str">
        <f>L251&amp;"_"&amp;M251</f>
        <v>Yellow_Yes</v>
      </c>
      <c r="R251" s="23" t="s">
        <v>2071</v>
      </c>
      <c r="S251" s="2"/>
      <c r="T251" s="2"/>
    </row>
    <row r="252" spans="1:20" s="9" customFormat="1" ht="15.75" customHeight="1" x14ac:dyDescent="0.2">
      <c r="A252" s="13">
        <v>251</v>
      </c>
      <c r="B252" s="14" t="s">
        <v>35</v>
      </c>
      <c r="C252" s="14" t="s">
        <v>234</v>
      </c>
      <c r="D252" s="14" t="s">
        <v>62</v>
      </c>
      <c r="E252" s="14" t="s">
        <v>53</v>
      </c>
      <c r="F252" s="14" t="str">
        <f>C252&amp;"-"&amp;D252&amp;"-"&amp;E252</f>
        <v>B2-P2-C4</v>
      </c>
      <c r="G252" s="14" t="s">
        <v>17</v>
      </c>
      <c r="H252" s="14">
        <v>2</v>
      </c>
      <c r="I252" s="14" t="s">
        <v>293</v>
      </c>
      <c r="J252" s="14" t="s">
        <v>133</v>
      </c>
      <c r="K252" s="13" t="str">
        <f>B252&amp;"-"&amp;C252&amp;"-"&amp;D252&amp;"-"&amp;E252&amp;"-"&amp;G252&amp;H252</f>
        <v>Quercus-B2-P2-C4-A2</v>
      </c>
      <c r="L252" s="14" t="s">
        <v>21</v>
      </c>
      <c r="M252" s="14" t="s">
        <v>44</v>
      </c>
      <c r="N252" s="14" t="s">
        <v>143</v>
      </c>
      <c r="O252" s="26" t="str">
        <f>J252&amp;"_"&amp;M252</f>
        <v>Control_Yes</v>
      </c>
      <c r="P252" s="23" t="str">
        <f>J252&amp;"_"&amp;M252</f>
        <v>Control_Yes</v>
      </c>
      <c r="Q252" s="23" t="str">
        <f>L252&amp;"_"&amp;M252</f>
        <v>Yellow_Yes</v>
      </c>
      <c r="R252" s="23" t="s">
        <v>2071</v>
      </c>
      <c r="S252" s="2"/>
      <c r="T252" s="2"/>
    </row>
    <row r="253" spans="1:20" s="9" customFormat="1" ht="15.75" customHeight="1" x14ac:dyDescent="0.2">
      <c r="A253" s="13">
        <v>252</v>
      </c>
      <c r="B253" s="14" t="s">
        <v>35</v>
      </c>
      <c r="C253" s="14" t="s">
        <v>234</v>
      </c>
      <c r="D253" s="14" t="s">
        <v>62</v>
      </c>
      <c r="E253" s="14" t="s">
        <v>53</v>
      </c>
      <c r="F253" s="14" t="str">
        <f>C253&amp;"-"&amp;D253&amp;"-"&amp;E253</f>
        <v>B2-P2-C4</v>
      </c>
      <c r="G253" s="14" t="s">
        <v>24</v>
      </c>
      <c r="H253" s="14">
        <v>2</v>
      </c>
      <c r="I253" s="14" t="s">
        <v>294</v>
      </c>
      <c r="J253" s="14" t="s">
        <v>133</v>
      </c>
      <c r="K253" s="13" t="str">
        <f>B253&amp;"-"&amp;C253&amp;"-"&amp;D253&amp;"-"&amp;E253&amp;"-"&amp;G253&amp;H253</f>
        <v>Quercus-B2-P2-C4-B2</v>
      </c>
      <c r="L253" s="14" t="s">
        <v>21</v>
      </c>
      <c r="M253" s="14" t="s">
        <v>44</v>
      </c>
      <c r="N253" s="14" t="s">
        <v>143</v>
      </c>
      <c r="O253" s="26" t="str">
        <f>J253&amp;"_"&amp;M253</f>
        <v>Control_Yes</v>
      </c>
      <c r="P253" s="23" t="str">
        <f>J253&amp;"_"&amp;M253</f>
        <v>Control_Yes</v>
      </c>
      <c r="Q253" s="23" t="str">
        <f>L253&amp;"_"&amp;M253</f>
        <v>Yellow_Yes</v>
      </c>
      <c r="R253" s="23" t="s">
        <v>2071</v>
      </c>
      <c r="S253" s="2"/>
      <c r="T253" s="2"/>
    </row>
    <row r="254" spans="1:20" s="9" customFormat="1" ht="15.75" customHeight="1" x14ac:dyDescent="0.2">
      <c r="A254" s="13">
        <v>253</v>
      </c>
      <c r="B254" s="14" t="s">
        <v>35</v>
      </c>
      <c r="C254" s="14" t="s">
        <v>234</v>
      </c>
      <c r="D254" s="14" t="s">
        <v>62</v>
      </c>
      <c r="E254" s="14" t="s">
        <v>53</v>
      </c>
      <c r="F254" s="14" t="str">
        <f>C254&amp;"-"&amp;D254&amp;"-"&amp;E254</f>
        <v>B2-P2-C4</v>
      </c>
      <c r="G254" s="14" t="s">
        <v>17</v>
      </c>
      <c r="H254" s="14">
        <v>3</v>
      </c>
      <c r="I254" s="14" t="s">
        <v>295</v>
      </c>
      <c r="J254" s="14" t="s">
        <v>133</v>
      </c>
      <c r="K254" s="13" t="str">
        <f>B254&amp;"-"&amp;C254&amp;"-"&amp;D254&amp;"-"&amp;E254&amp;"-"&amp;G254&amp;H254</f>
        <v>Quercus-B2-P2-C4-A3</v>
      </c>
      <c r="L254" s="14" t="s">
        <v>21</v>
      </c>
      <c r="M254" s="14" t="s">
        <v>44</v>
      </c>
      <c r="N254" s="14" t="s">
        <v>143</v>
      </c>
      <c r="O254" s="26" t="str">
        <f>J254&amp;"_"&amp;M254</f>
        <v>Control_Yes</v>
      </c>
      <c r="P254" s="23" t="str">
        <f>J254&amp;"_"&amp;M254</f>
        <v>Control_Yes</v>
      </c>
      <c r="Q254" s="23" t="str">
        <f>L254&amp;"_"&amp;M254</f>
        <v>Yellow_Yes</v>
      </c>
      <c r="R254" s="23" t="s">
        <v>2071</v>
      </c>
      <c r="S254" s="23"/>
      <c r="T254" s="23"/>
    </row>
    <row r="255" spans="1:20" s="9" customFormat="1" ht="15.75" customHeight="1" x14ac:dyDescent="0.2">
      <c r="A255" s="13">
        <v>254</v>
      </c>
      <c r="B255" s="14" t="s">
        <v>35</v>
      </c>
      <c r="C255" s="14" t="s">
        <v>234</v>
      </c>
      <c r="D255" s="14" t="s">
        <v>62</v>
      </c>
      <c r="E255" s="14" t="s">
        <v>53</v>
      </c>
      <c r="F255" s="14" t="str">
        <f>C255&amp;"-"&amp;D255&amp;"-"&amp;E255</f>
        <v>B2-P2-C4</v>
      </c>
      <c r="G255" s="14" t="s">
        <v>24</v>
      </c>
      <c r="H255" s="14">
        <v>3</v>
      </c>
      <c r="I255" s="14" t="s">
        <v>296</v>
      </c>
      <c r="J255" s="14" t="s">
        <v>133</v>
      </c>
      <c r="K255" s="13" t="str">
        <f>B255&amp;"-"&amp;C255&amp;"-"&amp;D255&amp;"-"&amp;E255&amp;"-"&amp;G255&amp;H255</f>
        <v>Quercus-B2-P2-C4-B3</v>
      </c>
      <c r="L255" s="14" t="s">
        <v>21</v>
      </c>
      <c r="M255" s="14" t="s">
        <v>44</v>
      </c>
      <c r="N255" s="14" t="s">
        <v>143</v>
      </c>
      <c r="O255" s="26" t="str">
        <f>J255&amp;"_"&amp;M255</f>
        <v>Control_Yes</v>
      </c>
      <c r="P255" s="23" t="str">
        <f>J255&amp;"_"&amp;M255</f>
        <v>Control_Yes</v>
      </c>
      <c r="Q255" s="23" t="str">
        <f>L255&amp;"_"&amp;M255</f>
        <v>Yellow_Yes</v>
      </c>
      <c r="R255" s="23" t="s">
        <v>2071</v>
      </c>
      <c r="S255" s="23"/>
      <c r="T255" s="23"/>
    </row>
    <row r="256" spans="1:20" s="9" customFormat="1" ht="15.75" customHeight="1" x14ac:dyDescent="0.2">
      <c r="A256" s="13">
        <v>255</v>
      </c>
      <c r="B256" s="14" t="s">
        <v>35</v>
      </c>
      <c r="C256" s="14" t="s">
        <v>234</v>
      </c>
      <c r="D256" s="14" t="s">
        <v>62</v>
      </c>
      <c r="E256" s="14" t="s">
        <v>53</v>
      </c>
      <c r="F256" s="14" t="str">
        <f>C256&amp;"-"&amp;D256&amp;"-"&amp;E256</f>
        <v>B2-P2-C4</v>
      </c>
      <c r="G256" s="14" t="s">
        <v>17</v>
      </c>
      <c r="H256" s="14">
        <v>4</v>
      </c>
      <c r="I256" s="14" t="s">
        <v>297</v>
      </c>
      <c r="J256" s="14" t="s">
        <v>133</v>
      </c>
      <c r="K256" s="13" t="str">
        <f>B256&amp;"-"&amp;C256&amp;"-"&amp;D256&amp;"-"&amp;E256&amp;"-"&amp;G256&amp;H256</f>
        <v>Quercus-B2-P2-C4-A4</v>
      </c>
      <c r="L256" s="14" t="s">
        <v>21</v>
      </c>
      <c r="M256" s="14" t="s">
        <v>44</v>
      </c>
      <c r="N256" s="14" t="s">
        <v>143</v>
      </c>
      <c r="O256" s="26" t="str">
        <f>J256&amp;"_"&amp;M256</f>
        <v>Control_Yes</v>
      </c>
      <c r="P256" s="23" t="str">
        <f>J256&amp;"_"&amp;M256</f>
        <v>Control_Yes</v>
      </c>
      <c r="Q256" s="23" t="str">
        <f>L256&amp;"_"&amp;M256</f>
        <v>Yellow_Yes</v>
      </c>
      <c r="R256" s="23" t="s">
        <v>2071</v>
      </c>
      <c r="S256" s="23"/>
      <c r="T256" s="23"/>
    </row>
    <row r="257" spans="1:20" s="9" customFormat="1" ht="15.75" customHeight="1" x14ac:dyDescent="0.2">
      <c r="A257" s="13">
        <v>256</v>
      </c>
      <c r="B257" s="14" t="s">
        <v>35</v>
      </c>
      <c r="C257" s="14" t="s">
        <v>234</v>
      </c>
      <c r="D257" s="14" t="s">
        <v>62</v>
      </c>
      <c r="E257" s="14" t="s">
        <v>53</v>
      </c>
      <c r="F257" s="14" t="str">
        <f>C257&amp;"-"&amp;D257&amp;"-"&amp;E257</f>
        <v>B2-P2-C4</v>
      </c>
      <c r="G257" s="14" t="s">
        <v>24</v>
      </c>
      <c r="H257" s="14">
        <v>4</v>
      </c>
      <c r="I257" s="14" t="s">
        <v>298</v>
      </c>
      <c r="J257" s="14" t="s">
        <v>133</v>
      </c>
      <c r="K257" s="13" t="str">
        <f>B257&amp;"-"&amp;C257&amp;"-"&amp;D257&amp;"-"&amp;E257&amp;"-"&amp;G257&amp;H257</f>
        <v>Quercus-B2-P2-C4-B4</v>
      </c>
      <c r="L257" s="14" t="s">
        <v>21</v>
      </c>
      <c r="M257" s="14" t="s">
        <v>44</v>
      </c>
      <c r="N257" s="14" t="s">
        <v>143</v>
      </c>
      <c r="O257" s="26" t="str">
        <f>J257&amp;"_"&amp;M257</f>
        <v>Control_Yes</v>
      </c>
      <c r="P257" s="23" t="str">
        <f>J257&amp;"_"&amp;M257</f>
        <v>Control_Yes</v>
      </c>
      <c r="Q257" s="23" t="str">
        <f>L257&amp;"_"&amp;M257</f>
        <v>Yellow_Yes</v>
      </c>
      <c r="R257" s="23" t="s">
        <v>2071</v>
      </c>
      <c r="S257" s="23"/>
      <c r="T257" s="23"/>
    </row>
    <row r="258" spans="1:20" s="10" customFormat="1" ht="15.75" customHeight="1" x14ac:dyDescent="0.2">
      <c r="A258" s="21">
        <v>257</v>
      </c>
      <c r="B258" s="20" t="s">
        <v>35</v>
      </c>
      <c r="C258" s="20" t="s">
        <v>234</v>
      </c>
      <c r="D258" s="20" t="s">
        <v>98</v>
      </c>
      <c r="E258" s="20" t="s">
        <v>16</v>
      </c>
      <c r="F258" s="18" t="str">
        <f>C258&amp;"-"&amp;D258&amp;"-"&amp;E258</f>
        <v>B2-P3-C1</v>
      </c>
      <c r="G258" s="20" t="s">
        <v>17</v>
      </c>
      <c r="H258" s="20">
        <v>1</v>
      </c>
      <c r="I258" s="20" t="s">
        <v>299</v>
      </c>
      <c r="J258" s="20" t="s">
        <v>133</v>
      </c>
      <c r="K258" s="19" t="str">
        <f>B258&amp;"-"&amp;C258&amp;"-"&amp;D258&amp;"-"&amp;E258&amp;"-"&amp;G258&amp;H258</f>
        <v>Quercus-B2-P3-C1-A1</v>
      </c>
      <c r="L258" s="20" t="s">
        <v>64</v>
      </c>
      <c r="M258" s="20" t="s">
        <v>22</v>
      </c>
      <c r="N258" s="20" t="s">
        <v>202</v>
      </c>
      <c r="O258" s="27" t="str">
        <f>J258&amp;"_"&amp;M258</f>
        <v>Control_No</v>
      </c>
      <c r="P258" s="2" t="str">
        <f>J258&amp;"_"&amp;M258</f>
        <v>Control_No</v>
      </c>
      <c r="Q258" s="2" t="str">
        <f>L258&amp;"_"&amp;M258</f>
        <v>Grey_No</v>
      </c>
      <c r="R258" s="18" t="s">
        <v>2072</v>
      </c>
      <c r="S258" s="2"/>
      <c r="T258" s="2"/>
    </row>
    <row r="259" spans="1:20" s="10" customFormat="1" ht="15.75" customHeight="1" x14ac:dyDescent="0.2">
      <c r="A259" s="21">
        <v>258</v>
      </c>
      <c r="B259" s="20" t="s">
        <v>35</v>
      </c>
      <c r="C259" s="20" t="s">
        <v>234</v>
      </c>
      <c r="D259" s="20" t="s">
        <v>98</v>
      </c>
      <c r="E259" s="20" t="s">
        <v>16</v>
      </c>
      <c r="F259" s="18" t="str">
        <f>C259&amp;"-"&amp;D259&amp;"-"&amp;E259</f>
        <v>B2-P3-C1</v>
      </c>
      <c r="G259" s="20" t="s">
        <v>24</v>
      </c>
      <c r="H259" s="20">
        <v>1</v>
      </c>
      <c r="I259" s="20" t="s">
        <v>300</v>
      </c>
      <c r="J259" s="20" t="s">
        <v>133</v>
      </c>
      <c r="K259" s="19" t="str">
        <f>B259&amp;"-"&amp;C259&amp;"-"&amp;D259&amp;"-"&amp;E259&amp;"-"&amp;G259&amp;H259</f>
        <v>Quercus-B2-P3-C1-B1</v>
      </c>
      <c r="L259" s="20" t="s">
        <v>64</v>
      </c>
      <c r="M259" s="20" t="s">
        <v>22</v>
      </c>
      <c r="N259" s="20" t="s">
        <v>202</v>
      </c>
      <c r="O259" s="27" t="str">
        <f>J259&amp;"_"&amp;M259</f>
        <v>Control_No</v>
      </c>
      <c r="P259" s="2" t="str">
        <f>J259&amp;"_"&amp;M259</f>
        <v>Control_No</v>
      </c>
      <c r="Q259" s="2" t="str">
        <f>L259&amp;"_"&amp;M259</f>
        <v>Grey_No</v>
      </c>
      <c r="R259" s="18" t="s">
        <v>2072</v>
      </c>
      <c r="S259" s="2"/>
      <c r="T259" s="2"/>
    </row>
    <row r="260" spans="1:20" s="10" customFormat="1" ht="15.75" customHeight="1" x14ac:dyDescent="0.2">
      <c r="A260" s="21">
        <v>259</v>
      </c>
      <c r="B260" s="20" t="s">
        <v>35</v>
      </c>
      <c r="C260" s="20" t="s">
        <v>234</v>
      </c>
      <c r="D260" s="20" t="s">
        <v>98</v>
      </c>
      <c r="E260" s="20" t="s">
        <v>16</v>
      </c>
      <c r="F260" s="18" t="str">
        <f>C260&amp;"-"&amp;D260&amp;"-"&amp;E260</f>
        <v>B2-P3-C1</v>
      </c>
      <c r="G260" s="20" t="s">
        <v>17</v>
      </c>
      <c r="H260" s="20">
        <v>2</v>
      </c>
      <c r="I260" s="20" t="s">
        <v>301</v>
      </c>
      <c r="J260" s="20" t="s">
        <v>133</v>
      </c>
      <c r="K260" s="19" t="str">
        <f>B260&amp;"-"&amp;C260&amp;"-"&amp;D260&amp;"-"&amp;E260&amp;"-"&amp;G260&amp;H260</f>
        <v>Quercus-B2-P3-C1-A2</v>
      </c>
      <c r="L260" s="20" t="s">
        <v>64</v>
      </c>
      <c r="M260" s="20" t="s">
        <v>22</v>
      </c>
      <c r="N260" s="20" t="s">
        <v>202</v>
      </c>
      <c r="O260" s="27" t="str">
        <f>J260&amp;"_"&amp;M260</f>
        <v>Control_No</v>
      </c>
      <c r="P260" s="2" t="str">
        <f>J260&amp;"_"&amp;M260</f>
        <v>Control_No</v>
      </c>
      <c r="Q260" s="2" t="str">
        <f>L260&amp;"_"&amp;M260</f>
        <v>Grey_No</v>
      </c>
      <c r="R260" s="18" t="s">
        <v>2072</v>
      </c>
      <c r="S260" s="2"/>
      <c r="T260" s="2"/>
    </row>
    <row r="261" spans="1:20" s="10" customFormat="1" ht="15.75" customHeight="1" x14ac:dyDescent="0.2">
      <c r="A261" s="21">
        <v>260</v>
      </c>
      <c r="B261" s="20" t="s">
        <v>35</v>
      </c>
      <c r="C261" s="20" t="s">
        <v>234</v>
      </c>
      <c r="D261" s="20" t="s">
        <v>98</v>
      </c>
      <c r="E261" s="20" t="s">
        <v>16</v>
      </c>
      <c r="F261" s="18" t="str">
        <f>C261&amp;"-"&amp;D261&amp;"-"&amp;E261</f>
        <v>B2-P3-C1</v>
      </c>
      <c r="G261" s="20" t="s">
        <v>24</v>
      </c>
      <c r="H261" s="20">
        <v>2</v>
      </c>
      <c r="I261" s="20" t="s">
        <v>302</v>
      </c>
      <c r="J261" s="20" t="s">
        <v>133</v>
      </c>
      <c r="K261" s="19" t="str">
        <f>B261&amp;"-"&amp;C261&amp;"-"&amp;D261&amp;"-"&amp;E261&amp;"-"&amp;G261&amp;H261</f>
        <v>Quercus-B2-P3-C1-B2</v>
      </c>
      <c r="L261" s="20" t="s">
        <v>64</v>
      </c>
      <c r="M261" s="20" t="s">
        <v>22</v>
      </c>
      <c r="N261" s="20" t="s">
        <v>202</v>
      </c>
      <c r="O261" s="27" t="str">
        <f>J261&amp;"_"&amp;M261</f>
        <v>Control_No</v>
      </c>
      <c r="P261" s="2" t="str">
        <f>J261&amp;"_"&amp;M261</f>
        <v>Control_No</v>
      </c>
      <c r="Q261" s="2" t="str">
        <f>L261&amp;"_"&amp;M261</f>
        <v>Grey_No</v>
      </c>
      <c r="R261" s="18" t="s">
        <v>2072</v>
      </c>
      <c r="S261" s="2"/>
      <c r="T261" s="2"/>
    </row>
    <row r="262" spans="1:20" s="10" customFormat="1" ht="15.75" customHeight="1" x14ac:dyDescent="0.2">
      <c r="A262" s="21">
        <v>261</v>
      </c>
      <c r="B262" s="20" t="s">
        <v>35</v>
      </c>
      <c r="C262" s="20" t="s">
        <v>234</v>
      </c>
      <c r="D262" s="20" t="s">
        <v>98</v>
      </c>
      <c r="E262" s="20" t="s">
        <v>16</v>
      </c>
      <c r="F262" s="18" t="str">
        <f>C262&amp;"-"&amp;D262&amp;"-"&amp;E262</f>
        <v>B2-P3-C1</v>
      </c>
      <c r="G262" s="20" t="s">
        <v>17</v>
      </c>
      <c r="H262" s="20">
        <v>3</v>
      </c>
      <c r="I262" s="20" t="s">
        <v>303</v>
      </c>
      <c r="J262" s="20" t="s">
        <v>133</v>
      </c>
      <c r="K262" s="19" t="str">
        <f>B262&amp;"-"&amp;C262&amp;"-"&amp;D262&amp;"-"&amp;E262&amp;"-"&amp;G262&amp;H262</f>
        <v>Quercus-B2-P3-C1-A3</v>
      </c>
      <c r="L262" s="20" t="s">
        <v>64</v>
      </c>
      <c r="M262" s="20" t="s">
        <v>22</v>
      </c>
      <c r="N262" s="20" t="s">
        <v>202</v>
      </c>
      <c r="O262" s="27" t="str">
        <f>J262&amp;"_"&amp;M262</f>
        <v>Control_No</v>
      </c>
      <c r="P262" s="2" t="str">
        <f>J262&amp;"_"&amp;M262</f>
        <v>Control_No</v>
      </c>
      <c r="Q262" s="2" t="str">
        <f>L262&amp;"_"&amp;M262</f>
        <v>Grey_No</v>
      </c>
      <c r="R262" s="18" t="s">
        <v>2072</v>
      </c>
      <c r="S262" s="2"/>
      <c r="T262" s="2"/>
    </row>
    <row r="263" spans="1:20" s="10" customFormat="1" ht="15.75" customHeight="1" x14ac:dyDescent="0.2">
      <c r="A263" s="21">
        <v>262</v>
      </c>
      <c r="B263" s="20" t="s">
        <v>35</v>
      </c>
      <c r="C263" s="20" t="s">
        <v>234</v>
      </c>
      <c r="D263" s="20" t="s">
        <v>98</v>
      </c>
      <c r="E263" s="20" t="s">
        <v>16</v>
      </c>
      <c r="F263" s="18" t="str">
        <f>C263&amp;"-"&amp;D263&amp;"-"&amp;E263</f>
        <v>B2-P3-C1</v>
      </c>
      <c r="G263" s="20" t="s">
        <v>24</v>
      </c>
      <c r="H263" s="20">
        <v>3</v>
      </c>
      <c r="I263" s="20" t="s">
        <v>304</v>
      </c>
      <c r="J263" s="20" t="s">
        <v>133</v>
      </c>
      <c r="K263" s="19" t="str">
        <f>B263&amp;"-"&amp;C263&amp;"-"&amp;D263&amp;"-"&amp;E263&amp;"-"&amp;G263&amp;H263</f>
        <v>Quercus-B2-P3-C1-B3</v>
      </c>
      <c r="L263" s="20" t="s">
        <v>64</v>
      </c>
      <c r="M263" s="20" t="s">
        <v>22</v>
      </c>
      <c r="N263" s="20" t="s">
        <v>202</v>
      </c>
      <c r="O263" s="27" t="str">
        <f>J263&amp;"_"&amp;M263</f>
        <v>Control_No</v>
      </c>
      <c r="P263" s="2" t="str">
        <f>J263&amp;"_"&amp;M263</f>
        <v>Control_No</v>
      </c>
      <c r="Q263" s="2" t="str">
        <f>L263&amp;"_"&amp;M263</f>
        <v>Grey_No</v>
      </c>
      <c r="R263" s="18" t="s">
        <v>2072</v>
      </c>
      <c r="S263" s="2"/>
      <c r="T263" s="2"/>
    </row>
    <row r="264" spans="1:20" s="10" customFormat="1" ht="15.75" customHeight="1" x14ac:dyDescent="0.2">
      <c r="A264" s="21">
        <v>263</v>
      </c>
      <c r="B264" s="20" t="s">
        <v>35</v>
      </c>
      <c r="C264" s="20" t="s">
        <v>234</v>
      </c>
      <c r="D264" s="20" t="s">
        <v>98</v>
      </c>
      <c r="E264" s="20" t="s">
        <v>16</v>
      </c>
      <c r="F264" s="18" t="str">
        <f>C264&amp;"-"&amp;D264&amp;"-"&amp;E264</f>
        <v>B2-P3-C1</v>
      </c>
      <c r="G264" s="20" t="s">
        <v>17</v>
      </c>
      <c r="H264" s="20">
        <v>4</v>
      </c>
      <c r="I264" s="20" t="s">
        <v>305</v>
      </c>
      <c r="J264" s="20" t="s">
        <v>133</v>
      </c>
      <c r="K264" s="19" t="str">
        <f>B264&amp;"-"&amp;C264&amp;"-"&amp;D264&amp;"-"&amp;E264&amp;"-"&amp;G264&amp;H264</f>
        <v>Quercus-B2-P3-C1-A4</v>
      </c>
      <c r="L264" s="20" t="s">
        <v>64</v>
      </c>
      <c r="M264" s="20" t="s">
        <v>22</v>
      </c>
      <c r="N264" s="20" t="s">
        <v>202</v>
      </c>
      <c r="O264" s="27" t="str">
        <f>J264&amp;"_"&amp;M264</f>
        <v>Control_No</v>
      </c>
      <c r="P264" s="2" t="str">
        <f>J264&amp;"_"&amp;M264</f>
        <v>Control_No</v>
      </c>
      <c r="Q264" s="2" t="str">
        <f>L264&amp;"_"&amp;M264</f>
        <v>Grey_No</v>
      </c>
      <c r="R264" s="18" t="s">
        <v>2072</v>
      </c>
      <c r="S264" s="2"/>
      <c r="T264" s="2"/>
    </row>
    <row r="265" spans="1:20" s="10" customFormat="1" ht="15.75" customHeight="1" x14ac:dyDescent="0.2">
      <c r="A265" s="21">
        <v>264</v>
      </c>
      <c r="B265" s="20" t="s">
        <v>35</v>
      </c>
      <c r="C265" s="20" t="s">
        <v>234</v>
      </c>
      <c r="D265" s="20" t="s">
        <v>98</v>
      </c>
      <c r="E265" s="20" t="s">
        <v>16</v>
      </c>
      <c r="F265" s="18" t="str">
        <f>C265&amp;"-"&amp;D265&amp;"-"&amp;E265</f>
        <v>B2-P3-C1</v>
      </c>
      <c r="G265" s="20" t="s">
        <v>24</v>
      </c>
      <c r="H265" s="20">
        <v>4</v>
      </c>
      <c r="I265" s="20" t="s">
        <v>306</v>
      </c>
      <c r="J265" s="20" t="s">
        <v>133</v>
      </c>
      <c r="K265" s="19" t="str">
        <f>B265&amp;"-"&amp;C265&amp;"-"&amp;D265&amp;"-"&amp;E265&amp;"-"&amp;G265&amp;H265</f>
        <v>Quercus-B2-P3-C1-B4</v>
      </c>
      <c r="L265" s="20" t="s">
        <v>64</v>
      </c>
      <c r="M265" s="20" t="s">
        <v>22</v>
      </c>
      <c r="N265" s="20" t="s">
        <v>202</v>
      </c>
      <c r="O265" s="27" t="str">
        <f>J265&amp;"_"&amp;M265</f>
        <v>Control_No</v>
      </c>
      <c r="P265" s="2" t="str">
        <f>J265&amp;"_"&amp;M265</f>
        <v>Control_No</v>
      </c>
      <c r="Q265" s="2" t="str">
        <f>L265&amp;"_"&amp;M265</f>
        <v>Grey_No</v>
      </c>
      <c r="R265" s="18" t="s">
        <v>2072</v>
      </c>
      <c r="S265" s="2"/>
      <c r="T265" s="2"/>
    </row>
    <row r="266" spans="1:20" s="9" customFormat="1" ht="15.75" customHeight="1" x14ac:dyDescent="0.2">
      <c r="A266" s="13">
        <v>265</v>
      </c>
      <c r="B266" s="14" t="s">
        <v>35</v>
      </c>
      <c r="C266" s="14" t="s">
        <v>234</v>
      </c>
      <c r="D266" s="14" t="s">
        <v>98</v>
      </c>
      <c r="E266" s="14" t="s">
        <v>32</v>
      </c>
      <c r="F266" s="14" t="str">
        <f>C266&amp;"-"&amp;D266&amp;"-"&amp;E266</f>
        <v>B2-P3-C2</v>
      </c>
      <c r="G266" s="14" t="s">
        <v>17</v>
      </c>
      <c r="H266" s="14">
        <v>1</v>
      </c>
      <c r="I266" s="14" t="s">
        <v>307</v>
      </c>
      <c r="J266" s="14" t="s">
        <v>133</v>
      </c>
      <c r="K266" s="13" t="str">
        <f>B266&amp;"-"&amp;C266&amp;"-"&amp;D266&amp;"-"&amp;E266&amp;"-"&amp;G266&amp;H266</f>
        <v>Quercus-B2-P3-C2-A1</v>
      </c>
      <c r="L266" s="14" t="s">
        <v>64</v>
      </c>
      <c r="M266" s="14" t="s">
        <v>44</v>
      </c>
      <c r="N266" s="14" t="s">
        <v>169</v>
      </c>
      <c r="O266" s="26" t="str">
        <f>J266&amp;"_"&amp;M266</f>
        <v>Control_Yes</v>
      </c>
      <c r="P266" s="23" t="str">
        <f>J266&amp;"_"&amp;M266</f>
        <v>Control_Yes</v>
      </c>
      <c r="Q266" s="23" t="str">
        <f>L266&amp;"_"&amp;M266</f>
        <v>Grey_Yes</v>
      </c>
      <c r="R266" s="18" t="s">
        <v>2072</v>
      </c>
      <c r="S266" s="1"/>
      <c r="T266" s="1"/>
    </row>
    <row r="267" spans="1:20" s="9" customFormat="1" ht="15.75" customHeight="1" x14ac:dyDescent="0.2">
      <c r="A267" s="13">
        <v>266</v>
      </c>
      <c r="B267" s="14" t="s">
        <v>35</v>
      </c>
      <c r="C267" s="14" t="s">
        <v>234</v>
      </c>
      <c r="D267" s="14" t="s">
        <v>98</v>
      </c>
      <c r="E267" s="14" t="s">
        <v>32</v>
      </c>
      <c r="F267" s="14" t="str">
        <f>C267&amp;"-"&amp;D267&amp;"-"&amp;E267</f>
        <v>B2-P3-C2</v>
      </c>
      <c r="G267" s="14" t="s">
        <v>24</v>
      </c>
      <c r="H267" s="14">
        <v>1</v>
      </c>
      <c r="I267" s="14" t="s">
        <v>308</v>
      </c>
      <c r="J267" s="14" t="s">
        <v>133</v>
      </c>
      <c r="K267" s="13" t="str">
        <f>B267&amp;"-"&amp;C267&amp;"-"&amp;D267&amp;"-"&amp;E267&amp;"-"&amp;G267&amp;H267</f>
        <v>Quercus-B2-P3-C2-B1</v>
      </c>
      <c r="L267" s="14" t="s">
        <v>64</v>
      </c>
      <c r="M267" s="14" t="s">
        <v>44</v>
      </c>
      <c r="N267" s="14" t="s">
        <v>169</v>
      </c>
      <c r="O267" s="26" t="str">
        <f>J267&amp;"_"&amp;M267</f>
        <v>Control_Yes</v>
      </c>
      <c r="P267" s="23" t="str">
        <f>J267&amp;"_"&amp;M267</f>
        <v>Control_Yes</v>
      </c>
      <c r="Q267" s="23" t="str">
        <f>L267&amp;"_"&amp;M267</f>
        <v>Grey_Yes</v>
      </c>
      <c r="R267" s="18" t="s">
        <v>2072</v>
      </c>
      <c r="S267" s="1"/>
      <c r="T267" s="1"/>
    </row>
    <row r="268" spans="1:20" s="9" customFormat="1" ht="15.75" customHeight="1" x14ac:dyDescent="0.2">
      <c r="A268" s="13">
        <v>267</v>
      </c>
      <c r="B268" s="14" t="s">
        <v>35</v>
      </c>
      <c r="C268" s="14" t="s">
        <v>234</v>
      </c>
      <c r="D268" s="14" t="s">
        <v>98</v>
      </c>
      <c r="E268" s="14" t="s">
        <v>32</v>
      </c>
      <c r="F268" s="14" t="str">
        <f>C268&amp;"-"&amp;D268&amp;"-"&amp;E268</f>
        <v>B2-P3-C2</v>
      </c>
      <c r="G268" s="14" t="s">
        <v>17</v>
      </c>
      <c r="H268" s="14">
        <v>2</v>
      </c>
      <c r="I268" s="14" t="s">
        <v>309</v>
      </c>
      <c r="J268" s="14" t="s">
        <v>133</v>
      </c>
      <c r="K268" s="13" t="str">
        <f>B268&amp;"-"&amp;C268&amp;"-"&amp;D268&amp;"-"&amp;E268&amp;"-"&amp;G268&amp;H268</f>
        <v>Quercus-B2-P3-C2-A2</v>
      </c>
      <c r="L268" s="14" t="s">
        <v>64</v>
      </c>
      <c r="M268" s="14" t="s">
        <v>44</v>
      </c>
      <c r="N268" s="14" t="s">
        <v>169</v>
      </c>
      <c r="O268" s="26" t="str">
        <f>J268&amp;"_"&amp;M268</f>
        <v>Control_Yes</v>
      </c>
      <c r="P268" s="23" t="str">
        <f>J268&amp;"_"&amp;M268</f>
        <v>Control_Yes</v>
      </c>
      <c r="Q268" s="23" t="str">
        <f>L268&amp;"_"&amp;M268</f>
        <v>Grey_Yes</v>
      </c>
      <c r="R268" s="18" t="s">
        <v>2072</v>
      </c>
      <c r="S268" s="1"/>
      <c r="T268" s="1"/>
    </row>
    <row r="269" spans="1:20" s="9" customFormat="1" ht="15.75" customHeight="1" x14ac:dyDescent="0.2">
      <c r="A269" s="13">
        <v>268</v>
      </c>
      <c r="B269" s="14" t="s">
        <v>35</v>
      </c>
      <c r="C269" s="14" t="s">
        <v>234</v>
      </c>
      <c r="D269" s="14" t="s">
        <v>98</v>
      </c>
      <c r="E269" s="14" t="s">
        <v>32</v>
      </c>
      <c r="F269" s="14" t="str">
        <f>C269&amp;"-"&amp;D269&amp;"-"&amp;E269</f>
        <v>B2-P3-C2</v>
      </c>
      <c r="G269" s="14" t="s">
        <v>24</v>
      </c>
      <c r="H269" s="14">
        <v>2</v>
      </c>
      <c r="I269" s="14" t="s">
        <v>310</v>
      </c>
      <c r="J269" s="14" t="s">
        <v>133</v>
      </c>
      <c r="K269" s="13" t="str">
        <f>B269&amp;"-"&amp;C269&amp;"-"&amp;D269&amp;"-"&amp;E269&amp;"-"&amp;G269&amp;H269</f>
        <v>Quercus-B2-P3-C2-B2</v>
      </c>
      <c r="L269" s="14" t="s">
        <v>64</v>
      </c>
      <c r="M269" s="14" t="s">
        <v>44</v>
      </c>
      <c r="N269" s="14" t="s">
        <v>169</v>
      </c>
      <c r="O269" s="26" t="str">
        <f>J269&amp;"_"&amp;M269</f>
        <v>Control_Yes</v>
      </c>
      <c r="P269" s="23" t="str">
        <f>J269&amp;"_"&amp;M269</f>
        <v>Control_Yes</v>
      </c>
      <c r="Q269" s="23" t="str">
        <f>L269&amp;"_"&amp;M269</f>
        <v>Grey_Yes</v>
      </c>
      <c r="R269" s="18" t="s">
        <v>2072</v>
      </c>
      <c r="S269" s="1"/>
      <c r="T269" s="1"/>
    </row>
    <row r="270" spans="1:20" s="9" customFormat="1" ht="15.75" customHeight="1" x14ac:dyDescent="0.2">
      <c r="A270" s="13">
        <v>269</v>
      </c>
      <c r="B270" s="14" t="s">
        <v>35</v>
      </c>
      <c r="C270" s="14" t="s">
        <v>234</v>
      </c>
      <c r="D270" s="14" t="s">
        <v>98</v>
      </c>
      <c r="E270" s="14" t="s">
        <v>32</v>
      </c>
      <c r="F270" s="14" t="str">
        <f>C270&amp;"-"&amp;D270&amp;"-"&amp;E270</f>
        <v>B2-P3-C2</v>
      </c>
      <c r="G270" s="14" t="s">
        <v>17</v>
      </c>
      <c r="H270" s="14">
        <v>3</v>
      </c>
      <c r="I270" s="14" t="s">
        <v>311</v>
      </c>
      <c r="J270" s="14" t="s">
        <v>133</v>
      </c>
      <c r="K270" s="13" t="str">
        <f>B270&amp;"-"&amp;C270&amp;"-"&amp;D270&amp;"-"&amp;E270&amp;"-"&amp;G270&amp;H270</f>
        <v>Quercus-B2-P3-C2-A3</v>
      </c>
      <c r="L270" s="14" t="s">
        <v>64</v>
      </c>
      <c r="M270" s="14" t="s">
        <v>44</v>
      </c>
      <c r="N270" s="14" t="s">
        <v>169</v>
      </c>
      <c r="O270" s="26" t="str">
        <f>J270&amp;"_"&amp;M270</f>
        <v>Control_Yes</v>
      </c>
      <c r="P270" s="23" t="str">
        <f>J270&amp;"_"&amp;M270</f>
        <v>Control_Yes</v>
      </c>
      <c r="Q270" s="23" t="str">
        <f>L270&amp;"_"&amp;M270</f>
        <v>Grey_Yes</v>
      </c>
      <c r="R270" s="18" t="s">
        <v>2072</v>
      </c>
      <c r="S270" s="1"/>
      <c r="T270" s="1"/>
    </row>
    <row r="271" spans="1:20" s="9" customFormat="1" ht="15.75" customHeight="1" x14ac:dyDescent="0.2">
      <c r="A271" s="13">
        <v>270</v>
      </c>
      <c r="B271" s="14" t="s">
        <v>35</v>
      </c>
      <c r="C271" s="14" t="s">
        <v>234</v>
      </c>
      <c r="D271" s="14" t="s">
        <v>98</v>
      </c>
      <c r="E271" s="14" t="s">
        <v>32</v>
      </c>
      <c r="F271" s="14" t="str">
        <f>C271&amp;"-"&amp;D271&amp;"-"&amp;E271</f>
        <v>B2-P3-C2</v>
      </c>
      <c r="G271" s="14" t="s">
        <v>24</v>
      </c>
      <c r="H271" s="14">
        <v>3</v>
      </c>
      <c r="I271" s="14" t="s">
        <v>312</v>
      </c>
      <c r="J271" s="14" t="s">
        <v>133</v>
      </c>
      <c r="K271" s="13" t="str">
        <f>B271&amp;"-"&amp;C271&amp;"-"&amp;D271&amp;"-"&amp;E271&amp;"-"&amp;G271&amp;H271</f>
        <v>Quercus-B2-P3-C2-B3</v>
      </c>
      <c r="L271" s="14" t="s">
        <v>64</v>
      </c>
      <c r="M271" s="14" t="s">
        <v>44</v>
      </c>
      <c r="N271" s="14" t="s">
        <v>169</v>
      </c>
      <c r="O271" s="26" t="str">
        <f>J271&amp;"_"&amp;M271</f>
        <v>Control_Yes</v>
      </c>
      <c r="P271" s="23" t="str">
        <f>J271&amp;"_"&amp;M271</f>
        <v>Control_Yes</v>
      </c>
      <c r="Q271" s="23" t="str">
        <f>L271&amp;"_"&amp;M271</f>
        <v>Grey_Yes</v>
      </c>
      <c r="R271" s="18" t="s">
        <v>2072</v>
      </c>
      <c r="S271" s="1"/>
      <c r="T271" s="1"/>
    </row>
    <row r="272" spans="1:20" s="9" customFormat="1" ht="15.75" customHeight="1" x14ac:dyDescent="0.2">
      <c r="A272" s="13">
        <v>271</v>
      </c>
      <c r="B272" s="14" t="s">
        <v>35</v>
      </c>
      <c r="C272" s="14" t="s">
        <v>234</v>
      </c>
      <c r="D272" s="14" t="s">
        <v>98</v>
      </c>
      <c r="E272" s="14" t="s">
        <v>32</v>
      </c>
      <c r="F272" s="14" t="str">
        <f>C272&amp;"-"&amp;D272&amp;"-"&amp;E272</f>
        <v>B2-P3-C2</v>
      </c>
      <c r="G272" s="14" t="s">
        <v>17</v>
      </c>
      <c r="H272" s="14">
        <v>4</v>
      </c>
      <c r="I272" s="14" t="s">
        <v>313</v>
      </c>
      <c r="J272" s="14" t="s">
        <v>133</v>
      </c>
      <c r="K272" s="13" t="str">
        <f>B272&amp;"-"&amp;C272&amp;"-"&amp;D272&amp;"-"&amp;E272&amp;"-"&amp;G272&amp;H272</f>
        <v>Quercus-B2-P3-C2-A4</v>
      </c>
      <c r="L272" s="14" t="s">
        <v>64</v>
      </c>
      <c r="M272" s="14" t="s">
        <v>44</v>
      </c>
      <c r="N272" s="14" t="s">
        <v>169</v>
      </c>
      <c r="O272" s="26" t="str">
        <f>J272&amp;"_"&amp;M272</f>
        <v>Control_Yes</v>
      </c>
      <c r="P272" s="23" t="str">
        <f>J272&amp;"_"&amp;M272</f>
        <v>Control_Yes</v>
      </c>
      <c r="Q272" s="23" t="str">
        <f>L272&amp;"_"&amp;M272</f>
        <v>Grey_Yes</v>
      </c>
      <c r="R272" s="18" t="s">
        <v>2072</v>
      </c>
      <c r="S272" s="1"/>
      <c r="T272" s="1"/>
    </row>
    <row r="273" spans="1:20" s="9" customFormat="1" ht="15.75" customHeight="1" x14ac:dyDescent="0.2">
      <c r="A273" s="13">
        <v>272</v>
      </c>
      <c r="B273" s="14" t="s">
        <v>35</v>
      </c>
      <c r="C273" s="14" t="s">
        <v>234</v>
      </c>
      <c r="D273" s="14" t="s">
        <v>98</v>
      </c>
      <c r="E273" s="14" t="s">
        <v>32</v>
      </c>
      <c r="F273" s="14" t="str">
        <f>C273&amp;"-"&amp;D273&amp;"-"&amp;E273</f>
        <v>B2-P3-C2</v>
      </c>
      <c r="G273" s="14" t="s">
        <v>24</v>
      </c>
      <c r="H273" s="14">
        <v>4</v>
      </c>
      <c r="I273" s="14" t="s">
        <v>314</v>
      </c>
      <c r="J273" s="14" t="s">
        <v>133</v>
      </c>
      <c r="K273" s="13" t="str">
        <f>B273&amp;"-"&amp;C273&amp;"-"&amp;D273&amp;"-"&amp;E273&amp;"-"&amp;G273&amp;H273</f>
        <v>Quercus-B2-P3-C2-B4</v>
      </c>
      <c r="L273" s="14" t="s">
        <v>64</v>
      </c>
      <c r="M273" s="14" t="s">
        <v>44</v>
      </c>
      <c r="N273" s="14" t="s">
        <v>169</v>
      </c>
      <c r="O273" s="26" t="str">
        <f>J273&amp;"_"&amp;M273</f>
        <v>Control_Yes</v>
      </c>
      <c r="P273" s="23" t="str">
        <f>J273&amp;"_"&amp;M273</f>
        <v>Control_Yes</v>
      </c>
      <c r="Q273" s="23" t="str">
        <f>L273&amp;"_"&amp;M273</f>
        <v>Grey_Yes</v>
      </c>
      <c r="R273" s="18" t="s">
        <v>2072</v>
      </c>
      <c r="S273" s="1"/>
      <c r="T273" s="1"/>
    </row>
    <row r="274" spans="1:20" s="10" customFormat="1" ht="15.75" customHeight="1" x14ac:dyDescent="0.2">
      <c r="A274" s="21">
        <v>273</v>
      </c>
      <c r="B274" s="20" t="s">
        <v>19</v>
      </c>
      <c r="C274" s="20" t="s">
        <v>234</v>
      </c>
      <c r="D274" s="20" t="s">
        <v>98</v>
      </c>
      <c r="E274" s="20" t="s">
        <v>42</v>
      </c>
      <c r="F274" s="18" t="str">
        <f>C274&amp;"-"&amp;D274&amp;"-"&amp;E274</f>
        <v>B2-P3-C3</v>
      </c>
      <c r="G274" s="20" t="s">
        <v>17</v>
      </c>
      <c r="H274" s="20">
        <v>1</v>
      </c>
      <c r="I274" s="20" t="s">
        <v>315</v>
      </c>
      <c r="J274" s="20" t="s">
        <v>133</v>
      </c>
      <c r="K274" s="19" t="str">
        <f>B274&amp;"-"&amp;C274&amp;"-"&amp;D274&amp;"-"&amp;E274&amp;"-"&amp;G274&amp;H274</f>
        <v>Fagus-B2-P3-C3-A1</v>
      </c>
      <c r="L274" s="20" t="s">
        <v>21</v>
      </c>
      <c r="M274" s="20" t="s">
        <v>22</v>
      </c>
      <c r="N274" s="20" t="s">
        <v>134</v>
      </c>
      <c r="O274" s="27" t="str">
        <f>J274&amp;"_"&amp;M274</f>
        <v>Control_No</v>
      </c>
      <c r="P274" s="2" t="str">
        <f>J274&amp;"_"&amp;M274</f>
        <v>Control_No</v>
      </c>
      <c r="Q274" s="2" t="str">
        <f>L274&amp;"_"&amp;M274</f>
        <v>Yellow_No</v>
      </c>
      <c r="R274" s="23" t="s">
        <v>2071</v>
      </c>
      <c r="S274" s="23"/>
      <c r="T274" s="23"/>
    </row>
    <row r="275" spans="1:20" s="10" customFormat="1" ht="15.75" customHeight="1" x14ac:dyDescent="0.2">
      <c r="A275" s="21">
        <v>274</v>
      </c>
      <c r="B275" s="20" t="s">
        <v>19</v>
      </c>
      <c r="C275" s="20" t="s">
        <v>234</v>
      </c>
      <c r="D275" s="20" t="s">
        <v>98</v>
      </c>
      <c r="E275" s="20" t="s">
        <v>42</v>
      </c>
      <c r="F275" s="18" t="str">
        <f>C275&amp;"-"&amp;D275&amp;"-"&amp;E275</f>
        <v>B2-P3-C3</v>
      </c>
      <c r="G275" s="20" t="s">
        <v>24</v>
      </c>
      <c r="H275" s="20">
        <v>1</v>
      </c>
      <c r="I275" s="20" t="s">
        <v>316</v>
      </c>
      <c r="J275" s="20" t="s">
        <v>133</v>
      </c>
      <c r="K275" s="19" t="str">
        <f>B275&amp;"-"&amp;C275&amp;"-"&amp;D275&amp;"-"&amp;E275&amp;"-"&amp;G275&amp;H275</f>
        <v>Fagus-B2-P3-C3-B1</v>
      </c>
      <c r="L275" s="20" t="s">
        <v>21</v>
      </c>
      <c r="M275" s="20" t="s">
        <v>22</v>
      </c>
      <c r="N275" s="20" t="s">
        <v>134</v>
      </c>
      <c r="O275" s="27" t="str">
        <f>J275&amp;"_"&amp;M275</f>
        <v>Control_No</v>
      </c>
      <c r="P275" s="2" t="str">
        <f>J275&amp;"_"&amp;M275</f>
        <v>Control_No</v>
      </c>
      <c r="Q275" s="2" t="str">
        <f>L275&amp;"_"&amp;M275</f>
        <v>Yellow_No</v>
      </c>
      <c r="R275" s="23" t="s">
        <v>2071</v>
      </c>
      <c r="S275" s="23"/>
      <c r="T275" s="23"/>
    </row>
    <row r="276" spans="1:20" s="10" customFormat="1" ht="15.75" customHeight="1" x14ac:dyDescent="0.2">
      <c r="A276" s="21">
        <v>275</v>
      </c>
      <c r="B276" s="20" t="s">
        <v>19</v>
      </c>
      <c r="C276" s="20" t="s">
        <v>234</v>
      </c>
      <c r="D276" s="20" t="s">
        <v>98</v>
      </c>
      <c r="E276" s="20" t="s">
        <v>42</v>
      </c>
      <c r="F276" s="18" t="str">
        <f>C276&amp;"-"&amp;D276&amp;"-"&amp;E276</f>
        <v>B2-P3-C3</v>
      </c>
      <c r="G276" s="20" t="s">
        <v>17</v>
      </c>
      <c r="H276" s="20">
        <v>2</v>
      </c>
      <c r="I276" s="20" t="s">
        <v>317</v>
      </c>
      <c r="J276" s="20" t="s">
        <v>133</v>
      </c>
      <c r="K276" s="19" t="str">
        <f>B276&amp;"-"&amp;C276&amp;"-"&amp;D276&amp;"-"&amp;E276&amp;"-"&amp;G276&amp;H276</f>
        <v>Fagus-B2-P3-C3-A2</v>
      </c>
      <c r="L276" s="20" t="s">
        <v>21</v>
      </c>
      <c r="M276" s="20" t="s">
        <v>22</v>
      </c>
      <c r="N276" s="20" t="s">
        <v>134</v>
      </c>
      <c r="O276" s="27" t="str">
        <f>J276&amp;"_"&amp;M276</f>
        <v>Control_No</v>
      </c>
      <c r="P276" s="2" t="str">
        <f>J276&amp;"_"&amp;M276</f>
        <v>Control_No</v>
      </c>
      <c r="Q276" s="2" t="str">
        <f>L276&amp;"_"&amp;M276</f>
        <v>Yellow_No</v>
      </c>
      <c r="R276" s="23" t="s">
        <v>2071</v>
      </c>
      <c r="S276" s="23"/>
      <c r="T276" s="23"/>
    </row>
    <row r="277" spans="1:20" s="10" customFormat="1" ht="15.75" customHeight="1" x14ac:dyDescent="0.2">
      <c r="A277" s="21">
        <v>276</v>
      </c>
      <c r="B277" s="20" t="s">
        <v>19</v>
      </c>
      <c r="C277" s="20" t="s">
        <v>234</v>
      </c>
      <c r="D277" s="20" t="s">
        <v>98</v>
      </c>
      <c r="E277" s="20" t="s">
        <v>42</v>
      </c>
      <c r="F277" s="18" t="str">
        <f>C277&amp;"-"&amp;D277&amp;"-"&amp;E277</f>
        <v>B2-P3-C3</v>
      </c>
      <c r="G277" s="20" t="s">
        <v>24</v>
      </c>
      <c r="H277" s="20">
        <v>2</v>
      </c>
      <c r="I277" s="20" t="s">
        <v>318</v>
      </c>
      <c r="J277" s="20" t="s">
        <v>133</v>
      </c>
      <c r="K277" s="19" t="str">
        <f>B277&amp;"-"&amp;C277&amp;"-"&amp;D277&amp;"-"&amp;E277&amp;"-"&amp;G277&amp;H277</f>
        <v>Fagus-B2-P3-C3-B2</v>
      </c>
      <c r="L277" s="20" t="s">
        <v>21</v>
      </c>
      <c r="M277" s="20" t="s">
        <v>22</v>
      </c>
      <c r="N277" s="20" t="s">
        <v>134</v>
      </c>
      <c r="O277" s="27" t="str">
        <f>J277&amp;"_"&amp;M277</f>
        <v>Control_No</v>
      </c>
      <c r="P277" s="2" t="str">
        <f>J277&amp;"_"&amp;M277</f>
        <v>Control_No</v>
      </c>
      <c r="Q277" s="2" t="str">
        <f>L277&amp;"_"&amp;M277</f>
        <v>Yellow_No</v>
      </c>
      <c r="R277" s="23" t="s">
        <v>2071</v>
      </c>
      <c r="S277" s="23"/>
      <c r="T277" s="23"/>
    </row>
    <row r="278" spans="1:20" s="10" customFormat="1" ht="15.75" customHeight="1" x14ac:dyDescent="0.2">
      <c r="A278" s="21">
        <v>277</v>
      </c>
      <c r="B278" s="20" t="s">
        <v>19</v>
      </c>
      <c r="C278" s="20" t="s">
        <v>234</v>
      </c>
      <c r="D278" s="20" t="s">
        <v>98</v>
      </c>
      <c r="E278" s="20" t="s">
        <v>42</v>
      </c>
      <c r="F278" s="18" t="str">
        <f>C278&amp;"-"&amp;D278&amp;"-"&amp;E278</f>
        <v>B2-P3-C3</v>
      </c>
      <c r="G278" s="20" t="s">
        <v>17</v>
      </c>
      <c r="H278" s="20">
        <v>3</v>
      </c>
      <c r="I278" s="20" t="s">
        <v>319</v>
      </c>
      <c r="J278" s="20" t="s">
        <v>133</v>
      </c>
      <c r="K278" s="19" t="str">
        <f>B278&amp;"-"&amp;C278&amp;"-"&amp;D278&amp;"-"&amp;E278&amp;"-"&amp;G278&amp;H278</f>
        <v>Fagus-B2-P3-C3-A3</v>
      </c>
      <c r="L278" s="20" t="s">
        <v>21</v>
      </c>
      <c r="M278" s="20" t="s">
        <v>22</v>
      </c>
      <c r="N278" s="20" t="s">
        <v>134</v>
      </c>
      <c r="O278" s="27" t="str">
        <f>J278&amp;"_"&amp;M278</f>
        <v>Control_No</v>
      </c>
      <c r="P278" s="2" t="str">
        <f>J278&amp;"_"&amp;M278</f>
        <v>Control_No</v>
      </c>
      <c r="Q278" s="2" t="str">
        <f>L278&amp;"_"&amp;M278</f>
        <v>Yellow_No</v>
      </c>
      <c r="R278" s="23" t="s">
        <v>2071</v>
      </c>
      <c r="S278" s="2"/>
      <c r="T278" s="2"/>
    </row>
    <row r="279" spans="1:20" s="10" customFormat="1" ht="15.75" customHeight="1" x14ac:dyDescent="0.2">
      <c r="A279" s="21">
        <v>278</v>
      </c>
      <c r="B279" s="20" t="s">
        <v>19</v>
      </c>
      <c r="C279" s="20" t="s">
        <v>234</v>
      </c>
      <c r="D279" s="20" t="s">
        <v>98</v>
      </c>
      <c r="E279" s="20" t="s">
        <v>42</v>
      </c>
      <c r="F279" s="18" t="str">
        <f>C279&amp;"-"&amp;D279&amp;"-"&amp;E279</f>
        <v>B2-P3-C3</v>
      </c>
      <c r="G279" s="20" t="s">
        <v>24</v>
      </c>
      <c r="H279" s="20">
        <v>3</v>
      </c>
      <c r="I279" s="20" t="s">
        <v>320</v>
      </c>
      <c r="J279" s="20" t="s">
        <v>133</v>
      </c>
      <c r="K279" s="19" t="str">
        <f>B279&amp;"-"&amp;C279&amp;"-"&amp;D279&amp;"-"&amp;E279&amp;"-"&amp;G279&amp;H279</f>
        <v>Fagus-B2-P3-C3-B3</v>
      </c>
      <c r="L279" s="20" t="s">
        <v>21</v>
      </c>
      <c r="M279" s="20" t="s">
        <v>22</v>
      </c>
      <c r="N279" s="20" t="s">
        <v>134</v>
      </c>
      <c r="O279" s="27" t="str">
        <f>J279&amp;"_"&amp;M279</f>
        <v>Control_No</v>
      </c>
      <c r="P279" s="2" t="str">
        <f>J279&amp;"_"&amp;M279</f>
        <v>Control_No</v>
      </c>
      <c r="Q279" s="2" t="str">
        <f>L279&amp;"_"&amp;M279</f>
        <v>Yellow_No</v>
      </c>
      <c r="R279" s="23" t="s">
        <v>2071</v>
      </c>
      <c r="S279" s="2"/>
      <c r="T279" s="2"/>
    </row>
    <row r="280" spans="1:20" s="10" customFormat="1" ht="15.75" customHeight="1" x14ac:dyDescent="0.2">
      <c r="A280" s="21">
        <v>279</v>
      </c>
      <c r="B280" s="20" t="s">
        <v>19</v>
      </c>
      <c r="C280" s="20" t="s">
        <v>234</v>
      </c>
      <c r="D280" s="20" t="s">
        <v>98</v>
      </c>
      <c r="E280" s="20" t="s">
        <v>42</v>
      </c>
      <c r="F280" s="18" t="str">
        <f>C280&amp;"-"&amp;D280&amp;"-"&amp;E280</f>
        <v>B2-P3-C3</v>
      </c>
      <c r="G280" s="20" t="s">
        <v>17</v>
      </c>
      <c r="H280" s="20">
        <v>4</v>
      </c>
      <c r="I280" s="20" t="s">
        <v>321</v>
      </c>
      <c r="J280" s="20" t="s">
        <v>133</v>
      </c>
      <c r="K280" s="19" t="str">
        <f>B280&amp;"-"&amp;C280&amp;"-"&amp;D280&amp;"-"&amp;E280&amp;"-"&amp;G280&amp;H280</f>
        <v>Fagus-B2-P3-C3-A4</v>
      </c>
      <c r="L280" s="20" t="s">
        <v>21</v>
      </c>
      <c r="M280" s="20" t="s">
        <v>22</v>
      </c>
      <c r="N280" s="20" t="s">
        <v>134</v>
      </c>
      <c r="O280" s="27" t="str">
        <f>J280&amp;"_"&amp;M280</f>
        <v>Control_No</v>
      </c>
      <c r="P280" s="2" t="str">
        <f>J280&amp;"_"&amp;M280</f>
        <v>Control_No</v>
      </c>
      <c r="Q280" s="2" t="str">
        <f>L280&amp;"_"&amp;M280</f>
        <v>Yellow_No</v>
      </c>
      <c r="R280" s="23" t="s">
        <v>2071</v>
      </c>
      <c r="S280" s="2"/>
      <c r="T280" s="2"/>
    </row>
    <row r="281" spans="1:20" s="10" customFormat="1" ht="15.75" customHeight="1" x14ac:dyDescent="0.2">
      <c r="A281" s="21">
        <v>280</v>
      </c>
      <c r="B281" s="20" t="s">
        <v>19</v>
      </c>
      <c r="C281" s="20" t="s">
        <v>234</v>
      </c>
      <c r="D281" s="20" t="s">
        <v>98</v>
      </c>
      <c r="E281" s="20" t="s">
        <v>42</v>
      </c>
      <c r="F281" s="18" t="str">
        <f>C281&amp;"-"&amp;D281&amp;"-"&amp;E281</f>
        <v>B2-P3-C3</v>
      </c>
      <c r="G281" s="20" t="s">
        <v>24</v>
      </c>
      <c r="H281" s="20">
        <v>4</v>
      </c>
      <c r="I281" s="20" t="s">
        <v>322</v>
      </c>
      <c r="J281" s="20" t="s">
        <v>133</v>
      </c>
      <c r="K281" s="19" t="str">
        <f>B281&amp;"-"&amp;C281&amp;"-"&amp;D281&amp;"-"&amp;E281&amp;"-"&amp;G281&amp;H281</f>
        <v>Fagus-B2-P3-C3-B4</v>
      </c>
      <c r="L281" s="20" t="s">
        <v>21</v>
      </c>
      <c r="M281" s="20" t="s">
        <v>22</v>
      </c>
      <c r="N281" s="20" t="s">
        <v>134</v>
      </c>
      <c r="O281" s="27" t="str">
        <f>J281&amp;"_"&amp;M281</f>
        <v>Control_No</v>
      </c>
      <c r="P281" s="2" t="str">
        <f>J281&amp;"_"&amp;M281</f>
        <v>Control_No</v>
      </c>
      <c r="Q281" s="2" t="str">
        <f>L281&amp;"_"&amp;M281</f>
        <v>Yellow_No</v>
      </c>
      <c r="R281" s="23" t="s">
        <v>2071</v>
      </c>
      <c r="S281" s="2"/>
      <c r="T281" s="2"/>
    </row>
    <row r="282" spans="1:20" s="9" customFormat="1" ht="15.75" customHeight="1" x14ac:dyDescent="0.2">
      <c r="A282" s="13">
        <v>281</v>
      </c>
      <c r="B282" s="14" t="s">
        <v>35</v>
      </c>
      <c r="C282" s="14" t="s">
        <v>234</v>
      </c>
      <c r="D282" s="14" t="s">
        <v>98</v>
      </c>
      <c r="E282" s="14" t="s">
        <v>53</v>
      </c>
      <c r="F282" s="14" t="str">
        <f>C282&amp;"-"&amp;D282&amp;"-"&amp;E282</f>
        <v>B2-P3-C4</v>
      </c>
      <c r="G282" s="14" t="s">
        <v>17</v>
      </c>
      <c r="H282" s="14">
        <v>1</v>
      </c>
      <c r="I282" s="14" t="s">
        <v>323</v>
      </c>
      <c r="J282" s="14" t="s">
        <v>133</v>
      </c>
      <c r="K282" s="13" t="str">
        <f>B282&amp;"-"&amp;C282&amp;"-"&amp;D282&amp;"-"&amp;E282&amp;"-"&amp;G282&amp;H282</f>
        <v>Quercus-B2-P3-C4-A1</v>
      </c>
      <c r="L282" s="14" t="s">
        <v>21</v>
      </c>
      <c r="M282" s="14" t="s">
        <v>22</v>
      </c>
      <c r="N282" s="14" t="s">
        <v>134</v>
      </c>
      <c r="O282" s="26" t="str">
        <f>J282&amp;"_"&amp;M282</f>
        <v>Control_No</v>
      </c>
      <c r="P282" s="23" t="str">
        <f>J282&amp;"_"&amp;M282</f>
        <v>Control_No</v>
      </c>
      <c r="Q282" s="23" t="str">
        <f>L282&amp;"_"&amp;M282</f>
        <v>Yellow_No</v>
      </c>
      <c r="R282" s="23" t="s">
        <v>2071</v>
      </c>
      <c r="S282" s="2"/>
      <c r="T282" s="2"/>
    </row>
    <row r="283" spans="1:20" s="9" customFormat="1" ht="15.75" customHeight="1" x14ac:dyDescent="0.2">
      <c r="A283" s="13">
        <v>282</v>
      </c>
      <c r="B283" s="14" t="s">
        <v>35</v>
      </c>
      <c r="C283" s="14" t="s">
        <v>234</v>
      </c>
      <c r="D283" s="14" t="s">
        <v>98</v>
      </c>
      <c r="E283" s="14" t="s">
        <v>53</v>
      </c>
      <c r="F283" s="14" t="str">
        <f>C283&amp;"-"&amp;D283&amp;"-"&amp;E283</f>
        <v>B2-P3-C4</v>
      </c>
      <c r="G283" s="14" t="s">
        <v>24</v>
      </c>
      <c r="H283" s="14">
        <v>1</v>
      </c>
      <c r="I283" s="14" t="s">
        <v>324</v>
      </c>
      <c r="J283" s="14" t="s">
        <v>133</v>
      </c>
      <c r="K283" s="13" t="str">
        <f>B283&amp;"-"&amp;C283&amp;"-"&amp;D283&amp;"-"&amp;E283&amp;"-"&amp;G283&amp;H283</f>
        <v>Quercus-B2-P3-C4-B1</v>
      </c>
      <c r="L283" s="14" t="s">
        <v>21</v>
      </c>
      <c r="M283" s="14" t="s">
        <v>22</v>
      </c>
      <c r="N283" s="14" t="s">
        <v>134</v>
      </c>
      <c r="O283" s="26" t="str">
        <f>J283&amp;"_"&amp;M283</f>
        <v>Control_No</v>
      </c>
      <c r="P283" s="23" t="str">
        <f>J283&amp;"_"&amp;M283</f>
        <v>Control_No</v>
      </c>
      <c r="Q283" s="23" t="str">
        <f>L283&amp;"_"&amp;M283</f>
        <v>Yellow_No</v>
      </c>
      <c r="R283" s="23" t="s">
        <v>2071</v>
      </c>
      <c r="S283" s="2"/>
      <c r="T283" s="2"/>
    </row>
    <row r="284" spans="1:20" s="9" customFormat="1" ht="15.75" customHeight="1" x14ac:dyDescent="0.2">
      <c r="A284" s="13">
        <v>283</v>
      </c>
      <c r="B284" s="14" t="s">
        <v>35</v>
      </c>
      <c r="C284" s="14" t="s">
        <v>234</v>
      </c>
      <c r="D284" s="14" t="s">
        <v>98</v>
      </c>
      <c r="E284" s="14" t="s">
        <v>53</v>
      </c>
      <c r="F284" s="14" t="str">
        <f>C284&amp;"-"&amp;D284&amp;"-"&amp;E284</f>
        <v>B2-P3-C4</v>
      </c>
      <c r="G284" s="14" t="s">
        <v>17</v>
      </c>
      <c r="H284" s="14">
        <v>2</v>
      </c>
      <c r="I284" s="14" t="s">
        <v>325</v>
      </c>
      <c r="J284" s="14" t="s">
        <v>133</v>
      </c>
      <c r="K284" s="13" t="str">
        <f>B284&amp;"-"&amp;C284&amp;"-"&amp;D284&amp;"-"&amp;E284&amp;"-"&amp;G284&amp;H284</f>
        <v>Quercus-B2-P3-C4-A2</v>
      </c>
      <c r="L284" s="14" t="s">
        <v>21</v>
      </c>
      <c r="M284" s="14" t="s">
        <v>22</v>
      </c>
      <c r="N284" s="14" t="s">
        <v>134</v>
      </c>
      <c r="O284" s="26" t="str">
        <f>J284&amp;"_"&amp;M284</f>
        <v>Control_No</v>
      </c>
      <c r="P284" s="23" t="str">
        <f>J284&amp;"_"&amp;M284</f>
        <v>Control_No</v>
      </c>
      <c r="Q284" s="23" t="str">
        <f>L284&amp;"_"&amp;M284</f>
        <v>Yellow_No</v>
      </c>
      <c r="R284" s="23" t="s">
        <v>2071</v>
      </c>
      <c r="S284" s="2"/>
      <c r="T284" s="2"/>
    </row>
    <row r="285" spans="1:20" s="9" customFormat="1" ht="15.75" customHeight="1" x14ac:dyDescent="0.2">
      <c r="A285" s="13">
        <v>284</v>
      </c>
      <c r="B285" s="14" t="s">
        <v>35</v>
      </c>
      <c r="C285" s="14" t="s">
        <v>234</v>
      </c>
      <c r="D285" s="14" t="s">
        <v>98</v>
      </c>
      <c r="E285" s="14" t="s">
        <v>53</v>
      </c>
      <c r="F285" s="14" t="str">
        <f>C285&amp;"-"&amp;D285&amp;"-"&amp;E285</f>
        <v>B2-P3-C4</v>
      </c>
      <c r="G285" s="14" t="s">
        <v>24</v>
      </c>
      <c r="H285" s="14">
        <v>2</v>
      </c>
      <c r="I285" s="14" t="s">
        <v>326</v>
      </c>
      <c r="J285" s="14" t="s">
        <v>133</v>
      </c>
      <c r="K285" s="13" t="str">
        <f>B285&amp;"-"&amp;C285&amp;"-"&amp;D285&amp;"-"&amp;E285&amp;"-"&amp;G285&amp;H285</f>
        <v>Quercus-B2-P3-C4-B2</v>
      </c>
      <c r="L285" s="14" t="s">
        <v>21</v>
      </c>
      <c r="M285" s="14" t="s">
        <v>22</v>
      </c>
      <c r="N285" s="14" t="s">
        <v>134</v>
      </c>
      <c r="O285" s="26" t="str">
        <f>J285&amp;"_"&amp;M285</f>
        <v>Control_No</v>
      </c>
      <c r="P285" s="23" t="str">
        <f>J285&amp;"_"&amp;M285</f>
        <v>Control_No</v>
      </c>
      <c r="Q285" s="23" t="str">
        <f>L285&amp;"_"&amp;M285</f>
        <v>Yellow_No</v>
      </c>
      <c r="R285" s="23" t="s">
        <v>2071</v>
      </c>
      <c r="S285" s="2"/>
      <c r="T285" s="2"/>
    </row>
    <row r="286" spans="1:20" s="9" customFormat="1" ht="15.75" customHeight="1" x14ac:dyDescent="0.2">
      <c r="A286" s="13">
        <v>285</v>
      </c>
      <c r="B286" s="14" t="s">
        <v>35</v>
      </c>
      <c r="C286" s="14" t="s">
        <v>234</v>
      </c>
      <c r="D286" s="14" t="s">
        <v>98</v>
      </c>
      <c r="E286" s="14" t="s">
        <v>53</v>
      </c>
      <c r="F286" s="14" t="str">
        <f>C286&amp;"-"&amp;D286&amp;"-"&amp;E286</f>
        <v>B2-P3-C4</v>
      </c>
      <c r="G286" s="14" t="s">
        <v>17</v>
      </c>
      <c r="H286" s="14">
        <v>3</v>
      </c>
      <c r="I286" s="14" t="s">
        <v>327</v>
      </c>
      <c r="J286" s="14" t="s">
        <v>133</v>
      </c>
      <c r="K286" s="13" t="str">
        <f>B286&amp;"-"&amp;C286&amp;"-"&amp;D286&amp;"-"&amp;E286&amp;"-"&amp;G286&amp;H286</f>
        <v>Quercus-B2-P3-C4-A3</v>
      </c>
      <c r="L286" s="14" t="s">
        <v>21</v>
      </c>
      <c r="M286" s="14" t="s">
        <v>22</v>
      </c>
      <c r="N286" s="14" t="s">
        <v>134</v>
      </c>
      <c r="O286" s="26" t="str">
        <f>J286&amp;"_"&amp;M286</f>
        <v>Control_No</v>
      </c>
      <c r="P286" s="23" t="str">
        <f>J286&amp;"_"&amp;M286</f>
        <v>Control_No</v>
      </c>
      <c r="Q286" s="23" t="str">
        <f>L286&amp;"_"&amp;M286</f>
        <v>Yellow_No</v>
      </c>
      <c r="R286" s="23" t="s">
        <v>2071</v>
      </c>
      <c r="S286" s="23"/>
      <c r="T286" s="23"/>
    </row>
    <row r="287" spans="1:20" s="9" customFormat="1" ht="15.75" customHeight="1" x14ac:dyDescent="0.2">
      <c r="A287" s="13">
        <v>286</v>
      </c>
      <c r="B287" s="14" t="s">
        <v>35</v>
      </c>
      <c r="C287" s="14" t="s">
        <v>234</v>
      </c>
      <c r="D287" s="14" t="s">
        <v>98</v>
      </c>
      <c r="E287" s="14" t="s">
        <v>53</v>
      </c>
      <c r="F287" s="14" t="str">
        <f>C287&amp;"-"&amp;D287&amp;"-"&amp;E287</f>
        <v>B2-P3-C4</v>
      </c>
      <c r="G287" s="14" t="s">
        <v>24</v>
      </c>
      <c r="H287" s="14">
        <v>3</v>
      </c>
      <c r="I287" s="14" t="s">
        <v>328</v>
      </c>
      <c r="J287" s="14" t="s">
        <v>133</v>
      </c>
      <c r="K287" s="13" t="str">
        <f>B287&amp;"-"&amp;C287&amp;"-"&amp;D287&amp;"-"&amp;E287&amp;"-"&amp;G287&amp;H287</f>
        <v>Quercus-B2-P3-C4-B3</v>
      </c>
      <c r="L287" s="14" t="s">
        <v>21</v>
      </c>
      <c r="M287" s="14" t="s">
        <v>22</v>
      </c>
      <c r="N287" s="14" t="s">
        <v>134</v>
      </c>
      <c r="O287" s="26" t="str">
        <f>J287&amp;"_"&amp;M287</f>
        <v>Control_No</v>
      </c>
      <c r="P287" s="23" t="str">
        <f>J287&amp;"_"&amp;M287</f>
        <v>Control_No</v>
      </c>
      <c r="Q287" s="23" t="str">
        <f>L287&amp;"_"&amp;M287</f>
        <v>Yellow_No</v>
      </c>
      <c r="R287" s="23" t="s">
        <v>2071</v>
      </c>
      <c r="S287" s="23"/>
      <c r="T287" s="23"/>
    </row>
    <row r="288" spans="1:20" s="9" customFormat="1" ht="15.75" customHeight="1" x14ac:dyDescent="0.2">
      <c r="A288" s="13">
        <v>287</v>
      </c>
      <c r="B288" s="14" t="s">
        <v>35</v>
      </c>
      <c r="C288" s="14" t="s">
        <v>234</v>
      </c>
      <c r="D288" s="14" t="s">
        <v>98</v>
      </c>
      <c r="E288" s="14" t="s">
        <v>53</v>
      </c>
      <c r="F288" s="14" t="str">
        <f>C288&amp;"-"&amp;D288&amp;"-"&amp;E288</f>
        <v>B2-P3-C4</v>
      </c>
      <c r="G288" s="14" t="s">
        <v>17</v>
      </c>
      <c r="H288" s="14">
        <v>4</v>
      </c>
      <c r="I288" s="14" t="s">
        <v>329</v>
      </c>
      <c r="J288" s="14" t="s">
        <v>133</v>
      </c>
      <c r="K288" s="13" t="str">
        <f>B288&amp;"-"&amp;C288&amp;"-"&amp;D288&amp;"-"&amp;E288&amp;"-"&amp;G288&amp;H288</f>
        <v>Quercus-B2-P3-C4-A4</v>
      </c>
      <c r="L288" s="14" t="s">
        <v>21</v>
      </c>
      <c r="M288" s="14" t="s">
        <v>22</v>
      </c>
      <c r="N288" s="14" t="s">
        <v>134</v>
      </c>
      <c r="O288" s="26" t="str">
        <f>J288&amp;"_"&amp;M288</f>
        <v>Control_No</v>
      </c>
      <c r="P288" s="23" t="str">
        <f>J288&amp;"_"&amp;M288</f>
        <v>Control_No</v>
      </c>
      <c r="Q288" s="23" t="str">
        <f>L288&amp;"_"&amp;M288</f>
        <v>Yellow_No</v>
      </c>
      <c r="R288" s="23" t="s">
        <v>2071</v>
      </c>
      <c r="S288" s="23"/>
      <c r="T288" s="23"/>
    </row>
    <row r="289" spans="1:20" s="9" customFormat="1" ht="15.75" customHeight="1" x14ac:dyDescent="0.2">
      <c r="A289" s="13">
        <v>288</v>
      </c>
      <c r="B289" s="14" t="s">
        <v>35</v>
      </c>
      <c r="C289" s="14" t="s">
        <v>234</v>
      </c>
      <c r="D289" s="14" t="s">
        <v>98</v>
      </c>
      <c r="E289" s="14" t="s">
        <v>53</v>
      </c>
      <c r="F289" s="14" t="str">
        <f>C289&amp;"-"&amp;D289&amp;"-"&amp;E289</f>
        <v>B2-P3-C4</v>
      </c>
      <c r="G289" s="14" t="s">
        <v>24</v>
      </c>
      <c r="H289" s="14">
        <v>4</v>
      </c>
      <c r="I289" s="14" t="s">
        <v>330</v>
      </c>
      <c r="J289" s="14" t="s">
        <v>133</v>
      </c>
      <c r="K289" s="13" t="str">
        <f>B289&amp;"-"&amp;C289&amp;"-"&amp;D289&amp;"-"&amp;E289&amp;"-"&amp;G289&amp;H289</f>
        <v>Quercus-B2-P3-C4-B4</v>
      </c>
      <c r="L289" s="14" t="s">
        <v>21</v>
      </c>
      <c r="M289" s="14" t="s">
        <v>22</v>
      </c>
      <c r="N289" s="14" t="s">
        <v>134</v>
      </c>
      <c r="O289" s="26" t="str">
        <f>J289&amp;"_"&amp;M289</f>
        <v>Control_No</v>
      </c>
      <c r="P289" s="23" t="str">
        <f>J289&amp;"_"&amp;M289</f>
        <v>Control_No</v>
      </c>
      <c r="Q289" s="23" t="str">
        <f>L289&amp;"_"&amp;M289</f>
        <v>Yellow_No</v>
      </c>
      <c r="R289" s="23" t="s">
        <v>2071</v>
      </c>
      <c r="S289" s="23"/>
      <c r="T289" s="23"/>
    </row>
    <row r="290" spans="1:20" s="10" customFormat="1" ht="15.75" customHeight="1" x14ac:dyDescent="0.2">
      <c r="A290" s="21">
        <v>289</v>
      </c>
      <c r="B290" s="20" t="s">
        <v>35</v>
      </c>
      <c r="C290" s="20" t="s">
        <v>234</v>
      </c>
      <c r="D290" s="20" t="s">
        <v>131</v>
      </c>
      <c r="E290" s="20" t="s">
        <v>16</v>
      </c>
      <c r="F290" s="18" t="str">
        <f>C290&amp;"-"&amp;D290&amp;"-"&amp;E290</f>
        <v>B2-P4-C1</v>
      </c>
      <c r="G290" s="20" t="s">
        <v>17</v>
      </c>
      <c r="H290" s="20">
        <v>1</v>
      </c>
      <c r="I290" s="20" t="s">
        <v>331</v>
      </c>
      <c r="J290" s="20" t="s">
        <v>20</v>
      </c>
      <c r="K290" s="19" t="str">
        <f>B290&amp;"-"&amp;C290&amp;"-"&amp;D290&amp;"-"&amp;E290&amp;"-"&amp;G290&amp;H290</f>
        <v>Quercus-B2-P4-C1-A1</v>
      </c>
      <c r="L290" s="20" t="s">
        <v>64</v>
      </c>
      <c r="M290" s="20" t="s">
        <v>44</v>
      </c>
      <c r="N290" s="20" t="s">
        <v>65</v>
      </c>
      <c r="O290" s="27" t="str">
        <f>J290&amp;"_"&amp;M290</f>
        <v>Drought_Yes</v>
      </c>
      <c r="P290" s="2" t="str">
        <f>J290&amp;"_"&amp;M290</f>
        <v>Drought_Yes</v>
      </c>
      <c r="Q290" s="2" t="str">
        <f>L290&amp;"_"&amp;M290</f>
        <v>Grey_Yes</v>
      </c>
      <c r="R290" s="18" t="s">
        <v>2072</v>
      </c>
      <c r="S290" s="2"/>
      <c r="T290" s="2"/>
    </row>
    <row r="291" spans="1:20" s="10" customFormat="1" ht="15.75" customHeight="1" x14ac:dyDescent="0.2">
      <c r="A291" s="21">
        <v>290</v>
      </c>
      <c r="B291" s="20" t="s">
        <v>35</v>
      </c>
      <c r="C291" s="20" t="s">
        <v>234</v>
      </c>
      <c r="D291" s="20" t="s">
        <v>131</v>
      </c>
      <c r="E291" s="20" t="s">
        <v>16</v>
      </c>
      <c r="F291" s="18" t="str">
        <f>C291&amp;"-"&amp;D291&amp;"-"&amp;E291</f>
        <v>B2-P4-C1</v>
      </c>
      <c r="G291" s="20" t="s">
        <v>24</v>
      </c>
      <c r="H291" s="20">
        <v>1</v>
      </c>
      <c r="I291" s="20" t="s">
        <v>332</v>
      </c>
      <c r="J291" s="20" t="s">
        <v>20</v>
      </c>
      <c r="K291" s="19" t="str">
        <f>B291&amp;"-"&amp;C291&amp;"-"&amp;D291&amp;"-"&amp;E291&amp;"-"&amp;G291&amp;H291</f>
        <v>Quercus-B2-P4-C1-B1</v>
      </c>
      <c r="L291" s="20" t="s">
        <v>64</v>
      </c>
      <c r="M291" s="20" t="s">
        <v>44</v>
      </c>
      <c r="N291" s="20" t="s">
        <v>65</v>
      </c>
      <c r="O291" s="27" t="str">
        <f>J291&amp;"_"&amp;M291</f>
        <v>Drought_Yes</v>
      </c>
      <c r="P291" s="2" t="str">
        <f>J291&amp;"_"&amp;M291</f>
        <v>Drought_Yes</v>
      </c>
      <c r="Q291" s="2" t="str">
        <f>L291&amp;"_"&amp;M291</f>
        <v>Grey_Yes</v>
      </c>
      <c r="R291" s="18" t="s">
        <v>2072</v>
      </c>
      <c r="S291" s="2"/>
      <c r="T291" s="2"/>
    </row>
    <row r="292" spans="1:20" s="10" customFormat="1" ht="15.75" customHeight="1" x14ac:dyDescent="0.2">
      <c r="A292" s="21">
        <v>291</v>
      </c>
      <c r="B292" s="20" t="s">
        <v>35</v>
      </c>
      <c r="C292" s="20" t="s">
        <v>234</v>
      </c>
      <c r="D292" s="20" t="s">
        <v>131</v>
      </c>
      <c r="E292" s="20" t="s">
        <v>16</v>
      </c>
      <c r="F292" s="18" t="str">
        <f>C292&amp;"-"&amp;D292&amp;"-"&amp;E292</f>
        <v>B2-P4-C1</v>
      </c>
      <c r="G292" s="20" t="s">
        <v>17</v>
      </c>
      <c r="H292" s="20">
        <v>2</v>
      </c>
      <c r="I292" s="20" t="s">
        <v>333</v>
      </c>
      <c r="J292" s="20" t="s">
        <v>20</v>
      </c>
      <c r="K292" s="19" t="str">
        <f>B292&amp;"-"&amp;C292&amp;"-"&amp;D292&amp;"-"&amp;E292&amp;"-"&amp;G292&amp;H292</f>
        <v>Quercus-B2-P4-C1-A2</v>
      </c>
      <c r="L292" s="20" t="s">
        <v>64</v>
      </c>
      <c r="M292" s="20" t="s">
        <v>44</v>
      </c>
      <c r="N292" s="20" t="s">
        <v>65</v>
      </c>
      <c r="O292" s="27" t="str">
        <f>J292&amp;"_"&amp;M292</f>
        <v>Drought_Yes</v>
      </c>
      <c r="P292" s="2" t="str">
        <f>J292&amp;"_"&amp;M292</f>
        <v>Drought_Yes</v>
      </c>
      <c r="Q292" s="2" t="str">
        <f>L292&amp;"_"&amp;M292</f>
        <v>Grey_Yes</v>
      </c>
      <c r="R292" s="18" t="s">
        <v>2072</v>
      </c>
      <c r="S292" s="2"/>
      <c r="T292" s="2"/>
    </row>
    <row r="293" spans="1:20" s="10" customFormat="1" ht="15.75" customHeight="1" x14ac:dyDescent="0.2">
      <c r="A293" s="21">
        <v>292</v>
      </c>
      <c r="B293" s="20" t="s">
        <v>35</v>
      </c>
      <c r="C293" s="20" t="s">
        <v>234</v>
      </c>
      <c r="D293" s="20" t="s">
        <v>131</v>
      </c>
      <c r="E293" s="20" t="s">
        <v>16</v>
      </c>
      <c r="F293" s="18" t="str">
        <f>C293&amp;"-"&amp;D293&amp;"-"&amp;E293</f>
        <v>B2-P4-C1</v>
      </c>
      <c r="G293" s="20" t="s">
        <v>24</v>
      </c>
      <c r="H293" s="20">
        <v>2</v>
      </c>
      <c r="I293" s="20" t="s">
        <v>334</v>
      </c>
      <c r="J293" s="20" t="s">
        <v>20</v>
      </c>
      <c r="K293" s="19" t="str">
        <f>B293&amp;"-"&amp;C293&amp;"-"&amp;D293&amp;"-"&amp;E293&amp;"-"&amp;G293&amp;H293</f>
        <v>Quercus-B2-P4-C1-B2</v>
      </c>
      <c r="L293" s="20" t="s">
        <v>64</v>
      </c>
      <c r="M293" s="20" t="s">
        <v>44</v>
      </c>
      <c r="N293" s="20" t="s">
        <v>65</v>
      </c>
      <c r="O293" s="27" t="str">
        <f>J293&amp;"_"&amp;M293</f>
        <v>Drought_Yes</v>
      </c>
      <c r="P293" s="2" t="str">
        <f>J293&amp;"_"&amp;M293</f>
        <v>Drought_Yes</v>
      </c>
      <c r="Q293" s="2" t="str">
        <f>L293&amp;"_"&amp;M293</f>
        <v>Grey_Yes</v>
      </c>
      <c r="R293" s="18" t="s">
        <v>2072</v>
      </c>
      <c r="S293" s="2"/>
      <c r="T293" s="2"/>
    </row>
    <row r="294" spans="1:20" s="10" customFormat="1" ht="15.75" customHeight="1" x14ac:dyDescent="0.2">
      <c r="A294" s="21">
        <v>293</v>
      </c>
      <c r="B294" s="20" t="s">
        <v>35</v>
      </c>
      <c r="C294" s="20" t="s">
        <v>234</v>
      </c>
      <c r="D294" s="20" t="s">
        <v>131</v>
      </c>
      <c r="E294" s="20" t="s">
        <v>16</v>
      </c>
      <c r="F294" s="18" t="str">
        <f>C294&amp;"-"&amp;D294&amp;"-"&amp;E294</f>
        <v>B2-P4-C1</v>
      </c>
      <c r="G294" s="20" t="s">
        <v>17</v>
      </c>
      <c r="H294" s="20">
        <v>3</v>
      </c>
      <c r="I294" s="20" t="s">
        <v>335</v>
      </c>
      <c r="J294" s="20" t="s">
        <v>20</v>
      </c>
      <c r="K294" s="19" t="str">
        <f>B294&amp;"-"&amp;C294&amp;"-"&amp;D294&amp;"-"&amp;E294&amp;"-"&amp;G294&amp;H294</f>
        <v>Quercus-B2-P4-C1-A3</v>
      </c>
      <c r="L294" s="20" t="s">
        <v>64</v>
      </c>
      <c r="M294" s="20" t="s">
        <v>44</v>
      </c>
      <c r="N294" s="20" t="s">
        <v>65</v>
      </c>
      <c r="O294" s="27" t="str">
        <f>J294&amp;"_"&amp;M294</f>
        <v>Drought_Yes</v>
      </c>
      <c r="P294" s="2" t="str">
        <f>J294&amp;"_"&amp;M294</f>
        <v>Drought_Yes</v>
      </c>
      <c r="Q294" s="2" t="str">
        <f>L294&amp;"_"&amp;M294</f>
        <v>Grey_Yes</v>
      </c>
      <c r="R294" s="18" t="s">
        <v>2072</v>
      </c>
      <c r="S294" s="2"/>
      <c r="T294" s="2"/>
    </row>
    <row r="295" spans="1:20" s="10" customFormat="1" ht="15.75" customHeight="1" x14ac:dyDescent="0.2">
      <c r="A295" s="21">
        <v>294</v>
      </c>
      <c r="B295" s="20" t="s">
        <v>35</v>
      </c>
      <c r="C295" s="20" t="s">
        <v>234</v>
      </c>
      <c r="D295" s="20" t="s">
        <v>131</v>
      </c>
      <c r="E295" s="20" t="s">
        <v>16</v>
      </c>
      <c r="F295" s="18" t="str">
        <f>C295&amp;"-"&amp;D295&amp;"-"&amp;E295</f>
        <v>B2-P4-C1</v>
      </c>
      <c r="G295" s="20" t="s">
        <v>24</v>
      </c>
      <c r="H295" s="20">
        <v>3</v>
      </c>
      <c r="I295" s="20" t="s">
        <v>336</v>
      </c>
      <c r="J295" s="20" t="s">
        <v>20</v>
      </c>
      <c r="K295" s="19" t="str">
        <f>B295&amp;"-"&amp;C295&amp;"-"&amp;D295&amp;"-"&amp;E295&amp;"-"&amp;G295&amp;H295</f>
        <v>Quercus-B2-P4-C1-B3</v>
      </c>
      <c r="L295" s="20" t="s">
        <v>64</v>
      </c>
      <c r="M295" s="20" t="s">
        <v>44</v>
      </c>
      <c r="N295" s="20" t="s">
        <v>65</v>
      </c>
      <c r="O295" s="27" t="str">
        <f>J295&amp;"_"&amp;M295</f>
        <v>Drought_Yes</v>
      </c>
      <c r="P295" s="2" t="str">
        <f>J295&amp;"_"&amp;M295</f>
        <v>Drought_Yes</v>
      </c>
      <c r="Q295" s="2" t="str">
        <f>L295&amp;"_"&amp;M295</f>
        <v>Grey_Yes</v>
      </c>
      <c r="R295" s="18" t="s">
        <v>2072</v>
      </c>
      <c r="S295" s="2"/>
      <c r="T295" s="2"/>
    </row>
    <row r="296" spans="1:20" s="10" customFormat="1" ht="15.75" customHeight="1" x14ac:dyDescent="0.2">
      <c r="A296" s="21">
        <v>295</v>
      </c>
      <c r="B296" s="20" t="s">
        <v>35</v>
      </c>
      <c r="C296" s="20" t="s">
        <v>234</v>
      </c>
      <c r="D296" s="20" t="s">
        <v>131</v>
      </c>
      <c r="E296" s="20" t="s">
        <v>16</v>
      </c>
      <c r="F296" s="18" t="str">
        <f>C296&amp;"-"&amp;D296&amp;"-"&amp;E296</f>
        <v>B2-P4-C1</v>
      </c>
      <c r="G296" s="20" t="s">
        <v>17</v>
      </c>
      <c r="H296" s="20">
        <v>4</v>
      </c>
      <c r="I296" s="20" t="s">
        <v>337</v>
      </c>
      <c r="J296" s="20" t="s">
        <v>20</v>
      </c>
      <c r="K296" s="19" t="str">
        <f>B296&amp;"-"&amp;C296&amp;"-"&amp;D296&amp;"-"&amp;E296&amp;"-"&amp;G296&amp;H296</f>
        <v>Quercus-B2-P4-C1-A4</v>
      </c>
      <c r="L296" s="20" t="s">
        <v>64</v>
      </c>
      <c r="M296" s="20" t="s">
        <v>44</v>
      </c>
      <c r="N296" s="20" t="s">
        <v>65</v>
      </c>
      <c r="O296" s="27" t="str">
        <f>J296&amp;"_"&amp;M296</f>
        <v>Drought_Yes</v>
      </c>
      <c r="P296" s="2" t="str">
        <f>J296&amp;"_"&amp;M296</f>
        <v>Drought_Yes</v>
      </c>
      <c r="Q296" s="2" t="str">
        <f>L296&amp;"_"&amp;M296</f>
        <v>Grey_Yes</v>
      </c>
      <c r="R296" s="18" t="s">
        <v>2072</v>
      </c>
      <c r="S296" s="2"/>
      <c r="T296" s="2"/>
    </row>
    <row r="297" spans="1:20" s="10" customFormat="1" ht="15.75" customHeight="1" x14ac:dyDescent="0.2">
      <c r="A297" s="21">
        <v>296</v>
      </c>
      <c r="B297" s="20" t="s">
        <v>35</v>
      </c>
      <c r="C297" s="20" t="s">
        <v>234</v>
      </c>
      <c r="D297" s="20" t="s">
        <v>131</v>
      </c>
      <c r="E297" s="20" t="s">
        <v>16</v>
      </c>
      <c r="F297" s="18" t="str">
        <f>C297&amp;"-"&amp;D297&amp;"-"&amp;E297</f>
        <v>B2-P4-C1</v>
      </c>
      <c r="G297" s="20" t="s">
        <v>24</v>
      </c>
      <c r="H297" s="20">
        <v>4</v>
      </c>
      <c r="I297" s="20" t="s">
        <v>338</v>
      </c>
      <c r="J297" s="20" t="s">
        <v>20</v>
      </c>
      <c r="K297" s="19" t="str">
        <f>B297&amp;"-"&amp;C297&amp;"-"&amp;D297&amp;"-"&amp;E297&amp;"-"&amp;G297&amp;H297</f>
        <v>Quercus-B2-P4-C1-B4</v>
      </c>
      <c r="L297" s="20" t="s">
        <v>64</v>
      </c>
      <c r="M297" s="20" t="s">
        <v>44</v>
      </c>
      <c r="N297" s="20" t="s">
        <v>65</v>
      </c>
      <c r="O297" s="27" t="str">
        <f>J297&amp;"_"&amp;M297</f>
        <v>Drought_Yes</v>
      </c>
      <c r="P297" s="2" t="str">
        <f>J297&amp;"_"&amp;M297</f>
        <v>Drought_Yes</v>
      </c>
      <c r="Q297" s="2" t="str">
        <f>L297&amp;"_"&amp;M297</f>
        <v>Grey_Yes</v>
      </c>
      <c r="R297" s="18" t="s">
        <v>2072</v>
      </c>
      <c r="S297" s="2"/>
      <c r="T297" s="2"/>
    </row>
    <row r="298" spans="1:20" s="9" customFormat="1" ht="15.75" customHeight="1" x14ac:dyDescent="0.2">
      <c r="A298" s="13">
        <v>297</v>
      </c>
      <c r="B298" s="14" t="s">
        <v>19</v>
      </c>
      <c r="C298" s="14" t="s">
        <v>234</v>
      </c>
      <c r="D298" s="14" t="s">
        <v>131</v>
      </c>
      <c r="E298" s="14" t="s">
        <v>32</v>
      </c>
      <c r="F298" s="14" t="str">
        <f>C298&amp;"-"&amp;D298&amp;"-"&amp;E298</f>
        <v>B2-P4-C2</v>
      </c>
      <c r="G298" s="14" t="s">
        <v>17</v>
      </c>
      <c r="H298" s="14">
        <v>1</v>
      </c>
      <c r="I298" s="14" t="s">
        <v>339</v>
      </c>
      <c r="J298" s="14" t="s">
        <v>20</v>
      </c>
      <c r="K298" s="13" t="str">
        <f>B298&amp;"-"&amp;C298&amp;"-"&amp;D298&amp;"-"&amp;E298&amp;"-"&amp;G298&amp;H298</f>
        <v>Fagus-B2-P4-C2-A1</v>
      </c>
      <c r="L298" s="14" t="s">
        <v>64</v>
      </c>
      <c r="M298" s="14" t="s">
        <v>44</v>
      </c>
      <c r="N298" s="14" t="s">
        <v>65</v>
      </c>
      <c r="O298" s="26" t="str">
        <f>J298&amp;"_"&amp;M298</f>
        <v>Drought_Yes</v>
      </c>
      <c r="P298" s="23" t="str">
        <f>J298&amp;"_"&amp;M298</f>
        <v>Drought_Yes</v>
      </c>
      <c r="Q298" s="23" t="str">
        <f>L298&amp;"_"&amp;M298</f>
        <v>Grey_Yes</v>
      </c>
      <c r="R298" s="18" t="s">
        <v>2072</v>
      </c>
      <c r="S298" s="1"/>
      <c r="T298" s="1"/>
    </row>
    <row r="299" spans="1:20" s="9" customFormat="1" ht="15.75" customHeight="1" x14ac:dyDescent="0.2">
      <c r="A299" s="13">
        <v>298</v>
      </c>
      <c r="B299" s="14" t="s">
        <v>35</v>
      </c>
      <c r="C299" s="14" t="s">
        <v>234</v>
      </c>
      <c r="D299" s="14" t="s">
        <v>131</v>
      </c>
      <c r="E299" s="14" t="s">
        <v>32</v>
      </c>
      <c r="F299" s="14" t="str">
        <f>C299&amp;"-"&amp;D299&amp;"-"&amp;E299</f>
        <v>B2-P4-C2</v>
      </c>
      <c r="G299" s="14" t="s">
        <v>24</v>
      </c>
      <c r="H299" s="14">
        <v>1</v>
      </c>
      <c r="I299" s="14" t="s">
        <v>340</v>
      </c>
      <c r="J299" s="14" t="s">
        <v>20</v>
      </c>
      <c r="K299" s="13" t="str">
        <f>B299&amp;"-"&amp;C299&amp;"-"&amp;D299&amp;"-"&amp;E299&amp;"-"&amp;G299&amp;H299</f>
        <v>Quercus-B2-P4-C2-B1</v>
      </c>
      <c r="L299" s="14" t="s">
        <v>64</v>
      </c>
      <c r="M299" s="14" t="s">
        <v>44</v>
      </c>
      <c r="N299" s="14" t="s">
        <v>65</v>
      </c>
      <c r="O299" s="26" t="str">
        <f>J299&amp;"_"&amp;M299</f>
        <v>Drought_Yes</v>
      </c>
      <c r="P299" s="23" t="str">
        <f>J299&amp;"_"&amp;M299</f>
        <v>Drought_Yes</v>
      </c>
      <c r="Q299" s="23" t="str">
        <f>L299&amp;"_"&amp;M299</f>
        <v>Grey_Yes</v>
      </c>
      <c r="R299" s="18" t="s">
        <v>2072</v>
      </c>
      <c r="S299" s="1"/>
      <c r="T299" s="1"/>
    </row>
    <row r="300" spans="1:20" s="9" customFormat="1" ht="15.75" customHeight="1" x14ac:dyDescent="0.2">
      <c r="A300" s="13">
        <v>299</v>
      </c>
      <c r="B300" s="14" t="s">
        <v>35</v>
      </c>
      <c r="C300" s="14" t="s">
        <v>234</v>
      </c>
      <c r="D300" s="14" t="s">
        <v>131</v>
      </c>
      <c r="E300" s="14" t="s">
        <v>32</v>
      </c>
      <c r="F300" s="14" t="str">
        <f>C300&amp;"-"&amp;D300&amp;"-"&amp;E300</f>
        <v>B2-P4-C2</v>
      </c>
      <c r="G300" s="14" t="s">
        <v>17</v>
      </c>
      <c r="H300" s="14">
        <v>2</v>
      </c>
      <c r="I300" s="14" t="s">
        <v>341</v>
      </c>
      <c r="J300" s="14" t="s">
        <v>20</v>
      </c>
      <c r="K300" s="13" t="str">
        <f>B300&amp;"-"&amp;C300&amp;"-"&amp;D300&amp;"-"&amp;E300&amp;"-"&amp;G300&amp;H300</f>
        <v>Quercus-B2-P4-C2-A2</v>
      </c>
      <c r="L300" s="14" t="s">
        <v>64</v>
      </c>
      <c r="M300" s="14" t="s">
        <v>44</v>
      </c>
      <c r="N300" s="14" t="s">
        <v>65</v>
      </c>
      <c r="O300" s="26" t="str">
        <f>J300&amp;"_"&amp;M300</f>
        <v>Drought_Yes</v>
      </c>
      <c r="P300" s="23" t="str">
        <f>J300&amp;"_"&amp;M300</f>
        <v>Drought_Yes</v>
      </c>
      <c r="Q300" s="23" t="str">
        <f>L300&amp;"_"&amp;M300</f>
        <v>Grey_Yes</v>
      </c>
      <c r="R300" s="18" t="s">
        <v>2072</v>
      </c>
      <c r="S300" s="1"/>
      <c r="T300" s="1"/>
    </row>
    <row r="301" spans="1:20" s="9" customFormat="1" ht="15.75" customHeight="1" x14ac:dyDescent="0.2">
      <c r="A301" s="13">
        <v>300</v>
      </c>
      <c r="B301" s="14" t="s">
        <v>19</v>
      </c>
      <c r="C301" s="14" t="s">
        <v>234</v>
      </c>
      <c r="D301" s="14" t="s">
        <v>131</v>
      </c>
      <c r="E301" s="14" t="s">
        <v>32</v>
      </c>
      <c r="F301" s="14" t="str">
        <f>C301&amp;"-"&amp;D301&amp;"-"&amp;E301</f>
        <v>B2-P4-C2</v>
      </c>
      <c r="G301" s="14" t="s">
        <v>24</v>
      </c>
      <c r="H301" s="14">
        <v>2</v>
      </c>
      <c r="I301" s="14" t="s">
        <v>342</v>
      </c>
      <c r="J301" s="14" t="s">
        <v>20</v>
      </c>
      <c r="K301" s="13" t="str">
        <f>B301&amp;"-"&amp;C301&amp;"-"&amp;D301&amp;"-"&amp;E301&amp;"-"&amp;G301&amp;H301</f>
        <v>Fagus-B2-P4-C2-B2</v>
      </c>
      <c r="L301" s="14" t="s">
        <v>64</v>
      </c>
      <c r="M301" s="14" t="s">
        <v>44</v>
      </c>
      <c r="N301" s="14" t="s">
        <v>65</v>
      </c>
      <c r="O301" s="26" t="str">
        <f>J301&amp;"_"&amp;M301</f>
        <v>Drought_Yes</v>
      </c>
      <c r="P301" s="23" t="str">
        <f>J301&amp;"_"&amp;M301</f>
        <v>Drought_Yes</v>
      </c>
      <c r="Q301" s="23" t="str">
        <f>L301&amp;"_"&amp;M301</f>
        <v>Grey_Yes</v>
      </c>
      <c r="R301" s="18" t="s">
        <v>2072</v>
      </c>
      <c r="S301" s="1"/>
      <c r="T301" s="1"/>
    </row>
    <row r="302" spans="1:20" s="9" customFormat="1" ht="15.75" customHeight="1" x14ac:dyDescent="0.2">
      <c r="A302" s="13">
        <v>301</v>
      </c>
      <c r="B302" s="14" t="s">
        <v>19</v>
      </c>
      <c r="C302" s="14" t="s">
        <v>234</v>
      </c>
      <c r="D302" s="14" t="s">
        <v>131</v>
      </c>
      <c r="E302" s="14" t="s">
        <v>32</v>
      </c>
      <c r="F302" s="14" t="str">
        <f>C302&amp;"-"&amp;D302&amp;"-"&amp;E302</f>
        <v>B2-P4-C2</v>
      </c>
      <c r="G302" s="14" t="s">
        <v>17</v>
      </c>
      <c r="H302" s="14">
        <v>3</v>
      </c>
      <c r="I302" s="14" t="s">
        <v>343</v>
      </c>
      <c r="J302" s="14" t="s">
        <v>20</v>
      </c>
      <c r="K302" s="13" t="str">
        <f>B302&amp;"-"&amp;C302&amp;"-"&amp;D302&amp;"-"&amp;E302&amp;"-"&amp;G302&amp;H302</f>
        <v>Fagus-B2-P4-C2-A3</v>
      </c>
      <c r="L302" s="14" t="s">
        <v>64</v>
      </c>
      <c r="M302" s="14" t="s">
        <v>44</v>
      </c>
      <c r="N302" s="14" t="s">
        <v>65</v>
      </c>
      <c r="O302" s="26" t="str">
        <f>J302&amp;"_"&amp;M302</f>
        <v>Drought_Yes</v>
      </c>
      <c r="P302" s="23" t="str">
        <f>J302&amp;"_"&amp;M302</f>
        <v>Drought_Yes</v>
      </c>
      <c r="Q302" s="23" t="str">
        <f>L302&amp;"_"&amp;M302</f>
        <v>Grey_Yes</v>
      </c>
      <c r="R302" s="18" t="s">
        <v>2072</v>
      </c>
      <c r="S302" s="1"/>
      <c r="T302" s="1"/>
    </row>
    <row r="303" spans="1:20" s="9" customFormat="1" ht="15.75" customHeight="1" x14ac:dyDescent="0.2">
      <c r="A303" s="13">
        <v>302</v>
      </c>
      <c r="B303" s="14" t="s">
        <v>35</v>
      </c>
      <c r="C303" s="14" t="s">
        <v>234</v>
      </c>
      <c r="D303" s="14" t="s">
        <v>131</v>
      </c>
      <c r="E303" s="14" t="s">
        <v>32</v>
      </c>
      <c r="F303" s="14" t="str">
        <f>C303&amp;"-"&amp;D303&amp;"-"&amp;E303</f>
        <v>B2-P4-C2</v>
      </c>
      <c r="G303" s="14" t="s">
        <v>24</v>
      </c>
      <c r="H303" s="14">
        <v>3</v>
      </c>
      <c r="I303" s="14" t="s">
        <v>344</v>
      </c>
      <c r="J303" s="14" t="s">
        <v>20</v>
      </c>
      <c r="K303" s="13" t="str">
        <f>B303&amp;"-"&amp;C303&amp;"-"&amp;D303&amp;"-"&amp;E303&amp;"-"&amp;G303&amp;H303</f>
        <v>Quercus-B2-P4-C2-B3</v>
      </c>
      <c r="L303" s="14" t="s">
        <v>64</v>
      </c>
      <c r="M303" s="14" t="s">
        <v>44</v>
      </c>
      <c r="N303" s="14" t="s">
        <v>65</v>
      </c>
      <c r="O303" s="26" t="str">
        <f>J303&amp;"_"&amp;M303</f>
        <v>Drought_Yes</v>
      </c>
      <c r="P303" s="23" t="str">
        <f>J303&amp;"_"&amp;M303</f>
        <v>Drought_Yes</v>
      </c>
      <c r="Q303" s="23" t="str">
        <f>L303&amp;"_"&amp;M303</f>
        <v>Grey_Yes</v>
      </c>
      <c r="R303" s="18" t="s">
        <v>2072</v>
      </c>
      <c r="S303" s="1"/>
      <c r="T303" s="1"/>
    </row>
    <row r="304" spans="1:20" s="9" customFormat="1" ht="15.75" customHeight="1" x14ac:dyDescent="0.2">
      <c r="A304" s="13">
        <v>303</v>
      </c>
      <c r="B304" s="14" t="s">
        <v>35</v>
      </c>
      <c r="C304" s="14" t="s">
        <v>234</v>
      </c>
      <c r="D304" s="14" t="s">
        <v>131</v>
      </c>
      <c r="E304" s="14" t="s">
        <v>32</v>
      </c>
      <c r="F304" s="14" t="str">
        <f>C304&amp;"-"&amp;D304&amp;"-"&amp;E304</f>
        <v>B2-P4-C2</v>
      </c>
      <c r="G304" s="14" t="s">
        <v>17</v>
      </c>
      <c r="H304" s="14">
        <v>4</v>
      </c>
      <c r="I304" s="14" t="s">
        <v>345</v>
      </c>
      <c r="J304" s="14" t="s">
        <v>20</v>
      </c>
      <c r="K304" s="13" t="str">
        <f>B304&amp;"-"&amp;C304&amp;"-"&amp;D304&amp;"-"&amp;E304&amp;"-"&amp;G304&amp;H304</f>
        <v>Quercus-B2-P4-C2-A4</v>
      </c>
      <c r="L304" s="14" t="s">
        <v>64</v>
      </c>
      <c r="M304" s="14" t="s">
        <v>44</v>
      </c>
      <c r="N304" s="14" t="s">
        <v>65</v>
      </c>
      <c r="O304" s="26" t="str">
        <f>J304&amp;"_"&amp;M304</f>
        <v>Drought_Yes</v>
      </c>
      <c r="P304" s="23" t="str">
        <f>J304&amp;"_"&amp;M304</f>
        <v>Drought_Yes</v>
      </c>
      <c r="Q304" s="23" t="str">
        <f>L304&amp;"_"&amp;M304</f>
        <v>Grey_Yes</v>
      </c>
      <c r="R304" s="18" t="s">
        <v>2072</v>
      </c>
      <c r="S304" s="1"/>
      <c r="T304" s="1"/>
    </row>
    <row r="305" spans="1:20" s="9" customFormat="1" ht="15.75" customHeight="1" x14ac:dyDescent="0.2">
      <c r="A305" s="13">
        <v>304</v>
      </c>
      <c r="B305" s="14" t="s">
        <v>19</v>
      </c>
      <c r="C305" s="14" t="s">
        <v>234</v>
      </c>
      <c r="D305" s="14" t="s">
        <v>131</v>
      </c>
      <c r="E305" s="14" t="s">
        <v>32</v>
      </c>
      <c r="F305" s="14" t="str">
        <f>C305&amp;"-"&amp;D305&amp;"-"&amp;E305</f>
        <v>B2-P4-C2</v>
      </c>
      <c r="G305" s="14" t="s">
        <v>24</v>
      </c>
      <c r="H305" s="14">
        <v>4</v>
      </c>
      <c r="I305" s="14" t="s">
        <v>346</v>
      </c>
      <c r="J305" s="14" t="s">
        <v>20</v>
      </c>
      <c r="K305" s="13" t="str">
        <f>B305&amp;"-"&amp;C305&amp;"-"&amp;D305&amp;"-"&amp;E305&amp;"-"&amp;G305&amp;H305</f>
        <v>Fagus-B2-P4-C2-B4</v>
      </c>
      <c r="L305" s="14" t="s">
        <v>64</v>
      </c>
      <c r="M305" s="14" t="s">
        <v>44</v>
      </c>
      <c r="N305" s="14" t="s">
        <v>65</v>
      </c>
      <c r="O305" s="26" t="str">
        <f>J305&amp;"_"&amp;M305</f>
        <v>Drought_Yes</v>
      </c>
      <c r="P305" s="23" t="str">
        <f>J305&amp;"_"&amp;M305</f>
        <v>Drought_Yes</v>
      </c>
      <c r="Q305" s="23" t="str">
        <f>L305&amp;"_"&amp;M305</f>
        <v>Grey_Yes</v>
      </c>
      <c r="R305" s="18" t="s">
        <v>2072</v>
      </c>
      <c r="S305" s="1"/>
      <c r="T305" s="1"/>
    </row>
    <row r="306" spans="1:20" s="10" customFormat="1" ht="15.75" customHeight="1" x14ac:dyDescent="0.2">
      <c r="A306" s="21">
        <v>305</v>
      </c>
      <c r="B306" s="20" t="s">
        <v>19</v>
      </c>
      <c r="C306" s="20" t="s">
        <v>234</v>
      </c>
      <c r="D306" s="20" t="s">
        <v>131</v>
      </c>
      <c r="E306" s="20" t="s">
        <v>42</v>
      </c>
      <c r="F306" s="18" t="str">
        <f>C306&amp;"-"&amp;D306&amp;"-"&amp;E306</f>
        <v>B2-P4-C3</v>
      </c>
      <c r="G306" s="20" t="s">
        <v>17</v>
      </c>
      <c r="H306" s="20">
        <v>1</v>
      </c>
      <c r="I306" s="20" t="s">
        <v>347</v>
      </c>
      <c r="J306" s="20" t="s">
        <v>20</v>
      </c>
      <c r="K306" s="19" t="str">
        <f>B306&amp;"-"&amp;C306&amp;"-"&amp;D306&amp;"-"&amp;E306&amp;"-"&amp;G306&amp;H306</f>
        <v>Fagus-B2-P4-C3-A1</v>
      </c>
      <c r="L306" s="20" t="s">
        <v>21</v>
      </c>
      <c r="M306" s="20" t="s">
        <v>22</v>
      </c>
      <c r="N306" s="20" t="s">
        <v>23</v>
      </c>
      <c r="O306" s="27" t="str">
        <f>J306&amp;"_"&amp;M306</f>
        <v>Drought_No</v>
      </c>
      <c r="P306" s="2" t="str">
        <f>J306&amp;"_"&amp;M306</f>
        <v>Drought_No</v>
      </c>
      <c r="Q306" s="2" t="str">
        <f>L306&amp;"_"&amp;M306</f>
        <v>Yellow_No</v>
      </c>
      <c r="R306" s="23" t="s">
        <v>2071</v>
      </c>
      <c r="S306" s="23"/>
      <c r="T306" s="23"/>
    </row>
    <row r="307" spans="1:20" s="10" customFormat="1" ht="15.75" customHeight="1" x14ac:dyDescent="0.2">
      <c r="A307" s="21">
        <v>306</v>
      </c>
      <c r="B307" s="20" t="s">
        <v>19</v>
      </c>
      <c r="C307" s="20" t="s">
        <v>234</v>
      </c>
      <c r="D307" s="20" t="s">
        <v>131</v>
      </c>
      <c r="E307" s="20" t="s">
        <v>42</v>
      </c>
      <c r="F307" s="18" t="str">
        <f>C307&amp;"-"&amp;D307&amp;"-"&amp;E307</f>
        <v>B2-P4-C3</v>
      </c>
      <c r="G307" s="20" t="s">
        <v>24</v>
      </c>
      <c r="H307" s="20">
        <v>1</v>
      </c>
      <c r="I307" s="20" t="s">
        <v>348</v>
      </c>
      <c r="J307" s="20" t="s">
        <v>20</v>
      </c>
      <c r="K307" s="19" t="str">
        <f>B307&amp;"-"&amp;C307&amp;"-"&amp;D307&amp;"-"&amp;E307&amp;"-"&amp;G307&amp;H307</f>
        <v>Fagus-B2-P4-C3-B1</v>
      </c>
      <c r="L307" s="20" t="s">
        <v>21</v>
      </c>
      <c r="M307" s="20" t="s">
        <v>22</v>
      </c>
      <c r="N307" s="20" t="s">
        <v>23</v>
      </c>
      <c r="O307" s="27" t="str">
        <f>J307&amp;"_"&amp;M307</f>
        <v>Drought_No</v>
      </c>
      <c r="P307" s="2" t="str">
        <f>J307&amp;"_"&amp;M307</f>
        <v>Drought_No</v>
      </c>
      <c r="Q307" s="2" t="str">
        <f>L307&amp;"_"&amp;M307</f>
        <v>Yellow_No</v>
      </c>
      <c r="R307" s="23" t="s">
        <v>2071</v>
      </c>
      <c r="S307" s="23"/>
      <c r="T307" s="23"/>
    </row>
    <row r="308" spans="1:20" s="10" customFormat="1" ht="15.75" customHeight="1" x14ac:dyDescent="0.2">
      <c r="A308" s="21">
        <v>307</v>
      </c>
      <c r="B308" s="20" t="s">
        <v>19</v>
      </c>
      <c r="C308" s="20" t="s">
        <v>234</v>
      </c>
      <c r="D308" s="20" t="s">
        <v>131</v>
      </c>
      <c r="E308" s="20" t="s">
        <v>42</v>
      </c>
      <c r="F308" s="18" t="str">
        <f>C308&amp;"-"&amp;D308&amp;"-"&amp;E308</f>
        <v>B2-P4-C3</v>
      </c>
      <c r="G308" s="20" t="s">
        <v>17</v>
      </c>
      <c r="H308" s="20">
        <v>2</v>
      </c>
      <c r="I308" s="20" t="s">
        <v>349</v>
      </c>
      <c r="J308" s="20" t="s">
        <v>20</v>
      </c>
      <c r="K308" s="19" t="str">
        <f>B308&amp;"-"&amp;C308&amp;"-"&amp;D308&amp;"-"&amp;E308&amp;"-"&amp;G308&amp;H308</f>
        <v>Fagus-B2-P4-C3-A2</v>
      </c>
      <c r="L308" s="20" t="s">
        <v>21</v>
      </c>
      <c r="M308" s="20" t="s">
        <v>22</v>
      </c>
      <c r="N308" s="20" t="s">
        <v>23</v>
      </c>
      <c r="O308" s="27" t="str">
        <f>J308&amp;"_"&amp;M308</f>
        <v>Drought_No</v>
      </c>
      <c r="P308" s="2" t="str">
        <f>J308&amp;"_"&amp;M308</f>
        <v>Drought_No</v>
      </c>
      <c r="Q308" s="2" t="str">
        <f>L308&amp;"_"&amp;M308</f>
        <v>Yellow_No</v>
      </c>
      <c r="R308" s="23" t="s">
        <v>2071</v>
      </c>
      <c r="S308" s="23"/>
      <c r="T308" s="23"/>
    </row>
    <row r="309" spans="1:20" s="10" customFormat="1" ht="15.75" customHeight="1" x14ac:dyDescent="0.2">
      <c r="A309" s="21">
        <v>308</v>
      </c>
      <c r="B309" s="20" t="s">
        <v>19</v>
      </c>
      <c r="C309" s="20" t="s">
        <v>234</v>
      </c>
      <c r="D309" s="20" t="s">
        <v>131</v>
      </c>
      <c r="E309" s="20" t="s">
        <v>42</v>
      </c>
      <c r="F309" s="18" t="str">
        <f>C309&amp;"-"&amp;D309&amp;"-"&amp;E309</f>
        <v>B2-P4-C3</v>
      </c>
      <c r="G309" s="20" t="s">
        <v>24</v>
      </c>
      <c r="H309" s="20">
        <v>2</v>
      </c>
      <c r="I309" s="20" t="s">
        <v>350</v>
      </c>
      <c r="J309" s="20" t="s">
        <v>20</v>
      </c>
      <c r="K309" s="19" t="str">
        <f>B309&amp;"-"&amp;C309&amp;"-"&amp;D309&amp;"-"&amp;E309&amp;"-"&amp;G309&amp;H309</f>
        <v>Fagus-B2-P4-C3-B2</v>
      </c>
      <c r="L309" s="20" t="s">
        <v>21</v>
      </c>
      <c r="M309" s="20" t="s">
        <v>22</v>
      </c>
      <c r="N309" s="20" t="s">
        <v>23</v>
      </c>
      <c r="O309" s="27" t="str">
        <f>J309&amp;"_"&amp;M309</f>
        <v>Drought_No</v>
      </c>
      <c r="P309" s="2" t="str">
        <f>J309&amp;"_"&amp;M309</f>
        <v>Drought_No</v>
      </c>
      <c r="Q309" s="2" t="str">
        <f>L309&amp;"_"&amp;M309</f>
        <v>Yellow_No</v>
      </c>
      <c r="R309" s="23" t="s">
        <v>2071</v>
      </c>
      <c r="S309" s="23"/>
      <c r="T309" s="23"/>
    </row>
    <row r="310" spans="1:20" s="10" customFormat="1" ht="15.75" customHeight="1" x14ac:dyDescent="0.2">
      <c r="A310" s="21">
        <v>309</v>
      </c>
      <c r="B310" s="20" t="s">
        <v>19</v>
      </c>
      <c r="C310" s="20" t="s">
        <v>234</v>
      </c>
      <c r="D310" s="20" t="s">
        <v>131</v>
      </c>
      <c r="E310" s="20" t="s">
        <v>42</v>
      </c>
      <c r="F310" s="18" t="str">
        <f>C310&amp;"-"&amp;D310&amp;"-"&amp;E310</f>
        <v>B2-P4-C3</v>
      </c>
      <c r="G310" s="20" t="s">
        <v>17</v>
      </c>
      <c r="H310" s="20">
        <v>3</v>
      </c>
      <c r="I310" s="20" t="s">
        <v>351</v>
      </c>
      <c r="J310" s="20" t="s">
        <v>20</v>
      </c>
      <c r="K310" s="19" t="str">
        <f>B310&amp;"-"&amp;C310&amp;"-"&amp;D310&amp;"-"&amp;E310&amp;"-"&amp;G310&amp;H310</f>
        <v>Fagus-B2-P4-C3-A3</v>
      </c>
      <c r="L310" s="20" t="s">
        <v>21</v>
      </c>
      <c r="M310" s="20" t="s">
        <v>22</v>
      </c>
      <c r="N310" s="20" t="s">
        <v>23</v>
      </c>
      <c r="O310" s="27" t="str">
        <f>J310&amp;"_"&amp;M310</f>
        <v>Drought_No</v>
      </c>
      <c r="P310" s="2" t="str">
        <f>J310&amp;"_"&amp;M310</f>
        <v>Drought_No</v>
      </c>
      <c r="Q310" s="2" t="str">
        <f>L310&amp;"_"&amp;M310</f>
        <v>Yellow_No</v>
      </c>
      <c r="R310" s="23" t="s">
        <v>2071</v>
      </c>
      <c r="S310" s="2"/>
      <c r="T310" s="2"/>
    </row>
    <row r="311" spans="1:20" s="10" customFormat="1" ht="15.75" customHeight="1" x14ac:dyDescent="0.2">
      <c r="A311" s="21">
        <v>310</v>
      </c>
      <c r="B311" s="20" t="s">
        <v>19</v>
      </c>
      <c r="C311" s="20" t="s">
        <v>234</v>
      </c>
      <c r="D311" s="20" t="s">
        <v>131</v>
      </c>
      <c r="E311" s="20" t="s">
        <v>42</v>
      </c>
      <c r="F311" s="18" t="str">
        <f>C311&amp;"-"&amp;D311&amp;"-"&amp;E311</f>
        <v>B2-P4-C3</v>
      </c>
      <c r="G311" s="20" t="s">
        <v>24</v>
      </c>
      <c r="H311" s="20">
        <v>3</v>
      </c>
      <c r="I311" s="20" t="s">
        <v>352</v>
      </c>
      <c r="J311" s="20" t="s">
        <v>20</v>
      </c>
      <c r="K311" s="19" t="str">
        <f>B311&amp;"-"&amp;C311&amp;"-"&amp;D311&amp;"-"&amp;E311&amp;"-"&amp;G311&amp;H311</f>
        <v>Fagus-B2-P4-C3-B3</v>
      </c>
      <c r="L311" s="20" t="s">
        <v>21</v>
      </c>
      <c r="M311" s="20" t="s">
        <v>22</v>
      </c>
      <c r="N311" s="20" t="s">
        <v>23</v>
      </c>
      <c r="O311" s="27" t="str">
        <f>J311&amp;"_"&amp;M311</f>
        <v>Drought_No</v>
      </c>
      <c r="P311" s="2" t="str">
        <f>J311&amp;"_"&amp;M311</f>
        <v>Drought_No</v>
      </c>
      <c r="Q311" s="2" t="str">
        <f>L311&amp;"_"&amp;M311</f>
        <v>Yellow_No</v>
      </c>
      <c r="R311" s="23" t="s">
        <v>2071</v>
      </c>
      <c r="S311" s="2"/>
      <c r="T311" s="2"/>
    </row>
    <row r="312" spans="1:20" s="10" customFormat="1" ht="15.75" customHeight="1" x14ac:dyDescent="0.2">
      <c r="A312" s="21">
        <v>311</v>
      </c>
      <c r="B312" s="20" t="s">
        <v>19</v>
      </c>
      <c r="C312" s="20" t="s">
        <v>234</v>
      </c>
      <c r="D312" s="20" t="s">
        <v>131</v>
      </c>
      <c r="E312" s="20" t="s">
        <v>42</v>
      </c>
      <c r="F312" s="18" t="str">
        <f>C312&amp;"-"&amp;D312&amp;"-"&amp;E312</f>
        <v>B2-P4-C3</v>
      </c>
      <c r="G312" s="20" t="s">
        <v>17</v>
      </c>
      <c r="H312" s="20">
        <v>4</v>
      </c>
      <c r="I312" s="20" t="s">
        <v>353</v>
      </c>
      <c r="J312" s="20" t="s">
        <v>20</v>
      </c>
      <c r="K312" s="19" t="str">
        <f>B312&amp;"-"&amp;C312&amp;"-"&amp;D312&amp;"-"&amp;E312&amp;"-"&amp;G312&amp;H312</f>
        <v>Fagus-B2-P4-C3-A4</v>
      </c>
      <c r="L312" s="20" t="s">
        <v>21</v>
      </c>
      <c r="M312" s="20" t="s">
        <v>22</v>
      </c>
      <c r="N312" s="20" t="s">
        <v>23</v>
      </c>
      <c r="O312" s="27" t="str">
        <f>J312&amp;"_"&amp;M312</f>
        <v>Drought_No</v>
      </c>
      <c r="P312" s="2" t="str">
        <f>J312&amp;"_"&amp;M312</f>
        <v>Drought_No</v>
      </c>
      <c r="Q312" s="2" t="str">
        <f>L312&amp;"_"&amp;M312</f>
        <v>Yellow_No</v>
      </c>
      <c r="R312" s="23" t="s">
        <v>2071</v>
      </c>
      <c r="S312" s="2"/>
      <c r="T312" s="2"/>
    </row>
    <row r="313" spans="1:20" s="10" customFormat="1" ht="15.75" customHeight="1" x14ac:dyDescent="0.2">
      <c r="A313" s="21">
        <v>312</v>
      </c>
      <c r="B313" s="20" t="s">
        <v>19</v>
      </c>
      <c r="C313" s="20" t="s">
        <v>234</v>
      </c>
      <c r="D313" s="20" t="s">
        <v>131</v>
      </c>
      <c r="E313" s="20" t="s">
        <v>42</v>
      </c>
      <c r="F313" s="18" t="str">
        <f>C313&amp;"-"&amp;D313&amp;"-"&amp;E313</f>
        <v>B2-P4-C3</v>
      </c>
      <c r="G313" s="20" t="s">
        <v>24</v>
      </c>
      <c r="H313" s="20">
        <v>4</v>
      </c>
      <c r="I313" s="20" t="s">
        <v>354</v>
      </c>
      <c r="J313" s="20" t="s">
        <v>20</v>
      </c>
      <c r="K313" s="19" t="str">
        <f>B313&amp;"-"&amp;C313&amp;"-"&amp;D313&amp;"-"&amp;E313&amp;"-"&amp;G313&amp;H313</f>
        <v>Fagus-B2-P4-C3-B4</v>
      </c>
      <c r="L313" s="20" t="s">
        <v>21</v>
      </c>
      <c r="M313" s="20" t="s">
        <v>22</v>
      </c>
      <c r="N313" s="20" t="s">
        <v>23</v>
      </c>
      <c r="O313" s="27" t="str">
        <f>J313&amp;"_"&amp;M313</f>
        <v>Drought_No</v>
      </c>
      <c r="P313" s="2" t="str">
        <f>J313&amp;"_"&amp;M313</f>
        <v>Drought_No</v>
      </c>
      <c r="Q313" s="2" t="str">
        <f>L313&amp;"_"&amp;M313</f>
        <v>Yellow_No</v>
      </c>
      <c r="R313" s="23" t="s">
        <v>2071</v>
      </c>
      <c r="S313" s="2"/>
      <c r="T313" s="2"/>
    </row>
    <row r="314" spans="1:20" s="9" customFormat="1" ht="15.75" customHeight="1" x14ac:dyDescent="0.2">
      <c r="A314" s="13">
        <v>313</v>
      </c>
      <c r="B314" s="14" t="s">
        <v>35</v>
      </c>
      <c r="C314" s="14" t="s">
        <v>234</v>
      </c>
      <c r="D314" s="14" t="s">
        <v>131</v>
      </c>
      <c r="E314" s="14" t="s">
        <v>53</v>
      </c>
      <c r="F314" s="14" t="str">
        <f>C314&amp;"-"&amp;D314&amp;"-"&amp;E314</f>
        <v>B2-P4-C4</v>
      </c>
      <c r="G314" s="14" t="s">
        <v>17</v>
      </c>
      <c r="H314" s="14">
        <v>1</v>
      </c>
      <c r="I314" s="14" t="s">
        <v>355</v>
      </c>
      <c r="J314" s="14" t="s">
        <v>20</v>
      </c>
      <c r="K314" s="13" t="str">
        <f>B314&amp;"-"&amp;C314&amp;"-"&amp;D314&amp;"-"&amp;E314&amp;"-"&amp;G314&amp;H314</f>
        <v>Quercus-B2-P4-C4-A1</v>
      </c>
      <c r="L314" s="14" t="s">
        <v>21</v>
      </c>
      <c r="M314" s="14" t="s">
        <v>44</v>
      </c>
      <c r="N314" s="14" t="s">
        <v>45</v>
      </c>
      <c r="O314" s="26" t="str">
        <f>J314&amp;"_"&amp;M314</f>
        <v>Drought_Yes</v>
      </c>
      <c r="P314" s="23" t="str">
        <f>J314&amp;"_"&amp;M314</f>
        <v>Drought_Yes</v>
      </c>
      <c r="Q314" s="23" t="str">
        <f>L314&amp;"_"&amp;M314</f>
        <v>Yellow_Yes</v>
      </c>
      <c r="R314" s="23" t="s">
        <v>2071</v>
      </c>
      <c r="S314" s="2"/>
      <c r="T314" s="2"/>
    </row>
    <row r="315" spans="1:20" s="9" customFormat="1" ht="15.75" customHeight="1" x14ac:dyDescent="0.2">
      <c r="A315" s="13">
        <v>314</v>
      </c>
      <c r="B315" s="14" t="s">
        <v>35</v>
      </c>
      <c r="C315" s="14" t="s">
        <v>234</v>
      </c>
      <c r="D315" s="14" t="s">
        <v>131</v>
      </c>
      <c r="E315" s="14" t="s">
        <v>53</v>
      </c>
      <c r="F315" s="14" t="str">
        <f>C315&amp;"-"&amp;D315&amp;"-"&amp;E315</f>
        <v>B2-P4-C4</v>
      </c>
      <c r="G315" s="14" t="s">
        <v>24</v>
      </c>
      <c r="H315" s="14">
        <v>1</v>
      </c>
      <c r="I315" s="14" t="s">
        <v>356</v>
      </c>
      <c r="J315" s="14" t="s">
        <v>20</v>
      </c>
      <c r="K315" s="13" t="str">
        <f>B315&amp;"-"&amp;C315&amp;"-"&amp;D315&amp;"-"&amp;E315&amp;"-"&amp;G315&amp;H315</f>
        <v>Quercus-B2-P4-C4-B1</v>
      </c>
      <c r="L315" s="14" t="s">
        <v>21</v>
      </c>
      <c r="M315" s="14" t="s">
        <v>44</v>
      </c>
      <c r="N315" s="14" t="s">
        <v>45</v>
      </c>
      <c r="O315" s="26" t="str">
        <f>J315&amp;"_"&amp;M315</f>
        <v>Drought_Yes</v>
      </c>
      <c r="P315" s="23" t="str">
        <f>J315&amp;"_"&amp;M315</f>
        <v>Drought_Yes</v>
      </c>
      <c r="Q315" s="23" t="str">
        <f>L315&amp;"_"&amp;M315</f>
        <v>Yellow_Yes</v>
      </c>
      <c r="R315" s="23" t="s">
        <v>2071</v>
      </c>
      <c r="S315" s="2"/>
      <c r="T315" s="2"/>
    </row>
    <row r="316" spans="1:20" s="9" customFormat="1" ht="15.75" customHeight="1" x14ac:dyDescent="0.2">
      <c r="A316" s="13">
        <v>315</v>
      </c>
      <c r="B316" s="14" t="s">
        <v>35</v>
      </c>
      <c r="C316" s="14" t="s">
        <v>234</v>
      </c>
      <c r="D316" s="14" t="s">
        <v>131</v>
      </c>
      <c r="E316" s="14" t="s">
        <v>53</v>
      </c>
      <c r="F316" s="14" t="str">
        <f>C316&amp;"-"&amp;D316&amp;"-"&amp;E316</f>
        <v>B2-P4-C4</v>
      </c>
      <c r="G316" s="14" t="s">
        <v>17</v>
      </c>
      <c r="H316" s="14">
        <v>2</v>
      </c>
      <c r="I316" s="14" t="s">
        <v>357</v>
      </c>
      <c r="J316" s="14" t="s">
        <v>20</v>
      </c>
      <c r="K316" s="13" t="str">
        <f>B316&amp;"-"&amp;C316&amp;"-"&amp;D316&amp;"-"&amp;E316&amp;"-"&amp;G316&amp;H316</f>
        <v>Quercus-B2-P4-C4-A2</v>
      </c>
      <c r="L316" s="14" t="s">
        <v>21</v>
      </c>
      <c r="M316" s="14" t="s">
        <v>44</v>
      </c>
      <c r="N316" s="14" t="s">
        <v>45</v>
      </c>
      <c r="O316" s="26" t="str">
        <f>J316&amp;"_"&amp;M316</f>
        <v>Drought_Yes</v>
      </c>
      <c r="P316" s="23" t="str">
        <f>J316&amp;"_"&amp;M316</f>
        <v>Drought_Yes</v>
      </c>
      <c r="Q316" s="23" t="str">
        <f>L316&amp;"_"&amp;M316</f>
        <v>Yellow_Yes</v>
      </c>
      <c r="R316" s="23" t="s">
        <v>2071</v>
      </c>
      <c r="S316" s="2"/>
      <c r="T316" s="2"/>
    </row>
    <row r="317" spans="1:20" s="9" customFormat="1" ht="15.75" customHeight="1" x14ac:dyDescent="0.2">
      <c r="A317" s="13">
        <v>316</v>
      </c>
      <c r="B317" s="14" t="s">
        <v>35</v>
      </c>
      <c r="C317" s="14" t="s">
        <v>234</v>
      </c>
      <c r="D317" s="14" t="s">
        <v>131</v>
      </c>
      <c r="E317" s="14" t="s">
        <v>53</v>
      </c>
      <c r="F317" s="14" t="str">
        <f>C317&amp;"-"&amp;D317&amp;"-"&amp;E317</f>
        <v>B2-P4-C4</v>
      </c>
      <c r="G317" s="14" t="s">
        <v>24</v>
      </c>
      <c r="H317" s="14">
        <v>2</v>
      </c>
      <c r="I317" s="14" t="s">
        <v>358</v>
      </c>
      <c r="J317" s="14" t="s">
        <v>20</v>
      </c>
      <c r="K317" s="13" t="str">
        <f>B317&amp;"-"&amp;C317&amp;"-"&amp;D317&amp;"-"&amp;E317&amp;"-"&amp;G317&amp;H317</f>
        <v>Quercus-B2-P4-C4-B2</v>
      </c>
      <c r="L317" s="14" t="s">
        <v>21</v>
      </c>
      <c r="M317" s="14" t="s">
        <v>44</v>
      </c>
      <c r="N317" s="14" t="s">
        <v>45</v>
      </c>
      <c r="O317" s="26" t="str">
        <f>J317&amp;"_"&amp;M317</f>
        <v>Drought_Yes</v>
      </c>
      <c r="P317" s="23" t="str">
        <f>J317&amp;"_"&amp;M317</f>
        <v>Drought_Yes</v>
      </c>
      <c r="Q317" s="23" t="str">
        <f>L317&amp;"_"&amp;M317</f>
        <v>Yellow_Yes</v>
      </c>
      <c r="R317" s="23" t="s">
        <v>2071</v>
      </c>
      <c r="S317" s="2"/>
      <c r="T317" s="2"/>
    </row>
    <row r="318" spans="1:20" s="9" customFormat="1" ht="15.75" customHeight="1" x14ac:dyDescent="0.2">
      <c r="A318" s="13">
        <v>317</v>
      </c>
      <c r="B318" s="14" t="s">
        <v>35</v>
      </c>
      <c r="C318" s="14" t="s">
        <v>234</v>
      </c>
      <c r="D318" s="14" t="s">
        <v>131</v>
      </c>
      <c r="E318" s="14" t="s">
        <v>53</v>
      </c>
      <c r="F318" s="14" t="str">
        <f>C318&amp;"-"&amp;D318&amp;"-"&amp;E318</f>
        <v>B2-P4-C4</v>
      </c>
      <c r="G318" s="14" t="s">
        <v>17</v>
      </c>
      <c r="H318" s="14">
        <v>3</v>
      </c>
      <c r="I318" s="14" t="s">
        <v>359</v>
      </c>
      <c r="J318" s="14" t="s">
        <v>20</v>
      </c>
      <c r="K318" s="13" t="str">
        <f>B318&amp;"-"&amp;C318&amp;"-"&amp;D318&amp;"-"&amp;E318&amp;"-"&amp;G318&amp;H318</f>
        <v>Quercus-B2-P4-C4-A3</v>
      </c>
      <c r="L318" s="14" t="s">
        <v>21</v>
      </c>
      <c r="M318" s="14" t="s">
        <v>44</v>
      </c>
      <c r="N318" s="14" t="s">
        <v>45</v>
      </c>
      <c r="O318" s="26" t="str">
        <f>J318&amp;"_"&amp;M318</f>
        <v>Drought_Yes</v>
      </c>
      <c r="P318" s="23" t="str">
        <f>J318&amp;"_"&amp;M318</f>
        <v>Drought_Yes</v>
      </c>
      <c r="Q318" s="23" t="str">
        <f>L318&amp;"_"&amp;M318</f>
        <v>Yellow_Yes</v>
      </c>
      <c r="R318" s="23" t="s">
        <v>2071</v>
      </c>
      <c r="S318" s="23"/>
      <c r="T318" s="23"/>
    </row>
    <row r="319" spans="1:20" s="9" customFormat="1" ht="15.75" customHeight="1" x14ac:dyDescent="0.2">
      <c r="A319" s="13">
        <v>318</v>
      </c>
      <c r="B319" s="14" t="s">
        <v>35</v>
      </c>
      <c r="C319" s="14" t="s">
        <v>234</v>
      </c>
      <c r="D319" s="14" t="s">
        <v>131</v>
      </c>
      <c r="E319" s="14" t="s">
        <v>53</v>
      </c>
      <c r="F319" s="14" t="str">
        <f>C319&amp;"-"&amp;D319&amp;"-"&amp;E319</f>
        <v>B2-P4-C4</v>
      </c>
      <c r="G319" s="14" t="s">
        <v>24</v>
      </c>
      <c r="H319" s="14">
        <v>3</v>
      </c>
      <c r="I319" s="14" t="s">
        <v>360</v>
      </c>
      <c r="J319" s="14" t="s">
        <v>20</v>
      </c>
      <c r="K319" s="13" t="str">
        <f>B319&amp;"-"&amp;C319&amp;"-"&amp;D319&amp;"-"&amp;E319&amp;"-"&amp;G319&amp;H319</f>
        <v>Quercus-B2-P4-C4-B3</v>
      </c>
      <c r="L319" s="14" t="s">
        <v>21</v>
      </c>
      <c r="M319" s="14" t="s">
        <v>44</v>
      </c>
      <c r="N319" s="14" t="s">
        <v>45</v>
      </c>
      <c r="O319" s="26" t="str">
        <f>J319&amp;"_"&amp;M319</f>
        <v>Drought_Yes</v>
      </c>
      <c r="P319" s="23" t="str">
        <f>J319&amp;"_"&amp;M319</f>
        <v>Drought_Yes</v>
      </c>
      <c r="Q319" s="23" t="str">
        <f>L319&amp;"_"&amp;M319</f>
        <v>Yellow_Yes</v>
      </c>
      <c r="R319" s="23" t="s">
        <v>2071</v>
      </c>
      <c r="S319" s="23"/>
      <c r="T319" s="23"/>
    </row>
    <row r="320" spans="1:20" s="9" customFormat="1" ht="15.75" customHeight="1" x14ac:dyDescent="0.2">
      <c r="A320" s="13">
        <v>319</v>
      </c>
      <c r="B320" s="14" t="s">
        <v>35</v>
      </c>
      <c r="C320" s="14" t="s">
        <v>234</v>
      </c>
      <c r="D320" s="14" t="s">
        <v>131</v>
      </c>
      <c r="E320" s="14" t="s">
        <v>53</v>
      </c>
      <c r="F320" s="14" t="str">
        <f>C320&amp;"-"&amp;D320&amp;"-"&amp;E320</f>
        <v>B2-P4-C4</v>
      </c>
      <c r="G320" s="14" t="s">
        <v>17</v>
      </c>
      <c r="H320" s="14">
        <v>4</v>
      </c>
      <c r="I320" s="14" t="s">
        <v>361</v>
      </c>
      <c r="J320" s="14" t="s">
        <v>20</v>
      </c>
      <c r="K320" s="13" t="str">
        <f>B320&amp;"-"&amp;C320&amp;"-"&amp;D320&amp;"-"&amp;E320&amp;"-"&amp;G320&amp;H320</f>
        <v>Quercus-B2-P4-C4-A4</v>
      </c>
      <c r="L320" s="14" t="s">
        <v>21</v>
      </c>
      <c r="M320" s="14" t="s">
        <v>44</v>
      </c>
      <c r="N320" s="14" t="s">
        <v>45</v>
      </c>
      <c r="O320" s="26" t="str">
        <f>J320&amp;"_"&amp;M320</f>
        <v>Drought_Yes</v>
      </c>
      <c r="P320" s="23" t="str">
        <f>J320&amp;"_"&amp;M320</f>
        <v>Drought_Yes</v>
      </c>
      <c r="Q320" s="23" t="str">
        <f>L320&amp;"_"&amp;M320</f>
        <v>Yellow_Yes</v>
      </c>
      <c r="R320" s="23" t="s">
        <v>2071</v>
      </c>
      <c r="S320" s="23"/>
      <c r="T320" s="23"/>
    </row>
    <row r="321" spans="1:20" s="9" customFormat="1" ht="15.75" customHeight="1" x14ac:dyDescent="0.2">
      <c r="A321" s="13">
        <v>320</v>
      </c>
      <c r="B321" s="14" t="s">
        <v>35</v>
      </c>
      <c r="C321" s="14" t="s">
        <v>234</v>
      </c>
      <c r="D321" s="14" t="s">
        <v>131</v>
      </c>
      <c r="E321" s="14" t="s">
        <v>53</v>
      </c>
      <c r="F321" s="14" t="str">
        <f>C321&amp;"-"&amp;D321&amp;"-"&amp;E321</f>
        <v>B2-P4-C4</v>
      </c>
      <c r="G321" s="14" t="s">
        <v>24</v>
      </c>
      <c r="H321" s="14">
        <v>4</v>
      </c>
      <c r="I321" s="14" t="s">
        <v>362</v>
      </c>
      <c r="J321" s="14" t="s">
        <v>20</v>
      </c>
      <c r="K321" s="13" t="str">
        <f>B321&amp;"-"&amp;C321&amp;"-"&amp;D321&amp;"-"&amp;E321&amp;"-"&amp;G321&amp;H321</f>
        <v>Quercus-B2-P4-C4-B4</v>
      </c>
      <c r="L321" s="14" t="s">
        <v>21</v>
      </c>
      <c r="M321" s="14" t="s">
        <v>44</v>
      </c>
      <c r="N321" s="14" t="s">
        <v>45</v>
      </c>
      <c r="O321" s="26" t="str">
        <f>J321&amp;"_"&amp;M321</f>
        <v>Drought_Yes</v>
      </c>
      <c r="P321" s="23" t="str">
        <f>J321&amp;"_"&amp;M321</f>
        <v>Drought_Yes</v>
      </c>
      <c r="Q321" s="23" t="str">
        <f>L321&amp;"_"&amp;M321</f>
        <v>Yellow_Yes</v>
      </c>
      <c r="R321" s="23" t="s">
        <v>2071</v>
      </c>
      <c r="S321" s="23"/>
      <c r="T321" s="23"/>
    </row>
    <row r="322" spans="1:20" s="10" customFormat="1" ht="15.75" customHeight="1" x14ac:dyDescent="0.2">
      <c r="A322" s="21">
        <v>321</v>
      </c>
      <c r="B322" s="20" t="s">
        <v>19</v>
      </c>
      <c r="C322" s="20" t="s">
        <v>234</v>
      </c>
      <c r="D322" s="20" t="s">
        <v>167</v>
      </c>
      <c r="E322" s="20" t="s">
        <v>16</v>
      </c>
      <c r="F322" s="18" t="str">
        <f>C322&amp;"-"&amp;D322&amp;"-"&amp;E322</f>
        <v>B2-P5-C1</v>
      </c>
      <c r="G322" s="20" t="s">
        <v>17</v>
      </c>
      <c r="H322" s="20">
        <v>1</v>
      </c>
      <c r="I322" s="20" t="s">
        <v>363</v>
      </c>
      <c r="J322" s="20" t="s">
        <v>20</v>
      </c>
      <c r="K322" s="19" t="str">
        <f>B322&amp;"-"&amp;C322&amp;"-"&amp;D322&amp;"-"&amp;E322&amp;"-"&amp;G322&amp;H322</f>
        <v>Fagus-B2-P5-C1-A1</v>
      </c>
      <c r="L322" s="20" t="s">
        <v>64</v>
      </c>
      <c r="M322" s="20" t="s">
        <v>22</v>
      </c>
      <c r="N322" s="20" t="s">
        <v>74</v>
      </c>
      <c r="O322" s="27" t="str">
        <f>J322&amp;"_"&amp;M322</f>
        <v>Drought_No</v>
      </c>
      <c r="P322" s="2" t="str">
        <f>J322&amp;"_"&amp;M322</f>
        <v>Drought_No</v>
      </c>
      <c r="Q322" s="2" t="str">
        <f>L322&amp;"_"&amp;M322</f>
        <v>Grey_No</v>
      </c>
      <c r="R322" s="18" t="s">
        <v>2072</v>
      </c>
      <c r="S322" s="2"/>
      <c r="T322" s="2"/>
    </row>
    <row r="323" spans="1:20" s="10" customFormat="1" ht="15.75" customHeight="1" x14ac:dyDescent="0.2">
      <c r="A323" s="21">
        <v>322</v>
      </c>
      <c r="B323" s="20" t="s">
        <v>19</v>
      </c>
      <c r="C323" s="20" t="s">
        <v>234</v>
      </c>
      <c r="D323" s="20" t="s">
        <v>167</v>
      </c>
      <c r="E323" s="20" t="s">
        <v>16</v>
      </c>
      <c r="F323" s="18" t="str">
        <f>C323&amp;"-"&amp;D323&amp;"-"&amp;E323</f>
        <v>B2-P5-C1</v>
      </c>
      <c r="G323" s="20" t="s">
        <v>24</v>
      </c>
      <c r="H323" s="20">
        <v>1</v>
      </c>
      <c r="I323" s="20" t="s">
        <v>364</v>
      </c>
      <c r="J323" s="20" t="s">
        <v>20</v>
      </c>
      <c r="K323" s="19" t="str">
        <f>B323&amp;"-"&amp;C323&amp;"-"&amp;D323&amp;"-"&amp;E323&amp;"-"&amp;G323&amp;H323</f>
        <v>Fagus-B2-P5-C1-B1</v>
      </c>
      <c r="L323" s="20" t="s">
        <v>64</v>
      </c>
      <c r="M323" s="20" t="s">
        <v>22</v>
      </c>
      <c r="N323" s="20" t="s">
        <v>74</v>
      </c>
      <c r="O323" s="27" t="str">
        <f>J323&amp;"_"&amp;M323</f>
        <v>Drought_No</v>
      </c>
      <c r="P323" s="2" t="str">
        <f>J323&amp;"_"&amp;M323</f>
        <v>Drought_No</v>
      </c>
      <c r="Q323" s="2" t="str">
        <f>L323&amp;"_"&amp;M323</f>
        <v>Grey_No</v>
      </c>
      <c r="R323" s="18" t="s">
        <v>2072</v>
      </c>
      <c r="S323" s="2"/>
      <c r="T323" s="2"/>
    </row>
    <row r="324" spans="1:20" s="10" customFormat="1" ht="15.75" customHeight="1" x14ac:dyDescent="0.2">
      <c r="A324" s="21">
        <v>323</v>
      </c>
      <c r="B324" s="20" t="s">
        <v>19</v>
      </c>
      <c r="C324" s="20" t="s">
        <v>234</v>
      </c>
      <c r="D324" s="20" t="s">
        <v>167</v>
      </c>
      <c r="E324" s="20" t="s">
        <v>16</v>
      </c>
      <c r="F324" s="18" t="str">
        <f>C324&amp;"-"&amp;D324&amp;"-"&amp;E324</f>
        <v>B2-P5-C1</v>
      </c>
      <c r="G324" s="20" t="s">
        <v>17</v>
      </c>
      <c r="H324" s="20">
        <v>2</v>
      </c>
      <c r="I324" s="20" t="s">
        <v>365</v>
      </c>
      <c r="J324" s="20" t="s">
        <v>20</v>
      </c>
      <c r="K324" s="19" t="str">
        <f>B324&amp;"-"&amp;C324&amp;"-"&amp;D324&amp;"-"&amp;E324&amp;"-"&amp;G324&amp;H324</f>
        <v>Fagus-B2-P5-C1-A2</v>
      </c>
      <c r="L324" s="20" t="s">
        <v>64</v>
      </c>
      <c r="M324" s="20" t="s">
        <v>22</v>
      </c>
      <c r="N324" s="20" t="s">
        <v>74</v>
      </c>
      <c r="O324" s="27" t="str">
        <f>J324&amp;"_"&amp;M324</f>
        <v>Drought_No</v>
      </c>
      <c r="P324" s="2" t="str">
        <f>J324&amp;"_"&amp;M324</f>
        <v>Drought_No</v>
      </c>
      <c r="Q324" s="2" t="str">
        <f>L324&amp;"_"&amp;M324</f>
        <v>Grey_No</v>
      </c>
      <c r="R324" s="18" t="s">
        <v>2072</v>
      </c>
      <c r="S324" s="2"/>
      <c r="T324" s="2"/>
    </row>
    <row r="325" spans="1:20" s="10" customFormat="1" ht="15.75" customHeight="1" x14ac:dyDescent="0.2">
      <c r="A325" s="21">
        <v>324</v>
      </c>
      <c r="B325" s="20" t="s">
        <v>19</v>
      </c>
      <c r="C325" s="20" t="s">
        <v>234</v>
      </c>
      <c r="D325" s="20" t="s">
        <v>167</v>
      </c>
      <c r="E325" s="20" t="s">
        <v>16</v>
      </c>
      <c r="F325" s="18" t="str">
        <f>C325&amp;"-"&amp;D325&amp;"-"&amp;E325</f>
        <v>B2-P5-C1</v>
      </c>
      <c r="G325" s="20" t="s">
        <v>24</v>
      </c>
      <c r="H325" s="20">
        <v>2</v>
      </c>
      <c r="I325" s="20" t="s">
        <v>366</v>
      </c>
      <c r="J325" s="20" t="s">
        <v>20</v>
      </c>
      <c r="K325" s="19" t="str">
        <f>B325&amp;"-"&amp;C325&amp;"-"&amp;D325&amp;"-"&amp;E325&amp;"-"&amp;G325&amp;H325</f>
        <v>Fagus-B2-P5-C1-B2</v>
      </c>
      <c r="L325" s="20" t="s">
        <v>64</v>
      </c>
      <c r="M325" s="20" t="s">
        <v>22</v>
      </c>
      <c r="N325" s="20" t="s">
        <v>74</v>
      </c>
      <c r="O325" s="27" t="str">
        <f>J325&amp;"_"&amp;M325</f>
        <v>Drought_No</v>
      </c>
      <c r="P325" s="2" t="str">
        <f>J325&amp;"_"&amp;M325</f>
        <v>Drought_No</v>
      </c>
      <c r="Q325" s="2" t="str">
        <f>L325&amp;"_"&amp;M325</f>
        <v>Grey_No</v>
      </c>
      <c r="R325" s="18" t="s">
        <v>2072</v>
      </c>
      <c r="S325" s="2"/>
      <c r="T325" s="2"/>
    </row>
    <row r="326" spans="1:20" s="10" customFormat="1" ht="15.75" customHeight="1" x14ac:dyDescent="0.2">
      <c r="A326" s="21">
        <v>325</v>
      </c>
      <c r="B326" s="20" t="s">
        <v>19</v>
      </c>
      <c r="C326" s="20" t="s">
        <v>234</v>
      </c>
      <c r="D326" s="20" t="s">
        <v>167</v>
      </c>
      <c r="E326" s="20" t="s">
        <v>16</v>
      </c>
      <c r="F326" s="18" t="str">
        <f>C326&amp;"-"&amp;D326&amp;"-"&amp;E326</f>
        <v>B2-P5-C1</v>
      </c>
      <c r="G326" s="20" t="s">
        <v>17</v>
      </c>
      <c r="H326" s="20">
        <v>3</v>
      </c>
      <c r="I326" s="20" t="s">
        <v>367</v>
      </c>
      <c r="J326" s="20" t="s">
        <v>20</v>
      </c>
      <c r="K326" s="19" t="str">
        <f>B326&amp;"-"&amp;C326&amp;"-"&amp;D326&amp;"-"&amp;E326&amp;"-"&amp;G326&amp;H326</f>
        <v>Fagus-B2-P5-C1-A3</v>
      </c>
      <c r="L326" s="20" t="s">
        <v>64</v>
      </c>
      <c r="M326" s="20" t="s">
        <v>22</v>
      </c>
      <c r="N326" s="20" t="s">
        <v>74</v>
      </c>
      <c r="O326" s="27" t="str">
        <f>J326&amp;"_"&amp;M326</f>
        <v>Drought_No</v>
      </c>
      <c r="P326" s="2" t="str">
        <f>J326&amp;"_"&amp;M326</f>
        <v>Drought_No</v>
      </c>
      <c r="Q326" s="2" t="str">
        <f>L326&amp;"_"&amp;M326</f>
        <v>Grey_No</v>
      </c>
      <c r="R326" s="18" t="s">
        <v>2072</v>
      </c>
      <c r="S326" s="2"/>
      <c r="T326" s="2"/>
    </row>
    <row r="327" spans="1:20" s="10" customFormat="1" ht="15.75" customHeight="1" x14ac:dyDescent="0.2">
      <c r="A327" s="21">
        <v>326</v>
      </c>
      <c r="B327" s="20" t="s">
        <v>19</v>
      </c>
      <c r="C327" s="20" t="s">
        <v>234</v>
      </c>
      <c r="D327" s="20" t="s">
        <v>167</v>
      </c>
      <c r="E327" s="20" t="s">
        <v>16</v>
      </c>
      <c r="F327" s="18" t="str">
        <f>C327&amp;"-"&amp;D327&amp;"-"&amp;E327</f>
        <v>B2-P5-C1</v>
      </c>
      <c r="G327" s="20" t="s">
        <v>24</v>
      </c>
      <c r="H327" s="20">
        <v>3</v>
      </c>
      <c r="I327" s="20" t="s">
        <v>368</v>
      </c>
      <c r="J327" s="20" t="s">
        <v>20</v>
      </c>
      <c r="K327" s="19" t="str">
        <f>B327&amp;"-"&amp;C327&amp;"-"&amp;D327&amp;"-"&amp;E327&amp;"-"&amp;G327&amp;H327</f>
        <v>Fagus-B2-P5-C1-B3</v>
      </c>
      <c r="L327" s="20" t="s">
        <v>64</v>
      </c>
      <c r="M327" s="20" t="s">
        <v>22</v>
      </c>
      <c r="N327" s="20" t="s">
        <v>74</v>
      </c>
      <c r="O327" s="27" t="str">
        <f>J327&amp;"_"&amp;M327</f>
        <v>Drought_No</v>
      </c>
      <c r="P327" s="2" t="str">
        <f>J327&amp;"_"&amp;M327</f>
        <v>Drought_No</v>
      </c>
      <c r="Q327" s="2" t="str">
        <f>L327&amp;"_"&amp;M327</f>
        <v>Grey_No</v>
      </c>
      <c r="R327" s="18" t="s">
        <v>2072</v>
      </c>
      <c r="S327" s="2"/>
      <c r="T327" s="2"/>
    </row>
    <row r="328" spans="1:20" s="10" customFormat="1" ht="15.75" customHeight="1" x14ac:dyDescent="0.2">
      <c r="A328" s="21">
        <v>327</v>
      </c>
      <c r="B328" s="20" t="s">
        <v>19</v>
      </c>
      <c r="C328" s="20" t="s">
        <v>234</v>
      </c>
      <c r="D328" s="20" t="s">
        <v>167</v>
      </c>
      <c r="E328" s="20" t="s">
        <v>16</v>
      </c>
      <c r="F328" s="18" t="str">
        <f>C328&amp;"-"&amp;D328&amp;"-"&amp;E328</f>
        <v>B2-P5-C1</v>
      </c>
      <c r="G328" s="20" t="s">
        <v>17</v>
      </c>
      <c r="H328" s="20">
        <v>4</v>
      </c>
      <c r="I328" s="20" t="s">
        <v>369</v>
      </c>
      <c r="J328" s="20" t="s">
        <v>20</v>
      </c>
      <c r="K328" s="19" t="str">
        <f>B328&amp;"-"&amp;C328&amp;"-"&amp;D328&amp;"-"&amp;E328&amp;"-"&amp;G328&amp;H328</f>
        <v>Fagus-B2-P5-C1-A4</v>
      </c>
      <c r="L328" s="20" t="s">
        <v>64</v>
      </c>
      <c r="M328" s="20" t="s">
        <v>22</v>
      </c>
      <c r="N328" s="20" t="s">
        <v>74</v>
      </c>
      <c r="O328" s="27" t="str">
        <f>J328&amp;"_"&amp;M328</f>
        <v>Drought_No</v>
      </c>
      <c r="P328" s="2" t="str">
        <f>J328&amp;"_"&amp;M328</f>
        <v>Drought_No</v>
      </c>
      <c r="Q328" s="2" t="str">
        <f>L328&amp;"_"&amp;M328</f>
        <v>Grey_No</v>
      </c>
      <c r="R328" s="18" t="s">
        <v>2072</v>
      </c>
      <c r="S328" s="2"/>
      <c r="T328" s="2"/>
    </row>
    <row r="329" spans="1:20" s="10" customFormat="1" ht="15.75" customHeight="1" x14ac:dyDescent="0.2">
      <c r="A329" s="21">
        <v>328</v>
      </c>
      <c r="B329" s="20" t="s">
        <v>19</v>
      </c>
      <c r="C329" s="20" t="s">
        <v>234</v>
      </c>
      <c r="D329" s="20" t="s">
        <v>167</v>
      </c>
      <c r="E329" s="20" t="s">
        <v>16</v>
      </c>
      <c r="F329" s="18" t="str">
        <f>C329&amp;"-"&amp;D329&amp;"-"&amp;E329</f>
        <v>B2-P5-C1</v>
      </c>
      <c r="G329" s="20" t="s">
        <v>24</v>
      </c>
      <c r="H329" s="20">
        <v>4</v>
      </c>
      <c r="I329" s="20" t="s">
        <v>370</v>
      </c>
      <c r="J329" s="20" t="s">
        <v>20</v>
      </c>
      <c r="K329" s="19" t="str">
        <f>B329&amp;"-"&amp;C329&amp;"-"&amp;D329&amp;"-"&amp;E329&amp;"-"&amp;G329&amp;H329</f>
        <v>Fagus-B2-P5-C1-B4</v>
      </c>
      <c r="L329" s="20" t="s">
        <v>64</v>
      </c>
      <c r="M329" s="20" t="s">
        <v>22</v>
      </c>
      <c r="N329" s="20" t="s">
        <v>74</v>
      </c>
      <c r="O329" s="27" t="str">
        <f>J329&amp;"_"&amp;M329</f>
        <v>Drought_No</v>
      </c>
      <c r="P329" s="2" t="str">
        <f>J329&amp;"_"&amp;M329</f>
        <v>Drought_No</v>
      </c>
      <c r="Q329" s="2" t="str">
        <f>L329&amp;"_"&amp;M329</f>
        <v>Grey_No</v>
      </c>
      <c r="R329" s="18" t="s">
        <v>2072</v>
      </c>
      <c r="S329" s="2"/>
      <c r="T329" s="2"/>
    </row>
    <row r="330" spans="1:20" s="9" customFormat="1" ht="15.75" customHeight="1" x14ac:dyDescent="0.2">
      <c r="A330" s="13">
        <v>329</v>
      </c>
      <c r="B330" s="14" t="s">
        <v>35</v>
      </c>
      <c r="C330" s="14" t="s">
        <v>234</v>
      </c>
      <c r="D330" s="14" t="s">
        <v>167</v>
      </c>
      <c r="E330" s="14" t="s">
        <v>32</v>
      </c>
      <c r="F330" s="14" t="str">
        <f>C330&amp;"-"&amp;D330&amp;"-"&amp;E330</f>
        <v>B2-P5-C2</v>
      </c>
      <c r="G330" s="14" t="s">
        <v>17</v>
      </c>
      <c r="H330" s="14">
        <v>1</v>
      </c>
      <c r="I330" s="14" t="s">
        <v>371</v>
      </c>
      <c r="J330" s="14" t="s">
        <v>20</v>
      </c>
      <c r="K330" s="13" t="str">
        <f>B330&amp;"-"&amp;C330&amp;"-"&amp;D330&amp;"-"&amp;E330&amp;"-"&amp;G330&amp;H330</f>
        <v>Quercus-B2-P5-C2-A1</v>
      </c>
      <c r="L330" s="14" t="s">
        <v>64</v>
      </c>
      <c r="M330" s="14" t="s">
        <v>22</v>
      </c>
      <c r="N330" s="14" t="s">
        <v>74</v>
      </c>
      <c r="O330" s="26" t="str">
        <f>J330&amp;"_"&amp;M330</f>
        <v>Drought_No</v>
      </c>
      <c r="P330" s="23" t="str">
        <f>J330&amp;"_"&amp;M330</f>
        <v>Drought_No</v>
      </c>
      <c r="Q330" s="23" t="str">
        <f>L330&amp;"_"&amp;M330</f>
        <v>Grey_No</v>
      </c>
      <c r="R330" s="18" t="s">
        <v>2072</v>
      </c>
      <c r="S330" s="1"/>
      <c r="T330" s="1"/>
    </row>
    <row r="331" spans="1:20" s="9" customFormat="1" ht="15.75" customHeight="1" x14ac:dyDescent="0.2">
      <c r="A331" s="13">
        <v>330</v>
      </c>
      <c r="B331" s="14" t="s">
        <v>35</v>
      </c>
      <c r="C331" s="14" t="s">
        <v>234</v>
      </c>
      <c r="D331" s="14" t="s">
        <v>167</v>
      </c>
      <c r="E331" s="14" t="s">
        <v>32</v>
      </c>
      <c r="F331" s="14" t="str">
        <f>C331&amp;"-"&amp;D331&amp;"-"&amp;E331</f>
        <v>B2-P5-C2</v>
      </c>
      <c r="G331" s="14" t="s">
        <v>24</v>
      </c>
      <c r="H331" s="14">
        <v>1</v>
      </c>
      <c r="I331" s="14" t="s">
        <v>372</v>
      </c>
      <c r="J331" s="14" t="s">
        <v>20</v>
      </c>
      <c r="K331" s="13" t="str">
        <f>B331&amp;"-"&amp;C331&amp;"-"&amp;D331&amp;"-"&amp;E331&amp;"-"&amp;G331&amp;H331</f>
        <v>Quercus-B2-P5-C2-B1</v>
      </c>
      <c r="L331" s="14" t="s">
        <v>64</v>
      </c>
      <c r="M331" s="14" t="s">
        <v>22</v>
      </c>
      <c r="N331" s="14" t="s">
        <v>74</v>
      </c>
      <c r="O331" s="26" t="str">
        <f>J331&amp;"_"&amp;M331</f>
        <v>Drought_No</v>
      </c>
      <c r="P331" s="23" t="str">
        <f>J331&amp;"_"&amp;M331</f>
        <v>Drought_No</v>
      </c>
      <c r="Q331" s="23" t="str">
        <f>L331&amp;"_"&amp;M331</f>
        <v>Grey_No</v>
      </c>
      <c r="R331" s="18" t="s">
        <v>2072</v>
      </c>
      <c r="S331" s="1"/>
      <c r="T331" s="1"/>
    </row>
    <row r="332" spans="1:20" s="9" customFormat="1" ht="15.75" customHeight="1" x14ac:dyDescent="0.2">
      <c r="A332" s="13">
        <v>331</v>
      </c>
      <c r="B332" s="14" t="s">
        <v>35</v>
      </c>
      <c r="C332" s="14" t="s">
        <v>234</v>
      </c>
      <c r="D332" s="14" t="s">
        <v>167</v>
      </c>
      <c r="E332" s="14" t="s">
        <v>32</v>
      </c>
      <c r="F332" s="14" t="str">
        <f>C332&amp;"-"&amp;D332&amp;"-"&amp;E332</f>
        <v>B2-P5-C2</v>
      </c>
      <c r="G332" s="14" t="s">
        <v>17</v>
      </c>
      <c r="H332" s="14">
        <v>2</v>
      </c>
      <c r="I332" s="14" t="s">
        <v>373</v>
      </c>
      <c r="J332" s="14" t="s">
        <v>20</v>
      </c>
      <c r="K332" s="13" t="str">
        <f>B332&amp;"-"&amp;C332&amp;"-"&amp;D332&amp;"-"&amp;E332&amp;"-"&amp;G332&amp;H332</f>
        <v>Quercus-B2-P5-C2-A2</v>
      </c>
      <c r="L332" s="14" t="s">
        <v>64</v>
      </c>
      <c r="M332" s="14" t="s">
        <v>22</v>
      </c>
      <c r="N332" s="14" t="s">
        <v>74</v>
      </c>
      <c r="O332" s="26" t="str">
        <f>J332&amp;"_"&amp;M332</f>
        <v>Drought_No</v>
      </c>
      <c r="P332" s="23" t="str">
        <f>J332&amp;"_"&amp;M332</f>
        <v>Drought_No</v>
      </c>
      <c r="Q332" s="23" t="str">
        <f>L332&amp;"_"&amp;M332</f>
        <v>Grey_No</v>
      </c>
      <c r="R332" s="18" t="s">
        <v>2072</v>
      </c>
      <c r="S332" s="1"/>
      <c r="T332" s="1"/>
    </row>
    <row r="333" spans="1:20" s="9" customFormat="1" ht="15.75" customHeight="1" x14ac:dyDescent="0.2">
      <c r="A333" s="13">
        <v>332</v>
      </c>
      <c r="B333" s="14" t="s">
        <v>35</v>
      </c>
      <c r="C333" s="14" t="s">
        <v>234</v>
      </c>
      <c r="D333" s="14" t="s">
        <v>167</v>
      </c>
      <c r="E333" s="14" t="s">
        <v>32</v>
      </c>
      <c r="F333" s="14" t="str">
        <f>C333&amp;"-"&amp;D333&amp;"-"&amp;E333</f>
        <v>B2-P5-C2</v>
      </c>
      <c r="G333" s="14" t="s">
        <v>24</v>
      </c>
      <c r="H333" s="14">
        <v>2</v>
      </c>
      <c r="I333" s="14" t="s">
        <v>374</v>
      </c>
      <c r="J333" s="14" t="s">
        <v>20</v>
      </c>
      <c r="K333" s="13" t="str">
        <f>B333&amp;"-"&amp;C333&amp;"-"&amp;D333&amp;"-"&amp;E333&amp;"-"&amp;G333&amp;H333</f>
        <v>Quercus-B2-P5-C2-B2</v>
      </c>
      <c r="L333" s="14" t="s">
        <v>64</v>
      </c>
      <c r="M333" s="14" t="s">
        <v>22</v>
      </c>
      <c r="N333" s="14" t="s">
        <v>74</v>
      </c>
      <c r="O333" s="26" t="str">
        <f>J333&amp;"_"&amp;M333</f>
        <v>Drought_No</v>
      </c>
      <c r="P333" s="23" t="str">
        <f>J333&amp;"_"&amp;M333</f>
        <v>Drought_No</v>
      </c>
      <c r="Q333" s="23" t="str">
        <f>L333&amp;"_"&amp;M333</f>
        <v>Grey_No</v>
      </c>
      <c r="R333" s="18" t="s">
        <v>2072</v>
      </c>
      <c r="S333" s="1"/>
      <c r="T333" s="1"/>
    </row>
    <row r="334" spans="1:20" s="9" customFormat="1" ht="15.75" customHeight="1" x14ac:dyDescent="0.2">
      <c r="A334" s="13">
        <v>333</v>
      </c>
      <c r="B334" s="14" t="s">
        <v>35</v>
      </c>
      <c r="C334" s="14" t="s">
        <v>234</v>
      </c>
      <c r="D334" s="14" t="s">
        <v>167</v>
      </c>
      <c r="E334" s="14" t="s">
        <v>32</v>
      </c>
      <c r="F334" s="14" t="str">
        <f>C334&amp;"-"&amp;D334&amp;"-"&amp;E334</f>
        <v>B2-P5-C2</v>
      </c>
      <c r="G334" s="14" t="s">
        <v>17</v>
      </c>
      <c r="H334" s="14">
        <v>3</v>
      </c>
      <c r="I334" s="14" t="s">
        <v>375</v>
      </c>
      <c r="J334" s="14" t="s">
        <v>20</v>
      </c>
      <c r="K334" s="13" t="str">
        <f>B334&amp;"-"&amp;C334&amp;"-"&amp;D334&amp;"-"&amp;E334&amp;"-"&amp;G334&amp;H334</f>
        <v>Quercus-B2-P5-C2-A3</v>
      </c>
      <c r="L334" s="14" t="s">
        <v>64</v>
      </c>
      <c r="M334" s="14" t="s">
        <v>22</v>
      </c>
      <c r="N334" s="14" t="s">
        <v>74</v>
      </c>
      <c r="O334" s="26" t="str">
        <f>J334&amp;"_"&amp;M334</f>
        <v>Drought_No</v>
      </c>
      <c r="P334" s="23" t="str">
        <f>J334&amp;"_"&amp;M334</f>
        <v>Drought_No</v>
      </c>
      <c r="Q334" s="23" t="str">
        <f>L334&amp;"_"&amp;M334</f>
        <v>Grey_No</v>
      </c>
      <c r="R334" s="18" t="s">
        <v>2072</v>
      </c>
      <c r="S334" s="1"/>
      <c r="T334" s="1"/>
    </row>
    <row r="335" spans="1:20" s="9" customFormat="1" ht="15.75" customHeight="1" x14ac:dyDescent="0.2">
      <c r="A335" s="13">
        <v>334</v>
      </c>
      <c r="B335" s="14" t="s">
        <v>35</v>
      </c>
      <c r="C335" s="14" t="s">
        <v>234</v>
      </c>
      <c r="D335" s="14" t="s">
        <v>167</v>
      </c>
      <c r="E335" s="14" t="s">
        <v>32</v>
      </c>
      <c r="F335" s="14" t="str">
        <f>C335&amp;"-"&amp;D335&amp;"-"&amp;E335</f>
        <v>B2-P5-C2</v>
      </c>
      <c r="G335" s="14" t="s">
        <v>24</v>
      </c>
      <c r="H335" s="14">
        <v>3</v>
      </c>
      <c r="I335" s="14" t="s">
        <v>376</v>
      </c>
      <c r="J335" s="14" t="s">
        <v>20</v>
      </c>
      <c r="K335" s="13" t="str">
        <f>B335&amp;"-"&amp;C335&amp;"-"&amp;D335&amp;"-"&amp;E335&amp;"-"&amp;G335&amp;H335</f>
        <v>Quercus-B2-P5-C2-B3</v>
      </c>
      <c r="L335" s="14" t="s">
        <v>64</v>
      </c>
      <c r="M335" s="14" t="s">
        <v>22</v>
      </c>
      <c r="N335" s="14" t="s">
        <v>74</v>
      </c>
      <c r="O335" s="26" t="str">
        <f>J335&amp;"_"&amp;M335</f>
        <v>Drought_No</v>
      </c>
      <c r="P335" s="23" t="str">
        <f>J335&amp;"_"&amp;M335</f>
        <v>Drought_No</v>
      </c>
      <c r="Q335" s="23" t="str">
        <f>L335&amp;"_"&amp;M335</f>
        <v>Grey_No</v>
      </c>
      <c r="R335" s="18" t="s">
        <v>2072</v>
      </c>
      <c r="S335" s="1"/>
      <c r="T335" s="1"/>
    </row>
    <row r="336" spans="1:20" s="9" customFormat="1" ht="15.75" customHeight="1" x14ac:dyDescent="0.2">
      <c r="A336" s="13">
        <v>335</v>
      </c>
      <c r="B336" s="14" t="s">
        <v>35</v>
      </c>
      <c r="C336" s="14" t="s">
        <v>234</v>
      </c>
      <c r="D336" s="14" t="s">
        <v>167</v>
      </c>
      <c r="E336" s="14" t="s">
        <v>32</v>
      </c>
      <c r="F336" s="14" t="str">
        <f>C336&amp;"-"&amp;D336&amp;"-"&amp;E336</f>
        <v>B2-P5-C2</v>
      </c>
      <c r="G336" s="14" t="s">
        <v>17</v>
      </c>
      <c r="H336" s="14">
        <v>4</v>
      </c>
      <c r="I336" s="14" t="s">
        <v>377</v>
      </c>
      <c r="J336" s="14" t="s">
        <v>20</v>
      </c>
      <c r="K336" s="13" t="str">
        <f>B336&amp;"-"&amp;C336&amp;"-"&amp;D336&amp;"-"&amp;E336&amp;"-"&amp;G336&amp;H336</f>
        <v>Quercus-B2-P5-C2-A4</v>
      </c>
      <c r="L336" s="14" t="s">
        <v>64</v>
      </c>
      <c r="M336" s="14" t="s">
        <v>22</v>
      </c>
      <c r="N336" s="14" t="s">
        <v>74</v>
      </c>
      <c r="O336" s="26" t="str">
        <f>J336&amp;"_"&amp;M336</f>
        <v>Drought_No</v>
      </c>
      <c r="P336" s="23" t="str">
        <f>J336&amp;"_"&amp;M336</f>
        <v>Drought_No</v>
      </c>
      <c r="Q336" s="23" t="str">
        <f>L336&amp;"_"&amp;M336</f>
        <v>Grey_No</v>
      </c>
      <c r="R336" s="18" t="s">
        <v>2072</v>
      </c>
      <c r="S336" s="1"/>
      <c r="T336" s="1"/>
    </row>
    <row r="337" spans="1:20" s="9" customFormat="1" ht="15.75" customHeight="1" x14ac:dyDescent="0.2">
      <c r="A337" s="13">
        <v>336</v>
      </c>
      <c r="B337" s="14" t="s">
        <v>35</v>
      </c>
      <c r="C337" s="14" t="s">
        <v>234</v>
      </c>
      <c r="D337" s="14" t="s">
        <v>167</v>
      </c>
      <c r="E337" s="14" t="s">
        <v>32</v>
      </c>
      <c r="F337" s="14" t="str">
        <f>C337&amp;"-"&amp;D337&amp;"-"&amp;E337</f>
        <v>B2-P5-C2</v>
      </c>
      <c r="G337" s="14" t="s">
        <v>24</v>
      </c>
      <c r="H337" s="14">
        <v>4</v>
      </c>
      <c r="I337" s="14" t="s">
        <v>378</v>
      </c>
      <c r="J337" s="14" t="s">
        <v>20</v>
      </c>
      <c r="K337" s="13" t="str">
        <f>B337&amp;"-"&amp;C337&amp;"-"&amp;D337&amp;"-"&amp;E337&amp;"-"&amp;G337&amp;H337</f>
        <v>Quercus-B2-P5-C2-B4</v>
      </c>
      <c r="L337" s="14" t="s">
        <v>64</v>
      </c>
      <c r="M337" s="14" t="s">
        <v>22</v>
      </c>
      <c r="N337" s="14" t="s">
        <v>74</v>
      </c>
      <c r="O337" s="26" t="str">
        <f>J337&amp;"_"&amp;M337</f>
        <v>Drought_No</v>
      </c>
      <c r="P337" s="23" t="str">
        <f>J337&amp;"_"&amp;M337</f>
        <v>Drought_No</v>
      </c>
      <c r="Q337" s="23" t="str">
        <f>L337&amp;"_"&amp;M337</f>
        <v>Grey_No</v>
      </c>
      <c r="R337" s="18" t="s">
        <v>2072</v>
      </c>
      <c r="S337" s="1"/>
      <c r="T337" s="1"/>
    </row>
    <row r="338" spans="1:20" s="10" customFormat="1" ht="15.75" customHeight="1" x14ac:dyDescent="0.2">
      <c r="A338" s="21">
        <v>337</v>
      </c>
      <c r="B338" s="20" t="s">
        <v>19</v>
      </c>
      <c r="C338" s="20" t="s">
        <v>234</v>
      </c>
      <c r="D338" s="20" t="s">
        <v>167</v>
      </c>
      <c r="E338" s="20" t="s">
        <v>42</v>
      </c>
      <c r="F338" s="18" t="str">
        <f>C338&amp;"-"&amp;D338&amp;"-"&amp;E338</f>
        <v>B2-P5-C3</v>
      </c>
      <c r="G338" s="20" t="s">
        <v>17</v>
      </c>
      <c r="H338" s="20">
        <v>1</v>
      </c>
      <c r="I338" s="20" t="s">
        <v>379</v>
      </c>
      <c r="J338" s="20" t="s">
        <v>20</v>
      </c>
      <c r="K338" s="19" t="str">
        <f>B338&amp;"-"&amp;C338&amp;"-"&amp;D338&amp;"-"&amp;E338&amp;"-"&amp;G338&amp;H338</f>
        <v>Fagus-B2-P5-C3-A1</v>
      </c>
      <c r="L338" s="20" t="s">
        <v>64</v>
      </c>
      <c r="M338" s="20" t="s">
        <v>22</v>
      </c>
      <c r="N338" s="20" t="s">
        <v>74</v>
      </c>
      <c r="O338" s="27" t="str">
        <f>J338&amp;"_"&amp;M338</f>
        <v>Drought_No</v>
      </c>
      <c r="P338" s="2" t="str">
        <f>J338&amp;"_"&amp;M338</f>
        <v>Drought_No</v>
      </c>
      <c r="Q338" s="2" t="str">
        <f>L338&amp;"_"&amp;M338</f>
        <v>Grey_No</v>
      </c>
      <c r="R338" s="18" t="s">
        <v>2072</v>
      </c>
      <c r="S338" s="2"/>
      <c r="T338" s="2"/>
    </row>
    <row r="339" spans="1:20" s="10" customFormat="1" ht="15.75" customHeight="1" x14ac:dyDescent="0.2">
      <c r="A339" s="21">
        <v>338</v>
      </c>
      <c r="B339" s="20" t="s">
        <v>35</v>
      </c>
      <c r="C339" s="20" t="s">
        <v>234</v>
      </c>
      <c r="D339" s="20" t="s">
        <v>167</v>
      </c>
      <c r="E339" s="20" t="s">
        <v>42</v>
      </c>
      <c r="F339" s="18" t="str">
        <f>C339&amp;"-"&amp;D339&amp;"-"&amp;E339</f>
        <v>B2-P5-C3</v>
      </c>
      <c r="G339" s="20" t="s">
        <v>24</v>
      </c>
      <c r="H339" s="20">
        <v>1</v>
      </c>
      <c r="I339" s="20" t="s">
        <v>380</v>
      </c>
      <c r="J339" s="20" t="s">
        <v>20</v>
      </c>
      <c r="K339" s="19" t="str">
        <f>B339&amp;"-"&amp;C339&amp;"-"&amp;D339&amp;"-"&amp;E339&amp;"-"&amp;G339&amp;H339</f>
        <v>Quercus-B2-P5-C3-B1</v>
      </c>
      <c r="L339" s="20" t="s">
        <v>64</v>
      </c>
      <c r="M339" s="20" t="s">
        <v>22</v>
      </c>
      <c r="N339" s="20" t="s">
        <v>74</v>
      </c>
      <c r="O339" s="27" t="str">
        <f>J339&amp;"_"&amp;M339</f>
        <v>Drought_No</v>
      </c>
      <c r="P339" s="2" t="str">
        <f>J339&amp;"_"&amp;M339</f>
        <v>Drought_No</v>
      </c>
      <c r="Q339" s="2" t="str">
        <f>L339&amp;"_"&amp;M339</f>
        <v>Grey_No</v>
      </c>
      <c r="R339" s="18" t="s">
        <v>2072</v>
      </c>
      <c r="S339" s="2"/>
      <c r="T339" s="2"/>
    </row>
    <row r="340" spans="1:20" s="10" customFormat="1" ht="15.75" customHeight="1" x14ac:dyDescent="0.2">
      <c r="A340" s="21">
        <v>339</v>
      </c>
      <c r="B340" s="20" t="s">
        <v>35</v>
      </c>
      <c r="C340" s="20" t="s">
        <v>234</v>
      </c>
      <c r="D340" s="20" t="s">
        <v>167</v>
      </c>
      <c r="E340" s="20" t="s">
        <v>42</v>
      </c>
      <c r="F340" s="18" t="str">
        <f>C340&amp;"-"&amp;D340&amp;"-"&amp;E340</f>
        <v>B2-P5-C3</v>
      </c>
      <c r="G340" s="20" t="s">
        <v>17</v>
      </c>
      <c r="H340" s="20">
        <v>2</v>
      </c>
      <c r="I340" s="20" t="s">
        <v>381</v>
      </c>
      <c r="J340" s="20" t="s">
        <v>20</v>
      </c>
      <c r="K340" s="19" t="str">
        <f>B340&amp;"-"&amp;C340&amp;"-"&amp;D340&amp;"-"&amp;E340&amp;"-"&amp;G340&amp;H340</f>
        <v>Quercus-B2-P5-C3-A2</v>
      </c>
      <c r="L340" s="20" t="s">
        <v>64</v>
      </c>
      <c r="M340" s="20" t="s">
        <v>22</v>
      </c>
      <c r="N340" s="20" t="s">
        <v>74</v>
      </c>
      <c r="O340" s="27" t="str">
        <f>J340&amp;"_"&amp;M340</f>
        <v>Drought_No</v>
      </c>
      <c r="P340" s="2" t="str">
        <f>J340&amp;"_"&amp;M340</f>
        <v>Drought_No</v>
      </c>
      <c r="Q340" s="2" t="str">
        <f>L340&amp;"_"&amp;M340</f>
        <v>Grey_No</v>
      </c>
      <c r="R340" s="18" t="s">
        <v>2072</v>
      </c>
      <c r="S340" s="2"/>
      <c r="T340" s="2"/>
    </row>
    <row r="341" spans="1:20" s="10" customFormat="1" ht="15.75" customHeight="1" x14ac:dyDescent="0.2">
      <c r="A341" s="21">
        <v>340</v>
      </c>
      <c r="B341" s="20" t="s">
        <v>19</v>
      </c>
      <c r="C341" s="20" t="s">
        <v>234</v>
      </c>
      <c r="D341" s="20" t="s">
        <v>167</v>
      </c>
      <c r="E341" s="20" t="s">
        <v>42</v>
      </c>
      <c r="F341" s="18" t="str">
        <f>C341&amp;"-"&amp;D341&amp;"-"&amp;E341</f>
        <v>B2-P5-C3</v>
      </c>
      <c r="G341" s="20" t="s">
        <v>24</v>
      </c>
      <c r="H341" s="20">
        <v>2</v>
      </c>
      <c r="I341" s="20" t="s">
        <v>382</v>
      </c>
      <c r="J341" s="20" t="s">
        <v>20</v>
      </c>
      <c r="K341" s="19" t="str">
        <f>B341&amp;"-"&amp;C341&amp;"-"&amp;D341&amp;"-"&amp;E341&amp;"-"&amp;G341&amp;H341</f>
        <v>Fagus-B2-P5-C3-B2</v>
      </c>
      <c r="L341" s="20" t="s">
        <v>64</v>
      </c>
      <c r="M341" s="20" t="s">
        <v>22</v>
      </c>
      <c r="N341" s="20" t="s">
        <v>74</v>
      </c>
      <c r="O341" s="27" t="str">
        <f>J341&amp;"_"&amp;M341</f>
        <v>Drought_No</v>
      </c>
      <c r="P341" s="2" t="str">
        <f>J341&amp;"_"&amp;M341</f>
        <v>Drought_No</v>
      </c>
      <c r="Q341" s="2" t="str">
        <f>L341&amp;"_"&amp;M341</f>
        <v>Grey_No</v>
      </c>
      <c r="R341" s="18" t="s">
        <v>2072</v>
      </c>
      <c r="S341" s="2"/>
      <c r="T341" s="2"/>
    </row>
    <row r="342" spans="1:20" s="10" customFormat="1" ht="15.75" customHeight="1" x14ac:dyDescent="0.2">
      <c r="A342" s="21">
        <v>341</v>
      </c>
      <c r="B342" s="20" t="s">
        <v>19</v>
      </c>
      <c r="C342" s="20" t="s">
        <v>234</v>
      </c>
      <c r="D342" s="20" t="s">
        <v>167</v>
      </c>
      <c r="E342" s="20" t="s">
        <v>42</v>
      </c>
      <c r="F342" s="18" t="str">
        <f>C342&amp;"-"&amp;D342&amp;"-"&amp;E342</f>
        <v>B2-P5-C3</v>
      </c>
      <c r="G342" s="20" t="s">
        <v>17</v>
      </c>
      <c r="H342" s="20">
        <v>3</v>
      </c>
      <c r="I342" s="20" t="s">
        <v>383</v>
      </c>
      <c r="J342" s="20" t="s">
        <v>20</v>
      </c>
      <c r="K342" s="19" t="str">
        <f>B342&amp;"-"&amp;C342&amp;"-"&amp;D342&amp;"-"&amp;E342&amp;"-"&amp;G342&amp;H342</f>
        <v>Fagus-B2-P5-C3-A3</v>
      </c>
      <c r="L342" s="20" t="s">
        <v>64</v>
      </c>
      <c r="M342" s="20" t="s">
        <v>22</v>
      </c>
      <c r="N342" s="20" t="s">
        <v>74</v>
      </c>
      <c r="O342" s="27" t="str">
        <f>J342&amp;"_"&amp;M342</f>
        <v>Drought_No</v>
      </c>
      <c r="P342" s="2" t="str">
        <f>J342&amp;"_"&amp;M342</f>
        <v>Drought_No</v>
      </c>
      <c r="Q342" s="2" t="str">
        <f>L342&amp;"_"&amp;M342</f>
        <v>Grey_No</v>
      </c>
      <c r="R342" s="18" t="s">
        <v>2072</v>
      </c>
      <c r="S342" s="2"/>
      <c r="T342" s="2"/>
    </row>
    <row r="343" spans="1:20" s="10" customFormat="1" ht="15.75" customHeight="1" x14ac:dyDescent="0.2">
      <c r="A343" s="21">
        <v>342</v>
      </c>
      <c r="B343" s="20" t="s">
        <v>35</v>
      </c>
      <c r="C343" s="20" t="s">
        <v>234</v>
      </c>
      <c r="D343" s="20" t="s">
        <v>167</v>
      </c>
      <c r="E343" s="20" t="s">
        <v>42</v>
      </c>
      <c r="F343" s="18" t="str">
        <f>C343&amp;"-"&amp;D343&amp;"-"&amp;E343</f>
        <v>B2-P5-C3</v>
      </c>
      <c r="G343" s="20" t="s">
        <v>24</v>
      </c>
      <c r="H343" s="20">
        <v>3</v>
      </c>
      <c r="I343" s="20" t="s">
        <v>384</v>
      </c>
      <c r="J343" s="20" t="s">
        <v>20</v>
      </c>
      <c r="K343" s="19" t="str">
        <f>B343&amp;"-"&amp;C343&amp;"-"&amp;D343&amp;"-"&amp;E343&amp;"-"&amp;G343&amp;H343</f>
        <v>Quercus-B2-P5-C3-B3</v>
      </c>
      <c r="L343" s="20" t="s">
        <v>64</v>
      </c>
      <c r="M343" s="20" t="s">
        <v>22</v>
      </c>
      <c r="N343" s="20" t="s">
        <v>74</v>
      </c>
      <c r="O343" s="27" t="str">
        <f>J343&amp;"_"&amp;M343</f>
        <v>Drought_No</v>
      </c>
      <c r="P343" s="2" t="str">
        <f>J343&amp;"_"&amp;M343</f>
        <v>Drought_No</v>
      </c>
      <c r="Q343" s="2" t="str">
        <f>L343&amp;"_"&amp;M343</f>
        <v>Grey_No</v>
      </c>
      <c r="R343" s="18" t="s">
        <v>2072</v>
      </c>
      <c r="S343" s="2"/>
      <c r="T343" s="2"/>
    </row>
    <row r="344" spans="1:20" s="10" customFormat="1" ht="15.75" customHeight="1" x14ac:dyDescent="0.2">
      <c r="A344" s="21">
        <v>343</v>
      </c>
      <c r="B344" s="20" t="s">
        <v>35</v>
      </c>
      <c r="C344" s="20" t="s">
        <v>234</v>
      </c>
      <c r="D344" s="20" t="s">
        <v>167</v>
      </c>
      <c r="E344" s="20" t="s">
        <v>42</v>
      </c>
      <c r="F344" s="18" t="str">
        <f>C344&amp;"-"&amp;D344&amp;"-"&amp;E344</f>
        <v>B2-P5-C3</v>
      </c>
      <c r="G344" s="20" t="s">
        <v>17</v>
      </c>
      <c r="H344" s="20">
        <v>4</v>
      </c>
      <c r="I344" s="20" t="s">
        <v>385</v>
      </c>
      <c r="J344" s="20" t="s">
        <v>20</v>
      </c>
      <c r="K344" s="19" t="str">
        <f>B344&amp;"-"&amp;C344&amp;"-"&amp;D344&amp;"-"&amp;E344&amp;"-"&amp;G344&amp;H344</f>
        <v>Quercus-B2-P5-C3-A4</v>
      </c>
      <c r="L344" s="20" t="s">
        <v>64</v>
      </c>
      <c r="M344" s="20" t="s">
        <v>22</v>
      </c>
      <c r="N344" s="20" t="s">
        <v>74</v>
      </c>
      <c r="O344" s="27" t="str">
        <f>J344&amp;"_"&amp;M344</f>
        <v>Drought_No</v>
      </c>
      <c r="P344" s="2" t="str">
        <f>J344&amp;"_"&amp;M344</f>
        <v>Drought_No</v>
      </c>
      <c r="Q344" s="2" t="str">
        <f>L344&amp;"_"&amp;M344</f>
        <v>Grey_No</v>
      </c>
      <c r="R344" s="18" t="s">
        <v>2072</v>
      </c>
      <c r="S344" s="2"/>
      <c r="T344" s="2"/>
    </row>
    <row r="345" spans="1:20" s="10" customFormat="1" ht="15.75" customHeight="1" x14ac:dyDescent="0.2">
      <c r="A345" s="21">
        <v>344</v>
      </c>
      <c r="B345" s="20" t="s">
        <v>19</v>
      </c>
      <c r="C345" s="20" t="s">
        <v>234</v>
      </c>
      <c r="D345" s="20" t="s">
        <v>167</v>
      </c>
      <c r="E345" s="20" t="s">
        <v>42</v>
      </c>
      <c r="F345" s="18" t="str">
        <f>C345&amp;"-"&amp;D345&amp;"-"&amp;E345</f>
        <v>B2-P5-C3</v>
      </c>
      <c r="G345" s="20" t="s">
        <v>24</v>
      </c>
      <c r="H345" s="20">
        <v>4</v>
      </c>
      <c r="I345" s="20" t="s">
        <v>386</v>
      </c>
      <c r="J345" s="20" t="s">
        <v>20</v>
      </c>
      <c r="K345" s="19" t="str">
        <f>B345&amp;"-"&amp;C345&amp;"-"&amp;D345&amp;"-"&amp;E345&amp;"-"&amp;G345&amp;H345</f>
        <v>Fagus-B2-P5-C3-B4</v>
      </c>
      <c r="L345" s="20" t="s">
        <v>64</v>
      </c>
      <c r="M345" s="20" t="s">
        <v>22</v>
      </c>
      <c r="N345" s="20" t="s">
        <v>74</v>
      </c>
      <c r="O345" s="27" t="str">
        <f>J345&amp;"_"&amp;M345</f>
        <v>Drought_No</v>
      </c>
      <c r="P345" s="2" t="str">
        <f>J345&amp;"_"&amp;M345</f>
        <v>Drought_No</v>
      </c>
      <c r="Q345" s="2" t="str">
        <f>L345&amp;"_"&amp;M345</f>
        <v>Grey_No</v>
      </c>
      <c r="R345" s="18" t="s">
        <v>2072</v>
      </c>
      <c r="S345" s="2"/>
      <c r="T345" s="2"/>
    </row>
    <row r="346" spans="1:20" s="9" customFormat="1" ht="15.75" customHeight="1" x14ac:dyDescent="0.2">
      <c r="A346" s="13">
        <v>345</v>
      </c>
      <c r="B346" s="14" t="s">
        <v>19</v>
      </c>
      <c r="C346" s="14" t="s">
        <v>234</v>
      </c>
      <c r="D346" s="14" t="s">
        <v>167</v>
      </c>
      <c r="E346" s="14" t="s">
        <v>53</v>
      </c>
      <c r="F346" s="14" t="str">
        <f>C346&amp;"-"&amp;D346&amp;"-"&amp;E346</f>
        <v>B2-P5-C4</v>
      </c>
      <c r="G346" s="14" t="s">
        <v>17</v>
      </c>
      <c r="H346" s="14">
        <v>1</v>
      </c>
      <c r="I346" s="14" t="s">
        <v>387</v>
      </c>
      <c r="J346" s="14" t="s">
        <v>20</v>
      </c>
      <c r="K346" s="13" t="str">
        <f>B346&amp;"-"&amp;C346&amp;"-"&amp;D346&amp;"-"&amp;E346&amp;"-"&amp;G346&amp;H346</f>
        <v>Fagus-B2-P5-C4-A1</v>
      </c>
      <c r="L346" s="14" t="s">
        <v>64</v>
      </c>
      <c r="M346" s="14" t="s">
        <v>44</v>
      </c>
      <c r="N346" s="14" t="s">
        <v>65</v>
      </c>
      <c r="O346" s="26" t="str">
        <f>J346&amp;"_"&amp;M346</f>
        <v>Drought_Yes</v>
      </c>
      <c r="P346" s="23" t="str">
        <f>J346&amp;"_"&amp;M346</f>
        <v>Drought_Yes</v>
      </c>
      <c r="Q346" s="23" t="str">
        <f>L346&amp;"_"&amp;M346</f>
        <v>Grey_Yes</v>
      </c>
      <c r="R346" s="18" t="s">
        <v>2072</v>
      </c>
      <c r="S346" s="1"/>
      <c r="T346" s="1"/>
    </row>
    <row r="347" spans="1:20" s="9" customFormat="1" ht="15.75" customHeight="1" x14ac:dyDescent="0.2">
      <c r="A347" s="13">
        <v>346</v>
      </c>
      <c r="B347" s="14" t="s">
        <v>19</v>
      </c>
      <c r="C347" s="14" t="s">
        <v>234</v>
      </c>
      <c r="D347" s="14" t="s">
        <v>167</v>
      </c>
      <c r="E347" s="14" t="s">
        <v>53</v>
      </c>
      <c r="F347" s="14" t="str">
        <f>C347&amp;"-"&amp;D347&amp;"-"&amp;E347</f>
        <v>B2-P5-C4</v>
      </c>
      <c r="G347" s="14" t="s">
        <v>24</v>
      </c>
      <c r="H347" s="14">
        <v>1</v>
      </c>
      <c r="I347" s="14" t="s">
        <v>388</v>
      </c>
      <c r="J347" s="14" t="s">
        <v>20</v>
      </c>
      <c r="K347" s="13" t="str">
        <f>B347&amp;"-"&amp;C347&amp;"-"&amp;D347&amp;"-"&amp;E347&amp;"-"&amp;G347&amp;H347</f>
        <v>Fagus-B2-P5-C4-B1</v>
      </c>
      <c r="L347" s="14" t="s">
        <v>64</v>
      </c>
      <c r="M347" s="14" t="s">
        <v>44</v>
      </c>
      <c r="N347" s="14" t="s">
        <v>65</v>
      </c>
      <c r="O347" s="26" t="str">
        <f>J347&amp;"_"&amp;M347</f>
        <v>Drought_Yes</v>
      </c>
      <c r="P347" s="23" t="str">
        <f>J347&amp;"_"&amp;M347</f>
        <v>Drought_Yes</v>
      </c>
      <c r="Q347" s="23" t="str">
        <f>L347&amp;"_"&amp;M347</f>
        <v>Grey_Yes</v>
      </c>
      <c r="R347" s="18" t="s">
        <v>2072</v>
      </c>
      <c r="S347" s="1"/>
      <c r="T347" s="1"/>
    </row>
    <row r="348" spans="1:20" s="9" customFormat="1" ht="15.75" customHeight="1" x14ac:dyDescent="0.2">
      <c r="A348" s="13">
        <v>347</v>
      </c>
      <c r="B348" s="14" t="s">
        <v>19</v>
      </c>
      <c r="C348" s="14" t="s">
        <v>234</v>
      </c>
      <c r="D348" s="14" t="s">
        <v>167</v>
      </c>
      <c r="E348" s="14" t="s">
        <v>53</v>
      </c>
      <c r="F348" s="14" t="str">
        <f>C348&amp;"-"&amp;D348&amp;"-"&amp;E348</f>
        <v>B2-P5-C4</v>
      </c>
      <c r="G348" s="14" t="s">
        <v>17</v>
      </c>
      <c r="H348" s="14">
        <v>2</v>
      </c>
      <c r="I348" s="14" t="s">
        <v>389</v>
      </c>
      <c r="J348" s="14" t="s">
        <v>20</v>
      </c>
      <c r="K348" s="13" t="str">
        <f>B348&amp;"-"&amp;C348&amp;"-"&amp;D348&amp;"-"&amp;E348&amp;"-"&amp;G348&amp;H348</f>
        <v>Fagus-B2-P5-C4-A2</v>
      </c>
      <c r="L348" s="14" t="s">
        <v>64</v>
      </c>
      <c r="M348" s="14" t="s">
        <v>44</v>
      </c>
      <c r="N348" s="14" t="s">
        <v>65</v>
      </c>
      <c r="O348" s="26" t="str">
        <f>J348&amp;"_"&amp;M348</f>
        <v>Drought_Yes</v>
      </c>
      <c r="P348" s="23" t="str">
        <f>J348&amp;"_"&amp;M348</f>
        <v>Drought_Yes</v>
      </c>
      <c r="Q348" s="23" t="str">
        <f>L348&amp;"_"&amp;M348</f>
        <v>Grey_Yes</v>
      </c>
      <c r="R348" s="18" t="s">
        <v>2072</v>
      </c>
      <c r="S348" s="1"/>
      <c r="T348" s="1"/>
    </row>
    <row r="349" spans="1:20" s="9" customFormat="1" ht="15.75" customHeight="1" x14ac:dyDescent="0.2">
      <c r="A349" s="13">
        <v>348</v>
      </c>
      <c r="B349" s="14" t="s">
        <v>19</v>
      </c>
      <c r="C349" s="14" t="s">
        <v>234</v>
      </c>
      <c r="D349" s="14" t="s">
        <v>167</v>
      </c>
      <c r="E349" s="14" t="s">
        <v>53</v>
      </c>
      <c r="F349" s="14" t="str">
        <f>C349&amp;"-"&amp;D349&amp;"-"&amp;E349</f>
        <v>B2-P5-C4</v>
      </c>
      <c r="G349" s="14" t="s">
        <v>24</v>
      </c>
      <c r="H349" s="14">
        <v>2</v>
      </c>
      <c r="I349" s="14" t="s">
        <v>390</v>
      </c>
      <c r="J349" s="14" t="s">
        <v>20</v>
      </c>
      <c r="K349" s="13" t="str">
        <f>B349&amp;"-"&amp;C349&amp;"-"&amp;D349&amp;"-"&amp;E349&amp;"-"&amp;G349&amp;H349</f>
        <v>Fagus-B2-P5-C4-B2</v>
      </c>
      <c r="L349" s="14" t="s">
        <v>64</v>
      </c>
      <c r="M349" s="14" t="s">
        <v>44</v>
      </c>
      <c r="N349" s="14" t="s">
        <v>65</v>
      </c>
      <c r="O349" s="26" t="str">
        <f>J349&amp;"_"&amp;M349</f>
        <v>Drought_Yes</v>
      </c>
      <c r="P349" s="23" t="str">
        <f>J349&amp;"_"&amp;M349</f>
        <v>Drought_Yes</v>
      </c>
      <c r="Q349" s="23" t="str">
        <f>L349&amp;"_"&amp;M349</f>
        <v>Grey_Yes</v>
      </c>
      <c r="R349" s="18" t="s">
        <v>2072</v>
      </c>
      <c r="S349" s="1"/>
      <c r="T349" s="1"/>
    </row>
    <row r="350" spans="1:20" s="9" customFormat="1" ht="15.75" customHeight="1" x14ac:dyDescent="0.2">
      <c r="A350" s="13">
        <v>349</v>
      </c>
      <c r="B350" s="14" t="s">
        <v>19</v>
      </c>
      <c r="C350" s="14" t="s">
        <v>234</v>
      </c>
      <c r="D350" s="14" t="s">
        <v>167</v>
      </c>
      <c r="E350" s="14" t="s">
        <v>53</v>
      </c>
      <c r="F350" s="14" t="str">
        <f>C350&amp;"-"&amp;D350&amp;"-"&amp;E350</f>
        <v>B2-P5-C4</v>
      </c>
      <c r="G350" s="14" t="s">
        <v>17</v>
      </c>
      <c r="H350" s="14">
        <v>3</v>
      </c>
      <c r="I350" s="14" t="s">
        <v>391</v>
      </c>
      <c r="J350" s="14" t="s">
        <v>20</v>
      </c>
      <c r="K350" s="13" t="str">
        <f>B350&amp;"-"&amp;C350&amp;"-"&amp;D350&amp;"-"&amp;E350&amp;"-"&amp;G350&amp;H350</f>
        <v>Fagus-B2-P5-C4-A3</v>
      </c>
      <c r="L350" s="14" t="s">
        <v>64</v>
      </c>
      <c r="M350" s="14" t="s">
        <v>44</v>
      </c>
      <c r="N350" s="14" t="s">
        <v>65</v>
      </c>
      <c r="O350" s="26" t="str">
        <f>J350&amp;"_"&amp;M350</f>
        <v>Drought_Yes</v>
      </c>
      <c r="P350" s="23" t="str">
        <f>J350&amp;"_"&amp;M350</f>
        <v>Drought_Yes</v>
      </c>
      <c r="Q350" s="23" t="str">
        <f>L350&amp;"_"&amp;M350</f>
        <v>Grey_Yes</v>
      </c>
      <c r="R350" s="18" t="s">
        <v>2072</v>
      </c>
      <c r="S350" s="1"/>
      <c r="T350" s="1"/>
    </row>
    <row r="351" spans="1:20" s="9" customFormat="1" ht="15.75" customHeight="1" x14ac:dyDescent="0.2">
      <c r="A351" s="13">
        <v>350</v>
      </c>
      <c r="B351" s="14" t="s">
        <v>19</v>
      </c>
      <c r="C351" s="14" t="s">
        <v>234</v>
      </c>
      <c r="D351" s="14" t="s">
        <v>167</v>
      </c>
      <c r="E351" s="14" t="s">
        <v>53</v>
      </c>
      <c r="F351" s="14" t="str">
        <f>C351&amp;"-"&amp;D351&amp;"-"&amp;E351</f>
        <v>B2-P5-C4</v>
      </c>
      <c r="G351" s="14" t="s">
        <v>24</v>
      </c>
      <c r="H351" s="14">
        <v>3</v>
      </c>
      <c r="I351" s="14" t="s">
        <v>392</v>
      </c>
      <c r="J351" s="14" t="s">
        <v>20</v>
      </c>
      <c r="K351" s="13" t="str">
        <f>B351&amp;"-"&amp;C351&amp;"-"&amp;D351&amp;"-"&amp;E351&amp;"-"&amp;G351&amp;H351</f>
        <v>Fagus-B2-P5-C4-B3</v>
      </c>
      <c r="L351" s="14" t="s">
        <v>64</v>
      </c>
      <c r="M351" s="14" t="s">
        <v>44</v>
      </c>
      <c r="N351" s="14" t="s">
        <v>65</v>
      </c>
      <c r="O351" s="26" t="str">
        <f>J351&amp;"_"&amp;M351</f>
        <v>Drought_Yes</v>
      </c>
      <c r="P351" s="23" t="str">
        <f>J351&amp;"_"&amp;M351</f>
        <v>Drought_Yes</v>
      </c>
      <c r="Q351" s="23" t="str">
        <f>L351&amp;"_"&amp;M351</f>
        <v>Grey_Yes</v>
      </c>
      <c r="R351" s="18" t="s">
        <v>2072</v>
      </c>
      <c r="S351" s="1"/>
      <c r="T351" s="1"/>
    </row>
    <row r="352" spans="1:20" s="9" customFormat="1" ht="15.75" customHeight="1" x14ac:dyDescent="0.2">
      <c r="A352" s="13">
        <v>351</v>
      </c>
      <c r="B352" s="14" t="s">
        <v>19</v>
      </c>
      <c r="C352" s="14" t="s">
        <v>234</v>
      </c>
      <c r="D352" s="14" t="s">
        <v>167</v>
      </c>
      <c r="E352" s="14" t="s">
        <v>53</v>
      </c>
      <c r="F352" s="14" t="str">
        <f>C352&amp;"-"&amp;D352&amp;"-"&amp;E352</f>
        <v>B2-P5-C4</v>
      </c>
      <c r="G352" s="14" t="s">
        <v>17</v>
      </c>
      <c r="H352" s="14">
        <v>4</v>
      </c>
      <c r="I352" s="14" t="s">
        <v>393</v>
      </c>
      <c r="J352" s="14" t="s">
        <v>20</v>
      </c>
      <c r="K352" s="13" t="str">
        <f>B352&amp;"-"&amp;C352&amp;"-"&amp;D352&amp;"-"&amp;E352&amp;"-"&amp;G352&amp;H352</f>
        <v>Fagus-B2-P5-C4-A4</v>
      </c>
      <c r="L352" s="14" t="s">
        <v>64</v>
      </c>
      <c r="M352" s="14" t="s">
        <v>44</v>
      </c>
      <c r="N352" s="14" t="s">
        <v>65</v>
      </c>
      <c r="O352" s="26" t="str">
        <f>J352&amp;"_"&amp;M352</f>
        <v>Drought_Yes</v>
      </c>
      <c r="P352" s="23" t="str">
        <f>J352&amp;"_"&amp;M352</f>
        <v>Drought_Yes</v>
      </c>
      <c r="Q352" s="23" t="str">
        <f>L352&amp;"_"&amp;M352</f>
        <v>Grey_Yes</v>
      </c>
      <c r="R352" s="18" t="s">
        <v>2072</v>
      </c>
      <c r="S352" s="1"/>
      <c r="T352" s="1"/>
    </row>
    <row r="353" spans="1:20" s="9" customFormat="1" ht="15.75" customHeight="1" x14ac:dyDescent="0.2">
      <c r="A353" s="13">
        <v>352</v>
      </c>
      <c r="B353" s="14" t="s">
        <v>19</v>
      </c>
      <c r="C353" s="14" t="s">
        <v>234</v>
      </c>
      <c r="D353" s="14" t="s">
        <v>167</v>
      </c>
      <c r="E353" s="14" t="s">
        <v>53</v>
      </c>
      <c r="F353" s="14" t="str">
        <f>C353&amp;"-"&amp;D353&amp;"-"&amp;E353</f>
        <v>B2-P5-C4</v>
      </c>
      <c r="G353" s="14" t="s">
        <v>24</v>
      </c>
      <c r="H353" s="14">
        <v>4</v>
      </c>
      <c r="I353" s="14" t="s">
        <v>2043</v>
      </c>
      <c r="J353" s="14" t="s">
        <v>20</v>
      </c>
      <c r="K353" s="13" t="str">
        <f>B353&amp;"-"&amp;C353&amp;"-"&amp;D353&amp;"-"&amp;E353&amp;"-"&amp;G353&amp;H353</f>
        <v>Fagus-B2-P5-C4-B4</v>
      </c>
      <c r="L353" s="14" t="s">
        <v>64</v>
      </c>
      <c r="M353" s="14" t="s">
        <v>44</v>
      </c>
      <c r="N353" s="14" t="s">
        <v>65</v>
      </c>
      <c r="O353" s="26" t="str">
        <f>J353&amp;"_"&amp;M353</f>
        <v>Drought_Yes</v>
      </c>
      <c r="P353" s="23" t="str">
        <f>J353&amp;"_"&amp;M353</f>
        <v>Drought_Yes</v>
      </c>
      <c r="Q353" s="23" t="str">
        <f>L353&amp;"_"&amp;M353</f>
        <v>Grey_Yes</v>
      </c>
      <c r="R353" s="18" t="s">
        <v>2072</v>
      </c>
      <c r="S353" s="1"/>
      <c r="T353" s="1"/>
    </row>
    <row r="354" spans="1:20" s="10" customFormat="1" ht="15.75" customHeight="1" x14ac:dyDescent="0.2">
      <c r="A354" s="21">
        <v>353</v>
      </c>
      <c r="B354" s="20" t="s">
        <v>19</v>
      </c>
      <c r="C354" s="20" t="s">
        <v>234</v>
      </c>
      <c r="D354" s="20" t="s">
        <v>200</v>
      </c>
      <c r="E354" s="20" t="s">
        <v>16</v>
      </c>
      <c r="F354" s="18" t="str">
        <f>C354&amp;"-"&amp;D354&amp;"-"&amp;E354</f>
        <v>B2-P6-C1</v>
      </c>
      <c r="G354" s="20" t="s">
        <v>17</v>
      </c>
      <c r="H354" s="20">
        <v>1</v>
      </c>
      <c r="I354" s="20" t="s">
        <v>394</v>
      </c>
      <c r="J354" s="20" t="s">
        <v>20</v>
      </c>
      <c r="K354" s="19" t="str">
        <f>B354&amp;"-"&amp;C354&amp;"-"&amp;D354&amp;"-"&amp;E354&amp;"-"&amp;G354&amp;H354</f>
        <v>Fagus-B2-P6-C1-A1</v>
      </c>
      <c r="L354" s="20" t="s">
        <v>21</v>
      </c>
      <c r="M354" s="20" t="s">
        <v>44</v>
      </c>
      <c r="N354" s="20" t="s">
        <v>45</v>
      </c>
      <c r="O354" s="27" t="str">
        <f>J354&amp;"_"&amp;M354</f>
        <v>Drought_Yes</v>
      </c>
      <c r="P354" s="2" t="str">
        <f>J354&amp;"_"&amp;M354</f>
        <v>Drought_Yes</v>
      </c>
      <c r="Q354" s="2" t="str">
        <f>L354&amp;"_"&amp;M354</f>
        <v>Yellow_Yes</v>
      </c>
      <c r="R354" s="23" t="s">
        <v>2071</v>
      </c>
      <c r="S354" s="23"/>
      <c r="T354" s="23"/>
    </row>
    <row r="355" spans="1:20" s="10" customFormat="1" ht="15.75" customHeight="1" x14ac:dyDescent="0.2">
      <c r="A355" s="21">
        <v>354</v>
      </c>
      <c r="B355" s="20" t="s">
        <v>19</v>
      </c>
      <c r="C355" s="20" t="s">
        <v>234</v>
      </c>
      <c r="D355" s="20" t="s">
        <v>200</v>
      </c>
      <c r="E355" s="20" t="s">
        <v>16</v>
      </c>
      <c r="F355" s="18" t="str">
        <f>C355&amp;"-"&amp;D355&amp;"-"&amp;E355</f>
        <v>B2-P6-C1</v>
      </c>
      <c r="G355" s="20" t="s">
        <v>24</v>
      </c>
      <c r="H355" s="20">
        <v>1</v>
      </c>
      <c r="I355" s="20" t="s">
        <v>395</v>
      </c>
      <c r="J355" s="20" t="s">
        <v>20</v>
      </c>
      <c r="K355" s="19" t="str">
        <f>B355&amp;"-"&amp;C355&amp;"-"&amp;D355&amp;"-"&amp;E355&amp;"-"&amp;G355&amp;H355</f>
        <v>Fagus-B2-P6-C1-B1</v>
      </c>
      <c r="L355" s="20" t="s">
        <v>21</v>
      </c>
      <c r="M355" s="20" t="s">
        <v>44</v>
      </c>
      <c r="N355" s="20" t="s">
        <v>45</v>
      </c>
      <c r="O355" s="27" t="str">
        <f>J355&amp;"_"&amp;M355</f>
        <v>Drought_Yes</v>
      </c>
      <c r="P355" s="2" t="str">
        <f>J355&amp;"_"&amp;M355</f>
        <v>Drought_Yes</v>
      </c>
      <c r="Q355" s="2" t="str">
        <f>L355&amp;"_"&amp;M355</f>
        <v>Yellow_Yes</v>
      </c>
      <c r="R355" s="23" t="s">
        <v>2071</v>
      </c>
      <c r="S355" s="23"/>
      <c r="T355" s="23"/>
    </row>
    <row r="356" spans="1:20" s="10" customFormat="1" ht="15.75" customHeight="1" x14ac:dyDescent="0.2">
      <c r="A356" s="21">
        <v>355</v>
      </c>
      <c r="B356" s="20" t="s">
        <v>19</v>
      </c>
      <c r="C356" s="20" t="s">
        <v>234</v>
      </c>
      <c r="D356" s="20" t="s">
        <v>200</v>
      </c>
      <c r="E356" s="20" t="s">
        <v>16</v>
      </c>
      <c r="F356" s="18" t="str">
        <f>C356&amp;"-"&amp;D356&amp;"-"&amp;E356</f>
        <v>B2-P6-C1</v>
      </c>
      <c r="G356" s="20" t="s">
        <v>17</v>
      </c>
      <c r="H356" s="20">
        <v>2</v>
      </c>
      <c r="I356" s="20" t="s">
        <v>396</v>
      </c>
      <c r="J356" s="20" t="s">
        <v>20</v>
      </c>
      <c r="K356" s="19" t="str">
        <f>B356&amp;"-"&amp;C356&amp;"-"&amp;D356&amp;"-"&amp;E356&amp;"-"&amp;G356&amp;H356</f>
        <v>Fagus-B2-P6-C1-A2</v>
      </c>
      <c r="L356" s="20" t="s">
        <v>21</v>
      </c>
      <c r="M356" s="20" t="s">
        <v>44</v>
      </c>
      <c r="N356" s="20" t="s">
        <v>45</v>
      </c>
      <c r="O356" s="27" t="str">
        <f>J356&amp;"_"&amp;M356</f>
        <v>Drought_Yes</v>
      </c>
      <c r="P356" s="2" t="str">
        <f>J356&amp;"_"&amp;M356</f>
        <v>Drought_Yes</v>
      </c>
      <c r="Q356" s="2" t="str">
        <f>L356&amp;"_"&amp;M356</f>
        <v>Yellow_Yes</v>
      </c>
      <c r="R356" s="23" t="s">
        <v>2071</v>
      </c>
      <c r="S356" s="23"/>
      <c r="T356" s="23"/>
    </row>
    <row r="357" spans="1:20" s="10" customFormat="1" ht="15.75" customHeight="1" x14ac:dyDescent="0.2">
      <c r="A357" s="21">
        <v>356</v>
      </c>
      <c r="B357" s="20" t="s">
        <v>19</v>
      </c>
      <c r="C357" s="20" t="s">
        <v>234</v>
      </c>
      <c r="D357" s="20" t="s">
        <v>200</v>
      </c>
      <c r="E357" s="20" t="s">
        <v>16</v>
      </c>
      <c r="F357" s="18" t="str">
        <f>C357&amp;"-"&amp;D357&amp;"-"&amp;E357</f>
        <v>B2-P6-C1</v>
      </c>
      <c r="G357" s="20" t="s">
        <v>24</v>
      </c>
      <c r="H357" s="20">
        <v>2</v>
      </c>
      <c r="I357" s="20" t="s">
        <v>397</v>
      </c>
      <c r="J357" s="20" t="s">
        <v>20</v>
      </c>
      <c r="K357" s="19" t="str">
        <f>B357&amp;"-"&amp;C357&amp;"-"&amp;D357&amp;"-"&amp;E357&amp;"-"&amp;G357&amp;H357</f>
        <v>Fagus-B2-P6-C1-B2</v>
      </c>
      <c r="L357" s="20" t="s">
        <v>21</v>
      </c>
      <c r="M357" s="20" t="s">
        <v>44</v>
      </c>
      <c r="N357" s="20" t="s">
        <v>45</v>
      </c>
      <c r="O357" s="27" t="str">
        <f>J357&amp;"_"&amp;M357</f>
        <v>Drought_Yes</v>
      </c>
      <c r="P357" s="2" t="str">
        <f>J357&amp;"_"&amp;M357</f>
        <v>Drought_Yes</v>
      </c>
      <c r="Q357" s="2" t="str">
        <f>L357&amp;"_"&amp;M357</f>
        <v>Yellow_Yes</v>
      </c>
      <c r="R357" s="23" t="s">
        <v>2071</v>
      </c>
      <c r="S357" s="23"/>
      <c r="T357" s="23"/>
    </row>
    <row r="358" spans="1:20" s="10" customFormat="1" ht="15.75" customHeight="1" x14ac:dyDescent="0.2">
      <c r="A358" s="21">
        <v>357</v>
      </c>
      <c r="B358" s="20" t="s">
        <v>19</v>
      </c>
      <c r="C358" s="20" t="s">
        <v>234</v>
      </c>
      <c r="D358" s="20" t="s">
        <v>200</v>
      </c>
      <c r="E358" s="20" t="s">
        <v>16</v>
      </c>
      <c r="F358" s="18" t="str">
        <f>C358&amp;"-"&amp;D358&amp;"-"&amp;E358</f>
        <v>B2-P6-C1</v>
      </c>
      <c r="G358" s="20" t="s">
        <v>17</v>
      </c>
      <c r="H358" s="20">
        <v>3</v>
      </c>
      <c r="I358" s="20" t="s">
        <v>398</v>
      </c>
      <c r="J358" s="20" t="s">
        <v>20</v>
      </c>
      <c r="K358" s="19" t="str">
        <f>B358&amp;"-"&amp;C358&amp;"-"&amp;D358&amp;"-"&amp;E358&amp;"-"&amp;G358&amp;H358</f>
        <v>Fagus-B2-P6-C1-A3</v>
      </c>
      <c r="L358" s="20" t="s">
        <v>21</v>
      </c>
      <c r="M358" s="20" t="s">
        <v>44</v>
      </c>
      <c r="N358" s="20" t="s">
        <v>45</v>
      </c>
      <c r="O358" s="27" t="str">
        <f>J358&amp;"_"&amp;M358</f>
        <v>Drought_Yes</v>
      </c>
      <c r="P358" s="2" t="str">
        <f>J358&amp;"_"&amp;M358</f>
        <v>Drought_Yes</v>
      </c>
      <c r="Q358" s="2" t="str">
        <f>L358&amp;"_"&amp;M358</f>
        <v>Yellow_Yes</v>
      </c>
      <c r="R358" s="23" t="s">
        <v>2071</v>
      </c>
      <c r="S358" s="2"/>
      <c r="T358" s="2"/>
    </row>
    <row r="359" spans="1:20" s="10" customFormat="1" ht="15.75" customHeight="1" x14ac:dyDescent="0.2">
      <c r="A359" s="21">
        <v>358</v>
      </c>
      <c r="B359" s="20" t="s">
        <v>19</v>
      </c>
      <c r="C359" s="20" t="s">
        <v>234</v>
      </c>
      <c r="D359" s="20" t="s">
        <v>200</v>
      </c>
      <c r="E359" s="20" t="s">
        <v>16</v>
      </c>
      <c r="F359" s="18" t="str">
        <f>C359&amp;"-"&amp;D359&amp;"-"&amp;E359</f>
        <v>B2-P6-C1</v>
      </c>
      <c r="G359" s="20" t="s">
        <v>24</v>
      </c>
      <c r="H359" s="20">
        <v>3</v>
      </c>
      <c r="I359" s="20" t="s">
        <v>399</v>
      </c>
      <c r="J359" s="20" t="s">
        <v>20</v>
      </c>
      <c r="K359" s="19" t="str">
        <f>B359&amp;"-"&amp;C359&amp;"-"&amp;D359&amp;"-"&amp;E359&amp;"-"&amp;G359&amp;H359</f>
        <v>Fagus-B2-P6-C1-B3</v>
      </c>
      <c r="L359" s="20" t="s">
        <v>21</v>
      </c>
      <c r="M359" s="20" t="s">
        <v>44</v>
      </c>
      <c r="N359" s="20" t="s">
        <v>45</v>
      </c>
      <c r="O359" s="27" t="str">
        <f>J359&amp;"_"&amp;M359</f>
        <v>Drought_Yes</v>
      </c>
      <c r="P359" s="2" t="str">
        <f>J359&amp;"_"&amp;M359</f>
        <v>Drought_Yes</v>
      </c>
      <c r="Q359" s="2" t="str">
        <f>L359&amp;"_"&amp;M359</f>
        <v>Yellow_Yes</v>
      </c>
      <c r="R359" s="23" t="s">
        <v>2071</v>
      </c>
      <c r="S359" s="2"/>
      <c r="T359" s="2"/>
    </row>
    <row r="360" spans="1:20" s="10" customFormat="1" ht="15.75" customHeight="1" x14ac:dyDescent="0.2">
      <c r="A360" s="21">
        <v>359</v>
      </c>
      <c r="B360" s="20" t="s">
        <v>19</v>
      </c>
      <c r="C360" s="20" t="s">
        <v>234</v>
      </c>
      <c r="D360" s="20" t="s">
        <v>200</v>
      </c>
      <c r="E360" s="20" t="s">
        <v>16</v>
      </c>
      <c r="F360" s="18" t="str">
        <f>C360&amp;"-"&amp;D360&amp;"-"&amp;E360</f>
        <v>B2-P6-C1</v>
      </c>
      <c r="G360" s="20" t="s">
        <v>17</v>
      </c>
      <c r="H360" s="20">
        <v>4</v>
      </c>
      <c r="I360" s="20" t="s">
        <v>400</v>
      </c>
      <c r="J360" s="20" t="s">
        <v>20</v>
      </c>
      <c r="K360" s="19" t="str">
        <f>B360&amp;"-"&amp;C360&amp;"-"&amp;D360&amp;"-"&amp;E360&amp;"-"&amp;G360&amp;H360</f>
        <v>Fagus-B2-P6-C1-A4</v>
      </c>
      <c r="L360" s="20" t="s">
        <v>21</v>
      </c>
      <c r="M360" s="20" t="s">
        <v>44</v>
      </c>
      <c r="N360" s="20" t="s">
        <v>45</v>
      </c>
      <c r="O360" s="27" t="str">
        <f>J360&amp;"_"&amp;M360</f>
        <v>Drought_Yes</v>
      </c>
      <c r="P360" s="2" t="str">
        <f>J360&amp;"_"&amp;M360</f>
        <v>Drought_Yes</v>
      </c>
      <c r="Q360" s="2" t="str">
        <f>L360&amp;"_"&amp;M360</f>
        <v>Yellow_Yes</v>
      </c>
      <c r="R360" s="23" t="s">
        <v>2071</v>
      </c>
      <c r="S360" s="2"/>
      <c r="T360" s="2"/>
    </row>
    <row r="361" spans="1:20" s="10" customFormat="1" ht="15.75" customHeight="1" x14ac:dyDescent="0.2">
      <c r="A361" s="21">
        <v>360</v>
      </c>
      <c r="B361" s="20" t="s">
        <v>19</v>
      </c>
      <c r="C361" s="20" t="s">
        <v>234</v>
      </c>
      <c r="D361" s="20" t="s">
        <v>200</v>
      </c>
      <c r="E361" s="20" t="s">
        <v>16</v>
      </c>
      <c r="F361" s="18" t="str">
        <f>C361&amp;"-"&amp;D361&amp;"-"&amp;E361</f>
        <v>B2-P6-C1</v>
      </c>
      <c r="G361" s="20" t="s">
        <v>24</v>
      </c>
      <c r="H361" s="20">
        <v>4</v>
      </c>
      <c r="I361" s="20" t="s">
        <v>401</v>
      </c>
      <c r="J361" s="20" t="s">
        <v>20</v>
      </c>
      <c r="K361" s="19" t="str">
        <f>B361&amp;"-"&amp;C361&amp;"-"&amp;D361&amp;"-"&amp;E361&amp;"-"&amp;G361&amp;H361</f>
        <v>Fagus-B2-P6-C1-B4</v>
      </c>
      <c r="L361" s="20" t="s">
        <v>21</v>
      </c>
      <c r="M361" s="20" t="s">
        <v>44</v>
      </c>
      <c r="N361" s="20" t="s">
        <v>45</v>
      </c>
      <c r="O361" s="27" t="str">
        <f>J361&amp;"_"&amp;M361</f>
        <v>Drought_Yes</v>
      </c>
      <c r="P361" s="2" t="str">
        <f>J361&amp;"_"&amp;M361</f>
        <v>Drought_Yes</v>
      </c>
      <c r="Q361" s="2" t="str">
        <f>L361&amp;"_"&amp;M361</f>
        <v>Yellow_Yes</v>
      </c>
      <c r="R361" s="23" t="s">
        <v>2071</v>
      </c>
      <c r="S361" s="2"/>
      <c r="T361" s="2"/>
    </row>
    <row r="362" spans="1:20" s="9" customFormat="1" ht="15.75" customHeight="1" x14ac:dyDescent="0.2">
      <c r="A362" s="13">
        <v>361</v>
      </c>
      <c r="B362" s="14" t="s">
        <v>19</v>
      </c>
      <c r="C362" s="14" t="s">
        <v>234</v>
      </c>
      <c r="D362" s="14" t="s">
        <v>200</v>
      </c>
      <c r="E362" s="14" t="s">
        <v>32</v>
      </c>
      <c r="F362" s="14" t="str">
        <f>C362&amp;"-"&amp;D362&amp;"-"&amp;E362</f>
        <v>B2-P6-C2</v>
      </c>
      <c r="G362" s="14" t="s">
        <v>17</v>
      </c>
      <c r="H362" s="14">
        <v>1</v>
      </c>
      <c r="I362" s="14" t="s">
        <v>402</v>
      </c>
      <c r="J362" s="14" t="s">
        <v>20</v>
      </c>
      <c r="K362" s="13" t="str">
        <f>B362&amp;"-"&amp;C362&amp;"-"&amp;D362&amp;"-"&amp;E362&amp;"-"&amp;G362&amp;H362</f>
        <v>Fagus-B2-P6-C2-A1</v>
      </c>
      <c r="L362" s="14" t="s">
        <v>21</v>
      </c>
      <c r="M362" s="14" t="s">
        <v>22</v>
      </c>
      <c r="N362" s="14" t="s">
        <v>23</v>
      </c>
      <c r="O362" s="26" t="str">
        <f>J362&amp;"_"&amp;M362</f>
        <v>Drought_No</v>
      </c>
      <c r="P362" s="23" t="str">
        <f>J362&amp;"_"&amp;M362</f>
        <v>Drought_No</v>
      </c>
      <c r="Q362" s="23" t="str">
        <f>L362&amp;"_"&amp;M362</f>
        <v>Yellow_No</v>
      </c>
      <c r="R362" s="23" t="s">
        <v>2071</v>
      </c>
      <c r="S362" s="2"/>
      <c r="T362" s="2"/>
    </row>
    <row r="363" spans="1:20" s="9" customFormat="1" ht="15.75" customHeight="1" x14ac:dyDescent="0.2">
      <c r="A363" s="13">
        <v>362</v>
      </c>
      <c r="B363" s="14" t="s">
        <v>35</v>
      </c>
      <c r="C363" s="14" t="s">
        <v>234</v>
      </c>
      <c r="D363" s="14" t="s">
        <v>200</v>
      </c>
      <c r="E363" s="14" t="s">
        <v>32</v>
      </c>
      <c r="F363" s="14" t="str">
        <f>C363&amp;"-"&amp;D363&amp;"-"&amp;E363</f>
        <v>B2-P6-C2</v>
      </c>
      <c r="G363" s="14" t="s">
        <v>24</v>
      </c>
      <c r="H363" s="14">
        <v>1</v>
      </c>
      <c r="I363" s="14" t="s">
        <v>403</v>
      </c>
      <c r="J363" s="14" t="s">
        <v>20</v>
      </c>
      <c r="K363" s="13" t="str">
        <f>B363&amp;"-"&amp;C363&amp;"-"&amp;D363&amp;"-"&amp;E363&amp;"-"&amp;G363&amp;H363</f>
        <v>Quercus-B2-P6-C2-B1</v>
      </c>
      <c r="L363" s="14" t="s">
        <v>21</v>
      </c>
      <c r="M363" s="14" t="s">
        <v>22</v>
      </c>
      <c r="N363" s="14" t="s">
        <v>23</v>
      </c>
      <c r="O363" s="26" t="str">
        <f>J363&amp;"_"&amp;M363</f>
        <v>Drought_No</v>
      </c>
      <c r="P363" s="23" t="str">
        <f>J363&amp;"_"&amp;M363</f>
        <v>Drought_No</v>
      </c>
      <c r="Q363" s="23" t="str">
        <f>L363&amp;"_"&amp;M363</f>
        <v>Yellow_No</v>
      </c>
      <c r="R363" s="23" t="s">
        <v>2071</v>
      </c>
      <c r="S363" s="2"/>
      <c r="T363" s="2"/>
    </row>
    <row r="364" spans="1:20" s="9" customFormat="1" ht="15.75" customHeight="1" x14ac:dyDescent="0.2">
      <c r="A364" s="13">
        <v>363</v>
      </c>
      <c r="B364" s="14" t="s">
        <v>35</v>
      </c>
      <c r="C364" s="14" t="s">
        <v>234</v>
      </c>
      <c r="D364" s="14" t="s">
        <v>200</v>
      </c>
      <c r="E364" s="14" t="s">
        <v>32</v>
      </c>
      <c r="F364" s="14" t="str">
        <f>C364&amp;"-"&amp;D364&amp;"-"&amp;E364</f>
        <v>B2-P6-C2</v>
      </c>
      <c r="G364" s="14" t="s">
        <v>17</v>
      </c>
      <c r="H364" s="14">
        <v>2</v>
      </c>
      <c r="I364" s="14" t="s">
        <v>404</v>
      </c>
      <c r="J364" s="14" t="s">
        <v>20</v>
      </c>
      <c r="K364" s="13" t="str">
        <f>B364&amp;"-"&amp;C364&amp;"-"&amp;D364&amp;"-"&amp;E364&amp;"-"&amp;G364&amp;H364</f>
        <v>Quercus-B2-P6-C2-A2</v>
      </c>
      <c r="L364" s="14" t="s">
        <v>21</v>
      </c>
      <c r="M364" s="14" t="s">
        <v>22</v>
      </c>
      <c r="N364" s="14" t="s">
        <v>23</v>
      </c>
      <c r="O364" s="26" t="str">
        <f>J364&amp;"_"&amp;M364</f>
        <v>Drought_No</v>
      </c>
      <c r="P364" s="23" t="str">
        <f>J364&amp;"_"&amp;M364</f>
        <v>Drought_No</v>
      </c>
      <c r="Q364" s="23" t="str">
        <f>L364&amp;"_"&amp;M364</f>
        <v>Yellow_No</v>
      </c>
      <c r="R364" s="23" t="s">
        <v>2071</v>
      </c>
      <c r="S364" s="2"/>
      <c r="T364" s="2"/>
    </row>
    <row r="365" spans="1:20" s="9" customFormat="1" ht="15.75" customHeight="1" x14ac:dyDescent="0.2">
      <c r="A365" s="13">
        <v>364</v>
      </c>
      <c r="B365" s="14" t="s">
        <v>19</v>
      </c>
      <c r="C365" s="14" t="s">
        <v>234</v>
      </c>
      <c r="D365" s="14" t="s">
        <v>200</v>
      </c>
      <c r="E365" s="14" t="s">
        <v>32</v>
      </c>
      <c r="F365" s="14" t="str">
        <f>C365&amp;"-"&amp;D365&amp;"-"&amp;E365</f>
        <v>B2-P6-C2</v>
      </c>
      <c r="G365" s="14" t="s">
        <v>24</v>
      </c>
      <c r="H365" s="14">
        <v>2</v>
      </c>
      <c r="I365" s="14" t="s">
        <v>405</v>
      </c>
      <c r="J365" s="14" t="s">
        <v>20</v>
      </c>
      <c r="K365" s="13" t="str">
        <f>B365&amp;"-"&amp;C365&amp;"-"&amp;D365&amp;"-"&amp;E365&amp;"-"&amp;G365&amp;H365</f>
        <v>Fagus-B2-P6-C2-B2</v>
      </c>
      <c r="L365" s="14" t="s">
        <v>21</v>
      </c>
      <c r="M365" s="14" t="s">
        <v>22</v>
      </c>
      <c r="N365" s="14" t="s">
        <v>23</v>
      </c>
      <c r="O365" s="26" t="str">
        <f>J365&amp;"_"&amp;M365</f>
        <v>Drought_No</v>
      </c>
      <c r="P365" s="23" t="str">
        <f>J365&amp;"_"&amp;M365</f>
        <v>Drought_No</v>
      </c>
      <c r="Q365" s="23" t="str">
        <f>L365&amp;"_"&amp;M365</f>
        <v>Yellow_No</v>
      </c>
      <c r="R365" s="23" t="s">
        <v>2071</v>
      </c>
      <c r="S365" s="2"/>
      <c r="T365" s="2"/>
    </row>
    <row r="366" spans="1:20" s="9" customFormat="1" ht="15.75" customHeight="1" x14ac:dyDescent="0.2">
      <c r="A366" s="13">
        <v>365</v>
      </c>
      <c r="B366" s="14" t="s">
        <v>19</v>
      </c>
      <c r="C366" s="14" t="s">
        <v>234</v>
      </c>
      <c r="D366" s="14" t="s">
        <v>200</v>
      </c>
      <c r="E366" s="14" t="s">
        <v>32</v>
      </c>
      <c r="F366" s="14" t="str">
        <f>C366&amp;"-"&amp;D366&amp;"-"&amp;E366</f>
        <v>B2-P6-C2</v>
      </c>
      <c r="G366" s="14" t="s">
        <v>17</v>
      </c>
      <c r="H366" s="14">
        <v>3</v>
      </c>
      <c r="I366" s="14" t="s">
        <v>406</v>
      </c>
      <c r="J366" s="14" t="s">
        <v>20</v>
      </c>
      <c r="K366" s="13" t="str">
        <f>B366&amp;"-"&amp;C366&amp;"-"&amp;D366&amp;"-"&amp;E366&amp;"-"&amp;G366&amp;H366</f>
        <v>Fagus-B2-P6-C2-A3</v>
      </c>
      <c r="L366" s="14" t="s">
        <v>21</v>
      </c>
      <c r="M366" s="14" t="s">
        <v>22</v>
      </c>
      <c r="N366" s="14" t="s">
        <v>23</v>
      </c>
      <c r="O366" s="26" t="str">
        <f>J366&amp;"_"&amp;M366</f>
        <v>Drought_No</v>
      </c>
      <c r="P366" s="23" t="str">
        <f>J366&amp;"_"&amp;M366</f>
        <v>Drought_No</v>
      </c>
      <c r="Q366" s="23" t="str">
        <f>L366&amp;"_"&amp;M366</f>
        <v>Yellow_No</v>
      </c>
      <c r="R366" s="23" t="s">
        <v>2071</v>
      </c>
      <c r="S366" s="23"/>
      <c r="T366" s="23"/>
    </row>
    <row r="367" spans="1:20" s="9" customFormat="1" ht="15.75" customHeight="1" x14ac:dyDescent="0.2">
      <c r="A367" s="13">
        <v>366</v>
      </c>
      <c r="B367" s="14" t="s">
        <v>35</v>
      </c>
      <c r="C367" s="14" t="s">
        <v>234</v>
      </c>
      <c r="D367" s="14" t="s">
        <v>200</v>
      </c>
      <c r="E367" s="14" t="s">
        <v>32</v>
      </c>
      <c r="F367" s="14" t="str">
        <f>C367&amp;"-"&amp;D367&amp;"-"&amp;E367</f>
        <v>B2-P6-C2</v>
      </c>
      <c r="G367" s="14" t="s">
        <v>24</v>
      </c>
      <c r="H367" s="14">
        <v>3</v>
      </c>
      <c r="I367" s="14" t="s">
        <v>407</v>
      </c>
      <c r="J367" s="14" t="s">
        <v>20</v>
      </c>
      <c r="K367" s="13" t="str">
        <f>B367&amp;"-"&amp;C367&amp;"-"&amp;D367&amp;"-"&amp;E367&amp;"-"&amp;G367&amp;H367</f>
        <v>Quercus-B2-P6-C2-B3</v>
      </c>
      <c r="L367" s="14" t="s">
        <v>21</v>
      </c>
      <c r="M367" s="14" t="s">
        <v>22</v>
      </c>
      <c r="N367" s="14" t="s">
        <v>23</v>
      </c>
      <c r="O367" s="26" t="str">
        <f>J367&amp;"_"&amp;M367</f>
        <v>Drought_No</v>
      </c>
      <c r="P367" s="23" t="str">
        <f>J367&amp;"_"&amp;M367</f>
        <v>Drought_No</v>
      </c>
      <c r="Q367" s="23" t="str">
        <f>L367&amp;"_"&amp;M367</f>
        <v>Yellow_No</v>
      </c>
      <c r="R367" s="23" t="s">
        <v>2071</v>
      </c>
      <c r="S367" s="23"/>
      <c r="T367" s="23"/>
    </row>
    <row r="368" spans="1:20" s="9" customFormat="1" ht="15.75" customHeight="1" x14ac:dyDescent="0.2">
      <c r="A368" s="13">
        <v>367</v>
      </c>
      <c r="B368" s="14" t="s">
        <v>35</v>
      </c>
      <c r="C368" s="14" t="s">
        <v>234</v>
      </c>
      <c r="D368" s="14" t="s">
        <v>200</v>
      </c>
      <c r="E368" s="14" t="s">
        <v>32</v>
      </c>
      <c r="F368" s="14" t="str">
        <f>C368&amp;"-"&amp;D368&amp;"-"&amp;E368</f>
        <v>B2-P6-C2</v>
      </c>
      <c r="G368" s="14" t="s">
        <v>17</v>
      </c>
      <c r="H368" s="14">
        <v>4</v>
      </c>
      <c r="I368" s="14" t="s">
        <v>408</v>
      </c>
      <c r="J368" s="14" t="s">
        <v>20</v>
      </c>
      <c r="K368" s="13" t="str">
        <f>B368&amp;"-"&amp;C368&amp;"-"&amp;D368&amp;"-"&amp;E368&amp;"-"&amp;G368&amp;H368</f>
        <v>Quercus-B2-P6-C2-A4</v>
      </c>
      <c r="L368" s="14" t="s">
        <v>21</v>
      </c>
      <c r="M368" s="14" t="s">
        <v>22</v>
      </c>
      <c r="N368" s="14" t="s">
        <v>23</v>
      </c>
      <c r="O368" s="26" t="str">
        <f>J368&amp;"_"&amp;M368</f>
        <v>Drought_No</v>
      </c>
      <c r="P368" s="23" t="str">
        <f>J368&amp;"_"&amp;M368</f>
        <v>Drought_No</v>
      </c>
      <c r="Q368" s="23" t="str">
        <f>L368&amp;"_"&amp;M368</f>
        <v>Yellow_No</v>
      </c>
      <c r="R368" s="23" t="s">
        <v>2071</v>
      </c>
      <c r="S368" s="23"/>
      <c r="T368" s="23"/>
    </row>
    <row r="369" spans="1:20" s="9" customFormat="1" ht="15.75" customHeight="1" x14ac:dyDescent="0.2">
      <c r="A369" s="13">
        <v>368</v>
      </c>
      <c r="B369" s="14" t="s">
        <v>19</v>
      </c>
      <c r="C369" s="14" t="s">
        <v>234</v>
      </c>
      <c r="D369" s="14" t="s">
        <v>200</v>
      </c>
      <c r="E369" s="14" t="s">
        <v>32</v>
      </c>
      <c r="F369" s="14" t="str">
        <f>C369&amp;"-"&amp;D369&amp;"-"&amp;E369</f>
        <v>B2-P6-C2</v>
      </c>
      <c r="G369" s="14" t="s">
        <v>24</v>
      </c>
      <c r="H369" s="14">
        <v>4</v>
      </c>
      <c r="I369" s="14" t="s">
        <v>409</v>
      </c>
      <c r="J369" s="14" t="s">
        <v>20</v>
      </c>
      <c r="K369" s="13" t="str">
        <f>B369&amp;"-"&amp;C369&amp;"-"&amp;D369&amp;"-"&amp;E369&amp;"-"&amp;G369&amp;H369</f>
        <v>Fagus-B2-P6-C2-B4</v>
      </c>
      <c r="L369" s="14" t="s">
        <v>21</v>
      </c>
      <c r="M369" s="14" t="s">
        <v>22</v>
      </c>
      <c r="N369" s="14" t="s">
        <v>23</v>
      </c>
      <c r="O369" s="26" t="str">
        <f>J369&amp;"_"&amp;M369</f>
        <v>Drought_No</v>
      </c>
      <c r="P369" s="23" t="str">
        <f>J369&amp;"_"&amp;M369</f>
        <v>Drought_No</v>
      </c>
      <c r="Q369" s="23" t="str">
        <f>L369&amp;"_"&amp;M369</f>
        <v>Yellow_No</v>
      </c>
      <c r="R369" s="23" t="s">
        <v>2071</v>
      </c>
      <c r="S369" s="23"/>
      <c r="T369" s="23"/>
    </row>
    <row r="370" spans="1:20" s="10" customFormat="1" ht="15.75" customHeight="1" x14ac:dyDescent="0.2">
      <c r="A370" s="21">
        <v>369</v>
      </c>
      <c r="B370" s="20" t="s">
        <v>19</v>
      </c>
      <c r="C370" s="20" t="s">
        <v>234</v>
      </c>
      <c r="D370" s="20" t="s">
        <v>200</v>
      </c>
      <c r="E370" s="20" t="s">
        <v>42</v>
      </c>
      <c r="F370" s="18" t="str">
        <f>C370&amp;"-"&amp;D370&amp;"-"&amp;E370</f>
        <v>B2-P6-C3</v>
      </c>
      <c r="G370" s="20" t="s">
        <v>17</v>
      </c>
      <c r="H370" s="20">
        <v>1</v>
      </c>
      <c r="I370" s="20" t="s">
        <v>410</v>
      </c>
      <c r="J370" s="20" t="s">
        <v>20</v>
      </c>
      <c r="K370" s="19" t="str">
        <f>B370&amp;"-"&amp;C370&amp;"-"&amp;D370&amp;"-"&amp;E370&amp;"-"&amp;G370&amp;H370</f>
        <v>Fagus-B2-P6-C3-A1</v>
      </c>
      <c r="L370" s="20" t="s">
        <v>21</v>
      </c>
      <c r="M370" s="20" t="s">
        <v>44</v>
      </c>
      <c r="N370" s="20" t="s">
        <v>45</v>
      </c>
      <c r="O370" s="27" t="str">
        <f>J370&amp;"_"&amp;M370</f>
        <v>Drought_Yes</v>
      </c>
      <c r="P370" s="2" t="str">
        <f>J370&amp;"_"&amp;M370</f>
        <v>Drought_Yes</v>
      </c>
      <c r="Q370" s="2" t="str">
        <f>L370&amp;"_"&amp;M370</f>
        <v>Yellow_Yes</v>
      </c>
      <c r="R370" s="23" t="s">
        <v>2071</v>
      </c>
      <c r="S370" s="23"/>
      <c r="T370" s="23"/>
    </row>
    <row r="371" spans="1:20" s="10" customFormat="1" ht="15.75" customHeight="1" x14ac:dyDescent="0.2">
      <c r="A371" s="21">
        <v>370</v>
      </c>
      <c r="B371" s="20" t="s">
        <v>35</v>
      </c>
      <c r="C371" s="20" t="s">
        <v>234</v>
      </c>
      <c r="D371" s="20" t="s">
        <v>200</v>
      </c>
      <c r="E371" s="20" t="s">
        <v>42</v>
      </c>
      <c r="F371" s="18" t="str">
        <f>C371&amp;"-"&amp;D371&amp;"-"&amp;E371</f>
        <v>B2-P6-C3</v>
      </c>
      <c r="G371" s="20" t="s">
        <v>24</v>
      </c>
      <c r="H371" s="20">
        <v>1</v>
      </c>
      <c r="I371" s="20" t="s">
        <v>411</v>
      </c>
      <c r="J371" s="20" t="s">
        <v>20</v>
      </c>
      <c r="K371" s="19" t="str">
        <f>B371&amp;"-"&amp;C371&amp;"-"&amp;D371&amp;"-"&amp;E371&amp;"-"&amp;G371&amp;H371</f>
        <v>Quercus-B2-P6-C3-B1</v>
      </c>
      <c r="L371" s="20" t="s">
        <v>21</v>
      </c>
      <c r="M371" s="20" t="s">
        <v>44</v>
      </c>
      <c r="N371" s="20" t="s">
        <v>45</v>
      </c>
      <c r="O371" s="27" t="str">
        <f>J371&amp;"_"&amp;M371</f>
        <v>Drought_Yes</v>
      </c>
      <c r="P371" s="2" t="str">
        <f>J371&amp;"_"&amp;M371</f>
        <v>Drought_Yes</v>
      </c>
      <c r="Q371" s="2" t="str">
        <f>L371&amp;"_"&amp;M371</f>
        <v>Yellow_Yes</v>
      </c>
      <c r="R371" s="23" t="s">
        <v>2071</v>
      </c>
      <c r="S371" s="23"/>
      <c r="T371" s="23"/>
    </row>
    <row r="372" spans="1:20" s="10" customFormat="1" ht="15.75" customHeight="1" x14ac:dyDescent="0.2">
      <c r="A372" s="21">
        <v>371</v>
      </c>
      <c r="B372" s="20" t="s">
        <v>35</v>
      </c>
      <c r="C372" s="20" t="s">
        <v>234</v>
      </c>
      <c r="D372" s="20" t="s">
        <v>200</v>
      </c>
      <c r="E372" s="20" t="s">
        <v>42</v>
      </c>
      <c r="F372" s="18" t="str">
        <f>C372&amp;"-"&amp;D372&amp;"-"&amp;E372</f>
        <v>B2-P6-C3</v>
      </c>
      <c r="G372" s="20" t="s">
        <v>17</v>
      </c>
      <c r="H372" s="20">
        <v>2</v>
      </c>
      <c r="I372" s="20" t="s">
        <v>412</v>
      </c>
      <c r="J372" s="20" t="s">
        <v>20</v>
      </c>
      <c r="K372" s="19" t="str">
        <f>B372&amp;"-"&amp;C372&amp;"-"&amp;D372&amp;"-"&amp;E372&amp;"-"&amp;G372&amp;H372</f>
        <v>Quercus-B2-P6-C3-A2</v>
      </c>
      <c r="L372" s="20" t="s">
        <v>21</v>
      </c>
      <c r="M372" s="20" t="s">
        <v>44</v>
      </c>
      <c r="N372" s="20" t="s">
        <v>45</v>
      </c>
      <c r="O372" s="27" t="str">
        <f>J372&amp;"_"&amp;M372</f>
        <v>Drought_Yes</v>
      </c>
      <c r="P372" s="2" t="str">
        <f>J372&amp;"_"&amp;M372</f>
        <v>Drought_Yes</v>
      </c>
      <c r="Q372" s="2" t="str">
        <f>L372&amp;"_"&amp;M372</f>
        <v>Yellow_Yes</v>
      </c>
      <c r="R372" s="23" t="s">
        <v>2071</v>
      </c>
      <c r="S372" s="23"/>
      <c r="T372" s="23"/>
    </row>
    <row r="373" spans="1:20" s="10" customFormat="1" ht="15.75" customHeight="1" x14ac:dyDescent="0.2">
      <c r="A373" s="21">
        <v>372</v>
      </c>
      <c r="B373" s="20" t="s">
        <v>19</v>
      </c>
      <c r="C373" s="20" t="s">
        <v>234</v>
      </c>
      <c r="D373" s="20" t="s">
        <v>200</v>
      </c>
      <c r="E373" s="20" t="s">
        <v>42</v>
      </c>
      <c r="F373" s="18" t="str">
        <f>C373&amp;"-"&amp;D373&amp;"-"&amp;E373</f>
        <v>B2-P6-C3</v>
      </c>
      <c r="G373" s="20" t="s">
        <v>24</v>
      </c>
      <c r="H373" s="20">
        <v>2</v>
      </c>
      <c r="I373" s="20" t="s">
        <v>413</v>
      </c>
      <c r="J373" s="20" t="s">
        <v>20</v>
      </c>
      <c r="K373" s="19" t="str">
        <f>B373&amp;"-"&amp;C373&amp;"-"&amp;D373&amp;"-"&amp;E373&amp;"-"&amp;G373&amp;H373</f>
        <v>Fagus-B2-P6-C3-B2</v>
      </c>
      <c r="L373" s="20" t="s">
        <v>21</v>
      </c>
      <c r="M373" s="20" t="s">
        <v>44</v>
      </c>
      <c r="N373" s="20" t="s">
        <v>45</v>
      </c>
      <c r="O373" s="27" t="str">
        <f>J373&amp;"_"&amp;M373</f>
        <v>Drought_Yes</v>
      </c>
      <c r="P373" s="2" t="str">
        <f>J373&amp;"_"&amp;M373</f>
        <v>Drought_Yes</v>
      </c>
      <c r="Q373" s="2" t="str">
        <f>L373&amp;"_"&amp;M373</f>
        <v>Yellow_Yes</v>
      </c>
      <c r="R373" s="23" t="s">
        <v>2071</v>
      </c>
      <c r="S373" s="23"/>
      <c r="T373" s="23"/>
    </row>
    <row r="374" spans="1:20" s="10" customFormat="1" ht="15.75" customHeight="1" x14ac:dyDescent="0.2">
      <c r="A374" s="21">
        <v>373</v>
      </c>
      <c r="B374" s="20" t="s">
        <v>19</v>
      </c>
      <c r="C374" s="20" t="s">
        <v>234</v>
      </c>
      <c r="D374" s="20" t="s">
        <v>200</v>
      </c>
      <c r="E374" s="20" t="s">
        <v>42</v>
      </c>
      <c r="F374" s="18" t="str">
        <f>C374&amp;"-"&amp;D374&amp;"-"&amp;E374</f>
        <v>B2-P6-C3</v>
      </c>
      <c r="G374" s="20" t="s">
        <v>17</v>
      </c>
      <c r="H374" s="20">
        <v>3</v>
      </c>
      <c r="I374" s="20" t="s">
        <v>414</v>
      </c>
      <c r="J374" s="20" t="s">
        <v>20</v>
      </c>
      <c r="K374" s="19" t="str">
        <f>B374&amp;"-"&amp;C374&amp;"-"&amp;D374&amp;"-"&amp;E374&amp;"-"&amp;G374&amp;H374</f>
        <v>Fagus-B2-P6-C3-A3</v>
      </c>
      <c r="L374" s="20" t="s">
        <v>21</v>
      </c>
      <c r="M374" s="20" t="s">
        <v>44</v>
      </c>
      <c r="N374" s="20" t="s">
        <v>45</v>
      </c>
      <c r="O374" s="27" t="str">
        <f>J374&amp;"_"&amp;M374</f>
        <v>Drought_Yes</v>
      </c>
      <c r="P374" s="2" t="str">
        <f>J374&amp;"_"&amp;M374</f>
        <v>Drought_Yes</v>
      </c>
      <c r="Q374" s="2" t="str">
        <f>L374&amp;"_"&amp;M374</f>
        <v>Yellow_Yes</v>
      </c>
      <c r="R374" s="23" t="s">
        <v>2071</v>
      </c>
      <c r="S374" s="1"/>
      <c r="T374" s="1"/>
    </row>
    <row r="375" spans="1:20" s="10" customFormat="1" ht="15.75" customHeight="1" x14ac:dyDescent="0.2">
      <c r="A375" s="21">
        <v>374</v>
      </c>
      <c r="B375" s="20" t="s">
        <v>35</v>
      </c>
      <c r="C375" s="20" t="s">
        <v>234</v>
      </c>
      <c r="D375" s="20" t="s">
        <v>200</v>
      </c>
      <c r="E375" s="20" t="s">
        <v>42</v>
      </c>
      <c r="F375" s="18" t="str">
        <f>C375&amp;"-"&amp;D375&amp;"-"&amp;E375</f>
        <v>B2-P6-C3</v>
      </c>
      <c r="G375" s="20" t="s">
        <v>24</v>
      </c>
      <c r="H375" s="20">
        <v>3</v>
      </c>
      <c r="I375" s="20" t="s">
        <v>415</v>
      </c>
      <c r="J375" s="20" t="s">
        <v>20</v>
      </c>
      <c r="K375" s="19" t="str">
        <f>B375&amp;"-"&amp;C375&amp;"-"&amp;D375&amp;"-"&amp;E375&amp;"-"&amp;G375&amp;H375</f>
        <v>Quercus-B2-P6-C3-B3</v>
      </c>
      <c r="L375" s="20" t="s">
        <v>21</v>
      </c>
      <c r="M375" s="20" t="s">
        <v>44</v>
      </c>
      <c r="N375" s="20" t="s">
        <v>45</v>
      </c>
      <c r="O375" s="27" t="str">
        <f>J375&amp;"_"&amp;M375</f>
        <v>Drought_Yes</v>
      </c>
      <c r="P375" s="2" t="str">
        <f>J375&amp;"_"&amp;M375</f>
        <v>Drought_Yes</v>
      </c>
      <c r="Q375" s="2" t="str">
        <f>L375&amp;"_"&amp;M375</f>
        <v>Yellow_Yes</v>
      </c>
      <c r="R375" s="23" t="s">
        <v>2071</v>
      </c>
      <c r="S375" s="1"/>
      <c r="T375" s="1"/>
    </row>
    <row r="376" spans="1:20" s="10" customFormat="1" ht="15.75" customHeight="1" x14ac:dyDescent="0.2">
      <c r="A376" s="21">
        <v>375</v>
      </c>
      <c r="B376" s="20" t="s">
        <v>35</v>
      </c>
      <c r="C376" s="20" t="s">
        <v>234</v>
      </c>
      <c r="D376" s="20" t="s">
        <v>200</v>
      </c>
      <c r="E376" s="20" t="s">
        <v>42</v>
      </c>
      <c r="F376" s="18" t="str">
        <f>C376&amp;"-"&amp;D376&amp;"-"&amp;E376</f>
        <v>B2-P6-C3</v>
      </c>
      <c r="G376" s="20" t="s">
        <v>17</v>
      </c>
      <c r="H376" s="20">
        <v>4</v>
      </c>
      <c r="I376" s="20" t="s">
        <v>416</v>
      </c>
      <c r="J376" s="20" t="s">
        <v>20</v>
      </c>
      <c r="K376" s="19" t="str">
        <f>B376&amp;"-"&amp;C376&amp;"-"&amp;D376&amp;"-"&amp;E376&amp;"-"&amp;G376&amp;H376</f>
        <v>Quercus-B2-P6-C3-A4</v>
      </c>
      <c r="L376" s="20" t="s">
        <v>21</v>
      </c>
      <c r="M376" s="20" t="s">
        <v>44</v>
      </c>
      <c r="N376" s="20" t="s">
        <v>45</v>
      </c>
      <c r="O376" s="27" t="str">
        <f>J376&amp;"_"&amp;M376</f>
        <v>Drought_Yes</v>
      </c>
      <c r="P376" s="2" t="str">
        <f>J376&amp;"_"&amp;M376</f>
        <v>Drought_Yes</v>
      </c>
      <c r="Q376" s="2" t="str">
        <f>L376&amp;"_"&amp;M376</f>
        <v>Yellow_Yes</v>
      </c>
      <c r="R376" s="23" t="s">
        <v>2071</v>
      </c>
      <c r="S376" s="1"/>
      <c r="T376" s="1"/>
    </row>
    <row r="377" spans="1:20" s="10" customFormat="1" ht="15.75" customHeight="1" x14ac:dyDescent="0.2">
      <c r="A377" s="21">
        <v>376</v>
      </c>
      <c r="B377" s="20" t="s">
        <v>19</v>
      </c>
      <c r="C377" s="20" t="s">
        <v>234</v>
      </c>
      <c r="D377" s="20" t="s">
        <v>200</v>
      </c>
      <c r="E377" s="20" t="s">
        <v>42</v>
      </c>
      <c r="F377" s="18" t="str">
        <f>C377&amp;"-"&amp;D377&amp;"-"&amp;E377</f>
        <v>B2-P6-C3</v>
      </c>
      <c r="G377" s="20" t="s">
        <v>24</v>
      </c>
      <c r="H377" s="20">
        <v>4</v>
      </c>
      <c r="I377" s="20" t="s">
        <v>417</v>
      </c>
      <c r="J377" s="20" t="s">
        <v>20</v>
      </c>
      <c r="K377" s="19" t="str">
        <f>B377&amp;"-"&amp;C377&amp;"-"&amp;D377&amp;"-"&amp;E377&amp;"-"&amp;G377&amp;H377</f>
        <v>Fagus-B2-P6-C3-B4</v>
      </c>
      <c r="L377" s="20" t="s">
        <v>21</v>
      </c>
      <c r="M377" s="20" t="s">
        <v>44</v>
      </c>
      <c r="N377" s="20" t="s">
        <v>45</v>
      </c>
      <c r="O377" s="27" t="str">
        <f>J377&amp;"_"&amp;M377</f>
        <v>Drought_Yes</v>
      </c>
      <c r="P377" s="2" t="str">
        <f>J377&amp;"_"&amp;M377</f>
        <v>Drought_Yes</v>
      </c>
      <c r="Q377" s="2" t="str">
        <f>L377&amp;"_"&amp;M377</f>
        <v>Yellow_Yes</v>
      </c>
      <c r="R377" s="23" t="s">
        <v>2071</v>
      </c>
      <c r="S377" s="1"/>
      <c r="T377" s="1"/>
    </row>
    <row r="378" spans="1:20" s="9" customFormat="1" ht="15.75" customHeight="1" x14ac:dyDescent="0.2">
      <c r="A378" s="13">
        <v>377</v>
      </c>
      <c r="B378" s="14" t="s">
        <v>35</v>
      </c>
      <c r="C378" s="14" t="s">
        <v>234</v>
      </c>
      <c r="D378" s="14" t="s">
        <v>200</v>
      </c>
      <c r="E378" s="14" t="s">
        <v>53</v>
      </c>
      <c r="F378" s="14" t="str">
        <f>C378&amp;"-"&amp;D378&amp;"-"&amp;E378</f>
        <v>B2-P6-C4</v>
      </c>
      <c r="G378" s="14" t="s">
        <v>17</v>
      </c>
      <c r="H378" s="14">
        <v>1</v>
      </c>
      <c r="I378" s="14" t="s">
        <v>418</v>
      </c>
      <c r="J378" s="14" t="s">
        <v>20</v>
      </c>
      <c r="K378" s="13" t="str">
        <f>B378&amp;"-"&amp;C378&amp;"-"&amp;D378&amp;"-"&amp;E378&amp;"-"&amp;G378&amp;H378</f>
        <v>Quercus-B2-P6-C4-A1</v>
      </c>
      <c r="L378" s="14" t="s">
        <v>21</v>
      </c>
      <c r="M378" s="14" t="s">
        <v>22</v>
      </c>
      <c r="N378" s="14" t="s">
        <v>23</v>
      </c>
      <c r="O378" s="26" t="str">
        <f>J378&amp;"_"&amp;M378</f>
        <v>Drought_No</v>
      </c>
      <c r="P378" s="23" t="str">
        <f>J378&amp;"_"&amp;M378</f>
        <v>Drought_No</v>
      </c>
      <c r="Q378" s="23" t="str">
        <f>L378&amp;"_"&amp;M378</f>
        <v>Yellow_No</v>
      </c>
      <c r="R378" s="23" t="s">
        <v>2071</v>
      </c>
      <c r="S378" s="1"/>
      <c r="T378" s="1"/>
    </row>
    <row r="379" spans="1:20" s="9" customFormat="1" ht="15.75" customHeight="1" x14ac:dyDescent="0.2">
      <c r="A379" s="13">
        <v>378</v>
      </c>
      <c r="B379" s="14" t="s">
        <v>35</v>
      </c>
      <c r="C379" s="14" t="s">
        <v>234</v>
      </c>
      <c r="D379" s="14" t="s">
        <v>200</v>
      </c>
      <c r="E379" s="14" t="s">
        <v>53</v>
      </c>
      <c r="F379" s="14" t="str">
        <f>C379&amp;"-"&amp;D379&amp;"-"&amp;E379</f>
        <v>B2-P6-C4</v>
      </c>
      <c r="G379" s="14" t="s">
        <v>24</v>
      </c>
      <c r="H379" s="14">
        <v>1</v>
      </c>
      <c r="I379" s="14" t="s">
        <v>419</v>
      </c>
      <c r="J379" s="14" t="s">
        <v>20</v>
      </c>
      <c r="K379" s="13" t="str">
        <f>B379&amp;"-"&amp;C379&amp;"-"&amp;D379&amp;"-"&amp;E379&amp;"-"&amp;G379&amp;H379</f>
        <v>Quercus-B2-P6-C4-B1</v>
      </c>
      <c r="L379" s="14" t="s">
        <v>21</v>
      </c>
      <c r="M379" s="14" t="s">
        <v>22</v>
      </c>
      <c r="N379" s="14" t="s">
        <v>23</v>
      </c>
      <c r="O379" s="26" t="str">
        <f>J379&amp;"_"&amp;M379</f>
        <v>Drought_No</v>
      </c>
      <c r="P379" s="23" t="str">
        <f>J379&amp;"_"&amp;M379</f>
        <v>Drought_No</v>
      </c>
      <c r="Q379" s="23" t="str">
        <f>L379&amp;"_"&amp;M379</f>
        <v>Yellow_No</v>
      </c>
      <c r="R379" s="23" t="s">
        <v>2071</v>
      </c>
      <c r="S379" s="1"/>
      <c r="T379" s="1"/>
    </row>
    <row r="380" spans="1:20" s="9" customFormat="1" ht="15.75" customHeight="1" x14ac:dyDescent="0.2">
      <c r="A380" s="13">
        <v>379</v>
      </c>
      <c r="B380" s="14" t="s">
        <v>35</v>
      </c>
      <c r="C380" s="14" t="s">
        <v>234</v>
      </c>
      <c r="D380" s="14" t="s">
        <v>200</v>
      </c>
      <c r="E380" s="14" t="s">
        <v>53</v>
      </c>
      <c r="F380" s="14" t="str">
        <f>C380&amp;"-"&amp;D380&amp;"-"&amp;E380</f>
        <v>B2-P6-C4</v>
      </c>
      <c r="G380" s="14" t="s">
        <v>17</v>
      </c>
      <c r="H380" s="14">
        <v>2</v>
      </c>
      <c r="I380" s="14" t="s">
        <v>420</v>
      </c>
      <c r="J380" s="14" t="s">
        <v>20</v>
      </c>
      <c r="K380" s="13" t="str">
        <f>B380&amp;"-"&amp;C380&amp;"-"&amp;D380&amp;"-"&amp;E380&amp;"-"&amp;G380&amp;H380</f>
        <v>Quercus-B2-P6-C4-A2</v>
      </c>
      <c r="L380" s="14" t="s">
        <v>21</v>
      </c>
      <c r="M380" s="14" t="s">
        <v>22</v>
      </c>
      <c r="N380" s="14" t="s">
        <v>23</v>
      </c>
      <c r="O380" s="26" t="str">
        <f>J380&amp;"_"&amp;M380</f>
        <v>Drought_No</v>
      </c>
      <c r="P380" s="23" t="str">
        <f>J380&amp;"_"&amp;M380</f>
        <v>Drought_No</v>
      </c>
      <c r="Q380" s="23" t="str">
        <f>L380&amp;"_"&amp;M380</f>
        <v>Yellow_No</v>
      </c>
      <c r="R380" s="23" t="s">
        <v>2071</v>
      </c>
      <c r="S380" s="2"/>
      <c r="T380" s="2"/>
    </row>
    <row r="381" spans="1:20" s="9" customFormat="1" ht="15.75" customHeight="1" x14ac:dyDescent="0.2">
      <c r="A381" s="13">
        <v>380</v>
      </c>
      <c r="B381" s="14" t="s">
        <v>35</v>
      </c>
      <c r="C381" s="14" t="s">
        <v>234</v>
      </c>
      <c r="D381" s="14" t="s">
        <v>200</v>
      </c>
      <c r="E381" s="14" t="s">
        <v>53</v>
      </c>
      <c r="F381" s="14" t="str">
        <f>C381&amp;"-"&amp;D381&amp;"-"&amp;E381</f>
        <v>B2-P6-C4</v>
      </c>
      <c r="G381" s="14" t="s">
        <v>24</v>
      </c>
      <c r="H381" s="14">
        <v>2</v>
      </c>
      <c r="I381" s="14" t="s">
        <v>421</v>
      </c>
      <c r="J381" s="14" t="s">
        <v>20</v>
      </c>
      <c r="K381" s="13" t="str">
        <f>B381&amp;"-"&amp;C381&amp;"-"&amp;D381&amp;"-"&amp;E381&amp;"-"&amp;G381&amp;H381</f>
        <v>Quercus-B2-P6-C4-B2</v>
      </c>
      <c r="L381" s="14" t="s">
        <v>21</v>
      </c>
      <c r="M381" s="14" t="s">
        <v>22</v>
      </c>
      <c r="N381" s="14" t="s">
        <v>23</v>
      </c>
      <c r="O381" s="26" t="str">
        <f>J381&amp;"_"&amp;M381</f>
        <v>Drought_No</v>
      </c>
      <c r="P381" s="23" t="str">
        <f>J381&amp;"_"&amp;M381</f>
        <v>Drought_No</v>
      </c>
      <c r="Q381" s="23" t="str">
        <f>L381&amp;"_"&amp;M381</f>
        <v>Yellow_No</v>
      </c>
      <c r="R381" s="23" t="s">
        <v>2071</v>
      </c>
      <c r="S381" s="2"/>
      <c r="T381" s="2"/>
    </row>
    <row r="382" spans="1:20" s="9" customFormat="1" ht="15.75" customHeight="1" x14ac:dyDescent="0.2">
      <c r="A382" s="13">
        <v>381</v>
      </c>
      <c r="B382" s="14" t="s">
        <v>35</v>
      </c>
      <c r="C382" s="14" t="s">
        <v>234</v>
      </c>
      <c r="D382" s="14" t="s">
        <v>200</v>
      </c>
      <c r="E382" s="14" t="s">
        <v>53</v>
      </c>
      <c r="F382" s="14" t="str">
        <f>C382&amp;"-"&amp;D382&amp;"-"&amp;E382</f>
        <v>B2-P6-C4</v>
      </c>
      <c r="G382" s="14" t="s">
        <v>17</v>
      </c>
      <c r="H382" s="14">
        <v>3</v>
      </c>
      <c r="I382" s="14" t="s">
        <v>422</v>
      </c>
      <c r="J382" s="14" t="s">
        <v>20</v>
      </c>
      <c r="K382" s="13" t="str">
        <f>B382&amp;"-"&amp;C382&amp;"-"&amp;D382&amp;"-"&amp;E382&amp;"-"&amp;G382&amp;H382</f>
        <v>Quercus-B2-P6-C4-A3</v>
      </c>
      <c r="L382" s="14" t="s">
        <v>21</v>
      </c>
      <c r="M382" s="14" t="s">
        <v>22</v>
      </c>
      <c r="N382" s="14" t="s">
        <v>23</v>
      </c>
      <c r="O382" s="26" t="str">
        <f>J382&amp;"_"&amp;M382</f>
        <v>Drought_No</v>
      </c>
      <c r="P382" s="23" t="str">
        <f>J382&amp;"_"&amp;M382</f>
        <v>Drought_No</v>
      </c>
      <c r="Q382" s="23" t="str">
        <f>L382&amp;"_"&amp;M382</f>
        <v>Yellow_No</v>
      </c>
      <c r="R382" s="23" t="s">
        <v>2071</v>
      </c>
      <c r="S382" s="2"/>
      <c r="T382" s="2"/>
    </row>
    <row r="383" spans="1:20" s="9" customFormat="1" ht="15.75" customHeight="1" x14ac:dyDescent="0.2">
      <c r="A383" s="13">
        <v>382</v>
      </c>
      <c r="B383" s="14" t="s">
        <v>35</v>
      </c>
      <c r="C383" s="14" t="s">
        <v>234</v>
      </c>
      <c r="D383" s="14" t="s">
        <v>200</v>
      </c>
      <c r="E383" s="14" t="s">
        <v>53</v>
      </c>
      <c r="F383" s="14" t="str">
        <f>C383&amp;"-"&amp;D383&amp;"-"&amp;E383</f>
        <v>B2-P6-C4</v>
      </c>
      <c r="G383" s="14" t="s">
        <v>24</v>
      </c>
      <c r="H383" s="14">
        <v>3</v>
      </c>
      <c r="I383" s="14" t="s">
        <v>423</v>
      </c>
      <c r="J383" s="14" t="s">
        <v>20</v>
      </c>
      <c r="K383" s="13" t="str">
        <f>B383&amp;"-"&amp;C383&amp;"-"&amp;D383&amp;"-"&amp;E383&amp;"-"&amp;G383&amp;H383</f>
        <v>Quercus-B2-P6-C4-B3</v>
      </c>
      <c r="L383" s="14" t="s">
        <v>21</v>
      </c>
      <c r="M383" s="14" t="s">
        <v>22</v>
      </c>
      <c r="N383" s="14" t="s">
        <v>23</v>
      </c>
      <c r="O383" s="26" t="str">
        <f>J383&amp;"_"&amp;M383</f>
        <v>Drought_No</v>
      </c>
      <c r="P383" s="23" t="str">
        <f>J383&amp;"_"&amp;M383</f>
        <v>Drought_No</v>
      </c>
      <c r="Q383" s="23" t="str">
        <f>L383&amp;"_"&amp;M383</f>
        <v>Yellow_No</v>
      </c>
      <c r="R383" s="23" t="s">
        <v>2071</v>
      </c>
      <c r="S383" s="2"/>
      <c r="T383" s="2"/>
    </row>
    <row r="384" spans="1:20" s="9" customFormat="1" ht="15.75" customHeight="1" x14ac:dyDescent="0.2">
      <c r="A384" s="13">
        <v>383</v>
      </c>
      <c r="B384" s="14" t="s">
        <v>35</v>
      </c>
      <c r="C384" s="14" t="s">
        <v>234</v>
      </c>
      <c r="D384" s="14" t="s">
        <v>200</v>
      </c>
      <c r="E384" s="14" t="s">
        <v>53</v>
      </c>
      <c r="F384" s="14" t="str">
        <f>C384&amp;"-"&amp;D384&amp;"-"&amp;E384</f>
        <v>B2-P6-C4</v>
      </c>
      <c r="G384" s="14" t="s">
        <v>17</v>
      </c>
      <c r="H384" s="14">
        <v>4</v>
      </c>
      <c r="I384" s="14" t="s">
        <v>424</v>
      </c>
      <c r="J384" s="14" t="s">
        <v>20</v>
      </c>
      <c r="K384" s="13" t="str">
        <f>B384&amp;"-"&amp;C384&amp;"-"&amp;D384&amp;"-"&amp;E384&amp;"-"&amp;G384&amp;H384</f>
        <v>Quercus-B2-P6-C4-A4</v>
      </c>
      <c r="L384" s="14" t="s">
        <v>21</v>
      </c>
      <c r="M384" s="14" t="s">
        <v>22</v>
      </c>
      <c r="N384" s="14" t="s">
        <v>23</v>
      </c>
      <c r="O384" s="26" t="str">
        <f>J384&amp;"_"&amp;M384</f>
        <v>Drought_No</v>
      </c>
      <c r="P384" s="23" t="str">
        <f>J384&amp;"_"&amp;M384</f>
        <v>Drought_No</v>
      </c>
      <c r="Q384" s="23" t="str">
        <f>L384&amp;"_"&amp;M384</f>
        <v>Yellow_No</v>
      </c>
      <c r="R384" s="23" t="s">
        <v>2071</v>
      </c>
      <c r="S384" s="2"/>
      <c r="T384" s="2"/>
    </row>
    <row r="385" spans="1:20" s="9" customFormat="1" ht="15.75" customHeight="1" x14ac:dyDescent="0.2">
      <c r="A385" s="13">
        <v>384</v>
      </c>
      <c r="B385" s="14" t="s">
        <v>35</v>
      </c>
      <c r="C385" s="14" t="s">
        <v>234</v>
      </c>
      <c r="D385" s="14" t="s">
        <v>200</v>
      </c>
      <c r="E385" s="14" t="s">
        <v>53</v>
      </c>
      <c r="F385" s="14" t="str">
        <f>C385&amp;"-"&amp;D385&amp;"-"&amp;E385</f>
        <v>B2-P6-C4</v>
      </c>
      <c r="G385" s="14" t="s">
        <v>24</v>
      </c>
      <c r="H385" s="14">
        <v>4</v>
      </c>
      <c r="I385" s="14" t="s">
        <v>425</v>
      </c>
      <c r="J385" s="14" t="s">
        <v>20</v>
      </c>
      <c r="K385" s="13" t="str">
        <f>B385&amp;"-"&amp;C385&amp;"-"&amp;D385&amp;"-"&amp;E385&amp;"-"&amp;G385&amp;H385</f>
        <v>Quercus-B2-P6-C4-B4</v>
      </c>
      <c r="L385" s="14" t="s">
        <v>21</v>
      </c>
      <c r="M385" s="14" t="s">
        <v>22</v>
      </c>
      <c r="N385" s="14" t="s">
        <v>23</v>
      </c>
      <c r="O385" s="26" t="str">
        <f>J385&amp;"_"&amp;M385</f>
        <v>Drought_No</v>
      </c>
      <c r="P385" s="23" t="str">
        <f>J385&amp;"_"&amp;M385</f>
        <v>Drought_No</v>
      </c>
      <c r="Q385" s="23" t="str">
        <f>L385&amp;"_"&amp;M385</f>
        <v>Yellow_No</v>
      </c>
      <c r="R385" s="23" t="s">
        <v>2071</v>
      </c>
      <c r="S385" s="2"/>
      <c r="T385" s="2"/>
    </row>
    <row r="386" spans="1:20" s="10" customFormat="1" ht="15.75" customHeight="1" x14ac:dyDescent="0.2">
      <c r="A386" s="21">
        <v>385</v>
      </c>
      <c r="B386" s="20" t="s">
        <v>19</v>
      </c>
      <c r="C386" s="20" t="s">
        <v>426</v>
      </c>
      <c r="D386" s="20" t="s">
        <v>15</v>
      </c>
      <c r="E386" s="20" t="s">
        <v>16</v>
      </c>
      <c r="F386" s="20" t="str">
        <f>C386&amp;"-"&amp;D386&amp;"-"&amp;E386</f>
        <v>B3-P1-C1</v>
      </c>
      <c r="G386" s="20" t="s">
        <v>17</v>
      </c>
      <c r="H386" s="20">
        <v>1</v>
      </c>
      <c r="I386" s="20" t="s">
        <v>427</v>
      </c>
      <c r="J386" s="20" t="s">
        <v>20</v>
      </c>
      <c r="K386" s="19" t="str">
        <f>B386&amp;"-"&amp;C386&amp;"-"&amp;D386&amp;"-"&amp;E386&amp;"-"&amp;G386&amp;H386</f>
        <v>Fagus-B3-P1-C1-A1</v>
      </c>
      <c r="L386" s="20" t="s">
        <v>64</v>
      </c>
      <c r="M386" s="20" t="s">
        <v>44</v>
      </c>
      <c r="N386" s="20" t="s">
        <v>65</v>
      </c>
      <c r="O386" s="27" t="str">
        <f>J386&amp;"_"&amp;M386</f>
        <v>Drought_Yes</v>
      </c>
      <c r="P386" s="2" t="str">
        <f>J386&amp;"_"&amp;M386</f>
        <v>Drought_Yes</v>
      </c>
      <c r="Q386" s="2" t="str">
        <f>L386&amp;"_"&amp;M386</f>
        <v>Grey_Yes</v>
      </c>
      <c r="R386" s="18" t="s">
        <v>2072</v>
      </c>
      <c r="S386" s="2"/>
      <c r="T386" s="2"/>
    </row>
    <row r="387" spans="1:20" s="10" customFormat="1" ht="15.75" customHeight="1" x14ac:dyDescent="0.2">
      <c r="A387" s="21">
        <v>386</v>
      </c>
      <c r="B387" s="20" t="s">
        <v>19</v>
      </c>
      <c r="C387" s="20" t="s">
        <v>426</v>
      </c>
      <c r="D387" s="20" t="s">
        <v>15</v>
      </c>
      <c r="E387" s="20" t="s">
        <v>16</v>
      </c>
      <c r="F387" s="20" t="str">
        <f>C387&amp;"-"&amp;D387&amp;"-"&amp;E387</f>
        <v>B3-P1-C1</v>
      </c>
      <c r="G387" s="20" t="s">
        <v>24</v>
      </c>
      <c r="H387" s="20">
        <v>1</v>
      </c>
      <c r="I387" s="20" t="s">
        <v>428</v>
      </c>
      <c r="J387" s="20" t="s">
        <v>20</v>
      </c>
      <c r="K387" s="19" t="str">
        <f>B387&amp;"-"&amp;C387&amp;"-"&amp;D387&amp;"-"&amp;E387&amp;"-"&amp;G387&amp;H387</f>
        <v>Fagus-B3-P1-C1-B1</v>
      </c>
      <c r="L387" s="20" t="s">
        <v>64</v>
      </c>
      <c r="M387" s="20" t="s">
        <v>44</v>
      </c>
      <c r="N387" s="20" t="s">
        <v>65</v>
      </c>
      <c r="O387" s="27" t="str">
        <f>J387&amp;"_"&amp;M387</f>
        <v>Drought_Yes</v>
      </c>
      <c r="P387" s="2" t="str">
        <f>J387&amp;"_"&amp;M387</f>
        <v>Drought_Yes</v>
      </c>
      <c r="Q387" s="2" t="str">
        <f>L387&amp;"_"&amp;M387</f>
        <v>Grey_Yes</v>
      </c>
      <c r="R387" s="18" t="s">
        <v>2072</v>
      </c>
      <c r="S387" s="2"/>
      <c r="T387" s="2"/>
    </row>
    <row r="388" spans="1:20" s="10" customFormat="1" ht="15.75" customHeight="1" x14ac:dyDescent="0.2">
      <c r="A388" s="21">
        <v>387</v>
      </c>
      <c r="B388" s="20" t="s">
        <v>19</v>
      </c>
      <c r="C388" s="20" t="s">
        <v>426</v>
      </c>
      <c r="D388" s="20" t="s">
        <v>15</v>
      </c>
      <c r="E388" s="20" t="s">
        <v>16</v>
      </c>
      <c r="F388" s="20" t="str">
        <f>C388&amp;"-"&amp;D388&amp;"-"&amp;E388</f>
        <v>B3-P1-C1</v>
      </c>
      <c r="G388" s="20" t="s">
        <v>17</v>
      </c>
      <c r="H388" s="20">
        <v>2</v>
      </c>
      <c r="I388" s="20" t="s">
        <v>429</v>
      </c>
      <c r="J388" s="20" t="s">
        <v>20</v>
      </c>
      <c r="K388" s="19" t="str">
        <f>B388&amp;"-"&amp;C388&amp;"-"&amp;D388&amp;"-"&amp;E388&amp;"-"&amp;G388&amp;H388</f>
        <v>Fagus-B3-P1-C1-A2</v>
      </c>
      <c r="L388" s="20" t="s">
        <v>64</v>
      </c>
      <c r="M388" s="20" t="s">
        <v>44</v>
      </c>
      <c r="N388" s="20" t="s">
        <v>65</v>
      </c>
      <c r="O388" s="27" t="str">
        <f>J388&amp;"_"&amp;M388</f>
        <v>Drought_Yes</v>
      </c>
      <c r="P388" s="2" t="str">
        <f>J388&amp;"_"&amp;M388</f>
        <v>Drought_Yes</v>
      </c>
      <c r="Q388" s="2" t="str">
        <f>L388&amp;"_"&amp;M388</f>
        <v>Grey_Yes</v>
      </c>
      <c r="R388" s="18" t="s">
        <v>2072</v>
      </c>
      <c r="S388" s="2"/>
      <c r="T388" s="2"/>
    </row>
    <row r="389" spans="1:20" s="10" customFormat="1" ht="15.75" customHeight="1" x14ac:dyDescent="0.2">
      <c r="A389" s="21">
        <v>388</v>
      </c>
      <c r="B389" s="20" t="s">
        <v>19</v>
      </c>
      <c r="C389" s="20" t="s">
        <v>426</v>
      </c>
      <c r="D389" s="20" t="s">
        <v>15</v>
      </c>
      <c r="E389" s="20" t="s">
        <v>16</v>
      </c>
      <c r="F389" s="20" t="str">
        <f>C389&amp;"-"&amp;D389&amp;"-"&amp;E389</f>
        <v>B3-P1-C1</v>
      </c>
      <c r="G389" s="20" t="s">
        <v>24</v>
      </c>
      <c r="H389" s="20">
        <v>2</v>
      </c>
      <c r="I389" s="20" t="s">
        <v>430</v>
      </c>
      <c r="J389" s="20" t="s">
        <v>20</v>
      </c>
      <c r="K389" s="19" t="str">
        <f>B389&amp;"-"&amp;C389&amp;"-"&amp;D389&amp;"-"&amp;E389&amp;"-"&amp;G389&amp;H389</f>
        <v>Fagus-B3-P1-C1-B2</v>
      </c>
      <c r="L389" s="20" t="s">
        <v>64</v>
      </c>
      <c r="M389" s="20" t="s">
        <v>44</v>
      </c>
      <c r="N389" s="20" t="s">
        <v>65</v>
      </c>
      <c r="O389" s="27" t="str">
        <f>J389&amp;"_"&amp;M389</f>
        <v>Drought_Yes</v>
      </c>
      <c r="P389" s="2" t="str">
        <f>J389&amp;"_"&amp;M389</f>
        <v>Drought_Yes</v>
      </c>
      <c r="Q389" s="2" t="str">
        <f>L389&amp;"_"&amp;M389</f>
        <v>Grey_Yes</v>
      </c>
      <c r="R389" s="18" t="s">
        <v>2072</v>
      </c>
      <c r="S389" s="2"/>
      <c r="T389" s="2"/>
    </row>
    <row r="390" spans="1:20" s="10" customFormat="1" ht="15.75" customHeight="1" x14ac:dyDescent="0.2">
      <c r="A390" s="21">
        <v>389</v>
      </c>
      <c r="B390" s="20" t="s">
        <v>19</v>
      </c>
      <c r="C390" s="20" t="s">
        <v>426</v>
      </c>
      <c r="D390" s="20" t="s">
        <v>15</v>
      </c>
      <c r="E390" s="20" t="s">
        <v>16</v>
      </c>
      <c r="F390" s="20" t="str">
        <f>C390&amp;"-"&amp;D390&amp;"-"&amp;E390</f>
        <v>B3-P1-C1</v>
      </c>
      <c r="G390" s="20" t="s">
        <v>17</v>
      </c>
      <c r="H390" s="20">
        <v>3</v>
      </c>
      <c r="I390" s="20" t="s">
        <v>431</v>
      </c>
      <c r="J390" s="20" t="s">
        <v>20</v>
      </c>
      <c r="K390" s="19" t="str">
        <f>B390&amp;"-"&amp;C390&amp;"-"&amp;D390&amp;"-"&amp;E390&amp;"-"&amp;G390&amp;H390</f>
        <v>Fagus-B3-P1-C1-A3</v>
      </c>
      <c r="L390" s="20" t="s">
        <v>64</v>
      </c>
      <c r="M390" s="20" t="s">
        <v>44</v>
      </c>
      <c r="N390" s="20" t="s">
        <v>65</v>
      </c>
      <c r="O390" s="27" t="str">
        <f>J390&amp;"_"&amp;M390</f>
        <v>Drought_Yes</v>
      </c>
      <c r="P390" s="2" t="str">
        <f>J390&amp;"_"&amp;M390</f>
        <v>Drought_Yes</v>
      </c>
      <c r="Q390" s="2" t="str">
        <f>L390&amp;"_"&amp;M390</f>
        <v>Grey_Yes</v>
      </c>
      <c r="R390" s="18" t="s">
        <v>2072</v>
      </c>
      <c r="S390" s="2"/>
      <c r="T390" s="2"/>
    </row>
    <row r="391" spans="1:20" s="10" customFormat="1" ht="15.75" customHeight="1" x14ac:dyDescent="0.2">
      <c r="A391" s="21">
        <v>390</v>
      </c>
      <c r="B391" s="20" t="s">
        <v>19</v>
      </c>
      <c r="C391" s="20" t="s">
        <v>426</v>
      </c>
      <c r="D391" s="20" t="s">
        <v>15</v>
      </c>
      <c r="E391" s="20" t="s">
        <v>16</v>
      </c>
      <c r="F391" s="20" t="str">
        <f>C391&amp;"-"&amp;D391&amp;"-"&amp;E391</f>
        <v>B3-P1-C1</v>
      </c>
      <c r="G391" s="20" t="s">
        <v>24</v>
      </c>
      <c r="H391" s="20">
        <v>3</v>
      </c>
      <c r="I391" s="20" t="s">
        <v>432</v>
      </c>
      <c r="J391" s="20" t="s">
        <v>20</v>
      </c>
      <c r="K391" s="19" t="str">
        <f>B391&amp;"-"&amp;C391&amp;"-"&amp;D391&amp;"-"&amp;E391&amp;"-"&amp;G391&amp;H391</f>
        <v>Fagus-B3-P1-C1-B3</v>
      </c>
      <c r="L391" s="20" t="s">
        <v>64</v>
      </c>
      <c r="M391" s="20" t="s">
        <v>44</v>
      </c>
      <c r="N391" s="20" t="s">
        <v>65</v>
      </c>
      <c r="O391" s="27" t="str">
        <f>J391&amp;"_"&amp;M391</f>
        <v>Drought_Yes</v>
      </c>
      <c r="P391" s="2" t="str">
        <f>J391&amp;"_"&amp;M391</f>
        <v>Drought_Yes</v>
      </c>
      <c r="Q391" s="2" t="str">
        <f>L391&amp;"_"&amp;M391</f>
        <v>Grey_Yes</v>
      </c>
      <c r="R391" s="18" t="s">
        <v>2072</v>
      </c>
      <c r="S391" s="2"/>
      <c r="T391" s="2"/>
    </row>
    <row r="392" spans="1:20" s="10" customFormat="1" ht="15.75" customHeight="1" x14ac:dyDescent="0.2">
      <c r="A392" s="21">
        <v>391</v>
      </c>
      <c r="B392" s="20" t="s">
        <v>19</v>
      </c>
      <c r="C392" s="20" t="s">
        <v>426</v>
      </c>
      <c r="D392" s="20" t="s">
        <v>15</v>
      </c>
      <c r="E392" s="20" t="s">
        <v>16</v>
      </c>
      <c r="F392" s="18" t="str">
        <f>C392&amp;"-"&amp;D392&amp;"-"&amp;E392</f>
        <v>B3-P1-C1</v>
      </c>
      <c r="G392" s="20" t="s">
        <v>17</v>
      </c>
      <c r="H392" s="20">
        <v>4</v>
      </c>
      <c r="I392" s="20" t="s">
        <v>433</v>
      </c>
      <c r="J392" s="20" t="s">
        <v>20</v>
      </c>
      <c r="K392" s="19" t="str">
        <f>B392&amp;"-"&amp;C392&amp;"-"&amp;D392&amp;"-"&amp;E392&amp;"-"&amp;G392&amp;H392</f>
        <v>Fagus-B3-P1-C1-A4</v>
      </c>
      <c r="L392" s="20" t="s">
        <v>64</v>
      </c>
      <c r="M392" s="20" t="s">
        <v>44</v>
      </c>
      <c r="N392" s="20" t="s">
        <v>65</v>
      </c>
      <c r="O392" s="27" t="str">
        <f>J392&amp;"_"&amp;M392</f>
        <v>Drought_Yes</v>
      </c>
      <c r="P392" s="2" t="str">
        <f>J392&amp;"_"&amp;M392</f>
        <v>Drought_Yes</v>
      </c>
      <c r="Q392" s="2" t="str">
        <f>L392&amp;"_"&amp;M392</f>
        <v>Grey_Yes</v>
      </c>
      <c r="R392" s="18" t="s">
        <v>2072</v>
      </c>
      <c r="S392" s="2"/>
      <c r="T392" s="2"/>
    </row>
    <row r="393" spans="1:20" s="10" customFormat="1" ht="15.75" customHeight="1" x14ac:dyDescent="0.2">
      <c r="A393" s="21">
        <v>392</v>
      </c>
      <c r="B393" s="20" t="s">
        <v>19</v>
      </c>
      <c r="C393" s="20" t="s">
        <v>426</v>
      </c>
      <c r="D393" s="20" t="s">
        <v>15</v>
      </c>
      <c r="E393" s="20" t="s">
        <v>16</v>
      </c>
      <c r="F393" s="18" t="str">
        <f>C393&amp;"-"&amp;D393&amp;"-"&amp;E393</f>
        <v>B3-P1-C1</v>
      </c>
      <c r="G393" s="20" t="s">
        <v>24</v>
      </c>
      <c r="H393" s="20">
        <v>4</v>
      </c>
      <c r="I393" s="20" t="s">
        <v>434</v>
      </c>
      <c r="J393" s="20" t="s">
        <v>20</v>
      </c>
      <c r="K393" s="19" t="str">
        <f>B393&amp;"-"&amp;C393&amp;"-"&amp;D393&amp;"-"&amp;E393&amp;"-"&amp;G393&amp;H393</f>
        <v>Fagus-B3-P1-C1-B4</v>
      </c>
      <c r="L393" s="20" t="s">
        <v>64</v>
      </c>
      <c r="M393" s="20" t="s">
        <v>44</v>
      </c>
      <c r="N393" s="20" t="s">
        <v>65</v>
      </c>
      <c r="O393" s="27" t="str">
        <f>J393&amp;"_"&amp;M393</f>
        <v>Drought_Yes</v>
      </c>
      <c r="P393" s="2" t="str">
        <f>J393&amp;"_"&amp;M393</f>
        <v>Drought_Yes</v>
      </c>
      <c r="Q393" s="2" t="str">
        <f>L393&amp;"_"&amp;M393</f>
        <v>Grey_Yes</v>
      </c>
      <c r="R393" s="18" t="s">
        <v>2072</v>
      </c>
      <c r="S393" s="2"/>
      <c r="T393" s="2"/>
    </row>
    <row r="394" spans="1:20" s="9" customFormat="1" ht="15.75" customHeight="1" x14ac:dyDescent="0.2">
      <c r="A394" s="13">
        <v>393</v>
      </c>
      <c r="B394" s="14" t="s">
        <v>35</v>
      </c>
      <c r="C394" s="14" t="s">
        <v>426</v>
      </c>
      <c r="D394" s="14" t="s">
        <v>15</v>
      </c>
      <c r="E394" s="14" t="s">
        <v>32</v>
      </c>
      <c r="F394" s="14" t="str">
        <f>C394&amp;"-"&amp;D394&amp;"-"&amp;E394</f>
        <v>B3-P1-C2</v>
      </c>
      <c r="G394" s="14" t="s">
        <v>17</v>
      </c>
      <c r="H394" s="14">
        <v>1</v>
      </c>
      <c r="I394" s="14" t="s">
        <v>435</v>
      </c>
      <c r="J394" s="14" t="s">
        <v>20</v>
      </c>
      <c r="K394" s="13" t="str">
        <f>B394&amp;"-"&amp;C394&amp;"-"&amp;D394&amp;"-"&amp;E394&amp;"-"&amp;G394&amp;H394</f>
        <v>Quercus-B3-P1-C2-A1</v>
      </c>
      <c r="L394" s="14" t="s">
        <v>64</v>
      </c>
      <c r="M394" s="14" t="s">
        <v>44</v>
      </c>
      <c r="N394" s="14" t="s">
        <v>65</v>
      </c>
      <c r="O394" s="26" t="str">
        <f>J394&amp;"_"&amp;M394</f>
        <v>Drought_Yes</v>
      </c>
      <c r="P394" s="23" t="str">
        <f>J394&amp;"_"&amp;M394</f>
        <v>Drought_Yes</v>
      </c>
      <c r="Q394" s="23" t="str">
        <f>L394&amp;"_"&amp;M394</f>
        <v>Grey_Yes</v>
      </c>
      <c r="R394" s="18" t="s">
        <v>2072</v>
      </c>
      <c r="S394" s="23"/>
      <c r="T394" s="23"/>
    </row>
    <row r="395" spans="1:20" s="9" customFormat="1" ht="15.75" customHeight="1" x14ac:dyDescent="0.2">
      <c r="A395" s="13">
        <v>394</v>
      </c>
      <c r="B395" s="14" t="s">
        <v>35</v>
      </c>
      <c r="C395" s="14" t="s">
        <v>426</v>
      </c>
      <c r="D395" s="14" t="s">
        <v>15</v>
      </c>
      <c r="E395" s="14" t="s">
        <v>32</v>
      </c>
      <c r="F395" s="14" t="str">
        <f>C395&amp;"-"&amp;D395&amp;"-"&amp;E395</f>
        <v>B3-P1-C2</v>
      </c>
      <c r="G395" s="14" t="s">
        <v>24</v>
      </c>
      <c r="H395" s="14">
        <v>1</v>
      </c>
      <c r="I395" s="14" t="s">
        <v>436</v>
      </c>
      <c r="J395" s="14" t="s">
        <v>20</v>
      </c>
      <c r="K395" s="13" t="str">
        <f>B395&amp;"-"&amp;C395&amp;"-"&amp;D395&amp;"-"&amp;E395&amp;"-"&amp;G395&amp;H395</f>
        <v>Quercus-B3-P1-C2-B1</v>
      </c>
      <c r="L395" s="14" t="s">
        <v>64</v>
      </c>
      <c r="M395" s="14" t="s">
        <v>44</v>
      </c>
      <c r="N395" s="14" t="s">
        <v>65</v>
      </c>
      <c r="O395" s="26" t="str">
        <f>J395&amp;"_"&amp;M395</f>
        <v>Drought_Yes</v>
      </c>
      <c r="P395" s="23" t="str">
        <f>J395&amp;"_"&amp;M395</f>
        <v>Drought_Yes</v>
      </c>
      <c r="Q395" s="23" t="str">
        <f>L395&amp;"_"&amp;M395</f>
        <v>Grey_Yes</v>
      </c>
      <c r="R395" s="18" t="s">
        <v>2072</v>
      </c>
      <c r="S395" s="23"/>
      <c r="T395" s="23"/>
    </row>
    <row r="396" spans="1:20" s="9" customFormat="1" ht="15.75" customHeight="1" x14ac:dyDescent="0.2">
      <c r="A396" s="13">
        <v>395</v>
      </c>
      <c r="B396" s="14" t="s">
        <v>35</v>
      </c>
      <c r="C396" s="14" t="s">
        <v>426</v>
      </c>
      <c r="D396" s="14" t="s">
        <v>15</v>
      </c>
      <c r="E396" s="14" t="s">
        <v>32</v>
      </c>
      <c r="F396" s="14" t="str">
        <f>C396&amp;"-"&amp;D396&amp;"-"&amp;E396</f>
        <v>B3-P1-C2</v>
      </c>
      <c r="G396" s="14" t="s">
        <v>17</v>
      </c>
      <c r="H396" s="14">
        <v>2</v>
      </c>
      <c r="I396" s="14" t="s">
        <v>437</v>
      </c>
      <c r="J396" s="14" t="s">
        <v>20</v>
      </c>
      <c r="K396" s="13" t="str">
        <f>B396&amp;"-"&amp;C396&amp;"-"&amp;D396&amp;"-"&amp;E396&amp;"-"&amp;G396&amp;H396</f>
        <v>Quercus-B3-P1-C2-A2</v>
      </c>
      <c r="L396" s="14" t="s">
        <v>64</v>
      </c>
      <c r="M396" s="14" t="s">
        <v>44</v>
      </c>
      <c r="N396" s="14" t="s">
        <v>65</v>
      </c>
      <c r="O396" s="26" t="str">
        <f>J396&amp;"_"&amp;M396</f>
        <v>Drought_Yes</v>
      </c>
      <c r="P396" s="23" t="str">
        <f>J396&amp;"_"&amp;M396</f>
        <v>Drought_Yes</v>
      </c>
      <c r="Q396" s="23" t="str">
        <f>L396&amp;"_"&amp;M396</f>
        <v>Grey_Yes</v>
      </c>
      <c r="R396" s="18" t="s">
        <v>2072</v>
      </c>
      <c r="S396" s="23"/>
      <c r="T396" s="23"/>
    </row>
    <row r="397" spans="1:20" s="9" customFormat="1" ht="15.75" customHeight="1" x14ac:dyDescent="0.2">
      <c r="A397" s="13">
        <v>396</v>
      </c>
      <c r="B397" s="14" t="s">
        <v>35</v>
      </c>
      <c r="C397" s="14" t="s">
        <v>426</v>
      </c>
      <c r="D397" s="14" t="s">
        <v>15</v>
      </c>
      <c r="E397" s="14" t="s">
        <v>32</v>
      </c>
      <c r="F397" s="14" t="str">
        <f>C397&amp;"-"&amp;D397&amp;"-"&amp;E397</f>
        <v>B3-P1-C2</v>
      </c>
      <c r="G397" s="14" t="s">
        <v>24</v>
      </c>
      <c r="H397" s="14">
        <v>2</v>
      </c>
      <c r="I397" s="14" t="s">
        <v>438</v>
      </c>
      <c r="J397" s="14" t="s">
        <v>20</v>
      </c>
      <c r="K397" s="13" t="str">
        <f>B397&amp;"-"&amp;C397&amp;"-"&amp;D397&amp;"-"&amp;E397&amp;"-"&amp;G397&amp;H397</f>
        <v>Quercus-B3-P1-C2-B2</v>
      </c>
      <c r="L397" s="14" t="s">
        <v>64</v>
      </c>
      <c r="M397" s="14" t="s">
        <v>44</v>
      </c>
      <c r="N397" s="14" t="s">
        <v>65</v>
      </c>
      <c r="O397" s="26" t="str">
        <f>J397&amp;"_"&amp;M397</f>
        <v>Drought_Yes</v>
      </c>
      <c r="P397" s="23" t="str">
        <f>J397&amp;"_"&amp;M397</f>
        <v>Drought_Yes</v>
      </c>
      <c r="Q397" s="23" t="str">
        <f>L397&amp;"_"&amp;M397</f>
        <v>Grey_Yes</v>
      </c>
      <c r="R397" s="18" t="s">
        <v>2072</v>
      </c>
      <c r="S397" s="23"/>
      <c r="T397" s="23"/>
    </row>
    <row r="398" spans="1:20" s="9" customFormat="1" ht="15.75" customHeight="1" x14ac:dyDescent="0.2">
      <c r="A398" s="13">
        <v>397</v>
      </c>
      <c r="B398" s="14" t="s">
        <v>35</v>
      </c>
      <c r="C398" s="14" t="s">
        <v>426</v>
      </c>
      <c r="D398" s="14" t="s">
        <v>15</v>
      </c>
      <c r="E398" s="14" t="s">
        <v>32</v>
      </c>
      <c r="F398" s="14" t="str">
        <f>C398&amp;"-"&amp;D398&amp;"-"&amp;E398</f>
        <v>B3-P1-C2</v>
      </c>
      <c r="G398" s="14" t="s">
        <v>17</v>
      </c>
      <c r="H398" s="14">
        <v>3</v>
      </c>
      <c r="I398" s="14" t="s">
        <v>439</v>
      </c>
      <c r="J398" s="14" t="s">
        <v>20</v>
      </c>
      <c r="K398" s="13" t="str">
        <f>B398&amp;"-"&amp;C398&amp;"-"&amp;D398&amp;"-"&amp;E398&amp;"-"&amp;G398&amp;H398</f>
        <v>Quercus-B3-P1-C2-A3</v>
      </c>
      <c r="L398" s="14" t="s">
        <v>64</v>
      </c>
      <c r="M398" s="14" t="s">
        <v>44</v>
      </c>
      <c r="N398" s="14" t="s">
        <v>65</v>
      </c>
      <c r="O398" s="26" t="str">
        <f>J398&amp;"_"&amp;M398</f>
        <v>Drought_Yes</v>
      </c>
      <c r="P398" s="23" t="str">
        <f>J398&amp;"_"&amp;M398</f>
        <v>Drought_Yes</v>
      </c>
      <c r="Q398" s="23" t="str">
        <f>L398&amp;"_"&amp;M398</f>
        <v>Grey_Yes</v>
      </c>
      <c r="R398" s="18" t="s">
        <v>2072</v>
      </c>
      <c r="S398" s="23"/>
      <c r="T398" s="23"/>
    </row>
    <row r="399" spans="1:20" s="9" customFormat="1" ht="15.75" customHeight="1" x14ac:dyDescent="0.2">
      <c r="A399" s="13">
        <v>398</v>
      </c>
      <c r="B399" s="14" t="s">
        <v>35</v>
      </c>
      <c r="C399" s="14" t="s">
        <v>426</v>
      </c>
      <c r="D399" s="14" t="s">
        <v>15</v>
      </c>
      <c r="E399" s="14" t="s">
        <v>32</v>
      </c>
      <c r="F399" s="14" t="str">
        <f>C399&amp;"-"&amp;D399&amp;"-"&amp;E399</f>
        <v>B3-P1-C2</v>
      </c>
      <c r="G399" s="14" t="s">
        <v>24</v>
      </c>
      <c r="H399" s="14">
        <v>3</v>
      </c>
      <c r="I399" s="14" t="s">
        <v>440</v>
      </c>
      <c r="J399" s="14" t="s">
        <v>20</v>
      </c>
      <c r="K399" s="13" t="str">
        <f>B399&amp;"-"&amp;C399&amp;"-"&amp;D399&amp;"-"&amp;E399&amp;"-"&amp;G399&amp;H399</f>
        <v>Quercus-B3-P1-C2-B3</v>
      </c>
      <c r="L399" s="14" t="s">
        <v>64</v>
      </c>
      <c r="M399" s="14" t="s">
        <v>44</v>
      </c>
      <c r="N399" s="14" t="s">
        <v>65</v>
      </c>
      <c r="O399" s="26" t="str">
        <f>J399&amp;"_"&amp;M399</f>
        <v>Drought_Yes</v>
      </c>
      <c r="P399" s="23" t="str">
        <f>J399&amp;"_"&amp;M399</f>
        <v>Drought_Yes</v>
      </c>
      <c r="Q399" s="23" t="str">
        <f>L399&amp;"_"&amp;M399</f>
        <v>Grey_Yes</v>
      </c>
      <c r="R399" s="18" t="s">
        <v>2072</v>
      </c>
      <c r="S399" s="23"/>
      <c r="T399" s="23"/>
    </row>
    <row r="400" spans="1:20" s="9" customFormat="1" ht="15.75" customHeight="1" x14ac:dyDescent="0.2">
      <c r="A400" s="13">
        <v>399</v>
      </c>
      <c r="B400" s="14" t="s">
        <v>35</v>
      </c>
      <c r="C400" s="14" t="s">
        <v>426</v>
      </c>
      <c r="D400" s="14" t="s">
        <v>15</v>
      </c>
      <c r="E400" s="14" t="s">
        <v>32</v>
      </c>
      <c r="F400" s="14" t="str">
        <f>C400&amp;"-"&amp;D400&amp;"-"&amp;E400</f>
        <v>B3-P1-C2</v>
      </c>
      <c r="G400" s="14" t="s">
        <v>17</v>
      </c>
      <c r="H400" s="14">
        <v>4</v>
      </c>
      <c r="I400" s="14" t="s">
        <v>441</v>
      </c>
      <c r="J400" s="14" t="s">
        <v>20</v>
      </c>
      <c r="K400" s="13" t="str">
        <f>B400&amp;"-"&amp;C400&amp;"-"&amp;D400&amp;"-"&amp;E400&amp;"-"&amp;G400&amp;H400</f>
        <v>Quercus-B3-P1-C2-A4</v>
      </c>
      <c r="L400" s="14" t="s">
        <v>64</v>
      </c>
      <c r="M400" s="14" t="s">
        <v>44</v>
      </c>
      <c r="N400" s="14" t="s">
        <v>65</v>
      </c>
      <c r="O400" s="26" t="str">
        <f>J400&amp;"_"&amp;M400</f>
        <v>Drought_Yes</v>
      </c>
      <c r="P400" s="23" t="str">
        <f>J400&amp;"_"&amp;M400</f>
        <v>Drought_Yes</v>
      </c>
      <c r="Q400" s="23" t="str">
        <f>L400&amp;"_"&amp;M400</f>
        <v>Grey_Yes</v>
      </c>
      <c r="R400" s="18" t="s">
        <v>2072</v>
      </c>
      <c r="S400" s="23"/>
      <c r="T400" s="23"/>
    </row>
    <row r="401" spans="1:20" s="9" customFormat="1" ht="15.75" customHeight="1" x14ac:dyDescent="0.2">
      <c r="A401" s="13">
        <v>400</v>
      </c>
      <c r="B401" s="14" t="s">
        <v>35</v>
      </c>
      <c r="C401" s="14" t="s">
        <v>426</v>
      </c>
      <c r="D401" s="14" t="s">
        <v>15</v>
      </c>
      <c r="E401" s="14" t="s">
        <v>32</v>
      </c>
      <c r="F401" s="14" t="str">
        <f>C401&amp;"-"&amp;D401&amp;"-"&amp;E401</f>
        <v>B3-P1-C2</v>
      </c>
      <c r="G401" s="14" t="s">
        <v>24</v>
      </c>
      <c r="H401" s="14">
        <v>4</v>
      </c>
      <c r="I401" s="14" t="s">
        <v>442</v>
      </c>
      <c r="J401" s="14" t="s">
        <v>20</v>
      </c>
      <c r="K401" s="13" t="str">
        <f>B401&amp;"-"&amp;C401&amp;"-"&amp;D401&amp;"-"&amp;E401&amp;"-"&amp;G401&amp;H401</f>
        <v>Quercus-B3-P1-C2-B4</v>
      </c>
      <c r="L401" s="14" t="s">
        <v>64</v>
      </c>
      <c r="M401" s="14" t="s">
        <v>44</v>
      </c>
      <c r="N401" s="14" t="s">
        <v>65</v>
      </c>
      <c r="O401" s="26" t="str">
        <f>J401&amp;"_"&amp;M401</f>
        <v>Drought_Yes</v>
      </c>
      <c r="P401" s="23" t="str">
        <f>J401&amp;"_"&amp;M401</f>
        <v>Drought_Yes</v>
      </c>
      <c r="Q401" s="23" t="str">
        <f>L401&amp;"_"&amp;M401</f>
        <v>Grey_Yes</v>
      </c>
      <c r="R401" s="18" t="s">
        <v>2072</v>
      </c>
      <c r="S401" s="23"/>
      <c r="T401" s="23"/>
    </row>
    <row r="402" spans="1:20" s="10" customFormat="1" ht="15.75" customHeight="1" x14ac:dyDescent="0.2">
      <c r="A402" s="21">
        <v>401</v>
      </c>
      <c r="B402" s="20" t="s">
        <v>19</v>
      </c>
      <c r="C402" s="20" t="s">
        <v>426</v>
      </c>
      <c r="D402" s="20" t="s">
        <v>15</v>
      </c>
      <c r="E402" s="20" t="s">
        <v>42</v>
      </c>
      <c r="F402" s="18" t="str">
        <f>C402&amp;"-"&amp;D402&amp;"-"&amp;E402</f>
        <v>B3-P1-C3</v>
      </c>
      <c r="G402" s="20" t="s">
        <v>17</v>
      </c>
      <c r="H402" s="20">
        <v>1</v>
      </c>
      <c r="I402" s="20" t="s">
        <v>443</v>
      </c>
      <c r="J402" s="20" t="s">
        <v>20</v>
      </c>
      <c r="K402" s="19" t="str">
        <f>B402&amp;"-"&amp;C402&amp;"-"&amp;D402&amp;"-"&amp;E402&amp;"-"&amp;G402&amp;H402</f>
        <v>Fagus-B3-P1-C3-A1</v>
      </c>
      <c r="L402" s="20" t="s">
        <v>64</v>
      </c>
      <c r="M402" s="20" t="s">
        <v>22</v>
      </c>
      <c r="N402" s="20" t="s">
        <v>74</v>
      </c>
      <c r="O402" s="27" t="str">
        <f>J402&amp;"_"&amp;M402</f>
        <v>Drought_No</v>
      </c>
      <c r="P402" s="2" t="str">
        <f>J402&amp;"_"&amp;M402</f>
        <v>Drought_No</v>
      </c>
      <c r="Q402" s="2" t="str">
        <f>L402&amp;"_"&amp;M402</f>
        <v>Grey_No</v>
      </c>
      <c r="R402" s="18" t="s">
        <v>2072</v>
      </c>
      <c r="S402" s="2"/>
      <c r="T402" s="2"/>
    </row>
    <row r="403" spans="1:20" s="10" customFormat="1" ht="15.75" customHeight="1" x14ac:dyDescent="0.2">
      <c r="A403" s="21">
        <v>402</v>
      </c>
      <c r="B403" s="20" t="s">
        <v>35</v>
      </c>
      <c r="C403" s="20" t="s">
        <v>426</v>
      </c>
      <c r="D403" s="20" t="s">
        <v>15</v>
      </c>
      <c r="E403" s="20" t="s">
        <v>42</v>
      </c>
      <c r="F403" s="18" t="str">
        <f>C403&amp;"-"&amp;D403&amp;"-"&amp;E403</f>
        <v>B3-P1-C3</v>
      </c>
      <c r="G403" s="20" t="s">
        <v>24</v>
      </c>
      <c r="H403" s="20">
        <v>1</v>
      </c>
      <c r="I403" s="20" t="s">
        <v>444</v>
      </c>
      <c r="J403" s="20" t="s">
        <v>20</v>
      </c>
      <c r="K403" s="19" t="str">
        <f>B403&amp;"-"&amp;C403&amp;"-"&amp;D403&amp;"-"&amp;E403&amp;"-"&amp;G403&amp;H403</f>
        <v>Quercus-B3-P1-C3-B1</v>
      </c>
      <c r="L403" s="20" t="s">
        <v>64</v>
      </c>
      <c r="M403" s="20" t="s">
        <v>22</v>
      </c>
      <c r="N403" s="20" t="s">
        <v>74</v>
      </c>
      <c r="O403" s="27" t="str">
        <f>J403&amp;"_"&amp;M403</f>
        <v>Drought_No</v>
      </c>
      <c r="P403" s="2" t="str">
        <f>J403&amp;"_"&amp;M403</f>
        <v>Drought_No</v>
      </c>
      <c r="Q403" s="2" t="str">
        <f>L403&amp;"_"&amp;M403</f>
        <v>Grey_No</v>
      </c>
      <c r="R403" s="18" t="s">
        <v>2072</v>
      </c>
      <c r="S403" s="2"/>
      <c r="T403" s="2"/>
    </row>
    <row r="404" spans="1:20" s="10" customFormat="1" ht="15.75" customHeight="1" x14ac:dyDescent="0.2">
      <c r="A404" s="21">
        <v>403</v>
      </c>
      <c r="B404" s="20" t="s">
        <v>35</v>
      </c>
      <c r="C404" s="20" t="s">
        <v>426</v>
      </c>
      <c r="D404" s="20" t="s">
        <v>15</v>
      </c>
      <c r="E404" s="20" t="s">
        <v>42</v>
      </c>
      <c r="F404" s="18" t="str">
        <f>C404&amp;"-"&amp;D404&amp;"-"&amp;E404</f>
        <v>B3-P1-C3</v>
      </c>
      <c r="G404" s="20" t="s">
        <v>17</v>
      </c>
      <c r="H404" s="20">
        <v>2</v>
      </c>
      <c r="I404" s="20" t="s">
        <v>445</v>
      </c>
      <c r="J404" s="20" t="s">
        <v>20</v>
      </c>
      <c r="K404" s="19" t="str">
        <f>B404&amp;"-"&amp;C404&amp;"-"&amp;D404&amp;"-"&amp;E404&amp;"-"&amp;G404&amp;H404</f>
        <v>Quercus-B3-P1-C3-A2</v>
      </c>
      <c r="L404" s="20" t="s">
        <v>64</v>
      </c>
      <c r="M404" s="20" t="s">
        <v>22</v>
      </c>
      <c r="N404" s="20" t="s">
        <v>74</v>
      </c>
      <c r="O404" s="27" t="str">
        <f>J404&amp;"_"&amp;M404</f>
        <v>Drought_No</v>
      </c>
      <c r="P404" s="2" t="str">
        <f>J404&amp;"_"&amp;M404</f>
        <v>Drought_No</v>
      </c>
      <c r="Q404" s="2" t="str">
        <f>L404&amp;"_"&amp;M404</f>
        <v>Grey_No</v>
      </c>
      <c r="R404" s="18" t="s">
        <v>2072</v>
      </c>
      <c r="S404" s="2"/>
      <c r="T404" s="2"/>
    </row>
    <row r="405" spans="1:20" s="10" customFormat="1" ht="15.75" customHeight="1" x14ac:dyDescent="0.2">
      <c r="A405" s="21">
        <v>404</v>
      </c>
      <c r="B405" s="20" t="s">
        <v>19</v>
      </c>
      <c r="C405" s="20" t="s">
        <v>426</v>
      </c>
      <c r="D405" s="20" t="s">
        <v>15</v>
      </c>
      <c r="E405" s="20" t="s">
        <v>42</v>
      </c>
      <c r="F405" s="18" t="str">
        <f>C405&amp;"-"&amp;D405&amp;"-"&amp;E405</f>
        <v>B3-P1-C3</v>
      </c>
      <c r="G405" s="20" t="s">
        <v>24</v>
      </c>
      <c r="H405" s="20">
        <v>2</v>
      </c>
      <c r="I405" s="20" t="s">
        <v>446</v>
      </c>
      <c r="J405" s="20" t="s">
        <v>20</v>
      </c>
      <c r="K405" s="19" t="str">
        <f>B405&amp;"-"&amp;C405&amp;"-"&amp;D405&amp;"-"&amp;E405&amp;"-"&amp;G405&amp;H405</f>
        <v>Fagus-B3-P1-C3-B2</v>
      </c>
      <c r="L405" s="20" t="s">
        <v>64</v>
      </c>
      <c r="M405" s="20" t="s">
        <v>22</v>
      </c>
      <c r="N405" s="20" t="s">
        <v>74</v>
      </c>
      <c r="O405" s="27" t="str">
        <f>J405&amp;"_"&amp;M405</f>
        <v>Drought_No</v>
      </c>
      <c r="P405" s="2" t="str">
        <f>J405&amp;"_"&amp;M405</f>
        <v>Drought_No</v>
      </c>
      <c r="Q405" s="2" t="str">
        <f>L405&amp;"_"&amp;M405</f>
        <v>Grey_No</v>
      </c>
      <c r="R405" s="18" t="s">
        <v>2072</v>
      </c>
      <c r="S405" s="2"/>
      <c r="T405" s="2"/>
    </row>
    <row r="406" spans="1:20" s="10" customFormat="1" ht="15.75" customHeight="1" x14ac:dyDescent="0.2">
      <c r="A406" s="21">
        <v>405</v>
      </c>
      <c r="B406" s="20" t="s">
        <v>19</v>
      </c>
      <c r="C406" s="20" t="s">
        <v>426</v>
      </c>
      <c r="D406" s="20" t="s">
        <v>15</v>
      </c>
      <c r="E406" s="20" t="s">
        <v>42</v>
      </c>
      <c r="F406" s="18" t="str">
        <f>C406&amp;"-"&amp;D406&amp;"-"&amp;E406</f>
        <v>B3-P1-C3</v>
      </c>
      <c r="G406" s="20" t="s">
        <v>17</v>
      </c>
      <c r="H406" s="20">
        <v>3</v>
      </c>
      <c r="I406" s="20" t="s">
        <v>447</v>
      </c>
      <c r="J406" s="20" t="s">
        <v>20</v>
      </c>
      <c r="K406" s="19" t="str">
        <f>B406&amp;"-"&amp;C406&amp;"-"&amp;D406&amp;"-"&amp;E406&amp;"-"&amp;G406&amp;H406</f>
        <v>Fagus-B3-P1-C3-A3</v>
      </c>
      <c r="L406" s="20" t="s">
        <v>64</v>
      </c>
      <c r="M406" s="20" t="s">
        <v>22</v>
      </c>
      <c r="N406" s="20" t="s">
        <v>74</v>
      </c>
      <c r="O406" s="27" t="str">
        <f>J406&amp;"_"&amp;M406</f>
        <v>Drought_No</v>
      </c>
      <c r="P406" s="2" t="str">
        <f>J406&amp;"_"&amp;M406</f>
        <v>Drought_No</v>
      </c>
      <c r="Q406" s="2" t="str">
        <f>L406&amp;"_"&amp;M406</f>
        <v>Grey_No</v>
      </c>
      <c r="R406" s="18" t="s">
        <v>2072</v>
      </c>
      <c r="S406" s="2"/>
      <c r="T406" s="2"/>
    </row>
    <row r="407" spans="1:20" s="10" customFormat="1" ht="15.75" customHeight="1" x14ac:dyDescent="0.2">
      <c r="A407" s="21">
        <v>406</v>
      </c>
      <c r="B407" s="20" t="s">
        <v>35</v>
      </c>
      <c r="C407" s="20" t="s">
        <v>426</v>
      </c>
      <c r="D407" s="20" t="s">
        <v>15</v>
      </c>
      <c r="E407" s="20" t="s">
        <v>42</v>
      </c>
      <c r="F407" s="18" t="str">
        <f>C407&amp;"-"&amp;D407&amp;"-"&amp;E407</f>
        <v>B3-P1-C3</v>
      </c>
      <c r="G407" s="20" t="s">
        <v>24</v>
      </c>
      <c r="H407" s="20">
        <v>3</v>
      </c>
      <c r="I407" s="20" t="s">
        <v>448</v>
      </c>
      <c r="J407" s="20" t="s">
        <v>20</v>
      </c>
      <c r="K407" s="19" t="str">
        <f>B407&amp;"-"&amp;C407&amp;"-"&amp;D407&amp;"-"&amp;E407&amp;"-"&amp;G407&amp;H407</f>
        <v>Quercus-B3-P1-C3-B3</v>
      </c>
      <c r="L407" s="20" t="s">
        <v>64</v>
      </c>
      <c r="M407" s="20" t="s">
        <v>22</v>
      </c>
      <c r="N407" s="20" t="s">
        <v>74</v>
      </c>
      <c r="O407" s="27" t="str">
        <f>J407&amp;"_"&amp;M407</f>
        <v>Drought_No</v>
      </c>
      <c r="P407" s="2" t="str">
        <f>J407&amp;"_"&amp;M407</f>
        <v>Drought_No</v>
      </c>
      <c r="Q407" s="2" t="str">
        <f>L407&amp;"_"&amp;M407</f>
        <v>Grey_No</v>
      </c>
      <c r="R407" s="18" t="s">
        <v>2072</v>
      </c>
      <c r="S407" s="2"/>
      <c r="T407" s="2"/>
    </row>
    <row r="408" spans="1:20" s="10" customFormat="1" ht="15.75" customHeight="1" x14ac:dyDescent="0.2">
      <c r="A408" s="21">
        <v>407</v>
      </c>
      <c r="B408" s="20" t="s">
        <v>35</v>
      </c>
      <c r="C408" s="20" t="s">
        <v>426</v>
      </c>
      <c r="D408" s="20" t="s">
        <v>15</v>
      </c>
      <c r="E408" s="20" t="s">
        <v>42</v>
      </c>
      <c r="F408" s="18" t="str">
        <f>C408&amp;"-"&amp;D408&amp;"-"&amp;E408</f>
        <v>B3-P1-C3</v>
      </c>
      <c r="G408" s="20" t="s">
        <v>17</v>
      </c>
      <c r="H408" s="20">
        <v>4</v>
      </c>
      <c r="I408" s="20" t="s">
        <v>449</v>
      </c>
      <c r="J408" s="20" t="s">
        <v>20</v>
      </c>
      <c r="K408" s="19" t="str">
        <f>B408&amp;"-"&amp;C408&amp;"-"&amp;D408&amp;"-"&amp;E408&amp;"-"&amp;G408&amp;H408</f>
        <v>Quercus-B3-P1-C3-A4</v>
      </c>
      <c r="L408" s="20" t="s">
        <v>64</v>
      </c>
      <c r="M408" s="20" t="s">
        <v>22</v>
      </c>
      <c r="N408" s="20" t="s">
        <v>74</v>
      </c>
      <c r="O408" s="27" t="str">
        <f>J408&amp;"_"&amp;M408</f>
        <v>Drought_No</v>
      </c>
      <c r="P408" s="2" t="str">
        <f>J408&amp;"_"&amp;M408</f>
        <v>Drought_No</v>
      </c>
      <c r="Q408" s="2" t="str">
        <f>L408&amp;"_"&amp;M408</f>
        <v>Grey_No</v>
      </c>
      <c r="R408" s="18" t="s">
        <v>2072</v>
      </c>
      <c r="S408" s="2"/>
      <c r="T408" s="2"/>
    </row>
    <row r="409" spans="1:20" s="10" customFormat="1" ht="15.75" customHeight="1" x14ac:dyDescent="0.2">
      <c r="A409" s="21">
        <v>408</v>
      </c>
      <c r="B409" s="20" t="s">
        <v>19</v>
      </c>
      <c r="C409" s="20" t="s">
        <v>426</v>
      </c>
      <c r="D409" s="20" t="s">
        <v>15</v>
      </c>
      <c r="E409" s="20" t="s">
        <v>42</v>
      </c>
      <c r="F409" s="18" t="str">
        <f>C409&amp;"-"&amp;D409&amp;"-"&amp;E409</f>
        <v>B3-P1-C3</v>
      </c>
      <c r="G409" s="20" t="s">
        <v>24</v>
      </c>
      <c r="H409" s="20">
        <v>4</v>
      </c>
      <c r="I409" s="20" t="s">
        <v>450</v>
      </c>
      <c r="J409" s="20" t="s">
        <v>20</v>
      </c>
      <c r="K409" s="19" t="str">
        <f>B409&amp;"-"&amp;C409&amp;"-"&amp;D409&amp;"-"&amp;E409&amp;"-"&amp;G409&amp;H409</f>
        <v>Fagus-B3-P1-C3-B4</v>
      </c>
      <c r="L409" s="20" t="s">
        <v>64</v>
      </c>
      <c r="M409" s="20" t="s">
        <v>22</v>
      </c>
      <c r="N409" s="20" t="s">
        <v>74</v>
      </c>
      <c r="O409" s="27" t="str">
        <f>J409&amp;"_"&amp;M409</f>
        <v>Drought_No</v>
      </c>
      <c r="P409" s="2" t="str">
        <f>J409&amp;"_"&amp;M409</f>
        <v>Drought_No</v>
      </c>
      <c r="Q409" s="2" t="str">
        <f>L409&amp;"_"&amp;M409</f>
        <v>Grey_No</v>
      </c>
      <c r="R409" s="18" t="s">
        <v>2072</v>
      </c>
      <c r="S409" s="2"/>
      <c r="T409" s="2"/>
    </row>
    <row r="410" spans="1:20" s="9" customFormat="1" ht="15.75" customHeight="1" x14ac:dyDescent="0.2">
      <c r="A410" s="13">
        <v>409</v>
      </c>
      <c r="B410" s="14" t="s">
        <v>19</v>
      </c>
      <c r="C410" s="14" t="s">
        <v>426</v>
      </c>
      <c r="D410" s="14" t="s">
        <v>15</v>
      </c>
      <c r="E410" s="14" t="s">
        <v>53</v>
      </c>
      <c r="F410" s="14" t="str">
        <f>C410&amp;"-"&amp;D410&amp;"-"&amp;E410</f>
        <v>B3-P1-C4</v>
      </c>
      <c r="G410" s="14" t="s">
        <v>17</v>
      </c>
      <c r="H410" s="14">
        <v>1</v>
      </c>
      <c r="I410" s="14" t="s">
        <v>451</v>
      </c>
      <c r="J410" s="14" t="s">
        <v>20</v>
      </c>
      <c r="K410" s="13" t="str">
        <f>B410&amp;"-"&amp;C410&amp;"-"&amp;D410&amp;"-"&amp;E410&amp;"-"&amp;G410&amp;H410</f>
        <v>Fagus-B3-P1-C4-A1</v>
      </c>
      <c r="L410" s="14" t="s">
        <v>64</v>
      </c>
      <c r="M410" s="14" t="s">
        <v>44</v>
      </c>
      <c r="N410" s="14" t="s">
        <v>65</v>
      </c>
      <c r="O410" s="26" t="str">
        <f>J410&amp;"_"&amp;M410</f>
        <v>Drought_Yes</v>
      </c>
      <c r="P410" s="23" t="str">
        <f>J410&amp;"_"&amp;M410</f>
        <v>Drought_Yes</v>
      </c>
      <c r="Q410" s="23" t="str">
        <f>L410&amp;"_"&amp;M410</f>
        <v>Grey_Yes</v>
      </c>
      <c r="R410" s="18" t="s">
        <v>2072</v>
      </c>
      <c r="S410" s="23"/>
      <c r="T410" s="23"/>
    </row>
    <row r="411" spans="1:20" s="9" customFormat="1" ht="15.75" customHeight="1" x14ac:dyDescent="0.2">
      <c r="A411" s="13">
        <v>410</v>
      </c>
      <c r="B411" s="14" t="s">
        <v>35</v>
      </c>
      <c r="C411" s="14" t="s">
        <v>426</v>
      </c>
      <c r="D411" s="14" t="s">
        <v>15</v>
      </c>
      <c r="E411" s="14" t="s">
        <v>53</v>
      </c>
      <c r="F411" s="14" t="str">
        <f>C411&amp;"-"&amp;D411&amp;"-"&amp;E411</f>
        <v>B3-P1-C4</v>
      </c>
      <c r="G411" s="14" t="s">
        <v>24</v>
      </c>
      <c r="H411" s="14">
        <v>1</v>
      </c>
      <c r="I411" s="14" t="s">
        <v>452</v>
      </c>
      <c r="J411" s="14" t="s">
        <v>20</v>
      </c>
      <c r="K411" s="13" t="str">
        <f>B411&amp;"-"&amp;C411&amp;"-"&amp;D411&amp;"-"&amp;E411&amp;"-"&amp;G411&amp;H411</f>
        <v>Quercus-B3-P1-C4-B1</v>
      </c>
      <c r="L411" s="14" t="s">
        <v>64</v>
      </c>
      <c r="M411" s="14" t="s">
        <v>44</v>
      </c>
      <c r="N411" s="14" t="s">
        <v>65</v>
      </c>
      <c r="O411" s="26" t="str">
        <f>J411&amp;"_"&amp;M411</f>
        <v>Drought_Yes</v>
      </c>
      <c r="P411" s="23" t="str">
        <f>J411&amp;"_"&amp;M411</f>
        <v>Drought_Yes</v>
      </c>
      <c r="Q411" s="23" t="str">
        <f>L411&amp;"_"&amp;M411</f>
        <v>Grey_Yes</v>
      </c>
      <c r="R411" s="18" t="s">
        <v>2072</v>
      </c>
      <c r="S411" s="23"/>
      <c r="T411" s="23"/>
    </row>
    <row r="412" spans="1:20" s="9" customFormat="1" ht="15.75" customHeight="1" x14ac:dyDescent="0.2">
      <c r="A412" s="13">
        <v>411</v>
      </c>
      <c r="B412" s="14" t="s">
        <v>35</v>
      </c>
      <c r="C412" s="14" t="s">
        <v>426</v>
      </c>
      <c r="D412" s="14" t="s">
        <v>15</v>
      </c>
      <c r="E412" s="14" t="s">
        <v>53</v>
      </c>
      <c r="F412" s="14" t="str">
        <f>C412&amp;"-"&amp;D412&amp;"-"&amp;E412</f>
        <v>B3-P1-C4</v>
      </c>
      <c r="G412" s="14" t="s">
        <v>17</v>
      </c>
      <c r="H412" s="14">
        <v>2</v>
      </c>
      <c r="I412" s="14" t="s">
        <v>453</v>
      </c>
      <c r="J412" s="14" t="s">
        <v>20</v>
      </c>
      <c r="K412" s="13" t="str">
        <f>B412&amp;"-"&amp;C412&amp;"-"&amp;D412&amp;"-"&amp;E412&amp;"-"&amp;G412&amp;H412</f>
        <v>Quercus-B3-P1-C4-A2</v>
      </c>
      <c r="L412" s="14" t="s">
        <v>64</v>
      </c>
      <c r="M412" s="14" t="s">
        <v>44</v>
      </c>
      <c r="N412" s="14" t="s">
        <v>65</v>
      </c>
      <c r="O412" s="26" t="str">
        <f>J412&amp;"_"&amp;M412</f>
        <v>Drought_Yes</v>
      </c>
      <c r="P412" s="23" t="str">
        <f>J412&amp;"_"&amp;M412</f>
        <v>Drought_Yes</v>
      </c>
      <c r="Q412" s="23" t="str">
        <f>L412&amp;"_"&amp;M412</f>
        <v>Grey_Yes</v>
      </c>
      <c r="R412" s="18" t="s">
        <v>2072</v>
      </c>
      <c r="S412" s="23"/>
      <c r="T412" s="23"/>
    </row>
    <row r="413" spans="1:20" s="9" customFormat="1" ht="15.75" customHeight="1" x14ac:dyDescent="0.2">
      <c r="A413" s="13">
        <v>412</v>
      </c>
      <c r="B413" s="14" t="s">
        <v>19</v>
      </c>
      <c r="C413" s="14" t="s">
        <v>426</v>
      </c>
      <c r="D413" s="14" t="s">
        <v>15</v>
      </c>
      <c r="E413" s="14" t="s">
        <v>53</v>
      </c>
      <c r="F413" s="14" t="str">
        <f>C413&amp;"-"&amp;D413&amp;"-"&amp;E413</f>
        <v>B3-P1-C4</v>
      </c>
      <c r="G413" s="14" t="s">
        <v>24</v>
      </c>
      <c r="H413" s="14">
        <v>2</v>
      </c>
      <c r="I413" s="14" t="s">
        <v>454</v>
      </c>
      <c r="J413" s="14" t="s">
        <v>20</v>
      </c>
      <c r="K413" s="13" t="str">
        <f>B413&amp;"-"&amp;C413&amp;"-"&amp;D413&amp;"-"&amp;E413&amp;"-"&amp;G413&amp;H413</f>
        <v>Fagus-B3-P1-C4-B2</v>
      </c>
      <c r="L413" s="14" t="s">
        <v>64</v>
      </c>
      <c r="M413" s="14" t="s">
        <v>44</v>
      </c>
      <c r="N413" s="14" t="s">
        <v>65</v>
      </c>
      <c r="O413" s="26" t="str">
        <f>J413&amp;"_"&amp;M413</f>
        <v>Drought_Yes</v>
      </c>
      <c r="P413" s="23" t="str">
        <f>J413&amp;"_"&amp;M413</f>
        <v>Drought_Yes</v>
      </c>
      <c r="Q413" s="23" t="str">
        <f>L413&amp;"_"&amp;M413</f>
        <v>Grey_Yes</v>
      </c>
      <c r="R413" s="18" t="s">
        <v>2072</v>
      </c>
      <c r="S413" s="23"/>
      <c r="T413" s="23"/>
    </row>
    <row r="414" spans="1:20" s="9" customFormat="1" ht="15.75" customHeight="1" x14ac:dyDescent="0.2">
      <c r="A414" s="13">
        <v>413</v>
      </c>
      <c r="B414" s="14" t="s">
        <v>19</v>
      </c>
      <c r="C414" s="14" t="s">
        <v>426</v>
      </c>
      <c r="D414" s="14" t="s">
        <v>15</v>
      </c>
      <c r="E414" s="14" t="s">
        <v>53</v>
      </c>
      <c r="F414" s="14" t="str">
        <f>C414&amp;"-"&amp;D414&amp;"-"&amp;E414</f>
        <v>B3-P1-C4</v>
      </c>
      <c r="G414" s="14" t="s">
        <v>17</v>
      </c>
      <c r="H414" s="14">
        <v>3</v>
      </c>
      <c r="I414" s="14" t="s">
        <v>455</v>
      </c>
      <c r="J414" s="14" t="s">
        <v>20</v>
      </c>
      <c r="K414" s="13" t="str">
        <f>B414&amp;"-"&amp;C414&amp;"-"&amp;D414&amp;"-"&amp;E414&amp;"-"&amp;G414&amp;H414</f>
        <v>Fagus-B3-P1-C4-A3</v>
      </c>
      <c r="L414" s="14" t="s">
        <v>64</v>
      </c>
      <c r="M414" s="14" t="s">
        <v>44</v>
      </c>
      <c r="N414" s="14" t="s">
        <v>65</v>
      </c>
      <c r="O414" s="26" t="str">
        <f>J414&amp;"_"&amp;M414</f>
        <v>Drought_Yes</v>
      </c>
      <c r="P414" s="23" t="str">
        <f>J414&amp;"_"&amp;M414</f>
        <v>Drought_Yes</v>
      </c>
      <c r="Q414" s="23" t="str">
        <f>L414&amp;"_"&amp;M414</f>
        <v>Grey_Yes</v>
      </c>
      <c r="R414" s="18" t="s">
        <v>2072</v>
      </c>
      <c r="S414" s="23"/>
      <c r="T414" s="23"/>
    </row>
    <row r="415" spans="1:20" s="9" customFormat="1" ht="15.75" customHeight="1" x14ac:dyDescent="0.2">
      <c r="A415" s="13">
        <v>414</v>
      </c>
      <c r="B415" s="14" t="s">
        <v>35</v>
      </c>
      <c r="C415" s="14" t="s">
        <v>426</v>
      </c>
      <c r="D415" s="14" t="s">
        <v>15</v>
      </c>
      <c r="E415" s="14" t="s">
        <v>53</v>
      </c>
      <c r="F415" s="14" t="str">
        <f>C415&amp;"-"&amp;D415&amp;"-"&amp;E415</f>
        <v>B3-P1-C4</v>
      </c>
      <c r="G415" s="14" t="s">
        <v>24</v>
      </c>
      <c r="H415" s="14">
        <v>3</v>
      </c>
      <c r="I415" s="14" t="s">
        <v>456</v>
      </c>
      <c r="J415" s="14" t="s">
        <v>20</v>
      </c>
      <c r="K415" s="13" t="str">
        <f>B415&amp;"-"&amp;C415&amp;"-"&amp;D415&amp;"-"&amp;E415&amp;"-"&amp;G415&amp;H415</f>
        <v>Quercus-B3-P1-C4-B3</v>
      </c>
      <c r="L415" s="14" t="s">
        <v>64</v>
      </c>
      <c r="M415" s="14" t="s">
        <v>44</v>
      </c>
      <c r="N415" s="14" t="s">
        <v>65</v>
      </c>
      <c r="O415" s="26" t="str">
        <f>J415&amp;"_"&amp;M415</f>
        <v>Drought_Yes</v>
      </c>
      <c r="P415" s="23" t="str">
        <f>J415&amp;"_"&amp;M415</f>
        <v>Drought_Yes</v>
      </c>
      <c r="Q415" s="23" t="str">
        <f>L415&amp;"_"&amp;M415</f>
        <v>Grey_Yes</v>
      </c>
      <c r="R415" s="18" t="s">
        <v>2072</v>
      </c>
      <c r="S415" s="23"/>
      <c r="T415" s="23"/>
    </row>
    <row r="416" spans="1:20" s="9" customFormat="1" ht="15.75" customHeight="1" x14ac:dyDescent="0.2">
      <c r="A416" s="13">
        <v>415</v>
      </c>
      <c r="B416" s="14" t="s">
        <v>35</v>
      </c>
      <c r="C416" s="14" t="s">
        <v>426</v>
      </c>
      <c r="D416" s="14" t="s">
        <v>15</v>
      </c>
      <c r="E416" s="14" t="s">
        <v>53</v>
      </c>
      <c r="F416" s="14" t="str">
        <f>C416&amp;"-"&amp;D416&amp;"-"&amp;E416</f>
        <v>B3-P1-C4</v>
      </c>
      <c r="G416" s="14" t="s">
        <v>17</v>
      </c>
      <c r="H416" s="14">
        <v>4</v>
      </c>
      <c r="I416" s="14" t="s">
        <v>457</v>
      </c>
      <c r="J416" s="14" t="s">
        <v>20</v>
      </c>
      <c r="K416" s="13" t="str">
        <f>B416&amp;"-"&amp;C416&amp;"-"&amp;D416&amp;"-"&amp;E416&amp;"-"&amp;G416&amp;H416</f>
        <v>Quercus-B3-P1-C4-A4</v>
      </c>
      <c r="L416" s="14" t="s">
        <v>64</v>
      </c>
      <c r="M416" s="14" t="s">
        <v>44</v>
      </c>
      <c r="N416" s="14" t="s">
        <v>65</v>
      </c>
      <c r="O416" s="26" t="str">
        <f>J416&amp;"_"&amp;M416</f>
        <v>Drought_Yes</v>
      </c>
      <c r="P416" s="23" t="str">
        <f>J416&amp;"_"&amp;M416</f>
        <v>Drought_Yes</v>
      </c>
      <c r="Q416" s="23" t="str">
        <f>L416&amp;"_"&amp;M416</f>
        <v>Grey_Yes</v>
      </c>
      <c r="R416" s="18" t="s">
        <v>2072</v>
      </c>
      <c r="S416" s="23"/>
      <c r="T416" s="23"/>
    </row>
    <row r="417" spans="1:20" s="9" customFormat="1" ht="15.75" customHeight="1" x14ac:dyDescent="0.2">
      <c r="A417" s="13">
        <v>416</v>
      </c>
      <c r="B417" s="14" t="s">
        <v>19</v>
      </c>
      <c r="C417" s="14" t="s">
        <v>426</v>
      </c>
      <c r="D417" s="14" t="s">
        <v>15</v>
      </c>
      <c r="E417" s="14" t="s">
        <v>53</v>
      </c>
      <c r="F417" s="14" t="str">
        <f>C417&amp;"-"&amp;D417&amp;"-"&amp;E417</f>
        <v>B3-P1-C4</v>
      </c>
      <c r="G417" s="14" t="s">
        <v>24</v>
      </c>
      <c r="H417" s="14">
        <v>4</v>
      </c>
      <c r="I417" s="14" t="s">
        <v>458</v>
      </c>
      <c r="J417" s="14" t="s">
        <v>20</v>
      </c>
      <c r="K417" s="13" t="str">
        <f>B417&amp;"-"&amp;C417&amp;"-"&amp;D417&amp;"-"&amp;E417&amp;"-"&amp;G417&amp;H417</f>
        <v>Fagus-B3-P1-C4-B4</v>
      </c>
      <c r="L417" s="14" t="s">
        <v>64</v>
      </c>
      <c r="M417" s="14" t="s">
        <v>44</v>
      </c>
      <c r="N417" s="14" t="s">
        <v>65</v>
      </c>
      <c r="O417" s="26" t="str">
        <f>J417&amp;"_"&amp;M417</f>
        <v>Drought_Yes</v>
      </c>
      <c r="P417" s="23" t="str">
        <f>J417&amp;"_"&amp;M417</f>
        <v>Drought_Yes</v>
      </c>
      <c r="Q417" s="23" t="str">
        <f>L417&amp;"_"&amp;M417</f>
        <v>Grey_Yes</v>
      </c>
      <c r="R417" s="18" t="s">
        <v>2072</v>
      </c>
      <c r="S417" s="23"/>
      <c r="T417" s="23"/>
    </row>
    <row r="418" spans="1:20" s="10" customFormat="1" ht="15.75" customHeight="1" x14ac:dyDescent="0.2">
      <c r="A418" s="21">
        <v>417</v>
      </c>
      <c r="B418" s="20" t="s">
        <v>19</v>
      </c>
      <c r="C418" s="20" t="s">
        <v>426</v>
      </c>
      <c r="D418" s="20" t="s">
        <v>62</v>
      </c>
      <c r="E418" s="20" t="s">
        <v>16</v>
      </c>
      <c r="F418" s="18" t="str">
        <f>C418&amp;"-"&amp;D418&amp;"-"&amp;E418</f>
        <v>B3-P2-C1</v>
      </c>
      <c r="G418" s="20" t="s">
        <v>17</v>
      </c>
      <c r="H418" s="20">
        <v>1</v>
      </c>
      <c r="I418" s="20" t="s">
        <v>459</v>
      </c>
      <c r="J418" s="20" t="s">
        <v>20</v>
      </c>
      <c r="K418" s="19" t="str">
        <f>B418&amp;"-"&amp;C418&amp;"-"&amp;D418&amp;"-"&amp;E418&amp;"-"&amp;G418&amp;H418</f>
        <v>Fagus-B3-P2-C1-A1</v>
      </c>
      <c r="L418" s="20" t="s">
        <v>21</v>
      </c>
      <c r="M418" s="20" t="s">
        <v>22</v>
      </c>
      <c r="N418" s="20" t="s">
        <v>23</v>
      </c>
      <c r="O418" s="27" t="str">
        <f>J418&amp;"_"&amp;M418</f>
        <v>Drought_No</v>
      </c>
      <c r="P418" s="2" t="str">
        <f>J418&amp;"_"&amp;M418</f>
        <v>Drought_No</v>
      </c>
      <c r="Q418" s="2" t="str">
        <f>L418&amp;"_"&amp;M418</f>
        <v>Yellow_No</v>
      </c>
      <c r="R418" s="23" t="s">
        <v>2071</v>
      </c>
      <c r="S418" s="1"/>
      <c r="T418" s="1"/>
    </row>
    <row r="419" spans="1:20" s="10" customFormat="1" ht="15.75" customHeight="1" x14ac:dyDescent="0.2">
      <c r="A419" s="21">
        <v>418</v>
      </c>
      <c r="B419" s="20" t="s">
        <v>19</v>
      </c>
      <c r="C419" s="20" t="s">
        <v>426</v>
      </c>
      <c r="D419" s="20" t="s">
        <v>62</v>
      </c>
      <c r="E419" s="20" t="s">
        <v>16</v>
      </c>
      <c r="F419" s="18" t="str">
        <f>C419&amp;"-"&amp;D419&amp;"-"&amp;E419</f>
        <v>B3-P2-C1</v>
      </c>
      <c r="G419" s="20" t="s">
        <v>24</v>
      </c>
      <c r="H419" s="20">
        <v>1</v>
      </c>
      <c r="I419" s="20" t="s">
        <v>460</v>
      </c>
      <c r="J419" s="20" t="s">
        <v>20</v>
      </c>
      <c r="K419" s="19" t="str">
        <f>B419&amp;"-"&amp;C419&amp;"-"&amp;D419&amp;"-"&amp;E419&amp;"-"&amp;G419&amp;H419</f>
        <v>Fagus-B3-P2-C1-B1</v>
      </c>
      <c r="L419" s="20" t="s">
        <v>21</v>
      </c>
      <c r="M419" s="20" t="s">
        <v>22</v>
      </c>
      <c r="N419" s="20" t="s">
        <v>23</v>
      </c>
      <c r="O419" s="27" t="str">
        <f>J419&amp;"_"&amp;M419</f>
        <v>Drought_No</v>
      </c>
      <c r="P419" s="2" t="str">
        <f>J419&amp;"_"&amp;M419</f>
        <v>Drought_No</v>
      </c>
      <c r="Q419" s="2" t="str">
        <f>L419&amp;"_"&amp;M419</f>
        <v>Yellow_No</v>
      </c>
      <c r="R419" s="23" t="s">
        <v>2071</v>
      </c>
      <c r="S419" s="1"/>
      <c r="T419" s="1"/>
    </row>
    <row r="420" spans="1:20" s="10" customFormat="1" ht="15.75" customHeight="1" x14ac:dyDescent="0.2">
      <c r="A420" s="21">
        <v>419</v>
      </c>
      <c r="B420" s="20" t="s">
        <v>19</v>
      </c>
      <c r="C420" s="20" t="s">
        <v>426</v>
      </c>
      <c r="D420" s="20" t="s">
        <v>62</v>
      </c>
      <c r="E420" s="20" t="s">
        <v>16</v>
      </c>
      <c r="F420" s="18" t="str">
        <f>C420&amp;"-"&amp;D420&amp;"-"&amp;E420</f>
        <v>B3-P2-C1</v>
      </c>
      <c r="G420" s="20" t="s">
        <v>17</v>
      </c>
      <c r="H420" s="20">
        <v>2</v>
      </c>
      <c r="I420" s="20" t="s">
        <v>461</v>
      </c>
      <c r="J420" s="20" t="s">
        <v>20</v>
      </c>
      <c r="K420" s="19" t="str">
        <f>B420&amp;"-"&amp;C420&amp;"-"&amp;D420&amp;"-"&amp;E420&amp;"-"&amp;G420&amp;H420</f>
        <v>Fagus-B3-P2-C1-A2</v>
      </c>
      <c r="L420" s="20" t="s">
        <v>21</v>
      </c>
      <c r="M420" s="20" t="s">
        <v>22</v>
      </c>
      <c r="N420" s="20" t="s">
        <v>23</v>
      </c>
      <c r="O420" s="27" t="str">
        <f>J420&amp;"_"&amp;M420</f>
        <v>Drought_No</v>
      </c>
      <c r="P420" s="2" t="str">
        <f>J420&amp;"_"&amp;M420</f>
        <v>Drought_No</v>
      </c>
      <c r="Q420" s="2" t="str">
        <f>L420&amp;"_"&amp;M420</f>
        <v>Yellow_No</v>
      </c>
      <c r="R420" s="23" t="s">
        <v>2071</v>
      </c>
      <c r="S420" s="1"/>
      <c r="T420" s="1"/>
    </row>
    <row r="421" spans="1:20" s="10" customFormat="1" ht="15.75" customHeight="1" x14ac:dyDescent="0.2">
      <c r="A421" s="21">
        <v>420</v>
      </c>
      <c r="B421" s="20" t="s">
        <v>19</v>
      </c>
      <c r="C421" s="20" t="s">
        <v>426</v>
      </c>
      <c r="D421" s="20" t="s">
        <v>62</v>
      </c>
      <c r="E421" s="20" t="s">
        <v>16</v>
      </c>
      <c r="F421" s="18" t="str">
        <f>C421&amp;"-"&amp;D421&amp;"-"&amp;E421</f>
        <v>B3-P2-C1</v>
      </c>
      <c r="G421" s="20" t="s">
        <v>24</v>
      </c>
      <c r="H421" s="20">
        <v>2</v>
      </c>
      <c r="I421" s="20" t="s">
        <v>462</v>
      </c>
      <c r="J421" s="20" t="s">
        <v>20</v>
      </c>
      <c r="K421" s="19" t="str">
        <f>B421&amp;"-"&amp;C421&amp;"-"&amp;D421&amp;"-"&amp;E421&amp;"-"&amp;G421&amp;H421</f>
        <v>Fagus-B3-P2-C1-B2</v>
      </c>
      <c r="L421" s="20" t="s">
        <v>21</v>
      </c>
      <c r="M421" s="20" t="s">
        <v>22</v>
      </c>
      <c r="N421" s="20" t="s">
        <v>23</v>
      </c>
      <c r="O421" s="27" t="str">
        <f>J421&amp;"_"&amp;M421</f>
        <v>Drought_No</v>
      </c>
      <c r="P421" s="2" t="str">
        <f>J421&amp;"_"&amp;M421</f>
        <v>Drought_No</v>
      </c>
      <c r="Q421" s="2" t="str">
        <f>L421&amp;"_"&amp;M421</f>
        <v>Yellow_No</v>
      </c>
      <c r="R421" s="23" t="s">
        <v>2071</v>
      </c>
      <c r="S421" s="1"/>
      <c r="T421" s="1"/>
    </row>
    <row r="422" spans="1:20" s="10" customFormat="1" ht="15.75" customHeight="1" x14ac:dyDescent="0.2">
      <c r="A422" s="21">
        <v>421</v>
      </c>
      <c r="B422" s="20" t="s">
        <v>19</v>
      </c>
      <c r="C422" s="20" t="s">
        <v>426</v>
      </c>
      <c r="D422" s="20" t="s">
        <v>62</v>
      </c>
      <c r="E422" s="20" t="s">
        <v>16</v>
      </c>
      <c r="F422" s="18" t="str">
        <f>C422&amp;"-"&amp;D422&amp;"-"&amp;E422</f>
        <v>B3-P2-C1</v>
      </c>
      <c r="G422" s="20" t="s">
        <v>17</v>
      </c>
      <c r="H422" s="20">
        <v>3</v>
      </c>
      <c r="I422" s="20" t="s">
        <v>463</v>
      </c>
      <c r="J422" s="20" t="s">
        <v>20</v>
      </c>
      <c r="K422" s="19" t="str">
        <f>B422&amp;"-"&amp;C422&amp;"-"&amp;D422&amp;"-"&amp;E422&amp;"-"&amp;G422&amp;H422</f>
        <v>Fagus-B3-P2-C1-A3</v>
      </c>
      <c r="L422" s="20" t="s">
        <v>21</v>
      </c>
      <c r="M422" s="20" t="s">
        <v>22</v>
      </c>
      <c r="N422" s="20" t="s">
        <v>23</v>
      </c>
      <c r="O422" s="27" t="str">
        <f>J422&amp;"_"&amp;M422</f>
        <v>Drought_No</v>
      </c>
      <c r="P422" s="2" t="str">
        <f>J422&amp;"_"&amp;M422</f>
        <v>Drought_No</v>
      </c>
      <c r="Q422" s="2" t="str">
        <f>L422&amp;"_"&amp;M422</f>
        <v>Yellow_No</v>
      </c>
      <c r="R422" s="23" t="s">
        <v>2071</v>
      </c>
      <c r="S422" s="1"/>
      <c r="T422" s="1"/>
    </row>
    <row r="423" spans="1:20" s="10" customFormat="1" ht="15.75" customHeight="1" x14ac:dyDescent="0.2">
      <c r="A423" s="21">
        <v>422</v>
      </c>
      <c r="B423" s="20" t="s">
        <v>19</v>
      </c>
      <c r="C423" s="20" t="s">
        <v>426</v>
      </c>
      <c r="D423" s="20" t="s">
        <v>62</v>
      </c>
      <c r="E423" s="20" t="s">
        <v>16</v>
      </c>
      <c r="F423" s="18" t="str">
        <f>C423&amp;"-"&amp;D423&amp;"-"&amp;E423</f>
        <v>B3-P2-C1</v>
      </c>
      <c r="G423" s="20" t="s">
        <v>24</v>
      </c>
      <c r="H423" s="20">
        <v>3</v>
      </c>
      <c r="I423" s="20" t="s">
        <v>464</v>
      </c>
      <c r="J423" s="20" t="s">
        <v>20</v>
      </c>
      <c r="K423" s="19" t="str">
        <f>B423&amp;"-"&amp;C423&amp;"-"&amp;D423&amp;"-"&amp;E423&amp;"-"&amp;G423&amp;H423</f>
        <v>Fagus-B3-P2-C1-B3</v>
      </c>
      <c r="L423" s="20" t="s">
        <v>21</v>
      </c>
      <c r="M423" s="20" t="s">
        <v>22</v>
      </c>
      <c r="N423" s="20" t="s">
        <v>23</v>
      </c>
      <c r="O423" s="27" t="str">
        <f>J423&amp;"_"&amp;M423</f>
        <v>Drought_No</v>
      </c>
      <c r="P423" s="2" t="str">
        <f>J423&amp;"_"&amp;M423</f>
        <v>Drought_No</v>
      </c>
      <c r="Q423" s="2" t="str">
        <f>L423&amp;"_"&amp;M423</f>
        <v>Yellow_No</v>
      </c>
      <c r="R423" s="23" t="s">
        <v>2071</v>
      </c>
      <c r="S423" s="1"/>
      <c r="T423" s="1"/>
    </row>
    <row r="424" spans="1:20" s="10" customFormat="1" ht="15.75" customHeight="1" x14ac:dyDescent="0.2">
      <c r="A424" s="21">
        <v>423</v>
      </c>
      <c r="B424" s="20" t="s">
        <v>19</v>
      </c>
      <c r="C424" s="20" t="s">
        <v>426</v>
      </c>
      <c r="D424" s="20" t="s">
        <v>62</v>
      </c>
      <c r="E424" s="20" t="s">
        <v>16</v>
      </c>
      <c r="F424" s="18" t="str">
        <f>C424&amp;"-"&amp;D424&amp;"-"&amp;E424</f>
        <v>B3-P2-C1</v>
      </c>
      <c r="G424" s="20" t="s">
        <v>17</v>
      </c>
      <c r="H424" s="20">
        <v>4</v>
      </c>
      <c r="I424" s="20" t="s">
        <v>465</v>
      </c>
      <c r="J424" s="20" t="s">
        <v>20</v>
      </c>
      <c r="K424" s="19" t="str">
        <f>B424&amp;"-"&amp;C424&amp;"-"&amp;D424&amp;"-"&amp;E424&amp;"-"&amp;G424&amp;H424</f>
        <v>Fagus-B3-P2-C1-A4</v>
      </c>
      <c r="L424" s="20" t="s">
        <v>21</v>
      </c>
      <c r="M424" s="20" t="s">
        <v>22</v>
      </c>
      <c r="N424" s="20" t="s">
        <v>23</v>
      </c>
      <c r="O424" s="27" t="str">
        <f>J424&amp;"_"&amp;M424</f>
        <v>Drought_No</v>
      </c>
      <c r="P424" s="2" t="str">
        <f>J424&amp;"_"&amp;M424</f>
        <v>Drought_No</v>
      </c>
      <c r="Q424" s="2" t="str">
        <f>L424&amp;"_"&amp;M424</f>
        <v>Yellow_No</v>
      </c>
      <c r="R424" s="23" t="s">
        <v>2071</v>
      </c>
      <c r="S424" s="2"/>
      <c r="T424" s="2"/>
    </row>
    <row r="425" spans="1:20" s="10" customFormat="1" ht="15.75" customHeight="1" x14ac:dyDescent="0.2">
      <c r="A425" s="21">
        <v>424</v>
      </c>
      <c r="B425" s="20" t="s">
        <v>19</v>
      </c>
      <c r="C425" s="20" t="s">
        <v>426</v>
      </c>
      <c r="D425" s="20" t="s">
        <v>62</v>
      </c>
      <c r="E425" s="20" t="s">
        <v>16</v>
      </c>
      <c r="F425" s="18" t="str">
        <f>C425&amp;"-"&amp;D425&amp;"-"&amp;E425</f>
        <v>B3-P2-C1</v>
      </c>
      <c r="G425" s="20" t="s">
        <v>24</v>
      </c>
      <c r="H425" s="20">
        <v>4</v>
      </c>
      <c r="I425" s="20" t="s">
        <v>466</v>
      </c>
      <c r="J425" s="20" t="s">
        <v>20</v>
      </c>
      <c r="K425" s="19" t="str">
        <f>B425&amp;"-"&amp;C425&amp;"-"&amp;D425&amp;"-"&amp;E425&amp;"-"&amp;G425&amp;H425</f>
        <v>Fagus-B3-P2-C1-B4</v>
      </c>
      <c r="L425" s="20" t="s">
        <v>21</v>
      </c>
      <c r="M425" s="20" t="s">
        <v>22</v>
      </c>
      <c r="N425" s="20" t="s">
        <v>23</v>
      </c>
      <c r="O425" s="27" t="str">
        <f>J425&amp;"_"&amp;M425</f>
        <v>Drought_No</v>
      </c>
      <c r="P425" s="2" t="str">
        <f>J425&amp;"_"&amp;M425</f>
        <v>Drought_No</v>
      </c>
      <c r="Q425" s="2" t="str">
        <f>L425&amp;"_"&amp;M425</f>
        <v>Yellow_No</v>
      </c>
      <c r="R425" s="23" t="s">
        <v>2071</v>
      </c>
      <c r="S425" s="2"/>
      <c r="T425" s="2"/>
    </row>
    <row r="426" spans="1:20" s="9" customFormat="1" ht="15.75" customHeight="1" x14ac:dyDescent="0.2">
      <c r="A426" s="13">
        <v>425</v>
      </c>
      <c r="B426" s="14" t="s">
        <v>19</v>
      </c>
      <c r="C426" s="14" t="s">
        <v>426</v>
      </c>
      <c r="D426" s="14" t="s">
        <v>62</v>
      </c>
      <c r="E426" s="14" t="s">
        <v>32</v>
      </c>
      <c r="F426" s="14" t="str">
        <f>C426&amp;"-"&amp;D426&amp;"-"&amp;E426</f>
        <v>B3-P2-C2</v>
      </c>
      <c r="G426" s="14" t="s">
        <v>17</v>
      </c>
      <c r="H426" s="14">
        <v>1</v>
      </c>
      <c r="I426" s="14" t="s">
        <v>467</v>
      </c>
      <c r="J426" s="14" t="s">
        <v>20</v>
      </c>
      <c r="K426" s="13" t="str">
        <f>B426&amp;"-"&amp;C426&amp;"-"&amp;D426&amp;"-"&amp;E426&amp;"-"&amp;G426&amp;H426</f>
        <v>Fagus-B3-P2-C2-A1</v>
      </c>
      <c r="L426" s="14" t="s">
        <v>21</v>
      </c>
      <c r="M426" s="14" t="s">
        <v>44</v>
      </c>
      <c r="N426" s="14" t="s">
        <v>45</v>
      </c>
      <c r="O426" s="26" t="str">
        <f>J426&amp;"_"&amp;M426</f>
        <v>Drought_Yes</v>
      </c>
      <c r="P426" s="23" t="str">
        <f>J426&amp;"_"&amp;M426</f>
        <v>Drought_Yes</v>
      </c>
      <c r="Q426" s="23" t="str">
        <f>L426&amp;"_"&amp;M426</f>
        <v>Yellow_Yes</v>
      </c>
      <c r="R426" s="23" t="s">
        <v>2071</v>
      </c>
      <c r="S426" s="2"/>
      <c r="T426" s="2"/>
    </row>
    <row r="427" spans="1:20" s="9" customFormat="1" ht="15.75" customHeight="1" x14ac:dyDescent="0.2">
      <c r="A427" s="13">
        <v>426</v>
      </c>
      <c r="B427" s="14" t="s">
        <v>35</v>
      </c>
      <c r="C427" s="14" t="s">
        <v>426</v>
      </c>
      <c r="D427" s="14" t="s">
        <v>62</v>
      </c>
      <c r="E427" s="14" t="s">
        <v>32</v>
      </c>
      <c r="F427" s="14" t="str">
        <f>C427&amp;"-"&amp;D427&amp;"-"&amp;E427</f>
        <v>B3-P2-C2</v>
      </c>
      <c r="G427" s="14" t="s">
        <v>24</v>
      </c>
      <c r="H427" s="14">
        <v>1</v>
      </c>
      <c r="I427" s="14" t="s">
        <v>468</v>
      </c>
      <c r="J427" s="14" t="s">
        <v>20</v>
      </c>
      <c r="K427" s="13" t="str">
        <f>B427&amp;"-"&amp;C427&amp;"-"&amp;D427&amp;"-"&amp;E427&amp;"-"&amp;G427&amp;H427</f>
        <v>Quercus-B3-P2-C2-B1</v>
      </c>
      <c r="L427" s="14" t="s">
        <v>21</v>
      </c>
      <c r="M427" s="14" t="s">
        <v>44</v>
      </c>
      <c r="N427" s="14" t="s">
        <v>45</v>
      </c>
      <c r="O427" s="26" t="str">
        <f>J427&amp;"_"&amp;M427</f>
        <v>Drought_Yes</v>
      </c>
      <c r="P427" s="23" t="str">
        <f>J427&amp;"_"&amp;M427</f>
        <v>Drought_Yes</v>
      </c>
      <c r="Q427" s="23" t="str">
        <f>L427&amp;"_"&amp;M427</f>
        <v>Yellow_Yes</v>
      </c>
      <c r="R427" s="23" t="s">
        <v>2071</v>
      </c>
      <c r="S427" s="2"/>
      <c r="T427" s="2"/>
    </row>
    <row r="428" spans="1:20" s="9" customFormat="1" ht="15.75" customHeight="1" x14ac:dyDescent="0.2">
      <c r="A428" s="13">
        <v>427</v>
      </c>
      <c r="B428" s="14" t="s">
        <v>35</v>
      </c>
      <c r="C428" s="14" t="s">
        <v>426</v>
      </c>
      <c r="D428" s="14" t="s">
        <v>62</v>
      </c>
      <c r="E428" s="14" t="s">
        <v>32</v>
      </c>
      <c r="F428" s="14" t="str">
        <f>C428&amp;"-"&amp;D428&amp;"-"&amp;E428</f>
        <v>B3-P2-C2</v>
      </c>
      <c r="G428" s="14" t="s">
        <v>17</v>
      </c>
      <c r="H428" s="14">
        <v>2</v>
      </c>
      <c r="I428" s="14" t="s">
        <v>469</v>
      </c>
      <c r="J428" s="14" t="s">
        <v>20</v>
      </c>
      <c r="K428" s="13" t="str">
        <f>B428&amp;"-"&amp;C428&amp;"-"&amp;D428&amp;"-"&amp;E428&amp;"-"&amp;G428&amp;H428</f>
        <v>Quercus-B3-P2-C2-A2</v>
      </c>
      <c r="L428" s="14" t="s">
        <v>21</v>
      </c>
      <c r="M428" s="14" t="s">
        <v>44</v>
      </c>
      <c r="N428" s="14" t="s">
        <v>45</v>
      </c>
      <c r="O428" s="26" t="str">
        <f>J428&amp;"_"&amp;M428</f>
        <v>Drought_Yes</v>
      </c>
      <c r="P428" s="23" t="str">
        <f>J428&amp;"_"&amp;M428</f>
        <v>Drought_Yes</v>
      </c>
      <c r="Q428" s="23" t="str">
        <f>L428&amp;"_"&amp;M428</f>
        <v>Yellow_Yes</v>
      </c>
      <c r="R428" s="23" t="s">
        <v>2071</v>
      </c>
      <c r="S428" s="2"/>
      <c r="T428" s="2"/>
    </row>
    <row r="429" spans="1:20" s="9" customFormat="1" ht="15.75" customHeight="1" x14ac:dyDescent="0.2">
      <c r="A429" s="13">
        <v>428</v>
      </c>
      <c r="B429" s="14" t="s">
        <v>19</v>
      </c>
      <c r="C429" s="14" t="s">
        <v>426</v>
      </c>
      <c r="D429" s="14" t="s">
        <v>62</v>
      </c>
      <c r="E429" s="14" t="s">
        <v>32</v>
      </c>
      <c r="F429" s="14" t="str">
        <f>C429&amp;"-"&amp;D429&amp;"-"&amp;E429</f>
        <v>B3-P2-C2</v>
      </c>
      <c r="G429" s="14" t="s">
        <v>24</v>
      </c>
      <c r="H429" s="14">
        <v>2</v>
      </c>
      <c r="I429" s="14" t="s">
        <v>470</v>
      </c>
      <c r="J429" s="14" t="s">
        <v>20</v>
      </c>
      <c r="K429" s="13" t="str">
        <f>B429&amp;"-"&amp;C429&amp;"-"&amp;D429&amp;"-"&amp;E429&amp;"-"&amp;G429&amp;H429</f>
        <v>Fagus-B3-P2-C2-B2</v>
      </c>
      <c r="L429" s="14" t="s">
        <v>21</v>
      </c>
      <c r="M429" s="14" t="s">
        <v>44</v>
      </c>
      <c r="N429" s="14" t="s">
        <v>45</v>
      </c>
      <c r="O429" s="26" t="str">
        <f>J429&amp;"_"&amp;M429</f>
        <v>Drought_Yes</v>
      </c>
      <c r="P429" s="23" t="str">
        <f>J429&amp;"_"&amp;M429</f>
        <v>Drought_Yes</v>
      </c>
      <c r="Q429" s="23" t="str">
        <f>L429&amp;"_"&amp;M429</f>
        <v>Yellow_Yes</v>
      </c>
      <c r="R429" s="23" t="s">
        <v>2071</v>
      </c>
      <c r="S429" s="2"/>
      <c r="T429" s="2"/>
    </row>
    <row r="430" spans="1:20" s="9" customFormat="1" ht="15.75" customHeight="1" x14ac:dyDescent="0.2">
      <c r="A430" s="13">
        <v>429</v>
      </c>
      <c r="B430" s="14" t="s">
        <v>19</v>
      </c>
      <c r="C430" s="14" t="s">
        <v>426</v>
      </c>
      <c r="D430" s="14" t="s">
        <v>62</v>
      </c>
      <c r="E430" s="14" t="s">
        <v>32</v>
      </c>
      <c r="F430" s="14" t="str">
        <f>C430&amp;"-"&amp;D430&amp;"-"&amp;E430</f>
        <v>B3-P2-C2</v>
      </c>
      <c r="G430" s="14" t="s">
        <v>17</v>
      </c>
      <c r="H430" s="14">
        <v>3</v>
      </c>
      <c r="I430" s="14" t="s">
        <v>471</v>
      </c>
      <c r="J430" s="14" t="s">
        <v>20</v>
      </c>
      <c r="K430" s="13" t="str">
        <f>B430&amp;"-"&amp;C430&amp;"-"&amp;D430&amp;"-"&amp;E430&amp;"-"&amp;G430&amp;H430</f>
        <v>Fagus-B3-P2-C2-A3</v>
      </c>
      <c r="L430" s="14" t="s">
        <v>21</v>
      </c>
      <c r="M430" s="14" t="s">
        <v>44</v>
      </c>
      <c r="N430" s="14" t="s">
        <v>45</v>
      </c>
      <c r="O430" s="26" t="str">
        <f>J430&amp;"_"&amp;M430</f>
        <v>Drought_Yes</v>
      </c>
      <c r="P430" s="23" t="str">
        <f>J430&amp;"_"&amp;M430</f>
        <v>Drought_Yes</v>
      </c>
      <c r="Q430" s="23" t="str">
        <f>L430&amp;"_"&amp;M430</f>
        <v>Yellow_Yes</v>
      </c>
      <c r="R430" s="23" t="s">
        <v>2071</v>
      </c>
      <c r="S430" s="23"/>
      <c r="T430" s="23"/>
    </row>
    <row r="431" spans="1:20" s="9" customFormat="1" ht="15.75" customHeight="1" x14ac:dyDescent="0.2">
      <c r="A431" s="13">
        <v>430</v>
      </c>
      <c r="B431" s="14" t="s">
        <v>35</v>
      </c>
      <c r="C431" s="14" t="s">
        <v>426</v>
      </c>
      <c r="D431" s="14" t="s">
        <v>62</v>
      </c>
      <c r="E431" s="14" t="s">
        <v>32</v>
      </c>
      <c r="F431" s="14" t="str">
        <f>C431&amp;"-"&amp;D431&amp;"-"&amp;E431</f>
        <v>B3-P2-C2</v>
      </c>
      <c r="G431" s="14" t="s">
        <v>24</v>
      </c>
      <c r="H431" s="14">
        <v>3</v>
      </c>
      <c r="I431" s="14" t="s">
        <v>472</v>
      </c>
      <c r="J431" s="14" t="s">
        <v>20</v>
      </c>
      <c r="K431" s="13" t="str">
        <f>B431&amp;"-"&amp;C431&amp;"-"&amp;D431&amp;"-"&amp;E431&amp;"-"&amp;G431&amp;H431</f>
        <v>Quercus-B3-P2-C2-B3</v>
      </c>
      <c r="L431" s="14" t="s">
        <v>21</v>
      </c>
      <c r="M431" s="14" t="s">
        <v>44</v>
      </c>
      <c r="N431" s="14" t="s">
        <v>45</v>
      </c>
      <c r="O431" s="26" t="str">
        <f>J431&amp;"_"&amp;M431</f>
        <v>Drought_Yes</v>
      </c>
      <c r="P431" s="23" t="str">
        <f>J431&amp;"_"&amp;M431</f>
        <v>Drought_Yes</v>
      </c>
      <c r="Q431" s="23" t="str">
        <f>L431&amp;"_"&amp;M431</f>
        <v>Yellow_Yes</v>
      </c>
      <c r="R431" s="23" t="s">
        <v>2071</v>
      </c>
      <c r="S431" s="23"/>
      <c r="T431" s="23"/>
    </row>
    <row r="432" spans="1:20" s="9" customFormat="1" ht="15.75" customHeight="1" x14ac:dyDescent="0.2">
      <c r="A432" s="13">
        <v>431</v>
      </c>
      <c r="B432" s="14" t="s">
        <v>35</v>
      </c>
      <c r="C432" s="14" t="s">
        <v>426</v>
      </c>
      <c r="D432" s="14" t="s">
        <v>62</v>
      </c>
      <c r="E432" s="14" t="s">
        <v>32</v>
      </c>
      <c r="F432" s="14" t="str">
        <f>C432&amp;"-"&amp;D432&amp;"-"&amp;E432</f>
        <v>B3-P2-C2</v>
      </c>
      <c r="G432" s="14" t="s">
        <v>17</v>
      </c>
      <c r="H432" s="14">
        <v>4</v>
      </c>
      <c r="I432" s="14" t="s">
        <v>473</v>
      </c>
      <c r="J432" s="14" t="s">
        <v>20</v>
      </c>
      <c r="K432" s="13" t="str">
        <f>B432&amp;"-"&amp;C432&amp;"-"&amp;D432&amp;"-"&amp;E432&amp;"-"&amp;G432&amp;H432</f>
        <v>Quercus-B3-P2-C2-A4</v>
      </c>
      <c r="L432" s="14" t="s">
        <v>21</v>
      </c>
      <c r="M432" s="14" t="s">
        <v>44</v>
      </c>
      <c r="N432" s="14" t="s">
        <v>45</v>
      </c>
      <c r="O432" s="26" t="str">
        <f>J432&amp;"_"&amp;M432</f>
        <v>Drought_Yes</v>
      </c>
      <c r="P432" s="23" t="str">
        <f>J432&amp;"_"&amp;M432</f>
        <v>Drought_Yes</v>
      </c>
      <c r="Q432" s="23" t="str">
        <f>L432&amp;"_"&amp;M432</f>
        <v>Yellow_Yes</v>
      </c>
      <c r="R432" s="23" t="s">
        <v>2071</v>
      </c>
      <c r="S432" s="23"/>
      <c r="T432" s="23"/>
    </row>
    <row r="433" spans="1:20" s="9" customFormat="1" ht="15.75" customHeight="1" x14ac:dyDescent="0.2">
      <c r="A433" s="13">
        <v>432</v>
      </c>
      <c r="B433" s="14" t="s">
        <v>19</v>
      </c>
      <c r="C433" s="14" t="s">
        <v>426</v>
      </c>
      <c r="D433" s="14" t="s">
        <v>62</v>
      </c>
      <c r="E433" s="14" t="s">
        <v>32</v>
      </c>
      <c r="F433" s="14" t="str">
        <f>C433&amp;"-"&amp;D433&amp;"-"&amp;E433</f>
        <v>B3-P2-C2</v>
      </c>
      <c r="G433" s="14" t="s">
        <v>24</v>
      </c>
      <c r="H433" s="14">
        <v>4</v>
      </c>
      <c r="I433" s="14" t="s">
        <v>474</v>
      </c>
      <c r="J433" s="14" t="s">
        <v>20</v>
      </c>
      <c r="K433" s="13" t="str">
        <f>B433&amp;"-"&amp;C433&amp;"-"&amp;D433&amp;"-"&amp;E433&amp;"-"&amp;G433&amp;H433</f>
        <v>Fagus-B3-P2-C2-B4</v>
      </c>
      <c r="L433" s="14" t="s">
        <v>21</v>
      </c>
      <c r="M433" s="14" t="s">
        <v>44</v>
      </c>
      <c r="N433" s="14" t="s">
        <v>45</v>
      </c>
      <c r="O433" s="26" t="str">
        <f>J433&amp;"_"&amp;M433</f>
        <v>Drought_Yes</v>
      </c>
      <c r="P433" s="23" t="str">
        <f>J433&amp;"_"&amp;M433</f>
        <v>Drought_Yes</v>
      </c>
      <c r="Q433" s="23" t="str">
        <f>L433&amp;"_"&amp;M433</f>
        <v>Yellow_Yes</v>
      </c>
      <c r="R433" s="23" t="s">
        <v>2071</v>
      </c>
      <c r="S433" s="23"/>
      <c r="T433" s="23"/>
    </row>
    <row r="434" spans="1:20" s="10" customFormat="1" ht="15.75" customHeight="1" x14ac:dyDescent="0.2">
      <c r="A434" s="21">
        <v>433</v>
      </c>
      <c r="B434" s="20" t="s">
        <v>19</v>
      </c>
      <c r="C434" s="20" t="s">
        <v>426</v>
      </c>
      <c r="D434" s="20" t="s">
        <v>62</v>
      </c>
      <c r="E434" s="20" t="s">
        <v>42</v>
      </c>
      <c r="F434" s="18" t="str">
        <f>C434&amp;"-"&amp;D434&amp;"-"&amp;E434</f>
        <v>B3-P2-C3</v>
      </c>
      <c r="G434" s="20" t="s">
        <v>17</v>
      </c>
      <c r="H434" s="20">
        <v>1</v>
      </c>
      <c r="I434" s="20" t="s">
        <v>475</v>
      </c>
      <c r="J434" s="20" t="s">
        <v>20</v>
      </c>
      <c r="K434" s="19" t="str">
        <f>B434&amp;"-"&amp;C434&amp;"-"&amp;D434&amp;"-"&amp;E434&amp;"-"&amp;G434&amp;H434</f>
        <v>Fagus-B3-P2-C3-A1</v>
      </c>
      <c r="L434" s="20" t="s">
        <v>21</v>
      </c>
      <c r="M434" s="20" t="s">
        <v>22</v>
      </c>
      <c r="N434" s="20" t="s">
        <v>23</v>
      </c>
      <c r="O434" s="27" t="str">
        <f>J434&amp;"_"&amp;M434</f>
        <v>Drought_No</v>
      </c>
      <c r="P434" s="2" t="str">
        <f>J434&amp;"_"&amp;M434</f>
        <v>Drought_No</v>
      </c>
      <c r="Q434" s="2" t="str">
        <f>L434&amp;"_"&amp;M434</f>
        <v>Yellow_No</v>
      </c>
      <c r="R434" s="23" t="s">
        <v>2071</v>
      </c>
      <c r="S434" s="23"/>
      <c r="T434" s="23"/>
    </row>
    <row r="435" spans="1:20" s="10" customFormat="1" ht="15.75" customHeight="1" x14ac:dyDescent="0.2">
      <c r="A435" s="21">
        <v>434</v>
      </c>
      <c r="B435" s="20" t="s">
        <v>35</v>
      </c>
      <c r="C435" s="20" t="s">
        <v>426</v>
      </c>
      <c r="D435" s="20" t="s">
        <v>62</v>
      </c>
      <c r="E435" s="20" t="s">
        <v>42</v>
      </c>
      <c r="F435" s="18" t="str">
        <f>C435&amp;"-"&amp;D435&amp;"-"&amp;E435</f>
        <v>B3-P2-C3</v>
      </c>
      <c r="G435" s="20" t="s">
        <v>24</v>
      </c>
      <c r="H435" s="20">
        <v>1</v>
      </c>
      <c r="I435" s="20" t="s">
        <v>476</v>
      </c>
      <c r="J435" s="20" t="s">
        <v>20</v>
      </c>
      <c r="K435" s="19" t="str">
        <f>B435&amp;"-"&amp;C435&amp;"-"&amp;D435&amp;"-"&amp;E435&amp;"-"&amp;G435&amp;H435</f>
        <v>Quercus-B3-P2-C3-B1</v>
      </c>
      <c r="L435" s="20" t="s">
        <v>21</v>
      </c>
      <c r="M435" s="20" t="s">
        <v>22</v>
      </c>
      <c r="N435" s="20" t="s">
        <v>23</v>
      </c>
      <c r="O435" s="27" t="str">
        <f>J435&amp;"_"&amp;M435</f>
        <v>Drought_No</v>
      </c>
      <c r="P435" s="2" t="str">
        <f>J435&amp;"_"&amp;M435</f>
        <v>Drought_No</v>
      </c>
      <c r="Q435" s="2" t="str">
        <f>L435&amp;"_"&amp;M435</f>
        <v>Yellow_No</v>
      </c>
      <c r="R435" s="23" t="s">
        <v>2071</v>
      </c>
      <c r="S435" s="23"/>
      <c r="T435" s="23"/>
    </row>
    <row r="436" spans="1:20" s="10" customFormat="1" ht="15.75" customHeight="1" x14ac:dyDescent="0.2">
      <c r="A436" s="21">
        <v>435</v>
      </c>
      <c r="B436" s="20" t="s">
        <v>35</v>
      </c>
      <c r="C436" s="20" t="s">
        <v>426</v>
      </c>
      <c r="D436" s="20" t="s">
        <v>62</v>
      </c>
      <c r="E436" s="20" t="s">
        <v>42</v>
      </c>
      <c r="F436" s="18" t="str">
        <f>C436&amp;"-"&amp;D436&amp;"-"&amp;E436</f>
        <v>B3-P2-C3</v>
      </c>
      <c r="G436" s="20" t="s">
        <v>17</v>
      </c>
      <c r="H436" s="20">
        <v>2</v>
      </c>
      <c r="I436" s="20" t="s">
        <v>477</v>
      </c>
      <c r="J436" s="20" t="s">
        <v>20</v>
      </c>
      <c r="K436" s="19" t="str">
        <f>B436&amp;"-"&amp;C436&amp;"-"&amp;D436&amp;"-"&amp;E436&amp;"-"&amp;G436&amp;H436</f>
        <v>Quercus-B3-P2-C3-A2</v>
      </c>
      <c r="L436" s="20" t="s">
        <v>21</v>
      </c>
      <c r="M436" s="20" t="s">
        <v>22</v>
      </c>
      <c r="N436" s="20" t="s">
        <v>23</v>
      </c>
      <c r="O436" s="27" t="str">
        <f>J436&amp;"_"&amp;M436</f>
        <v>Drought_No</v>
      </c>
      <c r="P436" s="2" t="str">
        <f>J436&amp;"_"&amp;M436</f>
        <v>Drought_No</v>
      </c>
      <c r="Q436" s="2" t="str">
        <f>L436&amp;"_"&amp;M436</f>
        <v>Yellow_No</v>
      </c>
      <c r="R436" s="23" t="s">
        <v>2071</v>
      </c>
      <c r="S436" s="2"/>
      <c r="T436" s="2"/>
    </row>
    <row r="437" spans="1:20" s="10" customFormat="1" ht="15.75" customHeight="1" x14ac:dyDescent="0.2">
      <c r="A437" s="21">
        <v>436</v>
      </c>
      <c r="B437" s="20" t="s">
        <v>19</v>
      </c>
      <c r="C437" s="20" t="s">
        <v>426</v>
      </c>
      <c r="D437" s="20" t="s">
        <v>62</v>
      </c>
      <c r="E437" s="20" t="s">
        <v>42</v>
      </c>
      <c r="F437" s="18" t="str">
        <f>C437&amp;"-"&amp;D437&amp;"-"&amp;E437</f>
        <v>B3-P2-C3</v>
      </c>
      <c r="G437" s="20" t="s">
        <v>24</v>
      </c>
      <c r="H437" s="20">
        <v>2</v>
      </c>
      <c r="I437" s="20" t="s">
        <v>478</v>
      </c>
      <c r="J437" s="20" t="s">
        <v>20</v>
      </c>
      <c r="K437" s="19" t="str">
        <f>B437&amp;"-"&amp;C437&amp;"-"&amp;D437&amp;"-"&amp;E437&amp;"-"&amp;G437&amp;H437</f>
        <v>Fagus-B3-P2-C3-B2</v>
      </c>
      <c r="L437" s="20" t="s">
        <v>21</v>
      </c>
      <c r="M437" s="20" t="s">
        <v>22</v>
      </c>
      <c r="N437" s="20" t="s">
        <v>23</v>
      </c>
      <c r="O437" s="27" t="str">
        <f>J437&amp;"_"&amp;M437</f>
        <v>Drought_No</v>
      </c>
      <c r="P437" s="2" t="str">
        <f>J437&amp;"_"&amp;M437</f>
        <v>Drought_No</v>
      </c>
      <c r="Q437" s="2" t="str">
        <f>L437&amp;"_"&amp;M437</f>
        <v>Yellow_No</v>
      </c>
      <c r="R437" s="23" t="s">
        <v>2071</v>
      </c>
      <c r="S437" s="2"/>
      <c r="T437" s="2"/>
    </row>
    <row r="438" spans="1:20" s="10" customFormat="1" ht="15.75" customHeight="1" x14ac:dyDescent="0.2">
      <c r="A438" s="21">
        <v>437</v>
      </c>
      <c r="B438" s="20" t="s">
        <v>19</v>
      </c>
      <c r="C438" s="20" t="s">
        <v>426</v>
      </c>
      <c r="D438" s="20" t="s">
        <v>62</v>
      </c>
      <c r="E438" s="20" t="s">
        <v>42</v>
      </c>
      <c r="F438" s="18" t="str">
        <f>C438&amp;"-"&amp;D438&amp;"-"&amp;E438</f>
        <v>B3-P2-C3</v>
      </c>
      <c r="G438" s="20" t="s">
        <v>17</v>
      </c>
      <c r="H438" s="20">
        <v>3</v>
      </c>
      <c r="I438" s="20" t="s">
        <v>479</v>
      </c>
      <c r="J438" s="20" t="s">
        <v>20</v>
      </c>
      <c r="K438" s="19" t="str">
        <f>B438&amp;"-"&amp;C438&amp;"-"&amp;D438&amp;"-"&amp;E438&amp;"-"&amp;G438&amp;H438</f>
        <v>Fagus-B3-P2-C3-A3</v>
      </c>
      <c r="L438" s="20" t="s">
        <v>21</v>
      </c>
      <c r="M438" s="20" t="s">
        <v>22</v>
      </c>
      <c r="N438" s="20" t="s">
        <v>23</v>
      </c>
      <c r="O438" s="27" t="str">
        <f>J438&amp;"_"&amp;M438</f>
        <v>Drought_No</v>
      </c>
      <c r="P438" s="2" t="str">
        <f>J438&amp;"_"&amp;M438</f>
        <v>Drought_No</v>
      </c>
      <c r="Q438" s="2" t="str">
        <f>L438&amp;"_"&amp;M438</f>
        <v>Yellow_No</v>
      </c>
      <c r="R438" s="23" t="s">
        <v>2071</v>
      </c>
      <c r="S438" s="2"/>
      <c r="T438" s="2"/>
    </row>
    <row r="439" spans="1:20" s="10" customFormat="1" ht="15.75" customHeight="1" x14ac:dyDescent="0.2">
      <c r="A439" s="21">
        <v>438</v>
      </c>
      <c r="B439" s="20" t="s">
        <v>35</v>
      </c>
      <c r="C439" s="20" t="s">
        <v>426</v>
      </c>
      <c r="D439" s="20" t="s">
        <v>62</v>
      </c>
      <c r="E439" s="20" t="s">
        <v>42</v>
      </c>
      <c r="F439" s="18" t="str">
        <f>C439&amp;"-"&amp;D439&amp;"-"&amp;E439</f>
        <v>B3-P2-C3</v>
      </c>
      <c r="G439" s="20" t="s">
        <v>24</v>
      </c>
      <c r="H439" s="20">
        <v>3</v>
      </c>
      <c r="I439" s="20" t="s">
        <v>480</v>
      </c>
      <c r="J439" s="20" t="s">
        <v>20</v>
      </c>
      <c r="K439" s="19" t="str">
        <f>B439&amp;"-"&amp;C439&amp;"-"&amp;D439&amp;"-"&amp;E439&amp;"-"&amp;G439&amp;H439</f>
        <v>Quercus-B3-P2-C3-B3</v>
      </c>
      <c r="L439" s="20" t="s">
        <v>21</v>
      </c>
      <c r="M439" s="20" t="s">
        <v>22</v>
      </c>
      <c r="N439" s="20" t="s">
        <v>23</v>
      </c>
      <c r="O439" s="27" t="str">
        <f>J439&amp;"_"&amp;M439</f>
        <v>Drought_No</v>
      </c>
      <c r="P439" s="2" t="str">
        <f>J439&amp;"_"&amp;M439</f>
        <v>Drought_No</v>
      </c>
      <c r="Q439" s="2" t="str">
        <f>L439&amp;"_"&amp;M439</f>
        <v>Yellow_No</v>
      </c>
      <c r="R439" s="23" t="s">
        <v>2071</v>
      </c>
      <c r="S439" s="2"/>
      <c r="T439" s="2"/>
    </row>
    <row r="440" spans="1:20" s="10" customFormat="1" ht="15.75" customHeight="1" x14ac:dyDescent="0.2">
      <c r="A440" s="21">
        <v>439</v>
      </c>
      <c r="B440" s="20" t="s">
        <v>35</v>
      </c>
      <c r="C440" s="20" t="s">
        <v>426</v>
      </c>
      <c r="D440" s="20" t="s">
        <v>62</v>
      </c>
      <c r="E440" s="20" t="s">
        <v>42</v>
      </c>
      <c r="F440" s="18" t="str">
        <f>C440&amp;"-"&amp;D440&amp;"-"&amp;E440</f>
        <v>B3-P2-C3</v>
      </c>
      <c r="G440" s="20" t="s">
        <v>17</v>
      </c>
      <c r="H440" s="20">
        <v>4</v>
      </c>
      <c r="I440" s="20" t="s">
        <v>481</v>
      </c>
      <c r="J440" s="20" t="s">
        <v>20</v>
      </c>
      <c r="K440" s="19" t="str">
        <f>B440&amp;"-"&amp;C440&amp;"-"&amp;D440&amp;"-"&amp;E440&amp;"-"&amp;G440&amp;H440</f>
        <v>Quercus-B3-P2-C3-A4</v>
      </c>
      <c r="L440" s="20" t="s">
        <v>21</v>
      </c>
      <c r="M440" s="20" t="s">
        <v>22</v>
      </c>
      <c r="N440" s="20" t="s">
        <v>23</v>
      </c>
      <c r="O440" s="27" t="str">
        <f>J440&amp;"_"&amp;M440</f>
        <v>Drought_No</v>
      </c>
      <c r="P440" s="2" t="str">
        <f>J440&amp;"_"&amp;M440</f>
        <v>Drought_No</v>
      </c>
      <c r="Q440" s="2" t="str">
        <f>L440&amp;"_"&amp;M440</f>
        <v>Yellow_No</v>
      </c>
      <c r="R440" s="23" t="s">
        <v>2071</v>
      </c>
      <c r="S440" s="2"/>
      <c r="T440" s="2"/>
    </row>
    <row r="441" spans="1:20" s="10" customFormat="1" ht="15.75" customHeight="1" x14ac:dyDescent="0.2">
      <c r="A441" s="21">
        <v>440</v>
      </c>
      <c r="B441" s="20" t="s">
        <v>19</v>
      </c>
      <c r="C441" s="20" t="s">
        <v>426</v>
      </c>
      <c r="D441" s="20" t="s">
        <v>62</v>
      </c>
      <c r="E441" s="20" t="s">
        <v>42</v>
      </c>
      <c r="F441" s="18" t="str">
        <f>C441&amp;"-"&amp;D441&amp;"-"&amp;E441</f>
        <v>B3-P2-C3</v>
      </c>
      <c r="G441" s="20" t="s">
        <v>24</v>
      </c>
      <c r="H441" s="20">
        <v>4</v>
      </c>
      <c r="I441" s="20" t="s">
        <v>482</v>
      </c>
      <c r="J441" s="20" t="s">
        <v>20</v>
      </c>
      <c r="K441" s="19" t="str">
        <f>B441&amp;"-"&amp;C441&amp;"-"&amp;D441&amp;"-"&amp;E441&amp;"-"&amp;G441&amp;H441</f>
        <v>Fagus-B3-P2-C3-B4</v>
      </c>
      <c r="L441" s="20" t="s">
        <v>21</v>
      </c>
      <c r="M441" s="20" t="s">
        <v>22</v>
      </c>
      <c r="N441" s="20" t="s">
        <v>23</v>
      </c>
      <c r="O441" s="27" t="str">
        <f>J441&amp;"_"&amp;M441</f>
        <v>Drought_No</v>
      </c>
      <c r="P441" s="2" t="str">
        <f>J441&amp;"_"&amp;M441</f>
        <v>Drought_No</v>
      </c>
      <c r="Q441" s="2" t="str">
        <f>L441&amp;"_"&amp;M441</f>
        <v>Yellow_No</v>
      </c>
      <c r="R441" s="23" t="s">
        <v>2071</v>
      </c>
      <c r="S441" s="2"/>
      <c r="T441" s="2"/>
    </row>
    <row r="442" spans="1:20" s="9" customFormat="1" ht="15.75" customHeight="1" x14ac:dyDescent="0.2">
      <c r="A442" s="13">
        <v>441</v>
      </c>
      <c r="B442" s="14" t="s">
        <v>35</v>
      </c>
      <c r="C442" s="14" t="s">
        <v>426</v>
      </c>
      <c r="D442" s="14" t="s">
        <v>62</v>
      </c>
      <c r="E442" s="14" t="s">
        <v>53</v>
      </c>
      <c r="F442" s="14" t="str">
        <f>C442&amp;"-"&amp;D442&amp;"-"&amp;E442</f>
        <v>B3-P2-C4</v>
      </c>
      <c r="G442" s="14" t="s">
        <v>17</v>
      </c>
      <c r="H442" s="14">
        <v>1</v>
      </c>
      <c r="I442" s="14" t="s">
        <v>483</v>
      </c>
      <c r="J442" s="14" t="s">
        <v>20</v>
      </c>
      <c r="K442" s="13" t="str">
        <f>B442&amp;"-"&amp;C442&amp;"-"&amp;D442&amp;"-"&amp;E442&amp;"-"&amp;G442&amp;H442</f>
        <v>Quercus-B3-P2-C4-A1</v>
      </c>
      <c r="L442" s="14" t="s">
        <v>21</v>
      </c>
      <c r="M442" s="14" t="s">
        <v>44</v>
      </c>
      <c r="N442" s="14" t="s">
        <v>45</v>
      </c>
      <c r="O442" s="26" t="str">
        <f>J442&amp;"_"&amp;M442</f>
        <v>Drought_Yes</v>
      </c>
      <c r="P442" s="23" t="str">
        <f>J442&amp;"_"&amp;M442</f>
        <v>Drought_Yes</v>
      </c>
      <c r="Q442" s="23" t="str">
        <f>L442&amp;"_"&amp;M442</f>
        <v>Yellow_Yes</v>
      </c>
      <c r="R442" s="23" t="s">
        <v>2071</v>
      </c>
      <c r="S442" s="1"/>
      <c r="T442" s="1"/>
    </row>
    <row r="443" spans="1:20" s="9" customFormat="1" ht="15.75" customHeight="1" x14ac:dyDescent="0.2">
      <c r="A443" s="13">
        <v>442</v>
      </c>
      <c r="B443" s="14" t="s">
        <v>35</v>
      </c>
      <c r="C443" s="14" t="s">
        <v>426</v>
      </c>
      <c r="D443" s="14" t="s">
        <v>62</v>
      </c>
      <c r="E443" s="14" t="s">
        <v>53</v>
      </c>
      <c r="F443" s="14" t="str">
        <f>C443&amp;"-"&amp;D443&amp;"-"&amp;E443</f>
        <v>B3-P2-C4</v>
      </c>
      <c r="G443" s="14" t="s">
        <v>24</v>
      </c>
      <c r="H443" s="14">
        <v>1</v>
      </c>
      <c r="I443" s="14" t="s">
        <v>484</v>
      </c>
      <c r="J443" s="14" t="s">
        <v>20</v>
      </c>
      <c r="K443" s="13" t="str">
        <f>B443&amp;"-"&amp;C443&amp;"-"&amp;D443&amp;"-"&amp;E443&amp;"-"&amp;G443&amp;H443</f>
        <v>Quercus-B3-P2-C4-B1</v>
      </c>
      <c r="L443" s="14" t="s">
        <v>21</v>
      </c>
      <c r="M443" s="14" t="s">
        <v>44</v>
      </c>
      <c r="N443" s="14" t="s">
        <v>45</v>
      </c>
      <c r="O443" s="26" t="str">
        <f>J443&amp;"_"&amp;M443</f>
        <v>Drought_Yes</v>
      </c>
      <c r="P443" s="23" t="str">
        <f>J443&amp;"_"&amp;M443</f>
        <v>Drought_Yes</v>
      </c>
      <c r="Q443" s="23" t="str">
        <f>L443&amp;"_"&amp;M443</f>
        <v>Yellow_Yes</v>
      </c>
      <c r="R443" s="23" t="s">
        <v>2071</v>
      </c>
      <c r="S443" s="1"/>
      <c r="T443" s="1"/>
    </row>
    <row r="444" spans="1:20" s="9" customFormat="1" ht="15.75" customHeight="1" x14ac:dyDescent="0.2">
      <c r="A444" s="13">
        <v>443</v>
      </c>
      <c r="B444" s="14" t="s">
        <v>35</v>
      </c>
      <c r="C444" s="14" t="s">
        <v>426</v>
      </c>
      <c r="D444" s="14" t="s">
        <v>62</v>
      </c>
      <c r="E444" s="14" t="s">
        <v>53</v>
      </c>
      <c r="F444" s="14" t="str">
        <f>C444&amp;"-"&amp;D444&amp;"-"&amp;E444</f>
        <v>B3-P2-C4</v>
      </c>
      <c r="G444" s="14" t="s">
        <v>17</v>
      </c>
      <c r="H444" s="14">
        <v>2</v>
      </c>
      <c r="I444" s="14" t="s">
        <v>485</v>
      </c>
      <c r="J444" s="14" t="s">
        <v>20</v>
      </c>
      <c r="K444" s="13" t="str">
        <f>B444&amp;"-"&amp;C444&amp;"-"&amp;D444&amp;"-"&amp;E444&amp;"-"&amp;G444&amp;H444</f>
        <v>Quercus-B3-P2-C4-A2</v>
      </c>
      <c r="L444" s="14" t="s">
        <v>21</v>
      </c>
      <c r="M444" s="14" t="s">
        <v>44</v>
      </c>
      <c r="N444" s="14" t="s">
        <v>45</v>
      </c>
      <c r="O444" s="26" t="str">
        <f>J444&amp;"_"&amp;M444</f>
        <v>Drought_Yes</v>
      </c>
      <c r="P444" s="23" t="str">
        <f>J444&amp;"_"&amp;M444</f>
        <v>Drought_Yes</v>
      </c>
      <c r="Q444" s="23" t="str">
        <f>L444&amp;"_"&amp;M444</f>
        <v>Yellow_Yes</v>
      </c>
      <c r="R444" s="23" t="s">
        <v>2071</v>
      </c>
      <c r="S444" s="1"/>
      <c r="T444" s="1"/>
    </row>
    <row r="445" spans="1:20" s="9" customFormat="1" ht="15.75" customHeight="1" x14ac:dyDescent="0.2">
      <c r="A445" s="13">
        <v>444</v>
      </c>
      <c r="B445" s="14" t="s">
        <v>35</v>
      </c>
      <c r="C445" s="14" t="s">
        <v>426</v>
      </c>
      <c r="D445" s="14" t="s">
        <v>62</v>
      </c>
      <c r="E445" s="14" t="s">
        <v>53</v>
      </c>
      <c r="F445" s="14" t="str">
        <f>C445&amp;"-"&amp;D445&amp;"-"&amp;E445</f>
        <v>B3-P2-C4</v>
      </c>
      <c r="G445" s="14" t="s">
        <v>24</v>
      </c>
      <c r="H445" s="14">
        <v>2</v>
      </c>
      <c r="I445" s="14" t="s">
        <v>486</v>
      </c>
      <c r="J445" s="14" t="s">
        <v>20</v>
      </c>
      <c r="K445" s="13" t="str">
        <f>B445&amp;"-"&amp;C445&amp;"-"&amp;D445&amp;"-"&amp;E445&amp;"-"&amp;G445&amp;H445</f>
        <v>Quercus-B3-P2-C4-B2</v>
      </c>
      <c r="L445" s="14" t="s">
        <v>21</v>
      </c>
      <c r="M445" s="14" t="s">
        <v>44</v>
      </c>
      <c r="N445" s="14" t="s">
        <v>45</v>
      </c>
      <c r="O445" s="26" t="str">
        <f>J445&amp;"_"&amp;M445</f>
        <v>Drought_Yes</v>
      </c>
      <c r="P445" s="23" t="str">
        <f>J445&amp;"_"&amp;M445</f>
        <v>Drought_Yes</v>
      </c>
      <c r="Q445" s="23" t="str">
        <f>L445&amp;"_"&amp;M445</f>
        <v>Yellow_Yes</v>
      </c>
      <c r="R445" s="23" t="s">
        <v>2071</v>
      </c>
      <c r="S445" s="1"/>
      <c r="T445" s="1"/>
    </row>
    <row r="446" spans="1:20" s="9" customFormat="1" ht="15.75" customHeight="1" x14ac:dyDescent="0.2">
      <c r="A446" s="13">
        <v>445</v>
      </c>
      <c r="B446" s="14" t="s">
        <v>35</v>
      </c>
      <c r="C446" s="14" t="s">
        <v>426</v>
      </c>
      <c r="D446" s="14" t="s">
        <v>62</v>
      </c>
      <c r="E446" s="14" t="s">
        <v>53</v>
      </c>
      <c r="F446" s="14" t="str">
        <f>C446&amp;"-"&amp;D446&amp;"-"&amp;E446</f>
        <v>B3-P2-C4</v>
      </c>
      <c r="G446" s="14" t="s">
        <v>17</v>
      </c>
      <c r="H446" s="14">
        <v>3</v>
      </c>
      <c r="I446" s="14" t="s">
        <v>487</v>
      </c>
      <c r="J446" s="14" t="s">
        <v>20</v>
      </c>
      <c r="K446" s="13" t="str">
        <f>B446&amp;"-"&amp;C446&amp;"-"&amp;D446&amp;"-"&amp;E446&amp;"-"&amp;G446&amp;H446</f>
        <v>Quercus-B3-P2-C4-A3</v>
      </c>
      <c r="L446" s="14" t="s">
        <v>21</v>
      </c>
      <c r="M446" s="14" t="s">
        <v>44</v>
      </c>
      <c r="N446" s="14" t="s">
        <v>45</v>
      </c>
      <c r="O446" s="26" t="str">
        <f>J446&amp;"_"&amp;M446</f>
        <v>Drought_Yes</v>
      </c>
      <c r="P446" s="23" t="str">
        <f>J446&amp;"_"&amp;M446</f>
        <v>Drought_Yes</v>
      </c>
      <c r="Q446" s="23" t="str">
        <f>L446&amp;"_"&amp;M446</f>
        <v>Yellow_Yes</v>
      </c>
      <c r="R446" s="23" t="s">
        <v>2071</v>
      </c>
      <c r="S446" s="1"/>
      <c r="T446" s="1"/>
    </row>
    <row r="447" spans="1:20" s="9" customFormat="1" ht="15.75" customHeight="1" x14ac:dyDescent="0.2">
      <c r="A447" s="13">
        <v>446</v>
      </c>
      <c r="B447" s="14" t="s">
        <v>35</v>
      </c>
      <c r="C447" s="14" t="s">
        <v>426</v>
      </c>
      <c r="D447" s="14" t="s">
        <v>62</v>
      </c>
      <c r="E447" s="14" t="s">
        <v>53</v>
      </c>
      <c r="F447" s="14" t="str">
        <f>C447&amp;"-"&amp;D447&amp;"-"&amp;E447</f>
        <v>B3-P2-C4</v>
      </c>
      <c r="G447" s="14" t="s">
        <v>24</v>
      </c>
      <c r="H447" s="14">
        <v>3</v>
      </c>
      <c r="I447" s="14" t="s">
        <v>488</v>
      </c>
      <c r="J447" s="14" t="s">
        <v>20</v>
      </c>
      <c r="K447" s="13" t="str">
        <f>B447&amp;"-"&amp;C447&amp;"-"&amp;D447&amp;"-"&amp;E447&amp;"-"&amp;G447&amp;H447</f>
        <v>Quercus-B3-P2-C4-B3</v>
      </c>
      <c r="L447" s="14" t="s">
        <v>21</v>
      </c>
      <c r="M447" s="14" t="s">
        <v>44</v>
      </c>
      <c r="N447" s="14" t="s">
        <v>45</v>
      </c>
      <c r="O447" s="26" t="str">
        <f>J447&amp;"_"&amp;M447</f>
        <v>Drought_Yes</v>
      </c>
      <c r="P447" s="23" t="str">
        <f>J447&amp;"_"&amp;M447</f>
        <v>Drought_Yes</v>
      </c>
      <c r="Q447" s="23" t="str">
        <f>L447&amp;"_"&amp;M447</f>
        <v>Yellow_Yes</v>
      </c>
      <c r="R447" s="23" t="s">
        <v>2071</v>
      </c>
      <c r="S447" s="1"/>
      <c r="T447" s="1"/>
    </row>
    <row r="448" spans="1:20" s="9" customFormat="1" ht="15.75" customHeight="1" x14ac:dyDescent="0.2">
      <c r="A448" s="13">
        <v>447</v>
      </c>
      <c r="B448" s="14" t="s">
        <v>35</v>
      </c>
      <c r="C448" s="14" t="s">
        <v>426</v>
      </c>
      <c r="D448" s="14" t="s">
        <v>62</v>
      </c>
      <c r="E448" s="14" t="s">
        <v>53</v>
      </c>
      <c r="F448" s="14" t="str">
        <f>C448&amp;"-"&amp;D448&amp;"-"&amp;E448</f>
        <v>B3-P2-C4</v>
      </c>
      <c r="G448" s="14" t="s">
        <v>17</v>
      </c>
      <c r="H448" s="14">
        <v>4</v>
      </c>
      <c r="I448" s="14" t="s">
        <v>489</v>
      </c>
      <c r="J448" s="14" t="s">
        <v>20</v>
      </c>
      <c r="K448" s="13" t="str">
        <f>B448&amp;"-"&amp;C448&amp;"-"&amp;D448&amp;"-"&amp;E448&amp;"-"&amp;G448&amp;H448</f>
        <v>Quercus-B3-P2-C4-A4</v>
      </c>
      <c r="L448" s="14" t="s">
        <v>21</v>
      </c>
      <c r="M448" s="14" t="s">
        <v>44</v>
      </c>
      <c r="N448" s="14" t="s">
        <v>45</v>
      </c>
      <c r="O448" s="26" t="str">
        <f>J448&amp;"_"&amp;M448</f>
        <v>Drought_Yes</v>
      </c>
      <c r="P448" s="23" t="str">
        <f>J448&amp;"_"&amp;M448</f>
        <v>Drought_Yes</v>
      </c>
      <c r="Q448" s="23" t="str">
        <f>L448&amp;"_"&amp;M448</f>
        <v>Yellow_Yes</v>
      </c>
      <c r="R448" s="23" t="s">
        <v>2071</v>
      </c>
      <c r="S448" s="2"/>
      <c r="T448" s="2"/>
    </row>
    <row r="449" spans="1:20" s="9" customFormat="1" ht="15.75" customHeight="1" x14ac:dyDescent="0.2">
      <c r="A449" s="13">
        <v>448</v>
      </c>
      <c r="B449" s="14" t="s">
        <v>35</v>
      </c>
      <c r="C449" s="14" t="s">
        <v>426</v>
      </c>
      <c r="D449" s="14" t="s">
        <v>62</v>
      </c>
      <c r="E449" s="14" t="s">
        <v>53</v>
      </c>
      <c r="F449" s="14" t="str">
        <f>C449&amp;"-"&amp;D449&amp;"-"&amp;E449</f>
        <v>B3-P2-C4</v>
      </c>
      <c r="G449" s="14" t="s">
        <v>24</v>
      </c>
      <c r="H449" s="14">
        <v>4</v>
      </c>
      <c r="I449" s="14" t="s">
        <v>490</v>
      </c>
      <c r="J449" s="14" t="s">
        <v>20</v>
      </c>
      <c r="K449" s="13" t="str">
        <f>B449&amp;"-"&amp;C449&amp;"-"&amp;D449&amp;"-"&amp;E449&amp;"-"&amp;G449&amp;H449</f>
        <v>Quercus-B3-P2-C4-B4</v>
      </c>
      <c r="L449" s="14" t="s">
        <v>21</v>
      </c>
      <c r="M449" s="14" t="s">
        <v>44</v>
      </c>
      <c r="N449" s="14" t="s">
        <v>45</v>
      </c>
      <c r="O449" s="26" t="str">
        <f>J449&amp;"_"&amp;M449</f>
        <v>Drought_Yes</v>
      </c>
      <c r="P449" s="23" t="str">
        <f>J449&amp;"_"&amp;M449</f>
        <v>Drought_Yes</v>
      </c>
      <c r="Q449" s="23" t="str">
        <f>L449&amp;"_"&amp;M449</f>
        <v>Yellow_Yes</v>
      </c>
      <c r="R449" s="23" t="s">
        <v>2071</v>
      </c>
      <c r="S449" s="2"/>
      <c r="T449" s="2"/>
    </row>
    <row r="450" spans="1:20" s="10" customFormat="1" ht="15.75" customHeight="1" x14ac:dyDescent="0.2">
      <c r="A450" s="21">
        <v>449</v>
      </c>
      <c r="B450" s="20" t="s">
        <v>35</v>
      </c>
      <c r="C450" s="20" t="s">
        <v>426</v>
      </c>
      <c r="D450" s="20" t="s">
        <v>98</v>
      </c>
      <c r="E450" s="20" t="s">
        <v>16</v>
      </c>
      <c r="F450" s="18" t="str">
        <f>C450&amp;"-"&amp;D450&amp;"-"&amp;E450</f>
        <v>B3-P3-C1</v>
      </c>
      <c r="G450" s="20" t="s">
        <v>17</v>
      </c>
      <c r="H450" s="20">
        <v>1</v>
      </c>
      <c r="I450" s="20" t="s">
        <v>491</v>
      </c>
      <c r="J450" s="20" t="s">
        <v>20</v>
      </c>
      <c r="K450" s="19" t="str">
        <f>B450&amp;"-"&amp;C450&amp;"-"&amp;D450&amp;"-"&amp;E450&amp;"-"&amp;G450&amp;H450</f>
        <v>Quercus-B3-P3-C1-A1</v>
      </c>
      <c r="L450" s="20" t="s">
        <v>64</v>
      </c>
      <c r="M450" s="20" t="s">
        <v>22</v>
      </c>
      <c r="N450" s="20" t="s">
        <v>74</v>
      </c>
      <c r="O450" s="27" t="str">
        <f>J450&amp;"_"&amp;M450</f>
        <v>Drought_No</v>
      </c>
      <c r="P450" s="2" t="str">
        <f>J450&amp;"_"&amp;M450</f>
        <v>Drought_No</v>
      </c>
      <c r="Q450" s="2" t="str">
        <f>L450&amp;"_"&amp;M450</f>
        <v>Grey_No</v>
      </c>
      <c r="R450" s="18" t="s">
        <v>2072</v>
      </c>
      <c r="S450" s="2"/>
      <c r="T450" s="2"/>
    </row>
    <row r="451" spans="1:20" s="10" customFormat="1" ht="15.75" customHeight="1" x14ac:dyDescent="0.2">
      <c r="A451" s="21">
        <v>450</v>
      </c>
      <c r="B451" s="20" t="s">
        <v>35</v>
      </c>
      <c r="C451" s="20" t="s">
        <v>426</v>
      </c>
      <c r="D451" s="20" t="s">
        <v>98</v>
      </c>
      <c r="E451" s="20" t="s">
        <v>16</v>
      </c>
      <c r="F451" s="18" t="str">
        <f>C451&amp;"-"&amp;D451&amp;"-"&amp;E451</f>
        <v>B3-P3-C1</v>
      </c>
      <c r="G451" s="20" t="s">
        <v>24</v>
      </c>
      <c r="H451" s="20">
        <v>1</v>
      </c>
      <c r="I451" s="20" t="s">
        <v>492</v>
      </c>
      <c r="J451" s="20" t="s">
        <v>20</v>
      </c>
      <c r="K451" s="19" t="str">
        <f>B451&amp;"-"&amp;C451&amp;"-"&amp;D451&amp;"-"&amp;E451&amp;"-"&amp;G451&amp;H451</f>
        <v>Quercus-B3-P3-C1-B1</v>
      </c>
      <c r="L451" s="20" t="s">
        <v>64</v>
      </c>
      <c r="M451" s="20" t="s">
        <v>22</v>
      </c>
      <c r="N451" s="20" t="s">
        <v>74</v>
      </c>
      <c r="O451" s="27" t="str">
        <f>J451&amp;"_"&amp;M451</f>
        <v>Drought_No</v>
      </c>
      <c r="P451" s="2" t="str">
        <f>J451&amp;"_"&amp;M451</f>
        <v>Drought_No</v>
      </c>
      <c r="Q451" s="2" t="str">
        <f>L451&amp;"_"&amp;M451</f>
        <v>Grey_No</v>
      </c>
      <c r="R451" s="18" t="s">
        <v>2072</v>
      </c>
      <c r="S451" s="2"/>
      <c r="T451" s="2"/>
    </row>
    <row r="452" spans="1:20" s="10" customFormat="1" ht="15.75" customHeight="1" x14ac:dyDescent="0.2">
      <c r="A452" s="21">
        <v>451</v>
      </c>
      <c r="B452" s="20" t="s">
        <v>35</v>
      </c>
      <c r="C452" s="20" t="s">
        <v>426</v>
      </c>
      <c r="D452" s="20" t="s">
        <v>98</v>
      </c>
      <c r="E452" s="20" t="s">
        <v>16</v>
      </c>
      <c r="F452" s="18" t="str">
        <f>C452&amp;"-"&amp;D452&amp;"-"&amp;E452</f>
        <v>B3-P3-C1</v>
      </c>
      <c r="G452" s="20" t="s">
        <v>17</v>
      </c>
      <c r="H452" s="20">
        <v>2</v>
      </c>
      <c r="I452" s="20" t="s">
        <v>493</v>
      </c>
      <c r="J452" s="20" t="s">
        <v>20</v>
      </c>
      <c r="K452" s="19" t="str">
        <f>B452&amp;"-"&amp;C452&amp;"-"&amp;D452&amp;"-"&amp;E452&amp;"-"&amp;G452&amp;H452</f>
        <v>Quercus-B3-P3-C1-A2</v>
      </c>
      <c r="L452" s="20" t="s">
        <v>64</v>
      </c>
      <c r="M452" s="20" t="s">
        <v>22</v>
      </c>
      <c r="N452" s="20" t="s">
        <v>74</v>
      </c>
      <c r="O452" s="27" t="str">
        <f>J452&amp;"_"&amp;M452</f>
        <v>Drought_No</v>
      </c>
      <c r="P452" s="2" t="str">
        <f>J452&amp;"_"&amp;M452</f>
        <v>Drought_No</v>
      </c>
      <c r="Q452" s="2" t="str">
        <f>L452&amp;"_"&amp;M452</f>
        <v>Grey_No</v>
      </c>
      <c r="R452" s="18" t="s">
        <v>2072</v>
      </c>
      <c r="S452" s="2"/>
      <c r="T452" s="2"/>
    </row>
    <row r="453" spans="1:20" s="10" customFormat="1" ht="15.75" customHeight="1" x14ac:dyDescent="0.2">
      <c r="A453" s="21">
        <v>452</v>
      </c>
      <c r="B453" s="20" t="s">
        <v>35</v>
      </c>
      <c r="C453" s="20" t="s">
        <v>426</v>
      </c>
      <c r="D453" s="20" t="s">
        <v>98</v>
      </c>
      <c r="E453" s="20" t="s">
        <v>16</v>
      </c>
      <c r="F453" s="18" t="str">
        <f>C453&amp;"-"&amp;D453&amp;"-"&amp;E453</f>
        <v>B3-P3-C1</v>
      </c>
      <c r="G453" s="20" t="s">
        <v>24</v>
      </c>
      <c r="H453" s="20">
        <v>2</v>
      </c>
      <c r="I453" s="20" t="s">
        <v>494</v>
      </c>
      <c r="J453" s="20" t="s">
        <v>20</v>
      </c>
      <c r="K453" s="19" t="str">
        <f>B453&amp;"-"&amp;C453&amp;"-"&amp;D453&amp;"-"&amp;E453&amp;"-"&amp;G453&amp;H453</f>
        <v>Quercus-B3-P3-C1-B2</v>
      </c>
      <c r="L453" s="20" t="s">
        <v>64</v>
      </c>
      <c r="M453" s="20" t="s">
        <v>22</v>
      </c>
      <c r="N453" s="20" t="s">
        <v>74</v>
      </c>
      <c r="O453" s="27" t="str">
        <f>J453&amp;"_"&amp;M453</f>
        <v>Drought_No</v>
      </c>
      <c r="P453" s="2" t="str">
        <f>J453&amp;"_"&amp;M453</f>
        <v>Drought_No</v>
      </c>
      <c r="Q453" s="2" t="str">
        <f>L453&amp;"_"&amp;M453</f>
        <v>Grey_No</v>
      </c>
      <c r="R453" s="18" t="s">
        <v>2072</v>
      </c>
      <c r="S453" s="2"/>
      <c r="T453" s="2"/>
    </row>
    <row r="454" spans="1:20" s="10" customFormat="1" ht="15.75" customHeight="1" x14ac:dyDescent="0.2">
      <c r="A454" s="21">
        <v>453</v>
      </c>
      <c r="B454" s="20" t="s">
        <v>35</v>
      </c>
      <c r="C454" s="20" t="s">
        <v>426</v>
      </c>
      <c r="D454" s="20" t="s">
        <v>98</v>
      </c>
      <c r="E454" s="20" t="s">
        <v>16</v>
      </c>
      <c r="F454" s="18" t="str">
        <f>C454&amp;"-"&amp;D454&amp;"-"&amp;E454</f>
        <v>B3-P3-C1</v>
      </c>
      <c r="G454" s="20" t="s">
        <v>17</v>
      </c>
      <c r="H454" s="20">
        <v>3</v>
      </c>
      <c r="I454" s="20" t="s">
        <v>495</v>
      </c>
      <c r="J454" s="20" t="s">
        <v>20</v>
      </c>
      <c r="K454" s="19" t="str">
        <f>B454&amp;"-"&amp;C454&amp;"-"&amp;D454&amp;"-"&amp;E454&amp;"-"&amp;G454&amp;H454</f>
        <v>Quercus-B3-P3-C1-A3</v>
      </c>
      <c r="L454" s="20" t="s">
        <v>64</v>
      </c>
      <c r="M454" s="20" t="s">
        <v>22</v>
      </c>
      <c r="N454" s="20" t="s">
        <v>74</v>
      </c>
      <c r="O454" s="27" t="str">
        <f>J454&amp;"_"&amp;M454</f>
        <v>Drought_No</v>
      </c>
      <c r="P454" s="2" t="str">
        <f>J454&amp;"_"&amp;M454</f>
        <v>Drought_No</v>
      </c>
      <c r="Q454" s="2" t="str">
        <f>L454&amp;"_"&amp;M454</f>
        <v>Grey_No</v>
      </c>
      <c r="R454" s="18" t="s">
        <v>2072</v>
      </c>
      <c r="S454" s="2"/>
      <c r="T454" s="2"/>
    </row>
    <row r="455" spans="1:20" s="10" customFormat="1" ht="15.75" customHeight="1" x14ac:dyDescent="0.2">
      <c r="A455" s="21">
        <v>454</v>
      </c>
      <c r="B455" s="20" t="s">
        <v>35</v>
      </c>
      <c r="C455" s="20" t="s">
        <v>426</v>
      </c>
      <c r="D455" s="20" t="s">
        <v>98</v>
      </c>
      <c r="E455" s="20" t="s">
        <v>16</v>
      </c>
      <c r="F455" s="18" t="str">
        <f>C455&amp;"-"&amp;D455&amp;"-"&amp;E455</f>
        <v>B3-P3-C1</v>
      </c>
      <c r="G455" s="20" t="s">
        <v>24</v>
      </c>
      <c r="H455" s="20">
        <v>3</v>
      </c>
      <c r="I455" s="20" t="s">
        <v>496</v>
      </c>
      <c r="J455" s="20" t="s">
        <v>20</v>
      </c>
      <c r="K455" s="19" t="str">
        <f>B455&amp;"-"&amp;C455&amp;"-"&amp;D455&amp;"-"&amp;E455&amp;"-"&amp;G455&amp;H455</f>
        <v>Quercus-B3-P3-C1-B3</v>
      </c>
      <c r="L455" s="20" t="s">
        <v>64</v>
      </c>
      <c r="M455" s="20" t="s">
        <v>22</v>
      </c>
      <c r="N455" s="20" t="s">
        <v>74</v>
      </c>
      <c r="O455" s="27" t="str">
        <f>J455&amp;"_"&amp;M455</f>
        <v>Drought_No</v>
      </c>
      <c r="P455" s="2" t="str">
        <f>J455&amp;"_"&amp;M455</f>
        <v>Drought_No</v>
      </c>
      <c r="Q455" s="2" t="str">
        <f>L455&amp;"_"&amp;M455</f>
        <v>Grey_No</v>
      </c>
      <c r="R455" s="18" t="s">
        <v>2072</v>
      </c>
      <c r="S455" s="2"/>
      <c r="T455" s="2"/>
    </row>
    <row r="456" spans="1:20" s="10" customFormat="1" ht="15.75" customHeight="1" x14ac:dyDescent="0.2">
      <c r="A456" s="21">
        <v>455</v>
      </c>
      <c r="B456" s="20" t="s">
        <v>35</v>
      </c>
      <c r="C456" s="20" t="s">
        <v>426</v>
      </c>
      <c r="D456" s="20" t="s">
        <v>98</v>
      </c>
      <c r="E456" s="20" t="s">
        <v>16</v>
      </c>
      <c r="F456" s="18" t="str">
        <f>C456&amp;"-"&amp;D456&amp;"-"&amp;E456</f>
        <v>B3-P3-C1</v>
      </c>
      <c r="G456" s="20" t="s">
        <v>17</v>
      </c>
      <c r="H456" s="20">
        <v>4</v>
      </c>
      <c r="I456" s="20" t="s">
        <v>497</v>
      </c>
      <c r="J456" s="20" t="s">
        <v>20</v>
      </c>
      <c r="K456" s="19" t="str">
        <f>B456&amp;"-"&amp;C456&amp;"-"&amp;D456&amp;"-"&amp;E456&amp;"-"&amp;G456&amp;H456</f>
        <v>Quercus-B3-P3-C1-A4</v>
      </c>
      <c r="L456" s="20" t="s">
        <v>64</v>
      </c>
      <c r="M456" s="20" t="s">
        <v>22</v>
      </c>
      <c r="N456" s="20" t="s">
        <v>74</v>
      </c>
      <c r="O456" s="27" t="str">
        <f>J456&amp;"_"&amp;M456</f>
        <v>Drought_No</v>
      </c>
      <c r="P456" s="2" t="str">
        <f>J456&amp;"_"&amp;M456</f>
        <v>Drought_No</v>
      </c>
      <c r="Q456" s="2" t="str">
        <f>L456&amp;"_"&amp;M456</f>
        <v>Grey_No</v>
      </c>
      <c r="R456" s="18" t="s">
        <v>2072</v>
      </c>
      <c r="S456" s="2"/>
      <c r="T456" s="2"/>
    </row>
    <row r="457" spans="1:20" s="10" customFormat="1" ht="15.75" customHeight="1" x14ac:dyDescent="0.2">
      <c r="A457" s="21">
        <v>456</v>
      </c>
      <c r="B457" s="20" t="s">
        <v>35</v>
      </c>
      <c r="C457" s="20" t="s">
        <v>426</v>
      </c>
      <c r="D457" s="20" t="s">
        <v>98</v>
      </c>
      <c r="E457" s="20" t="s">
        <v>16</v>
      </c>
      <c r="F457" s="18" t="str">
        <f>C457&amp;"-"&amp;D457&amp;"-"&amp;E457</f>
        <v>B3-P3-C1</v>
      </c>
      <c r="G457" s="20" t="s">
        <v>24</v>
      </c>
      <c r="H457" s="20">
        <v>4</v>
      </c>
      <c r="I457" s="20" t="s">
        <v>498</v>
      </c>
      <c r="J457" s="20" t="s">
        <v>20</v>
      </c>
      <c r="K457" s="19" t="str">
        <f>B457&amp;"-"&amp;C457&amp;"-"&amp;D457&amp;"-"&amp;E457&amp;"-"&amp;G457&amp;H457</f>
        <v>Quercus-B3-P3-C1-B4</v>
      </c>
      <c r="L457" s="20" t="s">
        <v>64</v>
      </c>
      <c r="M457" s="20" t="s">
        <v>22</v>
      </c>
      <c r="N457" s="20" t="s">
        <v>74</v>
      </c>
      <c r="O457" s="27" t="str">
        <f>J457&amp;"_"&amp;M457</f>
        <v>Drought_No</v>
      </c>
      <c r="P457" s="2" t="str">
        <f>J457&amp;"_"&amp;M457</f>
        <v>Drought_No</v>
      </c>
      <c r="Q457" s="2" t="str">
        <f>L457&amp;"_"&amp;M457</f>
        <v>Grey_No</v>
      </c>
      <c r="R457" s="18" t="s">
        <v>2072</v>
      </c>
      <c r="S457" s="2"/>
      <c r="T457" s="2"/>
    </row>
    <row r="458" spans="1:20" s="9" customFormat="1" ht="15.75" customHeight="1" x14ac:dyDescent="0.2">
      <c r="A458" s="13">
        <v>457</v>
      </c>
      <c r="B458" s="14" t="s">
        <v>19</v>
      </c>
      <c r="C458" s="14" t="s">
        <v>426</v>
      </c>
      <c r="D458" s="14" t="s">
        <v>98</v>
      </c>
      <c r="E458" s="14" t="s">
        <v>32</v>
      </c>
      <c r="F458" s="14" t="str">
        <f>C458&amp;"-"&amp;D458&amp;"-"&amp;E458</f>
        <v>B3-P3-C2</v>
      </c>
      <c r="G458" s="14" t="s">
        <v>17</v>
      </c>
      <c r="H458" s="14">
        <v>1</v>
      </c>
      <c r="I458" s="14" t="s">
        <v>499</v>
      </c>
      <c r="J458" s="14" t="s">
        <v>20</v>
      </c>
      <c r="K458" s="13" t="str">
        <f>B458&amp;"-"&amp;C458&amp;"-"&amp;D458&amp;"-"&amp;E458&amp;"-"&amp;G458&amp;H458</f>
        <v>Fagus-B3-P3-C2-A1</v>
      </c>
      <c r="L458" s="14" t="s">
        <v>64</v>
      </c>
      <c r="M458" s="14" t="s">
        <v>22</v>
      </c>
      <c r="N458" s="14" t="s">
        <v>74</v>
      </c>
      <c r="O458" s="26" t="str">
        <f>J458&amp;"_"&amp;M458</f>
        <v>Drought_No</v>
      </c>
      <c r="P458" s="23" t="str">
        <f>J458&amp;"_"&amp;M458</f>
        <v>Drought_No</v>
      </c>
      <c r="Q458" s="23" t="str">
        <f>L458&amp;"_"&amp;M458</f>
        <v>Grey_No</v>
      </c>
      <c r="R458" s="18" t="s">
        <v>2072</v>
      </c>
      <c r="S458" s="23"/>
      <c r="T458" s="23"/>
    </row>
    <row r="459" spans="1:20" s="9" customFormat="1" ht="15.75" customHeight="1" x14ac:dyDescent="0.2">
      <c r="A459" s="13">
        <v>458</v>
      </c>
      <c r="B459" s="14" t="s">
        <v>19</v>
      </c>
      <c r="C459" s="14" t="s">
        <v>426</v>
      </c>
      <c r="D459" s="14" t="s">
        <v>98</v>
      </c>
      <c r="E459" s="14" t="s">
        <v>32</v>
      </c>
      <c r="F459" s="14" t="str">
        <f>C459&amp;"-"&amp;D459&amp;"-"&amp;E459</f>
        <v>B3-P3-C2</v>
      </c>
      <c r="G459" s="14" t="s">
        <v>24</v>
      </c>
      <c r="H459" s="14">
        <v>1</v>
      </c>
      <c r="I459" s="14" t="s">
        <v>500</v>
      </c>
      <c r="J459" s="14" t="s">
        <v>20</v>
      </c>
      <c r="K459" s="13" t="str">
        <f>B459&amp;"-"&amp;C459&amp;"-"&amp;D459&amp;"-"&amp;E459&amp;"-"&amp;G459&amp;H459</f>
        <v>Fagus-B3-P3-C2-B1</v>
      </c>
      <c r="L459" s="14" t="s">
        <v>64</v>
      </c>
      <c r="M459" s="14" t="s">
        <v>22</v>
      </c>
      <c r="N459" s="14" t="s">
        <v>74</v>
      </c>
      <c r="O459" s="26" t="str">
        <f>J459&amp;"_"&amp;M459</f>
        <v>Drought_No</v>
      </c>
      <c r="P459" s="23" t="str">
        <f>J459&amp;"_"&amp;M459</f>
        <v>Drought_No</v>
      </c>
      <c r="Q459" s="23" t="str">
        <f>L459&amp;"_"&amp;M459</f>
        <v>Grey_No</v>
      </c>
      <c r="R459" s="18" t="s">
        <v>2072</v>
      </c>
      <c r="S459" s="23"/>
      <c r="T459" s="23"/>
    </row>
    <row r="460" spans="1:20" s="9" customFormat="1" ht="15.75" customHeight="1" x14ac:dyDescent="0.2">
      <c r="A460" s="13">
        <v>459</v>
      </c>
      <c r="B460" s="14" t="s">
        <v>19</v>
      </c>
      <c r="C460" s="14" t="s">
        <v>426</v>
      </c>
      <c r="D460" s="14" t="s">
        <v>98</v>
      </c>
      <c r="E460" s="14" t="s">
        <v>32</v>
      </c>
      <c r="F460" s="14" t="str">
        <f>C460&amp;"-"&amp;D460&amp;"-"&amp;E460</f>
        <v>B3-P3-C2</v>
      </c>
      <c r="G460" s="14" t="s">
        <v>17</v>
      </c>
      <c r="H460" s="14">
        <v>2</v>
      </c>
      <c r="I460" s="14" t="s">
        <v>501</v>
      </c>
      <c r="J460" s="14" t="s">
        <v>20</v>
      </c>
      <c r="K460" s="13" t="str">
        <f>B460&amp;"-"&amp;C460&amp;"-"&amp;D460&amp;"-"&amp;E460&amp;"-"&amp;G460&amp;H460</f>
        <v>Fagus-B3-P3-C2-A2</v>
      </c>
      <c r="L460" s="14" t="s">
        <v>64</v>
      </c>
      <c r="M460" s="14" t="s">
        <v>22</v>
      </c>
      <c r="N460" s="14" t="s">
        <v>74</v>
      </c>
      <c r="O460" s="26" t="str">
        <f>J460&amp;"_"&amp;M460</f>
        <v>Drought_No</v>
      </c>
      <c r="P460" s="23" t="str">
        <f>J460&amp;"_"&amp;M460</f>
        <v>Drought_No</v>
      </c>
      <c r="Q460" s="23" t="str">
        <f>L460&amp;"_"&amp;M460</f>
        <v>Grey_No</v>
      </c>
      <c r="R460" s="18" t="s">
        <v>2072</v>
      </c>
      <c r="S460" s="23"/>
      <c r="T460" s="23"/>
    </row>
    <row r="461" spans="1:20" s="9" customFormat="1" ht="15.75" customHeight="1" x14ac:dyDescent="0.2">
      <c r="A461" s="13">
        <v>460</v>
      </c>
      <c r="B461" s="14" t="s">
        <v>19</v>
      </c>
      <c r="C461" s="14" t="s">
        <v>426</v>
      </c>
      <c r="D461" s="14" t="s">
        <v>98</v>
      </c>
      <c r="E461" s="14" t="s">
        <v>32</v>
      </c>
      <c r="F461" s="14" t="str">
        <f>C461&amp;"-"&amp;D461&amp;"-"&amp;E461</f>
        <v>B3-P3-C2</v>
      </c>
      <c r="G461" s="14" t="s">
        <v>24</v>
      </c>
      <c r="H461" s="14">
        <v>2</v>
      </c>
      <c r="I461" s="14" t="s">
        <v>502</v>
      </c>
      <c r="J461" s="14" t="s">
        <v>20</v>
      </c>
      <c r="K461" s="13" t="str">
        <f>B461&amp;"-"&amp;C461&amp;"-"&amp;D461&amp;"-"&amp;E461&amp;"-"&amp;G461&amp;H461</f>
        <v>Fagus-B3-P3-C2-B2</v>
      </c>
      <c r="L461" s="14" t="s">
        <v>64</v>
      </c>
      <c r="M461" s="14" t="s">
        <v>22</v>
      </c>
      <c r="N461" s="14" t="s">
        <v>74</v>
      </c>
      <c r="O461" s="26" t="str">
        <f>J461&amp;"_"&amp;M461</f>
        <v>Drought_No</v>
      </c>
      <c r="P461" s="23" t="str">
        <f>J461&amp;"_"&amp;M461</f>
        <v>Drought_No</v>
      </c>
      <c r="Q461" s="23" t="str">
        <f>L461&amp;"_"&amp;M461</f>
        <v>Grey_No</v>
      </c>
      <c r="R461" s="18" t="s">
        <v>2072</v>
      </c>
      <c r="S461" s="23"/>
      <c r="T461" s="23"/>
    </row>
    <row r="462" spans="1:20" s="9" customFormat="1" ht="15.75" customHeight="1" x14ac:dyDescent="0.2">
      <c r="A462" s="13">
        <v>461</v>
      </c>
      <c r="B462" s="14" t="s">
        <v>19</v>
      </c>
      <c r="C462" s="14" t="s">
        <v>426</v>
      </c>
      <c r="D462" s="14" t="s">
        <v>98</v>
      </c>
      <c r="E462" s="14" t="s">
        <v>32</v>
      </c>
      <c r="F462" s="14" t="str">
        <f>C462&amp;"-"&amp;D462&amp;"-"&amp;E462</f>
        <v>B3-P3-C2</v>
      </c>
      <c r="G462" s="14" t="s">
        <v>17</v>
      </c>
      <c r="H462" s="14">
        <v>3</v>
      </c>
      <c r="I462" s="14" t="s">
        <v>503</v>
      </c>
      <c r="J462" s="14" t="s">
        <v>20</v>
      </c>
      <c r="K462" s="13" t="str">
        <f>B462&amp;"-"&amp;C462&amp;"-"&amp;D462&amp;"-"&amp;E462&amp;"-"&amp;G462&amp;H462</f>
        <v>Fagus-B3-P3-C2-A3</v>
      </c>
      <c r="L462" s="14" t="s">
        <v>64</v>
      </c>
      <c r="M462" s="14" t="s">
        <v>22</v>
      </c>
      <c r="N462" s="14" t="s">
        <v>74</v>
      </c>
      <c r="O462" s="26" t="str">
        <f>J462&amp;"_"&amp;M462</f>
        <v>Drought_No</v>
      </c>
      <c r="P462" s="23" t="str">
        <f>J462&amp;"_"&amp;M462</f>
        <v>Drought_No</v>
      </c>
      <c r="Q462" s="23" t="str">
        <f>L462&amp;"_"&amp;M462</f>
        <v>Grey_No</v>
      </c>
      <c r="R462" s="18" t="s">
        <v>2072</v>
      </c>
      <c r="S462" s="23"/>
      <c r="T462" s="23"/>
    </row>
    <row r="463" spans="1:20" s="9" customFormat="1" ht="15.75" customHeight="1" x14ac:dyDescent="0.2">
      <c r="A463" s="13">
        <v>462</v>
      </c>
      <c r="B463" s="14" t="s">
        <v>19</v>
      </c>
      <c r="C463" s="14" t="s">
        <v>426</v>
      </c>
      <c r="D463" s="14" t="s">
        <v>98</v>
      </c>
      <c r="E463" s="14" t="s">
        <v>32</v>
      </c>
      <c r="F463" s="14" t="str">
        <f>C463&amp;"-"&amp;D463&amp;"-"&amp;E463</f>
        <v>B3-P3-C2</v>
      </c>
      <c r="G463" s="14" t="s">
        <v>24</v>
      </c>
      <c r="H463" s="14">
        <v>3</v>
      </c>
      <c r="I463" s="14" t="s">
        <v>504</v>
      </c>
      <c r="J463" s="14" t="s">
        <v>20</v>
      </c>
      <c r="K463" s="13" t="str">
        <f>B463&amp;"-"&amp;C463&amp;"-"&amp;D463&amp;"-"&amp;E463&amp;"-"&amp;G463&amp;H463</f>
        <v>Fagus-B3-P3-C2-B3</v>
      </c>
      <c r="L463" s="14" t="s">
        <v>64</v>
      </c>
      <c r="M463" s="14" t="s">
        <v>22</v>
      </c>
      <c r="N463" s="14" t="s">
        <v>74</v>
      </c>
      <c r="O463" s="26" t="str">
        <f>J463&amp;"_"&amp;M463</f>
        <v>Drought_No</v>
      </c>
      <c r="P463" s="23" t="str">
        <f>J463&amp;"_"&amp;M463</f>
        <v>Drought_No</v>
      </c>
      <c r="Q463" s="23" t="str">
        <f>L463&amp;"_"&amp;M463</f>
        <v>Grey_No</v>
      </c>
      <c r="R463" s="18" t="s">
        <v>2072</v>
      </c>
      <c r="S463" s="23"/>
      <c r="T463" s="23"/>
    </row>
    <row r="464" spans="1:20" s="9" customFormat="1" ht="15.75" customHeight="1" x14ac:dyDescent="0.2">
      <c r="A464" s="13">
        <v>463</v>
      </c>
      <c r="B464" s="14" t="s">
        <v>19</v>
      </c>
      <c r="C464" s="14" t="s">
        <v>426</v>
      </c>
      <c r="D464" s="14" t="s">
        <v>98</v>
      </c>
      <c r="E464" s="14" t="s">
        <v>32</v>
      </c>
      <c r="F464" s="14" t="str">
        <f>C464&amp;"-"&amp;D464&amp;"-"&amp;E464</f>
        <v>B3-P3-C2</v>
      </c>
      <c r="G464" s="14" t="s">
        <v>17</v>
      </c>
      <c r="H464" s="14">
        <v>4</v>
      </c>
      <c r="I464" s="14" t="s">
        <v>505</v>
      </c>
      <c r="J464" s="14" t="s">
        <v>20</v>
      </c>
      <c r="K464" s="13" t="str">
        <f>B464&amp;"-"&amp;C464&amp;"-"&amp;D464&amp;"-"&amp;E464&amp;"-"&amp;G464&amp;H464</f>
        <v>Fagus-B3-P3-C2-A4</v>
      </c>
      <c r="L464" s="14" t="s">
        <v>64</v>
      </c>
      <c r="M464" s="14" t="s">
        <v>22</v>
      </c>
      <c r="N464" s="14" t="s">
        <v>74</v>
      </c>
      <c r="O464" s="26" t="str">
        <f>J464&amp;"_"&amp;M464</f>
        <v>Drought_No</v>
      </c>
      <c r="P464" s="23" t="str">
        <f>J464&amp;"_"&amp;M464</f>
        <v>Drought_No</v>
      </c>
      <c r="Q464" s="23" t="str">
        <f>L464&amp;"_"&amp;M464</f>
        <v>Grey_No</v>
      </c>
      <c r="R464" s="18" t="s">
        <v>2072</v>
      </c>
      <c r="S464" s="23"/>
      <c r="T464" s="23"/>
    </row>
    <row r="465" spans="1:20" s="9" customFormat="1" ht="15.75" customHeight="1" x14ac:dyDescent="0.2">
      <c r="A465" s="13">
        <v>464</v>
      </c>
      <c r="B465" s="14" t="s">
        <v>19</v>
      </c>
      <c r="C465" s="14" t="s">
        <v>426</v>
      </c>
      <c r="D465" s="14" t="s">
        <v>98</v>
      </c>
      <c r="E465" s="14" t="s">
        <v>32</v>
      </c>
      <c r="F465" s="14" t="str">
        <f>C465&amp;"-"&amp;D465&amp;"-"&amp;E465</f>
        <v>B3-P3-C2</v>
      </c>
      <c r="G465" s="14" t="s">
        <v>24</v>
      </c>
      <c r="H465" s="14">
        <v>4</v>
      </c>
      <c r="I465" s="14" t="s">
        <v>506</v>
      </c>
      <c r="J465" s="14" t="s">
        <v>20</v>
      </c>
      <c r="K465" s="13" t="str">
        <f>B465&amp;"-"&amp;C465&amp;"-"&amp;D465&amp;"-"&amp;E465&amp;"-"&amp;G465&amp;H465</f>
        <v>Fagus-B3-P3-C2-B4</v>
      </c>
      <c r="L465" s="14" t="s">
        <v>64</v>
      </c>
      <c r="M465" s="14" t="s">
        <v>22</v>
      </c>
      <c r="N465" s="14" t="s">
        <v>74</v>
      </c>
      <c r="O465" s="26" t="str">
        <f>J465&amp;"_"&amp;M465</f>
        <v>Drought_No</v>
      </c>
      <c r="P465" s="23" t="str">
        <f>J465&amp;"_"&amp;M465</f>
        <v>Drought_No</v>
      </c>
      <c r="Q465" s="23" t="str">
        <f>L465&amp;"_"&amp;M465</f>
        <v>Grey_No</v>
      </c>
      <c r="R465" s="18" t="s">
        <v>2072</v>
      </c>
      <c r="S465" s="23"/>
      <c r="T465" s="23"/>
    </row>
    <row r="466" spans="1:20" s="10" customFormat="1" ht="15.75" customHeight="1" x14ac:dyDescent="0.2">
      <c r="A466" s="21">
        <v>465</v>
      </c>
      <c r="B466" s="20" t="s">
        <v>35</v>
      </c>
      <c r="C466" s="20" t="s">
        <v>426</v>
      </c>
      <c r="D466" s="20" t="s">
        <v>98</v>
      </c>
      <c r="E466" s="20" t="s">
        <v>42</v>
      </c>
      <c r="F466" s="18" t="str">
        <f>C466&amp;"-"&amp;D466&amp;"-"&amp;E466</f>
        <v>B3-P3-C3</v>
      </c>
      <c r="G466" s="20" t="s">
        <v>17</v>
      </c>
      <c r="H466" s="20">
        <v>1</v>
      </c>
      <c r="I466" s="20" t="s">
        <v>507</v>
      </c>
      <c r="J466" s="20" t="s">
        <v>20</v>
      </c>
      <c r="K466" s="19" t="str">
        <f>B466&amp;"-"&amp;C466&amp;"-"&amp;D466&amp;"-"&amp;E466&amp;"-"&amp;G466&amp;H466</f>
        <v>Quercus-B3-P3-C3-A1</v>
      </c>
      <c r="L466" s="20" t="s">
        <v>21</v>
      </c>
      <c r="M466" s="20" t="s">
        <v>22</v>
      </c>
      <c r="N466" s="20" t="s">
        <v>23</v>
      </c>
      <c r="O466" s="27" t="str">
        <f>J466&amp;"_"&amp;M466</f>
        <v>Drought_No</v>
      </c>
      <c r="P466" s="2" t="str">
        <f>J466&amp;"_"&amp;M466</f>
        <v>Drought_No</v>
      </c>
      <c r="Q466" s="2" t="str">
        <f>L466&amp;"_"&amp;M466</f>
        <v>Yellow_No</v>
      </c>
      <c r="R466" s="23" t="s">
        <v>2071</v>
      </c>
      <c r="S466" s="2"/>
      <c r="T466" s="2"/>
    </row>
    <row r="467" spans="1:20" s="10" customFormat="1" ht="15.75" customHeight="1" x14ac:dyDescent="0.2">
      <c r="A467" s="21">
        <v>466</v>
      </c>
      <c r="B467" s="20" t="s">
        <v>35</v>
      </c>
      <c r="C467" s="20" t="s">
        <v>426</v>
      </c>
      <c r="D467" s="20" t="s">
        <v>98</v>
      </c>
      <c r="E467" s="20" t="s">
        <v>42</v>
      </c>
      <c r="F467" s="18" t="str">
        <f>C467&amp;"-"&amp;D467&amp;"-"&amp;E467</f>
        <v>B3-P3-C3</v>
      </c>
      <c r="G467" s="20" t="s">
        <v>24</v>
      </c>
      <c r="H467" s="20">
        <v>1</v>
      </c>
      <c r="I467" s="20" t="s">
        <v>508</v>
      </c>
      <c r="J467" s="20" t="s">
        <v>20</v>
      </c>
      <c r="K467" s="19" t="str">
        <f>B467&amp;"-"&amp;C467&amp;"-"&amp;D467&amp;"-"&amp;E467&amp;"-"&amp;G467&amp;H467</f>
        <v>Quercus-B3-P3-C3-B1</v>
      </c>
      <c r="L467" s="20" t="s">
        <v>21</v>
      </c>
      <c r="M467" s="20" t="s">
        <v>22</v>
      </c>
      <c r="N467" s="20" t="s">
        <v>23</v>
      </c>
      <c r="O467" s="27" t="str">
        <f>J467&amp;"_"&amp;M467</f>
        <v>Drought_No</v>
      </c>
      <c r="P467" s="2" t="str">
        <f>J467&amp;"_"&amp;M467</f>
        <v>Drought_No</v>
      </c>
      <c r="Q467" s="2" t="str">
        <f>L467&amp;"_"&amp;M467</f>
        <v>Yellow_No</v>
      </c>
      <c r="R467" s="23" t="s">
        <v>2071</v>
      </c>
      <c r="S467" s="2"/>
      <c r="T467" s="2"/>
    </row>
    <row r="468" spans="1:20" s="10" customFormat="1" ht="15.75" customHeight="1" x14ac:dyDescent="0.2">
      <c r="A468" s="21">
        <v>467</v>
      </c>
      <c r="B468" s="20" t="s">
        <v>35</v>
      </c>
      <c r="C468" s="20" t="s">
        <v>426</v>
      </c>
      <c r="D468" s="20" t="s">
        <v>98</v>
      </c>
      <c r="E468" s="20" t="s">
        <v>42</v>
      </c>
      <c r="F468" s="18" t="str">
        <f>C468&amp;"-"&amp;D468&amp;"-"&amp;E468</f>
        <v>B3-P3-C3</v>
      </c>
      <c r="G468" s="20" t="s">
        <v>17</v>
      </c>
      <c r="H468" s="20">
        <v>2</v>
      </c>
      <c r="I468" s="20" t="s">
        <v>509</v>
      </c>
      <c r="J468" s="20" t="s">
        <v>20</v>
      </c>
      <c r="K468" s="19" t="str">
        <f>B468&amp;"-"&amp;C468&amp;"-"&amp;D468&amp;"-"&amp;E468&amp;"-"&amp;G468&amp;H468</f>
        <v>Quercus-B3-P3-C3-A2</v>
      </c>
      <c r="L468" s="20" t="s">
        <v>21</v>
      </c>
      <c r="M468" s="20" t="s">
        <v>22</v>
      </c>
      <c r="N468" s="20" t="s">
        <v>23</v>
      </c>
      <c r="O468" s="27" t="str">
        <f>J468&amp;"_"&amp;M468</f>
        <v>Drought_No</v>
      </c>
      <c r="P468" s="2" t="str">
        <f>J468&amp;"_"&amp;M468</f>
        <v>Drought_No</v>
      </c>
      <c r="Q468" s="2" t="str">
        <f>L468&amp;"_"&amp;M468</f>
        <v>Yellow_No</v>
      </c>
      <c r="R468" s="23" t="s">
        <v>2071</v>
      </c>
      <c r="S468" s="2"/>
      <c r="T468" s="2"/>
    </row>
    <row r="469" spans="1:20" s="10" customFormat="1" ht="15.75" customHeight="1" x14ac:dyDescent="0.2">
      <c r="A469" s="21">
        <v>468</v>
      </c>
      <c r="B469" s="20" t="s">
        <v>35</v>
      </c>
      <c r="C469" s="20" t="s">
        <v>426</v>
      </c>
      <c r="D469" s="20" t="s">
        <v>98</v>
      </c>
      <c r="E469" s="20" t="s">
        <v>42</v>
      </c>
      <c r="F469" s="18" t="str">
        <f>C469&amp;"-"&amp;D469&amp;"-"&amp;E469</f>
        <v>B3-P3-C3</v>
      </c>
      <c r="G469" s="20" t="s">
        <v>24</v>
      </c>
      <c r="H469" s="20">
        <v>2</v>
      </c>
      <c r="I469" s="20" t="s">
        <v>510</v>
      </c>
      <c r="J469" s="20" t="s">
        <v>20</v>
      </c>
      <c r="K469" s="19" t="str">
        <f>B469&amp;"-"&amp;C469&amp;"-"&amp;D469&amp;"-"&amp;E469&amp;"-"&amp;G469&amp;H469</f>
        <v>Quercus-B3-P3-C3-B2</v>
      </c>
      <c r="L469" s="20" t="s">
        <v>21</v>
      </c>
      <c r="M469" s="20" t="s">
        <v>22</v>
      </c>
      <c r="N469" s="20" t="s">
        <v>23</v>
      </c>
      <c r="O469" s="27" t="str">
        <f>J469&amp;"_"&amp;M469</f>
        <v>Drought_No</v>
      </c>
      <c r="P469" s="2" t="str">
        <f>J469&amp;"_"&amp;M469</f>
        <v>Drought_No</v>
      </c>
      <c r="Q469" s="2" t="str">
        <f>L469&amp;"_"&amp;M469</f>
        <v>Yellow_No</v>
      </c>
      <c r="R469" s="23" t="s">
        <v>2071</v>
      </c>
      <c r="S469" s="2"/>
      <c r="T469" s="2"/>
    </row>
    <row r="470" spans="1:20" s="10" customFormat="1" ht="15.75" customHeight="1" x14ac:dyDescent="0.2">
      <c r="A470" s="21">
        <v>469</v>
      </c>
      <c r="B470" s="20" t="s">
        <v>35</v>
      </c>
      <c r="C470" s="20" t="s">
        <v>426</v>
      </c>
      <c r="D470" s="20" t="s">
        <v>98</v>
      </c>
      <c r="E470" s="20" t="s">
        <v>42</v>
      </c>
      <c r="F470" s="18" t="str">
        <f>C470&amp;"-"&amp;D470&amp;"-"&amp;E470</f>
        <v>B3-P3-C3</v>
      </c>
      <c r="G470" s="20" t="s">
        <v>17</v>
      </c>
      <c r="H470" s="20">
        <v>3</v>
      </c>
      <c r="I470" s="20" t="s">
        <v>511</v>
      </c>
      <c r="J470" s="20" t="s">
        <v>20</v>
      </c>
      <c r="K470" s="19" t="str">
        <f>B470&amp;"-"&amp;C470&amp;"-"&amp;D470&amp;"-"&amp;E470&amp;"-"&amp;G470&amp;H470</f>
        <v>Quercus-B3-P3-C3-A3</v>
      </c>
      <c r="L470" s="20" t="s">
        <v>21</v>
      </c>
      <c r="M470" s="20" t="s">
        <v>22</v>
      </c>
      <c r="N470" s="20" t="s">
        <v>23</v>
      </c>
      <c r="O470" s="27" t="str">
        <f>J470&amp;"_"&amp;M470</f>
        <v>Drought_No</v>
      </c>
      <c r="P470" s="2" t="str">
        <f>J470&amp;"_"&amp;M470</f>
        <v>Drought_No</v>
      </c>
      <c r="Q470" s="2" t="str">
        <f>L470&amp;"_"&amp;M470</f>
        <v>Yellow_No</v>
      </c>
      <c r="R470" s="23" t="s">
        <v>2071</v>
      </c>
      <c r="S470" s="1"/>
      <c r="T470" s="1"/>
    </row>
    <row r="471" spans="1:20" s="10" customFormat="1" ht="15.75" customHeight="1" x14ac:dyDescent="0.2">
      <c r="A471" s="21">
        <v>470</v>
      </c>
      <c r="B471" s="20" t="s">
        <v>35</v>
      </c>
      <c r="C471" s="20" t="s">
        <v>426</v>
      </c>
      <c r="D471" s="20" t="s">
        <v>98</v>
      </c>
      <c r="E471" s="20" t="s">
        <v>42</v>
      </c>
      <c r="F471" s="18" t="str">
        <f>C471&amp;"-"&amp;D471&amp;"-"&amp;E471</f>
        <v>B3-P3-C3</v>
      </c>
      <c r="G471" s="20" t="s">
        <v>24</v>
      </c>
      <c r="H471" s="20">
        <v>3</v>
      </c>
      <c r="I471" s="20" t="s">
        <v>512</v>
      </c>
      <c r="J471" s="20" t="s">
        <v>20</v>
      </c>
      <c r="K471" s="19" t="str">
        <f>B471&amp;"-"&amp;C471&amp;"-"&amp;D471&amp;"-"&amp;E471&amp;"-"&amp;G471&amp;H471</f>
        <v>Quercus-B3-P3-C3-B3</v>
      </c>
      <c r="L471" s="20" t="s">
        <v>21</v>
      </c>
      <c r="M471" s="20" t="s">
        <v>22</v>
      </c>
      <c r="N471" s="20" t="s">
        <v>23</v>
      </c>
      <c r="O471" s="27" t="str">
        <f>J471&amp;"_"&amp;M471</f>
        <v>Drought_No</v>
      </c>
      <c r="P471" s="2" t="str">
        <f>J471&amp;"_"&amp;M471</f>
        <v>Drought_No</v>
      </c>
      <c r="Q471" s="2" t="str">
        <f>L471&amp;"_"&amp;M471</f>
        <v>Yellow_No</v>
      </c>
      <c r="R471" s="23" t="s">
        <v>2071</v>
      </c>
      <c r="S471" s="1"/>
      <c r="T471" s="1"/>
    </row>
    <row r="472" spans="1:20" s="10" customFormat="1" ht="15.75" customHeight="1" x14ac:dyDescent="0.2">
      <c r="A472" s="21">
        <v>471</v>
      </c>
      <c r="B472" s="20" t="s">
        <v>35</v>
      </c>
      <c r="C472" s="20" t="s">
        <v>426</v>
      </c>
      <c r="D472" s="20" t="s">
        <v>98</v>
      </c>
      <c r="E472" s="20" t="s">
        <v>42</v>
      </c>
      <c r="F472" s="18" t="str">
        <f>C472&amp;"-"&amp;D472&amp;"-"&amp;E472</f>
        <v>B3-P3-C3</v>
      </c>
      <c r="G472" s="20" t="s">
        <v>17</v>
      </c>
      <c r="H472" s="20">
        <v>4</v>
      </c>
      <c r="I472" s="20" t="s">
        <v>513</v>
      </c>
      <c r="J472" s="20" t="s">
        <v>20</v>
      </c>
      <c r="K472" s="19" t="str">
        <f>B472&amp;"-"&amp;C472&amp;"-"&amp;D472&amp;"-"&amp;E472&amp;"-"&amp;G472&amp;H472</f>
        <v>Quercus-B3-P3-C3-A4</v>
      </c>
      <c r="L472" s="20" t="s">
        <v>21</v>
      </c>
      <c r="M472" s="20" t="s">
        <v>22</v>
      </c>
      <c r="N472" s="20" t="s">
        <v>23</v>
      </c>
      <c r="O472" s="27" t="str">
        <f>J472&amp;"_"&amp;M472</f>
        <v>Drought_No</v>
      </c>
      <c r="P472" s="2" t="str">
        <f>J472&amp;"_"&amp;M472</f>
        <v>Drought_No</v>
      </c>
      <c r="Q472" s="2" t="str">
        <f>L472&amp;"_"&amp;M472</f>
        <v>Yellow_No</v>
      </c>
      <c r="R472" s="23" t="s">
        <v>2071</v>
      </c>
      <c r="S472" s="1"/>
      <c r="T472" s="1"/>
    </row>
    <row r="473" spans="1:20" s="10" customFormat="1" ht="15.75" customHeight="1" x14ac:dyDescent="0.2">
      <c r="A473" s="21">
        <v>472</v>
      </c>
      <c r="B473" s="20" t="s">
        <v>35</v>
      </c>
      <c r="C473" s="20" t="s">
        <v>426</v>
      </c>
      <c r="D473" s="20" t="s">
        <v>98</v>
      </c>
      <c r="E473" s="20" t="s">
        <v>42</v>
      </c>
      <c r="F473" s="18" t="str">
        <f>C473&amp;"-"&amp;D473&amp;"-"&amp;E473</f>
        <v>B3-P3-C3</v>
      </c>
      <c r="G473" s="20" t="s">
        <v>24</v>
      </c>
      <c r="H473" s="20">
        <v>4</v>
      </c>
      <c r="I473" s="20" t="s">
        <v>514</v>
      </c>
      <c r="J473" s="20" t="s">
        <v>20</v>
      </c>
      <c r="K473" s="19" t="str">
        <f>B473&amp;"-"&amp;C473&amp;"-"&amp;D473&amp;"-"&amp;E473&amp;"-"&amp;G473&amp;H473</f>
        <v>Quercus-B3-P3-C3-B4</v>
      </c>
      <c r="L473" s="20" t="s">
        <v>21</v>
      </c>
      <c r="M473" s="20" t="s">
        <v>22</v>
      </c>
      <c r="N473" s="20" t="s">
        <v>23</v>
      </c>
      <c r="O473" s="27" t="str">
        <f>J473&amp;"_"&amp;M473</f>
        <v>Drought_No</v>
      </c>
      <c r="P473" s="2" t="str">
        <f>J473&amp;"_"&amp;M473</f>
        <v>Drought_No</v>
      </c>
      <c r="Q473" s="2" t="str">
        <f>L473&amp;"_"&amp;M473</f>
        <v>Yellow_No</v>
      </c>
      <c r="R473" s="23" t="s">
        <v>2071</v>
      </c>
      <c r="S473" s="1"/>
      <c r="T473" s="1"/>
    </row>
    <row r="474" spans="1:20" s="9" customFormat="1" ht="15.75" customHeight="1" x14ac:dyDescent="0.2">
      <c r="A474" s="13">
        <v>473</v>
      </c>
      <c r="B474" s="14" t="s">
        <v>19</v>
      </c>
      <c r="C474" s="14" t="s">
        <v>426</v>
      </c>
      <c r="D474" s="14" t="s">
        <v>98</v>
      </c>
      <c r="E474" s="14" t="s">
        <v>53</v>
      </c>
      <c r="F474" s="14" t="str">
        <f>C474&amp;"-"&amp;D474&amp;"-"&amp;E474</f>
        <v>B3-P3-C4</v>
      </c>
      <c r="G474" s="14" t="s">
        <v>17</v>
      </c>
      <c r="H474" s="14">
        <v>1</v>
      </c>
      <c r="I474" s="14" t="s">
        <v>515</v>
      </c>
      <c r="J474" s="14" t="s">
        <v>20</v>
      </c>
      <c r="K474" s="13" t="str">
        <f>B474&amp;"-"&amp;C474&amp;"-"&amp;D474&amp;"-"&amp;E474&amp;"-"&amp;G474&amp;H474</f>
        <v>Fagus-B3-P3-C4-A1</v>
      </c>
      <c r="L474" s="14" t="s">
        <v>21</v>
      </c>
      <c r="M474" s="14" t="s">
        <v>44</v>
      </c>
      <c r="N474" s="14" t="s">
        <v>45</v>
      </c>
      <c r="O474" s="26" t="str">
        <f>J474&amp;"_"&amp;M474</f>
        <v>Drought_Yes</v>
      </c>
      <c r="P474" s="23" t="str">
        <f>J474&amp;"_"&amp;M474</f>
        <v>Drought_Yes</v>
      </c>
      <c r="Q474" s="23" t="str">
        <f>L474&amp;"_"&amp;M474</f>
        <v>Yellow_Yes</v>
      </c>
      <c r="R474" s="23" t="s">
        <v>2071</v>
      </c>
      <c r="S474" s="1"/>
      <c r="T474" s="1"/>
    </row>
    <row r="475" spans="1:20" s="9" customFormat="1" ht="15.75" customHeight="1" x14ac:dyDescent="0.2">
      <c r="A475" s="13">
        <v>474</v>
      </c>
      <c r="B475" s="14" t="s">
        <v>19</v>
      </c>
      <c r="C475" s="14" t="s">
        <v>426</v>
      </c>
      <c r="D475" s="14" t="s">
        <v>98</v>
      </c>
      <c r="E475" s="14" t="s">
        <v>53</v>
      </c>
      <c r="F475" s="14" t="str">
        <f>C475&amp;"-"&amp;D475&amp;"-"&amp;E475</f>
        <v>B3-P3-C4</v>
      </c>
      <c r="G475" s="14" t="s">
        <v>24</v>
      </c>
      <c r="H475" s="14">
        <v>1</v>
      </c>
      <c r="I475" s="14" t="s">
        <v>516</v>
      </c>
      <c r="J475" s="14" t="s">
        <v>20</v>
      </c>
      <c r="K475" s="13" t="str">
        <f>B475&amp;"-"&amp;C475&amp;"-"&amp;D475&amp;"-"&amp;E475&amp;"-"&amp;G475&amp;H475</f>
        <v>Fagus-B3-P3-C4-B1</v>
      </c>
      <c r="L475" s="14" t="s">
        <v>21</v>
      </c>
      <c r="M475" s="14" t="s">
        <v>44</v>
      </c>
      <c r="N475" s="14" t="s">
        <v>45</v>
      </c>
      <c r="O475" s="26" t="str">
        <f>J475&amp;"_"&amp;M475</f>
        <v>Drought_Yes</v>
      </c>
      <c r="P475" s="23" t="str">
        <f>J475&amp;"_"&amp;M475</f>
        <v>Drought_Yes</v>
      </c>
      <c r="Q475" s="23" t="str">
        <f>L475&amp;"_"&amp;M475</f>
        <v>Yellow_Yes</v>
      </c>
      <c r="R475" s="23" t="s">
        <v>2071</v>
      </c>
      <c r="S475" s="1"/>
      <c r="T475" s="1"/>
    </row>
    <row r="476" spans="1:20" s="9" customFormat="1" ht="15.75" customHeight="1" x14ac:dyDescent="0.2">
      <c r="A476" s="13">
        <v>475</v>
      </c>
      <c r="B476" s="14" t="s">
        <v>19</v>
      </c>
      <c r="C476" s="14" t="s">
        <v>426</v>
      </c>
      <c r="D476" s="14" t="s">
        <v>98</v>
      </c>
      <c r="E476" s="14" t="s">
        <v>53</v>
      </c>
      <c r="F476" s="14" t="str">
        <f>C476&amp;"-"&amp;D476&amp;"-"&amp;E476</f>
        <v>B3-P3-C4</v>
      </c>
      <c r="G476" s="14" t="s">
        <v>17</v>
      </c>
      <c r="H476" s="14">
        <v>2</v>
      </c>
      <c r="I476" s="14" t="s">
        <v>517</v>
      </c>
      <c r="J476" s="14" t="s">
        <v>20</v>
      </c>
      <c r="K476" s="13" t="str">
        <f>B476&amp;"-"&amp;C476&amp;"-"&amp;D476&amp;"-"&amp;E476&amp;"-"&amp;G476&amp;H476</f>
        <v>Fagus-B3-P3-C4-A2</v>
      </c>
      <c r="L476" s="14" t="s">
        <v>21</v>
      </c>
      <c r="M476" s="14" t="s">
        <v>44</v>
      </c>
      <c r="N476" s="14" t="s">
        <v>45</v>
      </c>
      <c r="O476" s="26" t="str">
        <f>J476&amp;"_"&amp;M476</f>
        <v>Drought_Yes</v>
      </c>
      <c r="P476" s="23" t="str">
        <f>J476&amp;"_"&amp;M476</f>
        <v>Drought_Yes</v>
      </c>
      <c r="Q476" s="23" t="str">
        <f>L476&amp;"_"&amp;M476</f>
        <v>Yellow_Yes</v>
      </c>
      <c r="R476" s="23" t="s">
        <v>2071</v>
      </c>
      <c r="S476" s="2"/>
      <c r="T476" s="2"/>
    </row>
    <row r="477" spans="1:20" s="9" customFormat="1" ht="15.75" customHeight="1" x14ac:dyDescent="0.2">
      <c r="A477" s="13">
        <v>476</v>
      </c>
      <c r="B477" s="14" t="s">
        <v>19</v>
      </c>
      <c r="C477" s="14" t="s">
        <v>426</v>
      </c>
      <c r="D477" s="14" t="s">
        <v>98</v>
      </c>
      <c r="E477" s="14" t="s">
        <v>53</v>
      </c>
      <c r="F477" s="14" t="str">
        <f>C477&amp;"-"&amp;D477&amp;"-"&amp;E477</f>
        <v>B3-P3-C4</v>
      </c>
      <c r="G477" s="14" t="s">
        <v>24</v>
      </c>
      <c r="H477" s="14">
        <v>2</v>
      </c>
      <c r="I477" s="14" t="s">
        <v>518</v>
      </c>
      <c r="J477" s="14" t="s">
        <v>20</v>
      </c>
      <c r="K477" s="13" t="str">
        <f>B477&amp;"-"&amp;C477&amp;"-"&amp;D477&amp;"-"&amp;E477&amp;"-"&amp;G477&amp;H477</f>
        <v>Fagus-B3-P3-C4-B2</v>
      </c>
      <c r="L477" s="14" t="s">
        <v>21</v>
      </c>
      <c r="M477" s="14" t="s">
        <v>44</v>
      </c>
      <c r="N477" s="14" t="s">
        <v>45</v>
      </c>
      <c r="O477" s="26" t="str">
        <f>J477&amp;"_"&amp;M477</f>
        <v>Drought_Yes</v>
      </c>
      <c r="P477" s="23" t="str">
        <f>J477&amp;"_"&amp;M477</f>
        <v>Drought_Yes</v>
      </c>
      <c r="Q477" s="23" t="str">
        <f>L477&amp;"_"&amp;M477</f>
        <v>Yellow_Yes</v>
      </c>
      <c r="R477" s="23" t="s">
        <v>2071</v>
      </c>
      <c r="S477" s="2"/>
      <c r="T477" s="2"/>
    </row>
    <row r="478" spans="1:20" s="9" customFormat="1" ht="15.75" customHeight="1" x14ac:dyDescent="0.2">
      <c r="A478" s="13">
        <v>477</v>
      </c>
      <c r="B478" s="14" t="s">
        <v>19</v>
      </c>
      <c r="C478" s="14" t="s">
        <v>426</v>
      </c>
      <c r="D478" s="14" t="s">
        <v>98</v>
      </c>
      <c r="E478" s="14" t="s">
        <v>53</v>
      </c>
      <c r="F478" s="14" t="str">
        <f>C478&amp;"-"&amp;D478&amp;"-"&amp;E478</f>
        <v>B3-P3-C4</v>
      </c>
      <c r="G478" s="14" t="s">
        <v>17</v>
      </c>
      <c r="H478" s="14">
        <v>3</v>
      </c>
      <c r="I478" s="14" t="s">
        <v>519</v>
      </c>
      <c r="J478" s="14" t="s">
        <v>20</v>
      </c>
      <c r="K478" s="13" t="str">
        <f>B478&amp;"-"&amp;C478&amp;"-"&amp;D478&amp;"-"&amp;E478&amp;"-"&amp;G478&amp;H478</f>
        <v>Fagus-B3-P3-C4-A3</v>
      </c>
      <c r="L478" s="14" t="s">
        <v>21</v>
      </c>
      <c r="M478" s="14" t="s">
        <v>44</v>
      </c>
      <c r="N478" s="14" t="s">
        <v>45</v>
      </c>
      <c r="O478" s="26" t="str">
        <f>J478&amp;"_"&amp;M478</f>
        <v>Drought_Yes</v>
      </c>
      <c r="P478" s="23" t="str">
        <f>J478&amp;"_"&amp;M478</f>
        <v>Drought_Yes</v>
      </c>
      <c r="Q478" s="23" t="str">
        <f>L478&amp;"_"&amp;M478</f>
        <v>Yellow_Yes</v>
      </c>
      <c r="R478" s="23" t="s">
        <v>2071</v>
      </c>
      <c r="S478" s="2"/>
      <c r="T478" s="2"/>
    </row>
    <row r="479" spans="1:20" s="9" customFormat="1" ht="15.75" customHeight="1" x14ac:dyDescent="0.2">
      <c r="A479" s="13">
        <v>478</v>
      </c>
      <c r="B479" s="14" t="s">
        <v>19</v>
      </c>
      <c r="C479" s="14" t="s">
        <v>426</v>
      </c>
      <c r="D479" s="14" t="s">
        <v>98</v>
      </c>
      <c r="E479" s="14" t="s">
        <v>53</v>
      </c>
      <c r="F479" s="14" t="str">
        <f>C479&amp;"-"&amp;D479&amp;"-"&amp;E479</f>
        <v>B3-P3-C4</v>
      </c>
      <c r="G479" s="14" t="s">
        <v>24</v>
      </c>
      <c r="H479" s="14">
        <v>3</v>
      </c>
      <c r="I479" s="14" t="s">
        <v>520</v>
      </c>
      <c r="J479" s="14" t="s">
        <v>20</v>
      </c>
      <c r="K479" s="13" t="str">
        <f>B479&amp;"-"&amp;C479&amp;"-"&amp;D479&amp;"-"&amp;E479&amp;"-"&amp;G479&amp;H479</f>
        <v>Fagus-B3-P3-C4-B3</v>
      </c>
      <c r="L479" s="14" t="s">
        <v>21</v>
      </c>
      <c r="M479" s="14" t="s">
        <v>44</v>
      </c>
      <c r="N479" s="14" t="s">
        <v>45</v>
      </c>
      <c r="O479" s="26" t="str">
        <f>J479&amp;"_"&amp;M479</f>
        <v>Drought_Yes</v>
      </c>
      <c r="P479" s="23" t="str">
        <f>J479&amp;"_"&amp;M479</f>
        <v>Drought_Yes</v>
      </c>
      <c r="Q479" s="23" t="str">
        <f>L479&amp;"_"&amp;M479</f>
        <v>Yellow_Yes</v>
      </c>
      <c r="R479" s="23" t="s">
        <v>2071</v>
      </c>
      <c r="S479" s="2"/>
      <c r="T479" s="2"/>
    </row>
    <row r="480" spans="1:20" s="9" customFormat="1" ht="15.75" customHeight="1" x14ac:dyDescent="0.2">
      <c r="A480" s="13">
        <v>479</v>
      </c>
      <c r="B480" s="14" t="s">
        <v>19</v>
      </c>
      <c r="C480" s="14" t="s">
        <v>426</v>
      </c>
      <c r="D480" s="14" t="s">
        <v>98</v>
      </c>
      <c r="E480" s="14" t="s">
        <v>53</v>
      </c>
      <c r="F480" s="14" t="str">
        <f>C480&amp;"-"&amp;D480&amp;"-"&amp;E480</f>
        <v>B3-P3-C4</v>
      </c>
      <c r="G480" s="14" t="s">
        <v>17</v>
      </c>
      <c r="H480" s="14">
        <v>4</v>
      </c>
      <c r="I480" s="14" t="s">
        <v>521</v>
      </c>
      <c r="J480" s="14" t="s">
        <v>20</v>
      </c>
      <c r="K480" s="13" t="str">
        <f>B480&amp;"-"&amp;C480&amp;"-"&amp;D480&amp;"-"&amp;E480&amp;"-"&amp;G480&amp;H480</f>
        <v>Fagus-B3-P3-C4-A4</v>
      </c>
      <c r="L480" s="14" t="s">
        <v>21</v>
      </c>
      <c r="M480" s="14" t="s">
        <v>44</v>
      </c>
      <c r="N480" s="14" t="s">
        <v>45</v>
      </c>
      <c r="O480" s="26" t="str">
        <f>J480&amp;"_"&amp;M480</f>
        <v>Drought_Yes</v>
      </c>
      <c r="P480" s="23" t="str">
        <f>J480&amp;"_"&amp;M480</f>
        <v>Drought_Yes</v>
      </c>
      <c r="Q480" s="23" t="str">
        <f>L480&amp;"_"&amp;M480</f>
        <v>Yellow_Yes</v>
      </c>
      <c r="R480" s="23" t="s">
        <v>2071</v>
      </c>
      <c r="S480" s="2"/>
      <c r="T480" s="2"/>
    </row>
    <row r="481" spans="1:20" s="9" customFormat="1" ht="15.75" customHeight="1" x14ac:dyDescent="0.2">
      <c r="A481" s="13">
        <v>480</v>
      </c>
      <c r="B481" s="14" t="s">
        <v>19</v>
      </c>
      <c r="C481" s="14" t="s">
        <v>426</v>
      </c>
      <c r="D481" s="14" t="s">
        <v>98</v>
      </c>
      <c r="E481" s="14" t="s">
        <v>53</v>
      </c>
      <c r="F481" s="14" t="str">
        <f>C481&amp;"-"&amp;D481&amp;"-"&amp;E481</f>
        <v>B3-P3-C4</v>
      </c>
      <c r="G481" s="14" t="s">
        <v>24</v>
      </c>
      <c r="H481" s="14">
        <v>4</v>
      </c>
      <c r="I481" s="14" t="s">
        <v>522</v>
      </c>
      <c r="J481" s="14" t="s">
        <v>20</v>
      </c>
      <c r="K481" s="13" t="str">
        <f>B481&amp;"-"&amp;C481&amp;"-"&amp;D481&amp;"-"&amp;E481&amp;"-"&amp;G481&amp;H481</f>
        <v>Fagus-B3-P3-C4-B4</v>
      </c>
      <c r="L481" s="14" t="s">
        <v>21</v>
      </c>
      <c r="M481" s="14" t="s">
        <v>44</v>
      </c>
      <c r="N481" s="14" t="s">
        <v>45</v>
      </c>
      <c r="O481" s="26" t="str">
        <f>J481&amp;"_"&amp;M481</f>
        <v>Drought_Yes</v>
      </c>
      <c r="P481" s="23" t="str">
        <f>J481&amp;"_"&amp;M481</f>
        <v>Drought_Yes</v>
      </c>
      <c r="Q481" s="23" t="str">
        <f>L481&amp;"_"&amp;M481</f>
        <v>Yellow_Yes</v>
      </c>
      <c r="R481" s="23" t="s">
        <v>2071</v>
      </c>
      <c r="S481" s="2"/>
      <c r="T481" s="2"/>
    </row>
    <row r="482" spans="1:20" s="10" customFormat="1" ht="15.75" customHeight="1" x14ac:dyDescent="0.2">
      <c r="A482" s="21">
        <v>481</v>
      </c>
      <c r="B482" s="20" t="s">
        <v>19</v>
      </c>
      <c r="C482" s="20" t="s">
        <v>426</v>
      </c>
      <c r="D482" s="20" t="s">
        <v>131</v>
      </c>
      <c r="E482" s="20" t="s">
        <v>16</v>
      </c>
      <c r="F482" s="18" t="str">
        <f>C482&amp;"-"&amp;D482&amp;"-"&amp;E482</f>
        <v>B3-P4-C1</v>
      </c>
      <c r="G482" s="20" t="s">
        <v>17</v>
      </c>
      <c r="H482" s="20">
        <v>1</v>
      </c>
      <c r="I482" s="20" t="s">
        <v>523</v>
      </c>
      <c r="J482" s="20" t="s">
        <v>133</v>
      </c>
      <c r="K482" s="19" t="str">
        <f>B482&amp;"-"&amp;C482&amp;"-"&amp;D482&amp;"-"&amp;E482&amp;"-"&amp;G482&amp;H482</f>
        <v>Fagus-B3-P4-C1-A1</v>
      </c>
      <c r="L482" s="20" t="s">
        <v>64</v>
      </c>
      <c r="M482" s="20" t="s">
        <v>22</v>
      </c>
      <c r="N482" s="20" t="s">
        <v>202</v>
      </c>
      <c r="O482" s="27" t="str">
        <f>J482&amp;"_"&amp;M482</f>
        <v>Control_No</v>
      </c>
      <c r="P482" s="2" t="str">
        <f>J482&amp;"_"&amp;M482</f>
        <v>Control_No</v>
      </c>
      <c r="Q482" s="2" t="str">
        <f>L482&amp;"_"&amp;M482</f>
        <v>Grey_No</v>
      </c>
      <c r="R482" s="18" t="s">
        <v>2072</v>
      </c>
      <c r="S482" s="2"/>
      <c r="T482" s="2"/>
    </row>
    <row r="483" spans="1:20" s="10" customFormat="1" ht="15.75" customHeight="1" x14ac:dyDescent="0.2">
      <c r="A483" s="21">
        <v>482</v>
      </c>
      <c r="B483" s="20" t="s">
        <v>19</v>
      </c>
      <c r="C483" s="20" t="s">
        <v>426</v>
      </c>
      <c r="D483" s="20" t="s">
        <v>131</v>
      </c>
      <c r="E483" s="20" t="s">
        <v>16</v>
      </c>
      <c r="F483" s="18" t="str">
        <f>C483&amp;"-"&amp;D483&amp;"-"&amp;E483</f>
        <v>B3-P4-C1</v>
      </c>
      <c r="G483" s="20" t="s">
        <v>24</v>
      </c>
      <c r="H483" s="20">
        <v>1</v>
      </c>
      <c r="I483" s="20" t="s">
        <v>524</v>
      </c>
      <c r="J483" s="20" t="s">
        <v>133</v>
      </c>
      <c r="K483" s="19" t="str">
        <f>B483&amp;"-"&amp;C483&amp;"-"&amp;D483&amp;"-"&amp;E483&amp;"-"&amp;G483&amp;H483</f>
        <v>Fagus-B3-P4-C1-B1</v>
      </c>
      <c r="L483" s="20" t="s">
        <v>64</v>
      </c>
      <c r="M483" s="20" t="s">
        <v>22</v>
      </c>
      <c r="N483" s="20" t="s">
        <v>202</v>
      </c>
      <c r="O483" s="27" t="str">
        <f>J483&amp;"_"&amp;M483</f>
        <v>Control_No</v>
      </c>
      <c r="P483" s="2" t="str">
        <f>J483&amp;"_"&amp;M483</f>
        <v>Control_No</v>
      </c>
      <c r="Q483" s="2" t="str">
        <f>L483&amp;"_"&amp;M483</f>
        <v>Grey_No</v>
      </c>
      <c r="R483" s="18" t="s">
        <v>2072</v>
      </c>
      <c r="S483" s="2"/>
      <c r="T483" s="2"/>
    </row>
    <row r="484" spans="1:20" s="10" customFormat="1" ht="15.75" customHeight="1" x14ac:dyDescent="0.2">
      <c r="A484" s="21">
        <v>483</v>
      </c>
      <c r="B484" s="20" t="s">
        <v>19</v>
      </c>
      <c r="C484" s="20" t="s">
        <v>426</v>
      </c>
      <c r="D484" s="20" t="s">
        <v>131</v>
      </c>
      <c r="E484" s="20" t="s">
        <v>16</v>
      </c>
      <c r="F484" s="18" t="str">
        <f>C484&amp;"-"&amp;D484&amp;"-"&amp;E484</f>
        <v>B3-P4-C1</v>
      </c>
      <c r="G484" s="20" t="s">
        <v>17</v>
      </c>
      <c r="H484" s="20">
        <v>2</v>
      </c>
      <c r="I484" s="20" t="s">
        <v>525</v>
      </c>
      <c r="J484" s="20" t="s">
        <v>133</v>
      </c>
      <c r="K484" s="19" t="str">
        <f>B484&amp;"-"&amp;C484&amp;"-"&amp;D484&amp;"-"&amp;E484&amp;"-"&amp;G484&amp;H484</f>
        <v>Fagus-B3-P4-C1-A2</v>
      </c>
      <c r="L484" s="20" t="s">
        <v>64</v>
      </c>
      <c r="M484" s="20" t="s">
        <v>22</v>
      </c>
      <c r="N484" s="20" t="s">
        <v>202</v>
      </c>
      <c r="O484" s="27" t="str">
        <f>J484&amp;"_"&amp;M484</f>
        <v>Control_No</v>
      </c>
      <c r="P484" s="2" t="str">
        <f>J484&amp;"_"&amp;M484</f>
        <v>Control_No</v>
      </c>
      <c r="Q484" s="2" t="str">
        <f>L484&amp;"_"&amp;M484</f>
        <v>Grey_No</v>
      </c>
      <c r="R484" s="18" t="s">
        <v>2072</v>
      </c>
      <c r="S484" s="2"/>
      <c r="T484" s="2"/>
    </row>
    <row r="485" spans="1:20" s="10" customFormat="1" ht="15.75" customHeight="1" x14ac:dyDescent="0.2">
      <c r="A485" s="21">
        <v>484</v>
      </c>
      <c r="B485" s="20" t="s">
        <v>19</v>
      </c>
      <c r="C485" s="20" t="s">
        <v>426</v>
      </c>
      <c r="D485" s="20" t="s">
        <v>131</v>
      </c>
      <c r="E485" s="20" t="s">
        <v>16</v>
      </c>
      <c r="F485" s="18" t="str">
        <f>C485&amp;"-"&amp;D485&amp;"-"&amp;E485</f>
        <v>B3-P4-C1</v>
      </c>
      <c r="G485" s="20" t="s">
        <v>24</v>
      </c>
      <c r="H485" s="20">
        <v>2</v>
      </c>
      <c r="I485" s="20" t="s">
        <v>526</v>
      </c>
      <c r="J485" s="20" t="s">
        <v>133</v>
      </c>
      <c r="K485" s="19" t="str">
        <f>B485&amp;"-"&amp;C485&amp;"-"&amp;D485&amp;"-"&amp;E485&amp;"-"&amp;G485&amp;H485</f>
        <v>Fagus-B3-P4-C1-B2</v>
      </c>
      <c r="L485" s="20" t="s">
        <v>64</v>
      </c>
      <c r="M485" s="20" t="s">
        <v>22</v>
      </c>
      <c r="N485" s="20" t="s">
        <v>202</v>
      </c>
      <c r="O485" s="27" t="str">
        <f>J485&amp;"_"&amp;M485</f>
        <v>Control_No</v>
      </c>
      <c r="P485" s="2" t="str">
        <f>J485&amp;"_"&amp;M485</f>
        <v>Control_No</v>
      </c>
      <c r="Q485" s="2" t="str">
        <f>L485&amp;"_"&amp;M485</f>
        <v>Grey_No</v>
      </c>
      <c r="R485" s="18" t="s">
        <v>2072</v>
      </c>
      <c r="S485" s="2"/>
      <c r="T485" s="2"/>
    </row>
    <row r="486" spans="1:20" s="10" customFormat="1" ht="15.75" customHeight="1" x14ac:dyDescent="0.2">
      <c r="A486" s="21">
        <v>485</v>
      </c>
      <c r="B486" s="20" t="s">
        <v>19</v>
      </c>
      <c r="C486" s="20" t="s">
        <v>426</v>
      </c>
      <c r="D486" s="20" t="s">
        <v>131</v>
      </c>
      <c r="E486" s="20" t="s">
        <v>16</v>
      </c>
      <c r="F486" s="18" t="str">
        <f>C486&amp;"-"&amp;D486&amp;"-"&amp;E486</f>
        <v>B3-P4-C1</v>
      </c>
      <c r="G486" s="20" t="s">
        <v>17</v>
      </c>
      <c r="H486" s="20">
        <v>3</v>
      </c>
      <c r="I486" s="20" t="s">
        <v>527</v>
      </c>
      <c r="J486" s="20" t="s">
        <v>133</v>
      </c>
      <c r="K486" s="19" t="str">
        <f>B486&amp;"-"&amp;C486&amp;"-"&amp;D486&amp;"-"&amp;E486&amp;"-"&amp;G486&amp;H486</f>
        <v>Fagus-B3-P4-C1-A3</v>
      </c>
      <c r="L486" s="20" t="s">
        <v>64</v>
      </c>
      <c r="M486" s="20" t="s">
        <v>22</v>
      </c>
      <c r="N486" s="20" t="s">
        <v>202</v>
      </c>
      <c r="O486" s="27" t="str">
        <f>J486&amp;"_"&amp;M486</f>
        <v>Control_No</v>
      </c>
      <c r="P486" s="2" t="str">
        <f>J486&amp;"_"&amp;M486</f>
        <v>Control_No</v>
      </c>
      <c r="Q486" s="2" t="str">
        <f>L486&amp;"_"&amp;M486</f>
        <v>Grey_No</v>
      </c>
      <c r="R486" s="18" t="s">
        <v>2072</v>
      </c>
      <c r="S486" s="2"/>
      <c r="T486" s="2"/>
    </row>
    <row r="487" spans="1:20" s="10" customFormat="1" ht="15.75" customHeight="1" x14ac:dyDescent="0.2">
      <c r="A487" s="21">
        <v>486</v>
      </c>
      <c r="B487" s="20" t="s">
        <v>19</v>
      </c>
      <c r="C487" s="20" t="s">
        <v>426</v>
      </c>
      <c r="D487" s="20" t="s">
        <v>131</v>
      </c>
      <c r="E487" s="20" t="s">
        <v>16</v>
      </c>
      <c r="F487" s="18" t="str">
        <f>C487&amp;"-"&amp;D487&amp;"-"&amp;E487</f>
        <v>B3-P4-C1</v>
      </c>
      <c r="G487" s="20" t="s">
        <v>24</v>
      </c>
      <c r="H487" s="20">
        <v>3</v>
      </c>
      <c r="I487" s="20" t="s">
        <v>528</v>
      </c>
      <c r="J487" s="20" t="s">
        <v>133</v>
      </c>
      <c r="K487" s="19" t="str">
        <f>B487&amp;"-"&amp;C487&amp;"-"&amp;D487&amp;"-"&amp;E487&amp;"-"&amp;G487&amp;H487</f>
        <v>Fagus-B3-P4-C1-B3</v>
      </c>
      <c r="L487" s="20" t="s">
        <v>64</v>
      </c>
      <c r="M487" s="20" t="s">
        <v>22</v>
      </c>
      <c r="N487" s="20" t="s">
        <v>202</v>
      </c>
      <c r="O487" s="27" t="str">
        <f>J487&amp;"_"&amp;M487</f>
        <v>Control_No</v>
      </c>
      <c r="P487" s="2" t="str">
        <f>J487&amp;"_"&amp;M487</f>
        <v>Control_No</v>
      </c>
      <c r="Q487" s="2" t="str">
        <f>L487&amp;"_"&amp;M487</f>
        <v>Grey_No</v>
      </c>
      <c r="R487" s="18" t="s">
        <v>2072</v>
      </c>
      <c r="S487" s="2"/>
      <c r="T487" s="2"/>
    </row>
    <row r="488" spans="1:20" s="10" customFormat="1" ht="15.75" customHeight="1" x14ac:dyDescent="0.2">
      <c r="A488" s="21">
        <v>487</v>
      </c>
      <c r="B488" s="20" t="s">
        <v>19</v>
      </c>
      <c r="C488" s="20" t="s">
        <v>426</v>
      </c>
      <c r="D488" s="20" t="s">
        <v>131</v>
      </c>
      <c r="E488" s="20" t="s">
        <v>16</v>
      </c>
      <c r="F488" s="18" t="str">
        <f>C488&amp;"-"&amp;D488&amp;"-"&amp;E488</f>
        <v>B3-P4-C1</v>
      </c>
      <c r="G488" s="20" t="s">
        <v>17</v>
      </c>
      <c r="H488" s="20">
        <v>4</v>
      </c>
      <c r="I488" s="20" t="s">
        <v>529</v>
      </c>
      <c r="J488" s="20" t="s">
        <v>133</v>
      </c>
      <c r="K488" s="19" t="str">
        <f>B488&amp;"-"&amp;C488&amp;"-"&amp;D488&amp;"-"&amp;E488&amp;"-"&amp;G488&amp;H488</f>
        <v>Fagus-B3-P4-C1-A4</v>
      </c>
      <c r="L488" s="20" t="s">
        <v>64</v>
      </c>
      <c r="M488" s="20" t="s">
        <v>22</v>
      </c>
      <c r="N488" s="20" t="s">
        <v>202</v>
      </c>
      <c r="O488" s="27" t="str">
        <f>J488&amp;"_"&amp;M488</f>
        <v>Control_No</v>
      </c>
      <c r="P488" s="2" t="str">
        <f>J488&amp;"_"&amp;M488</f>
        <v>Control_No</v>
      </c>
      <c r="Q488" s="2" t="str">
        <f>L488&amp;"_"&amp;M488</f>
        <v>Grey_No</v>
      </c>
      <c r="R488" s="18" t="s">
        <v>2072</v>
      </c>
      <c r="S488" s="2"/>
      <c r="T488" s="2"/>
    </row>
    <row r="489" spans="1:20" s="10" customFormat="1" ht="15.75" customHeight="1" x14ac:dyDescent="0.2">
      <c r="A489" s="21">
        <v>488</v>
      </c>
      <c r="B489" s="20" t="s">
        <v>19</v>
      </c>
      <c r="C489" s="20" t="s">
        <v>426</v>
      </c>
      <c r="D489" s="20" t="s">
        <v>131</v>
      </c>
      <c r="E489" s="20" t="s">
        <v>16</v>
      </c>
      <c r="F489" s="18" t="str">
        <f>C489&amp;"-"&amp;D489&amp;"-"&amp;E489</f>
        <v>B3-P4-C1</v>
      </c>
      <c r="G489" s="20" t="s">
        <v>24</v>
      </c>
      <c r="H489" s="20">
        <v>4</v>
      </c>
      <c r="I489" s="20" t="s">
        <v>530</v>
      </c>
      <c r="J489" s="20" t="s">
        <v>133</v>
      </c>
      <c r="K489" s="19" t="str">
        <f>B489&amp;"-"&amp;C489&amp;"-"&amp;D489&amp;"-"&amp;E489&amp;"-"&amp;G489&amp;H489</f>
        <v>Fagus-B3-P4-C1-B4</v>
      </c>
      <c r="L489" s="20" t="s">
        <v>64</v>
      </c>
      <c r="M489" s="20" t="s">
        <v>22</v>
      </c>
      <c r="N489" s="20" t="s">
        <v>202</v>
      </c>
      <c r="O489" s="27" t="str">
        <f>J489&amp;"_"&amp;M489</f>
        <v>Control_No</v>
      </c>
      <c r="P489" s="2" t="str">
        <f>J489&amp;"_"&amp;M489</f>
        <v>Control_No</v>
      </c>
      <c r="Q489" s="2" t="str">
        <f>L489&amp;"_"&amp;M489</f>
        <v>Grey_No</v>
      </c>
      <c r="R489" s="18" t="s">
        <v>2072</v>
      </c>
      <c r="S489" s="2"/>
      <c r="T489" s="2"/>
    </row>
    <row r="490" spans="1:20" s="9" customFormat="1" ht="15.75" customHeight="1" x14ac:dyDescent="0.2">
      <c r="A490" s="13">
        <v>489</v>
      </c>
      <c r="B490" s="14" t="s">
        <v>35</v>
      </c>
      <c r="C490" s="14" t="s">
        <v>426</v>
      </c>
      <c r="D490" s="14" t="s">
        <v>131</v>
      </c>
      <c r="E490" s="14" t="s">
        <v>32</v>
      </c>
      <c r="F490" s="14" t="str">
        <f>C490&amp;"-"&amp;D490&amp;"-"&amp;E490</f>
        <v>B3-P4-C2</v>
      </c>
      <c r="G490" s="14" t="s">
        <v>17</v>
      </c>
      <c r="H490" s="14">
        <v>1</v>
      </c>
      <c r="I490" s="14" t="s">
        <v>531</v>
      </c>
      <c r="J490" s="14" t="s">
        <v>133</v>
      </c>
      <c r="K490" s="13" t="str">
        <f>B490&amp;"-"&amp;C490&amp;"-"&amp;D490&amp;"-"&amp;E490&amp;"-"&amp;G490&amp;H490</f>
        <v>Quercus-B3-P4-C2-A1</v>
      </c>
      <c r="L490" s="14" t="s">
        <v>64</v>
      </c>
      <c r="M490" s="14" t="s">
        <v>22</v>
      </c>
      <c r="N490" s="14" t="s">
        <v>202</v>
      </c>
      <c r="O490" s="26" t="str">
        <f>J490&amp;"_"&amp;M490</f>
        <v>Control_No</v>
      </c>
      <c r="P490" s="23" t="str">
        <f>J490&amp;"_"&amp;M490</f>
        <v>Control_No</v>
      </c>
      <c r="Q490" s="23" t="str">
        <f>L490&amp;"_"&amp;M490</f>
        <v>Grey_No</v>
      </c>
      <c r="R490" s="18" t="s">
        <v>2072</v>
      </c>
      <c r="S490" s="23"/>
      <c r="T490" s="23"/>
    </row>
    <row r="491" spans="1:20" s="9" customFormat="1" ht="15.75" customHeight="1" x14ac:dyDescent="0.2">
      <c r="A491" s="13">
        <v>490</v>
      </c>
      <c r="B491" s="14" t="s">
        <v>35</v>
      </c>
      <c r="C491" s="14" t="s">
        <v>426</v>
      </c>
      <c r="D491" s="14" t="s">
        <v>131</v>
      </c>
      <c r="E491" s="14" t="s">
        <v>32</v>
      </c>
      <c r="F491" s="14" t="str">
        <f>C491&amp;"-"&amp;D491&amp;"-"&amp;E491</f>
        <v>B3-P4-C2</v>
      </c>
      <c r="G491" s="14" t="s">
        <v>24</v>
      </c>
      <c r="H491" s="14">
        <v>1</v>
      </c>
      <c r="I491" s="14" t="s">
        <v>532</v>
      </c>
      <c r="J491" s="14" t="s">
        <v>133</v>
      </c>
      <c r="K491" s="13" t="str">
        <f>B491&amp;"-"&amp;C491&amp;"-"&amp;D491&amp;"-"&amp;E491&amp;"-"&amp;G491&amp;H491</f>
        <v>Quercus-B3-P4-C2-B1</v>
      </c>
      <c r="L491" s="14" t="s">
        <v>64</v>
      </c>
      <c r="M491" s="14" t="s">
        <v>22</v>
      </c>
      <c r="N491" s="14" t="s">
        <v>202</v>
      </c>
      <c r="O491" s="26" t="str">
        <f>J491&amp;"_"&amp;M491</f>
        <v>Control_No</v>
      </c>
      <c r="P491" s="23" t="str">
        <f>J491&amp;"_"&amp;M491</f>
        <v>Control_No</v>
      </c>
      <c r="Q491" s="23" t="str">
        <f>L491&amp;"_"&amp;M491</f>
        <v>Grey_No</v>
      </c>
      <c r="R491" s="18" t="s">
        <v>2072</v>
      </c>
      <c r="S491" s="23"/>
      <c r="T491" s="23"/>
    </row>
    <row r="492" spans="1:20" s="9" customFormat="1" ht="15.75" customHeight="1" x14ac:dyDescent="0.2">
      <c r="A492" s="13">
        <v>491</v>
      </c>
      <c r="B492" s="14" t="s">
        <v>35</v>
      </c>
      <c r="C492" s="14" t="s">
        <v>426</v>
      </c>
      <c r="D492" s="14" t="s">
        <v>131</v>
      </c>
      <c r="E492" s="14" t="s">
        <v>32</v>
      </c>
      <c r="F492" s="14" t="str">
        <f>C492&amp;"-"&amp;D492&amp;"-"&amp;E492</f>
        <v>B3-P4-C2</v>
      </c>
      <c r="G492" s="14" t="s">
        <v>17</v>
      </c>
      <c r="H492" s="14">
        <v>2</v>
      </c>
      <c r="I492" s="14" t="s">
        <v>533</v>
      </c>
      <c r="J492" s="14" t="s">
        <v>133</v>
      </c>
      <c r="K492" s="13" t="str">
        <f>B492&amp;"-"&amp;C492&amp;"-"&amp;D492&amp;"-"&amp;E492&amp;"-"&amp;G492&amp;H492</f>
        <v>Quercus-B3-P4-C2-A2</v>
      </c>
      <c r="L492" s="14" t="s">
        <v>64</v>
      </c>
      <c r="M492" s="14" t="s">
        <v>22</v>
      </c>
      <c r="N492" s="14" t="s">
        <v>202</v>
      </c>
      <c r="O492" s="26" t="str">
        <f>J492&amp;"_"&amp;M492</f>
        <v>Control_No</v>
      </c>
      <c r="P492" s="23" t="str">
        <f>J492&amp;"_"&amp;M492</f>
        <v>Control_No</v>
      </c>
      <c r="Q492" s="23" t="str">
        <f>L492&amp;"_"&amp;M492</f>
        <v>Grey_No</v>
      </c>
      <c r="R492" s="18" t="s">
        <v>2072</v>
      </c>
      <c r="S492" s="23"/>
      <c r="T492" s="23"/>
    </row>
    <row r="493" spans="1:20" s="9" customFormat="1" ht="15.75" customHeight="1" x14ac:dyDescent="0.2">
      <c r="A493" s="13">
        <v>492</v>
      </c>
      <c r="B493" s="14" t="s">
        <v>35</v>
      </c>
      <c r="C493" s="14" t="s">
        <v>426</v>
      </c>
      <c r="D493" s="14" t="s">
        <v>131</v>
      </c>
      <c r="E493" s="14" t="s">
        <v>32</v>
      </c>
      <c r="F493" s="14" t="str">
        <f>C493&amp;"-"&amp;D493&amp;"-"&amp;E493</f>
        <v>B3-P4-C2</v>
      </c>
      <c r="G493" s="14" t="s">
        <v>24</v>
      </c>
      <c r="H493" s="14">
        <v>2</v>
      </c>
      <c r="I493" s="14" t="s">
        <v>534</v>
      </c>
      <c r="J493" s="14" t="s">
        <v>133</v>
      </c>
      <c r="K493" s="13" t="str">
        <f>B493&amp;"-"&amp;C493&amp;"-"&amp;D493&amp;"-"&amp;E493&amp;"-"&amp;G493&amp;H493</f>
        <v>Quercus-B3-P4-C2-B2</v>
      </c>
      <c r="L493" s="14" t="s">
        <v>64</v>
      </c>
      <c r="M493" s="14" t="s">
        <v>22</v>
      </c>
      <c r="N493" s="14" t="s">
        <v>202</v>
      </c>
      <c r="O493" s="26" t="str">
        <f>J493&amp;"_"&amp;M493</f>
        <v>Control_No</v>
      </c>
      <c r="P493" s="23" t="str">
        <f>J493&amp;"_"&amp;M493</f>
        <v>Control_No</v>
      </c>
      <c r="Q493" s="23" t="str">
        <f>L493&amp;"_"&amp;M493</f>
        <v>Grey_No</v>
      </c>
      <c r="R493" s="18" t="s">
        <v>2072</v>
      </c>
      <c r="S493" s="23"/>
      <c r="T493" s="23"/>
    </row>
    <row r="494" spans="1:20" s="9" customFormat="1" ht="15.75" customHeight="1" x14ac:dyDescent="0.2">
      <c r="A494" s="13">
        <v>493</v>
      </c>
      <c r="B494" s="14" t="s">
        <v>35</v>
      </c>
      <c r="C494" s="14" t="s">
        <v>426</v>
      </c>
      <c r="D494" s="14" t="s">
        <v>131</v>
      </c>
      <c r="E494" s="14" t="s">
        <v>32</v>
      </c>
      <c r="F494" s="14" t="str">
        <f>C494&amp;"-"&amp;D494&amp;"-"&amp;E494</f>
        <v>B3-P4-C2</v>
      </c>
      <c r="G494" s="14" t="s">
        <v>17</v>
      </c>
      <c r="H494" s="14">
        <v>3</v>
      </c>
      <c r="I494" s="14" t="s">
        <v>535</v>
      </c>
      <c r="J494" s="14" t="s">
        <v>133</v>
      </c>
      <c r="K494" s="13" t="str">
        <f>B494&amp;"-"&amp;C494&amp;"-"&amp;D494&amp;"-"&amp;E494&amp;"-"&amp;G494&amp;H494</f>
        <v>Quercus-B3-P4-C2-A3</v>
      </c>
      <c r="L494" s="14" t="s">
        <v>64</v>
      </c>
      <c r="M494" s="14" t="s">
        <v>22</v>
      </c>
      <c r="N494" s="14" t="s">
        <v>202</v>
      </c>
      <c r="O494" s="26" t="str">
        <f>J494&amp;"_"&amp;M494</f>
        <v>Control_No</v>
      </c>
      <c r="P494" s="23" t="str">
        <f>J494&amp;"_"&amp;M494</f>
        <v>Control_No</v>
      </c>
      <c r="Q494" s="23" t="str">
        <f>L494&amp;"_"&amp;M494</f>
        <v>Grey_No</v>
      </c>
      <c r="R494" s="18" t="s">
        <v>2072</v>
      </c>
      <c r="S494" s="23"/>
      <c r="T494" s="23"/>
    </row>
    <row r="495" spans="1:20" s="9" customFormat="1" ht="15.75" customHeight="1" x14ac:dyDescent="0.2">
      <c r="A495" s="13">
        <v>494</v>
      </c>
      <c r="B495" s="14" t="s">
        <v>35</v>
      </c>
      <c r="C495" s="14" t="s">
        <v>426</v>
      </c>
      <c r="D495" s="14" t="s">
        <v>131</v>
      </c>
      <c r="E495" s="14" t="s">
        <v>32</v>
      </c>
      <c r="F495" s="14" t="str">
        <f>C495&amp;"-"&amp;D495&amp;"-"&amp;E495</f>
        <v>B3-P4-C2</v>
      </c>
      <c r="G495" s="14" t="s">
        <v>24</v>
      </c>
      <c r="H495" s="14">
        <v>3</v>
      </c>
      <c r="I495" s="14" t="s">
        <v>536</v>
      </c>
      <c r="J495" s="14" t="s">
        <v>133</v>
      </c>
      <c r="K495" s="13" t="str">
        <f>B495&amp;"-"&amp;C495&amp;"-"&amp;D495&amp;"-"&amp;E495&amp;"-"&amp;G495&amp;H495</f>
        <v>Quercus-B3-P4-C2-B3</v>
      </c>
      <c r="L495" s="14" t="s">
        <v>64</v>
      </c>
      <c r="M495" s="14" t="s">
        <v>22</v>
      </c>
      <c r="N495" s="14" t="s">
        <v>202</v>
      </c>
      <c r="O495" s="26" t="str">
        <f>J495&amp;"_"&amp;M495</f>
        <v>Control_No</v>
      </c>
      <c r="P495" s="23" t="str">
        <f>J495&amp;"_"&amp;M495</f>
        <v>Control_No</v>
      </c>
      <c r="Q495" s="23" t="str">
        <f>L495&amp;"_"&amp;M495</f>
        <v>Grey_No</v>
      </c>
      <c r="R495" s="18" t="s">
        <v>2072</v>
      </c>
      <c r="S495" s="23"/>
      <c r="T495" s="23"/>
    </row>
    <row r="496" spans="1:20" s="9" customFormat="1" ht="15.75" customHeight="1" x14ac:dyDescent="0.2">
      <c r="A496" s="13">
        <v>495</v>
      </c>
      <c r="B496" s="14" t="s">
        <v>35</v>
      </c>
      <c r="C496" s="14" t="s">
        <v>426</v>
      </c>
      <c r="D496" s="14" t="s">
        <v>131</v>
      </c>
      <c r="E496" s="14" t="s">
        <v>32</v>
      </c>
      <c r="F496" s="14" t="str">
        <f>C496&amp;"-"&amp;D496&amp;"-"&amp;E496</f>
        <v>B3-P4-C2</v>
      </c>
      <c r="G496" s="14" t="s">
        <v>17</v>
      </c>
      <c r="H496" s="14">
        <v>4</v>
      </c>
      <c r="I496" s="14" t="s">
        <v>537</v>
      </c>
      <c r="J496" s="14" t="s">
        <v>133</v>
      </c>
      <c r="K496" s="13" t="str">
        <f>B496&amp;"-"&amp;C496&amp;"-"&amp;D496&amp;"-"&amp;E496&amp;"-"&amp;G496&amp;H496</f>
        <v>Quercus-B3-P4-C2-A4</v>
      </c>
      <c r="L496" s="14" t="s">
        <v>64</v>
      </c>
      <c r="M496" s="14" t="s">
        <v>22</v>
      </c>
      <c r="N496" s="14" t="s">
        <v>202</v>
      </c>
      <c r="O496" s="26" t="str">
        <f>J496&amp;"_"&amp;M496</f>
        <v>Control_No</v>
      </c>
      <c r="P496" s="23" t="str">
        <f>J496&amp;"_"&amp;M496</f>
        <v>Control_No</v>
      </c>
      <c r="Q496" s="23" t="str">
        <f>L496&amp;"_"&amp;M496</f>
        <v>Grey_No</v>
      </c>
      <c r="R496" s="18" t="s">
        <v>2072</v>
      </c>
      <c r="S496" s="23"/>
      <c r="T496" s="23"/>
    </row>
    <row r="497" spans="1:20" s="9" customFormat="1" ht="15.75" customHeight="1" x14ac:dyDescent="0.2">
      <c r="A497" s="13">
        <v>496</v>
      </c>
      <c r="B497" s="14" t="s">
        <v>35</v>
      </c>
      <c r="C497" s="14" t="s">
        <v>426</v>
      </c>
      <c r="D497" s="14" t="s">
        <v>131</v>
      </c>
      <c r="E497" s="14" t="s">
        <v>32</v>
      </c>
      <c r="F497" s="14" t="str">
        <f>C497&amp;"-"&amp;D497&amp;"-"&amp;E497</f>
        <v>B3-P4-C2</v>
      </c>
      <c r="G497" s="14" t="s">
        <v>24</v>
      </c>
      <c r="H497" s="14">
        <v>4</v>
      </c>
      <c r="I497" s="14" t="s">
        <v>538</v>
      </c>
      <c r="J497" s="14" t="s">
        <v>133</v>
      </c>
      <c r="K497" s="13" t="str">
        <f>B497&amp;"-"&amp;C497&amp;"-"&amp;D497&amp;"-"&amp;E497&amp;"-"&amp;G497&amp;H497</f>
        <v>Quercus-B3-P4-C2-B4</v>
      </c>
      <c r="L497" s="14" t="s">
        <v>64</v>
      </c>
      <c r="M497" s="14" t="s">
        <v>22</v>
      </c>
      <c r="N497" s="14" t="s">
        <v>202</v>
      </c>
      <c r="O497" s="26" t="str">
        <f>J497&amp;"_"&amp;M497</f>
        <v>Control_No</v>
      </c>
      <c r="P497" s="23" t="str">
        <f>J497&amp;"_"&amp;M497</f>
        <v>Control_No</v>
      </c>
      <c r="Q497" s="23" t="str">
        <f>L497&amp;"_"&amp;M497</f>
        <v>Grey_No</v>
      </c>
      <c r="R497" s="18" t="s">
        <v>2072</v>
      </c>
      <c r="S497" s="23"/>
      <c r="T497" s="23"/>
    </row>
    <row r="498" spans="1:20" s="10" customFormat="1" ht="15.75" customHeight="1" x14ac:dyDescent="0.2">
      <c r="A498" s="21">
        <v>497</v>
      </c>
      <c r="B498" s="20" t="s">
        <v>19</v>
      </c>
      <c r="C498" s="20" t="s">
        <v>426</v>
      </c>
      <c r="D498" s="20" t="s">
        <v>131</v>
      </c>
      <c r="E498" s="20" t="s">
        <v>42</v>
      </c>
      <c r="F498" s="18" t="str">
        <f>C498&amp;"-"&amp;D498&amp;"-"&amp;E498</f>
        <v>B3-P4-C3</v>
      </c>
      <c r="G498" s="20" t="s">
        <v>17</v>
      </c>
      <c r="H498" s="20">
        <v>1</v>
      </c>
      <c r="I498" s="20" t="s">
        <v>539</v>
      </c>
      <c r="J498" s="20" t="s">
        <v>133</v>
      </c>
      <c r="K498" s="19" t="str">
        <f>B498&amp;"-"&amp;C498&amp;"-"&amp;D498&amp;"-"&amp;E498&amp;"-"&amp;G498&amp;H498</f>
        <v>Fagus-B3-P4-C3-A1</v>
      </c>
      <c r="L498" s="20" t="s">
        <v>64</v>
      </c>
      <c r="M498" s="20" t="s">
        <v>22</v>
      </c>
      <c r="N498" s="20" t="s">
        <v>202</v>
      </c>
      <c r="O498" s="27" t="str">
        <f>J498&amp;"_"&amp;M498</f>
        <v>Control_No</v>
      </c>
      <c r="P498" s="2" t="str">
        <f>J498&amp;"_"&amp;M498</f>
        <v>Control_No</v>
      </c>
      <c r="Q498" s="2" t="str">
        <f>L498&amp;"_"&amp;M498</f>
        <v>Grey_No</v>
      </c>
      <c r="R498" s="18" t="s">
        <v>2072</v>
      </c>
      <c r="S498" s="2"/>
      <c r="T498" s="2"/>
    </row>
    <row r="499" spans="1:20" s="10" customFormat="1" ht="15.75" customHeight="1" x14ac:dyDescent="0.2">
      <c r="A499" s="21">
        <v>498</v>
      </c>
      <c r="B499" s="20" t="s">
        <v>35</v>
      </c>
      <c r="C499" s="20" t="s">
        <v>426</v>
      </c>
      <c r="D499" s="20" t="s">
        <v>131</v>
      </c>
      <c r="E499" s="20" t="s">
        <v>42</v>
      </c>
      <c r="F499" s="18" t="str">
        <f>C499&amp;"-"&amp;D499&amp;"-"&amp;E499</f>
        <v>B3-P4-C3</v>
      </c>
      <c r="G499" s="20" t="s">
        <v>24</v>
      </c>
      <c r="H499" s="20">
        <v>1</v>
      </c>
      <c r="I499" s="20" t="s">
        <v>540</v>
      </c>
      <c r="J499" s="20" t="s">
        <v>133</v>
      </c>
      <c r="K499" s="19" t="str">
        <f>B499&amp;"-"&amp;C499&amp;"-"&amp;D499&amp;"-"&amp;E499&amp;"-"&amp;G499&amp;H499</f>
        <v>Quercus-B3-P4-C3-B1</v>
      </c>
      <c r="L499" s="20" t="s">
        <v>64</v>
      </c>
      <c r="M499" s="20" t="s">
        <v>22</v>
      </c>
      <c r="N499" s="20" t="s">
        <v>202</v>
      </c>
      <c r="O499" s="27" t="str">
        <f>J499&amp;"_"&amp;M499</f>
        <v>Control_No</v>
      </c>
      <c r="P499" s="2" t="str">
        <f>J499&amp;"_"&amp;M499</f>
        <v>Control_No</v>
      </c>
      <c r="Q499" s="2" t="str">
        <f>L499&amp;"_"&amp;M499</f>
        <v>Grey_No</v>
      </c>
      <c r="R499" s="18" t="s">
        <v>2072</v>
      </c>
      <c r="S499" s="2"/>
      <c r="T499" s="2"/>
    </row>
    <row r="500" spans="1:20" s="10" customFormat="1" ht="15.75" customHeight="1" x14ac:dyDescent="0.2">
      <c r="A500" s="21">
        <v>499</v>
      </c>
      <c r="B500" s="20" t="s">
        <v>35</v>
      </c>
      <c r="C500" s="20" t="s">
        <v>426</v>
      </c>
      <c r="D500" s="20" t="s">
        <v>131</v>
      </c>
      <c r="E500" s="20" t="s">
        <v>42</v>
      </c>
      <c r="F500" s="18" t="str">
        <f>C500&amp;"-"&amp;D500&amp;"-"&amp;E500</f>
        <v>B3-P4-C3</v>
      </c>
      <c r="G500" s="20" t="s">
        <v>17</v>
      </c>
      <c r="H500" s="20">
        <v>2</v>
      </c>
      <c r="I500" s="20" t="s">
        <v>541</v>
      </c>
      <c r="J500" s="20" t="s">
        <v>133</v>
      </c>
      <c r="K500" s="19" t="str">
        <f>B500&amp;"-"&amp;C500&amp;"-"&amp;D500&amp;"-"&amp;E500&amp;"-"&amp;G500&amp;H500</f>
        <v>Quercus-B3-P4-C3-A2</v>
      </c>
      <c r="L500" s="20" t="s">
        <v>64</v>
      </c>
      <c r="M500" s="20" t="s">
        <v>22</v>
      </c>
      <c r="N500" s="20" t="s">
        <v>202</v>
      </c>
      <c r="O500" s="27" t="str">
        <f>J500&amp;"_"&amp;M500</f>
        <v>Control_No</v>
      </c>
      <c r="P500" s="2" t="str">
        <f>J500&amp;"_"&amp;M500</f>
        <v>Control_No</v>
      </c>
      <c r="Q500" s="2" t="str">
        <f>L500&amp;"_"&amp;M500</f>
        <v>Grey_No</v>
      </c>
      <c r="R500" s="18" t="s">
        <v>2072</v>
      </c>
      <c r="S500" s="2"/>
      <c r="T500" s="2"/>
    </row>
    <row r="501" spans="1:20" s="10" customFormat="1" ht="15.75" customHeight="1" x14ac:dyDescent="0.2">
      <c r="A501" s="21">
        <v>500</v>
      </c>
      <c r="B501" s="20" t="s">
        <v>19</v>
      </c>
      <c r="C501" s="20" t="s">
        <v>426</v>
      </c>
      <c r="D501" s="20" t="s">
        <v>131</v>
      </c>
      <c r="E501" s="20" t="s">
        <v>42</v>
      </c>
      <c r="F501" s="18" t="str">
        <f>C501&amp;"-"&amp;D501&amp;"-"&amp;E501</f>
        <v>B3-P4-C3</v>
      </c>
      <c r="G501" s="20" t="s">
        <v>24</v>
      </c>
      <c r="H501" s="20">
        <v>2</v>
      </c>
      <c r="I501" s="20" t="s">
        <v>542</v>
      </c>
      <c r="J501" s="20" t="s">
        <v>133</v>
      </c>
      <c r="K501" s="19" t="str">
        <f>B501&amp;"-"&amp;C501&amp;"-"&amp;D501&amp;"-"&amp;E501&amp;"-"&amp;G501&amp;H501</f>
        <v>Fagus-B3-P4-C3-B2</v>
      </c>
      <c r="L501" s="20" t="s">
        <v>64</v>
      </c>
      <c r="M501" s="20" t="s">
        <v>22</v>
      </c>
      <c r="N501" s="20" t="s">
        <v>202</v>
      </c>
      <c r="O501" s="27" t="str">
        <f>J501&amp;"_"&amp;M501</f>
        <v>Control_No</v>
      </c>
      <c r="P501" s="2" t="str">
        <f>J501&amp;"_"&amp;M501</f>
        <v>Control_No</v>
      </c>
      <c r="Q501" s="2" t="str">
        <f>L501&amp;"_"&amp;M501</f>
        <v>Grey_No</v>
      </c>
      <c r="R501" s="18" t="s">
        <v>2072</v>
      </c>
      <c r="S501" s="2"/>
      <c r="T501" s="2"/>
    </row>
    <row r="502" spans="1:20" s="10" customFormat="1" ht="15.75" customHeight="1" x14ac:dyDescent="0.2">
      <c r="A502" s="21">
        <v>501</v>
      </c>
      <c r="B502" s="20" t="s">
        <v>19</v>
      </c>
      <c r="C502" s="20" t="s">
        <v>426</v>
      </c>
      <c r="D502" s="20" t="s">
        <v>131</v>
      </c>
      <c r="E502" s="20" t="s">
        <v>42</v>
      </c>
      <c r="F502" s="18" t="str">
        <f>C502&amp;"-"&amp;D502&amp;"-"&amp;E502</f>
        <v>B3-P4-C3</v>
      </c>
      <c r="G502" s="20" t="s">
        <v>17</v>
      </c>
      <c r="H502" s="20">
        <v>3</v>
      </c>
      <c r="I502" s="20" t="s">
        <v>543</v>
      </c>
      <c r="J502" s="20" t="s">
        <v>133</v>
      </c>
      <c r="K502" s="19" t="str">
        <f>B502&amp;"-"&amp;C502&amp;"-"&amp;D502&amp;"-"&amp;E502&amp;"-"&amp;G502&amp;H502</f>
        <v>Fagus-B3-P4-C3-A3</v>
      </c>
      <c r="L502" s="20" t="s">
        <v>64</v>
      </c>
      <c r="M502" s="20" t="s">
        <v>22</v>
      </c>
      <c r="N502" s="20" t="s">
        <v>202</v>
      </c>
      <c r="O502" s="27" t="str">
        <f>J502&amp;"_"&amp;M502</f>
        <v>Control_No</v>
      </c>
      <c r="P502" s="2" t="str">
        <f>J502&amp;"_"&amp;M502</f>
        <v>Control_No</v>
      </c>
      <c r="Q502" s="2" t="str">
        <f>L502&amp;"_"&amp;M502</f>
        <v>Grey_No</v>
      </c>
      <c r="R502" s="18" t="s">
        <v>2072</v>
      </c>
      <c r="S502" s="2"/>
      <c r="T502" s="2"/>
    </row>
    <row r="503" spans="1:20" s="10" customFormat="1" ht="15.75" customHeight="1" x14ac:dyDescent="0.2">
      <c r="A503" s="21">
        <v>502</v>
      </c>
      <c r="B503" s="20" t="s">
        <v>35</v>
      </c>
      <c r="C503" s="20" t="s">
        <v>426</v>
      </c>
      <c r="D503" s="20" t="s">
        <v>131</v>
      </c>
      <c r="E503" s="20" t="s">
        <v>42</v>
      </c>
      <c r="F503" s="18" t="str">
        <f>C503&amp;"-"&amp;D503&amp;"-"&amp;E503</f>
        <v>B3-P4-C3</v>
      </c>
      <c r="G503" s="20" t="s">
        <v>24</v>
      </c>
      <c r="H503" s="20">
        <v>3</v>
      </c>
      <c r="I503" s="20" t="s">
        <v>544</v>
      </c>
      <c r="J503" s="20" t="s">
        <v>133</v>
      </c>
      <c r="K503" s="19" t="str">
        <f>B503&amp;"-"&amp;C503&amp;"-"&amp;D503&amp;"-"&amp;E503&amp;"-"&amp;G503&amp;H503</f>
        <v>Quercus-B3-P4-C3-B3</v>
      </c>
      <c r="L503" s="20" t="s">
        <v>64</v>
      </c>
      <c r="M503" s="20" t="s">
        <v>22</v>
      </c>
      <c r="N503" s="20" t="s">
        <v>202</v>
      </c>
      <c r="O503" s="27" t="str">
        <f>J503&amp;"_"&amp;M503</f>
        <v>Control_No</v>
      </c>
      <c r="P503" s="2" t="str">
        <f>J503&amp;"_"&amp;M503</f>
        <v>Control_No</v>
      </c>
      <c r="Q503" s="2" t="str">
        <f>L503&amp;"_"&amp;M503</f>
        <v>Grey_No</v>
      </c>
      <c r="R503" s="18" t="s">
        <v>2072</v>
      </c>
      <c r="S503" s="2"/>
      <c r="T503" s="2"/>
    </row>
    <row r="504" spans="1:20" s="10" customFormat="1" ht="15.75" customHeight="1" x14ac:dyDescent="0.2">
      <c r="A504" s="21">
        <v>503</v>
      </c>
      <c r="B504" s="20" t="s">
        <v>35</v>
      </c>
      <c r="C504" s="20" t="s">
        <v>426</v>
      </c>
      <c r="D504" s="20" t="s">
        <v>131</v>
      </c>
      <c r="E504" s="20" t="s">
        <v>42</v>
      </c>
      <c r="F504" s="18" t="str">
        <f>C504&amp;"-"&amp;D504&amp;"-"&amp;E504</f>
        <v>B3-P4-C3</v>
      </c>
      <c r="G504" s="20" t="s">
        <v>17</v>
      </c>
      <c r="H504" s="20">
        <v>4</v>
      </c>
      <c r="I504" s="20" t="s">
        <v>545</v>
      </c>
      <c r="J504" s="20" t="s">
        <v>133</v>
      </c>
      <c r="K504" s="19" t="str">
        <f>B504&amp;"-"&amp;C504&amp;"-"&amp;D504&amp;"-"&amp;E504&amp;"-"&amp;G504&amp;H504</f>
        <v>Quercus-B3-P4-C3-A4</v>
      </c>
      <c r="L504" s="20" t="s">
        <v>64</v>
      </c>
      <c r="M504" s="20" t="s">
        <v>22</v>
      </c>
      <c r="N504" s="20" t="s">
        <v>202</v>
      </c>
      <c r="O504" s="27" t="str">
        <f>J504&amp;"_"&amp;M504</f>
        <v>Control_No</v>
      </c>
      <c r="P504" s="2" t="str">
        <f>J504&amp;"_"&amp;M504</f>
        <v>Control_No</v>
      </c>
      <c r="Q504" s="2" t="str">
        <f>L504&amp;"_"&amp;M504</f>
        <v>Grey_No</v>
      </c>
      <c r="R504" s="18" t="s">
        <v>2072</v>
      </c>
      <c r="S504" s="2"/>
      <c r="T504" s="2"/>
    </row>
    <row r="505" spans="1:20" s="10" customFormat="1" ht="15.75" customHeight="1" x14ac:dyDescent="0.2">
      <c r="A505" s="21">
        <v>504</v>
      </c>
      <c r="B505" s="20" t="s">
        <v>19</v>
      </c>
      <c r="C505" s="20" t="s">
        <v>426</v>
      </c>
      <c r="D505" s="20" t="s">
        <v>131</v>
      </c>
      <c r="E505" s="20" t="s">
        <v>42</v>
      </c>
      <c r="F505" s="18" t="str">
        <f>C505&amp;"-"&amp;D505&amp;"-"&amp;E505</f>
        <v>B3-P4-C3</v>
      </c>
      <c r="G505" s="20" t="s">
        <v>24</v>
      </c>
      <c r="H505" s="20">
        <v>4</v>
      </c>
      <c r="I505" s="20" t="s">
        <v>546</v>
      </c>
      <c r="J505" s="20" t="s">
        <v>133</v>
      </c>
      <c r="K505" s="19" t="str">
        <f>B505&amp;"-"&amp;C505&amp;"-"&amp;D505&amp;"-"&amp;E505&amp;"-"&amp;G505&amp;H505</f>
        <v>Fagus-B3-P4-C3-B4</v>
      </c>
      <c r="L505" s="20" t="s">
        <v>64</v>
      </c>
      <c r="M505" s="20" t="s">
        <v>22</v>
      </c>
      <c r="N505" s="20" t="s">
        <v>202</v>
      </c>
      <c r="O505" s="27" t="str">
        <f>J505&amp;"_"&amp;M505</f>
        <v>Control_No</v>
      </c>
      <c r="P505" s="2" t="str">
        <f>J505&amp;"_"&amp;M505</f>
        <v>Control_No</v>
      </c>
      <c r="Q505" s="2" t="str">
        <f>L505&amp;"_"&amp;M505</f>
        <v>Grey_No</v>
      </c>
      <c r="R505" s="18" t="s">
        <v>2072</v>
      </c>
      <c r="S505" s="2"/>
      <c r="T505" s="2"/>
    </row>
    <row r="506" spans="1:20" s="9" customFormat="1" ht="15.75" customHeight="1" x14ac:dyDescent="0.2">
      <c r="A506" s="13">
        <v>505</v>
      </c>
      <c r="B506" s="14" t="s">
        <v>35</v>
      </c>
      <c r="C506" s="14" t="s">
        <v>426</v>
      </c>
      <c r="D506" s="14" t="s">
        <v>131</v>
      </c>
      <c r="E506" s="14" t="s">
        <v>53</v>
      </c>
      <c r="F506" s="14" t="str">
        <f>C506&amp;"-"&amp;D506&amp;"-"&amp;E506</f>
        <v>B3-P4-C4</v>
      </c>
      <c r="G506" s="14" t="s">
        <v>17</v>
      </c>
      <c r="H506" s="14">
        <v>1</v>
      </c>
      <c r="I506" s="14" t="s">
        <v>547</v>
      </c>
      <c r="J506" s="14" t="s">
        <v>133</v>
      </c>
      <c r="K506" s="13" t="str">
        <f>B506&amp;"-"&amp;C506&amp;"-"&amp;D506&amp;"-"&amp;E506&amp;"-"&amp;G506&amp;H506</f>
        <v>Quercus-B3-P4-C4-A1</v>
      </c>
      <c r="L506" s="14" t="s">
        <v>64</v>
      </c>
      <c r="M506" s="14" t="s">
        <v>44</v>
      </c>
      <c r="N506" s="14" t="s">
        <v>169</v>
      </c>
      <c r="O506" s="26" t="str">
        <f>J506&amp;"_"&amp;M506</f>
        <v>Control_Yes</v>
      </c>
      <c r="P506" s="23" t="str">
        <f>J506&amp;"_"&amp;M506</f>
        <v>Control_Yes</v>
      </c>
      <c r="Q506" s="23" t="str">
        <f>L506&amp;"_"&amp;M506</f>
        <v>Grey_Yes</v>
      </c>
      <c r="R506" s="18" t="s">
        <v>2072</v>
      </c>
      <c r="S506" s="23"/>
      <c r="T506" s="23"/>
    </row>
    <row r="507" spans="1:20" s="9" customFormat="1" ht="15.75" customHeight="1" x14ac:dyDescent="0.2">
      <c r="A507" s="13">
        <v>506</v>
      </c>
      <c r="B507" s="14" t="s">
        <v>19</v>
      </c>
      <c r="C507" s="14" t="s">
        <v>426</v>
      </c>
      <c r="D507" s="14" t="s">
        <v>131</v>
      </c>
      <c r="E507" s="14" t="s">
        <v>53</v>
      </c>
      <c r="F507" s="14" t="str">
        <f>C507&amp;"-"&amp;D507&amp;"-"&amp;E507</f>
        <v>B3-P4-C4</v>
      </c>
      <c r="G507" s="14" t="s">
        <v>24</v>
      </c>
      <c r="H507" s="14">
        <v>1</v>
      </c>
      <c r="I507" s="14" t="s">
        <v>548</v>
      </c>
      <c r="J507" s="14" t="s">
        <v>133</v>
      </c>
      <c r="K507" s="13" t="str">
        <f>B507&amp;"-"&amp;C507&amp;"-"&amp;D507&amp;"-"&amp;E507&amp;"-"&amp;G507&amp;H507</f>
        <v>Fagus-B3-P4-C4-B1</v>
      </c>
      <c r="L507" s="14" t="s">
        <v>64</v>
      </c>
      <c r="M507" s="14" t="s">
        <v>44</v>
      </c>
      <c r="N507" s="14" t="s">
        <v>169</v>
      </c>
      <c r="O507" s="26" t="str">
        <f>J507&amp;"_"&amp;M507</f>
        <v>Control_Yes</v>
      </c>
      <c r="P507" s="23" t="str">
        <f>J507&amp;"_"&amp;M507</f>
        <v>Control_Yes</v>
      </c>
      <c r="Q507" s="23" t="str">
        <f>L507&amp;"_"&amp;M507</f>
        <v>Grey_Yes</v>
      </c>
      <c r="R507" s="18" t="s">
        <v>2072</v>
      </c>
      <c r="S507" s="23"/>
      <c r="T507" s="23"/>
    </row>
    <row r="508" spans="1:20" s="9" customFormat="1" ht="15.75" customHeight="1" x14ac:dyDescent="0.2">
      <c r="A508" s="13">
        <v>507</v>
      </c>
      <c r="B508" s="14" t="s">
        <v>19</v>
      </c>
      <c r="C508" s="14" t="s">
        <v>426</v>
      </c>
      <c r="D508" s="14" t="s">
        <v>131</v>
      </c>
      <c r="E508" s="14" t="s">
        <v>53</v>
      </c>
      <c r="F508" s="14" t="str">
        <f>C508&amp;"-"&amp;D508&amp;"-"&amp;E508</f>
        <v>B3-P4-C4</v>
      </c>
      <c r="G508" s="14" t="s">
        <v>17</v>
      </c>
      <c r="H508" s="14">
        <v>2</v>
      </c>
      <c r="I508" s="14" t="s">
        <v>549</v>
      </c>
      <c r="J508" s="14" t="s">
        <v>133</v>
      </c>
      <c r="K508" s="13" t="str">
        <f>B508&amp;"-"&amp;C508&amp;"-"&amp;D508&amp;"-"&amp;E508&amp;"-"&amp;G508&amp;H508</f>
        <v>Fagus-B3-P4-C4-A2</v>
      </c>
      <c r="L508" s="14" t="s">
        <v>64</v>
      </c>
      <c r="M508" s="14" t="s">
        <v>44</v>
      </c>
      <c r="N508" s="14" t="s">
        <v>169</v>
      </c>
      <c r="O508" s="26" t="str">
        <f>J508&amp;"_"&amp;M508</f>
        <v>Control_Yes</v>
      </c>
      <c r="P508" s="23" t="str">
        <f>J508&amp;"_"&amp;M508</f>
        <v>Control_Yes</v>
      </c>
      <c r="Q508" s="23" t="str">
        <f>L508&amp;"_"&amp;M508</f>
        <v>Grey_Yes</v>
      </c>
      <c r="R508" s="18" t="s">
        <v>2072</v>
      </c>
      <c r="S508" s="23"/>
      <c r="T508" s="23"/>
    </row>
    <row r="509" spans="1:20" s="9" customFormat="1" ht="15.75" customHeight="1" x14ac:dyDescent="0.2">
      <c r="A509" s="13">
        <v>508</v>
      </c>
      <c r="B509" s="14" t="s">
        <v>35</v>
      </c>
      <c r="C509" s="14" t="s">
        <v>426</v>
      </c>
      <c r="D509" s="14" t="s">
        <v>131</v>
      </c>
      <c r="E509" s="14" t="s">
        <v>53</v>
      </c>
      <c r="F509" s="14" t="str">
        <f>C509&amp;"-"&amp;D509&amp;"-"&amp;E509</f>
        <v>B3-P4-C4</v>
      </c>
      <c r="G509" s="14" t="s">
        <v>24</v>
      </c>
      <c r="H509" s="14">
        <v>2</v>
      </c>
      <c r="I509" s="14" t="s">
        <v>550</v>
      </c>
      <c r="J509" s="14" t="s">
        <v>133</v>
      </c>
      <c r="K509" s="13" t="str">
        <f>B509&amp;"-"&amp;C509&amp;"-"&amp;D509&amp;"-"&amp;E509&amp;"-"&amp;G509&amp;H509</f>
        <v>Quercus-B3-P4-C4-B2</v>
      </c>
      <c r="L509" s="14" t="s">
        <v>64</v>
      </c>
      <c r="M509" s="14" t="s">
        <v>44</v>
      </c>
      <c r="N509" s="14" t="s">
        <v>169</v>
      </c>
      <c r="O509" s="26" t="str">
        <f>J509&amp;"_"&amp;M509</f>
        <v>Control_Yes</v>
      </c>
      <c r="P509" s="23" t="str">
        <f>J509&amp;"_"&amp;M509</f>
        <v>Control_Yes</v>
      </c>
      <c r="Q509" s="23" t="str">
        <f>L509&amp;"_"&amp;M509</f>
        <v>Grey_Yes</v>
      </c>
      <c r="R509" s="18" t="s">
        <v>2072</v>
      </c>
      <c r="S509" s="23"/>
      <c r="T509" s="23"/>
    </row>
    <row r="510" spans="1:20" s="9" customFormat="1" ht="15.75" customHeight="1" x14ac:dyDescent="0.2">
      <c r="A510" s="13">
        <v>509</v>
      </c>
      <c r="B510" s="14" t="s">
        <v>35</v>
      </c>
      <c r="C510" s="14" t="s">
        <v>426</v>
      </c>
      <c r="D510" s="14" t="s">
        <v>131</v>
      </c>
      <c r="E510" s="14" t="s">
        <v>53</v>
      </c>
      <c r="F510" s="14" t="str">
        <f>C510&amp;"-"&amp;D510&amp;"-"&amp;E510</f>
        <v>B3-P4-C4</v>
      </c>
      <c r="G510" s="14" t="s">
        <v>17</v>
      </c>
      <c r="H510" s="14">
        <v>3</v>
      </c>
      <c r="I510" s="14" t="s">
        <v>551</v>
      </c>
      <c r="J510" s="14" t="s">
        <v>133</v>
      </c>
      <c r="K510" s="13" t="str">
        <f>B510&amp;"-"&amp;C510&amp;"-"&amp;D510&amp;"-"&amp;E510&amp;"-"&amp;G510&amp;H510</f>
        <v>Quercus-B3-P4-C4-A3</v>
      </c>
      <c r="L510" s="14" t="s">
        <v>64</v>
      </c>
      <c r="M510" s="14" t="s">
        <v>44</v>
      </c>
      <c r="N510" s="14" t="s">
        <v>169</v>
      </c>
      <c r="O510" s="26" t="str">
        <f>J510&amp;"_"&amp;M510</f>
        <v>Control_Yes</v>
      </c>
      <c r="P510" s="23" t="str">
        <f>J510&amp;"_"&amp;M510</f>
        <v>Control_Yes</v>
      </c>
      <c r="Q510" s="23" t="str">
        <f>L510&amp;"_"&amp;M510</f>
        <v>Grey_Yes</v>
      </c>
      <c r="R510" s="18" t="s">
        <v>2072</v>
      </c>
      <c r="S510" s="23"/>
      <c r="T510" s="23"/>
    </row>
    <row r="511" spans="1:20" s="9" customFormat="1" ht="15.75" customHeight="1" x14ac:dyDescent="0.2">
      <c r="A511" s="13">
        <v>510</v>
      </c>
      <c r="B511" s="14" t="s">
        <v>19</v>
      </c>
      <c r="C511" s="14" t="s">
        <v>426</v>
      </c>
      <c r="D511" s="14" t="s">
        <v>131</v>
      </c>
      <c r="E511" s="14" t="s">
        <v>53</v>
      </c>
      <c r="F511" s="14" t="str">
        <f>C511&amp;"-"&amp;D511&amp;"-"&amp;E511</f>
        <v>B3-P4-C4</v>
      </c>
      <c r="G511" s="14" t="s">
        <v>24</v>
      </c>
      <c r="H511" s="14">
        <v>3</v>
      </c>
      <c r="I511" s="14" t="s">
        <v>552</v>
      </c>
      <c r="J511" s="14" t="s">
        <v>133</v>
      </c>
      <c r="K511" s="13" t="str">
        <f>B511&amp;"-"&amp;C511&amp;"-"&amp;D511&amp;"-"&amp;E511&amp;"-"&amp;G511&amp;H511</f>
        <v>Fagus-B3-P4-C4-B3</v>
      </c>
      <c r="L511" s="14" t="s">
        <v>64</v>
      </c>
      <c r="M511" s="14" t="s">
        <v>44</v>
      </c>
      <c r="N511" s="14" t="s">
        <v>169</v>
      </c>
      <c r="O511" s="26" t="str">
        <f>J511&amp;"_"&amp;M511</f>
        <v>Control_Yes</v>
      </c>
      <c r="P511" s="23" t="str">
        <f>J511&amp;"_"&amp;M511</f>
        <v>Control_Yes</v>
      </c>
      <c r="Q511" s="23" t="str">
        <f>L511&amp;"_"&amp;M511</f>
        <v>Grey_Yes</v>
      </c>
      <c r="R511" s="18" t="s">
        <v>2072</v>
      </c>
      <c r="S511" s="23"/>
      <c r="T511" s="23"/>
    </row>
    <row r="512" spans="1:20" s="9" customFormat="1" ht="15.75" customHeight="1" x14ac:dyDescent="0.2">
      <c r="A512" s="13">
        <v>511</v>
      </c>
      <c r="B512" s="14" t="s">
        <v>19</v>
      </c>
      <c r="C512" s="14" t="s">
        <v>426</v>
      </c>
      <c r="D512" s="14" t="s">
        <v>131</v>
      </c>
      <c r="E512" s="14" t="s">
        <v>53</v>
      </c>
      <c r="F512" s="14" t="str">
        <f>C512&amp;"-"&amp;D512&amp;"-"&amp;E512</f>
        <v>B3-P4-C4</v>
      </c>
      <c r="G512" s="14" t="s">
        <v>17</v>
      </c>
      <c r="H512" s="14">
        <v>4</v>
      </c>
      <c r="I512" s="14" t="s">
        <v>553</v>
      </c>
      <c r="J512" s="14" t="s">
        <v>133</v>
      </c>
      <c r="K512" s="13" t="str">
        <f>B512&amp;"-"&amp;C512&amp;"-"&amp;D512&amp;"-"&amp;E512&amp;"-"&amp;G512&amp;H512</f>
        <v>Fagus-B3-P4-C4-A4</v>
      </c>
      <c r="L512" s="14" t="s">
        <v>64</v>
      </c>
      <c r="M512" s="14" t="s">
        <v>44</v>
      </c>
      <c r="N512" s="14" t="s">
        <v>169</v>
      </c>
      <c r="O512" s="26" t="str">
        <f>J512&amp;"_"&amp;M512</f>
        <v>Control_Yes</v>
      </c>
      <c r="P512" s="23" t="str">
        <f>J512&amp;"_"&amp;M512</f>
        <v>Control_Yes</v>
      </c>
      <c r="Q512" s="23" t="str">
        <f>L512&amp;"_"&amp;M512</f>
        <v>Grey_Yes</v>
      </c>
      <c r="R512" s="18" t="s">
        <v>2072</v>
      </c>
      <c r="S512" s="23"/>
      <c r="T512" s="23"/>
    </row>
    <row r="513" spans="1:20" s="9" customFormat="1" ht="15.75" customHeight="1" x14ac:dyDescent="0.2">
      <c r="A513" s="13">
        <v>512</v>
      </c>
      <c r="B513" s="14" t="s">
        <v>35</v>
      </c>
      <c r="C513" s="14" t="s">
        <v>426</v>
      </c>
      <c r="D513" s="14" t="s">
        <v>131</v>
      </c>
      <c r="E513" s="14" t="s">
        <v>53</v>
      </c>
      <c r="F513" s="14" t="str">
        <f>C513&amp;"-"&amp;D513&amp;"-"&amp;E513</f>
        <v>B3-P4-C4</v>
      </c>
      <c r="G513" s="14" t="s">
        <v>24</v>
      </c>
      <c r="H513" s="14">
        <v>4</v>
      </c>
      <c r="I513" s="14" t="s">
        <v>554</v>
      </c>
      <c r="J513" s="14" t="s">
        <v>133</v>
      </c>
      <c r="K513" s="13" t="str">
        <f>B513&amp;"-"&amp;C513&amp;"-"&amp;D513&amp;"-"&amp;E513&amp;"-"&amp;G513&amp;H513</f>
        <v>Quercus-B3-P4-C4-B4</v>
      </c>
      <c r="L513" s="14" t="s">
        <v>64</v>
      </c>
      <c r="M513" s="14" t="s">
        <v>44</v>
      </c>
      <c r="N513" s="14" t="s">
        <v>169</v>
      </c>
      <c r="O513" s="26" t="str">
        <f>J513&amp;"_"&amp;M513</f>
        <v>Control_Yes</v>
      </c>
      <c r="P513" s="23" t="str">
        <f>J513&amp;"_"&amp;M513</f>
        <v>Control_Yes</v>
      </c>
      <c r="Q513" s="23" t="str">
        <f>L513&amp;"_"&amp;M513</f>
        <v>Grey_Yes</v>
      </c>
      <c r="R513" s="18" t="s">
        <v>2072</v>
      </c>
      <c r="S513" s="23"/>
      <c r="T513" s="23"/>
    </row>
    <row r="514" spans="1:20" s="10" customFormat="1" ht="15.75" customHeight="1" x14ac:dyDescent="0.2">
      <c r="A514" s="21">
        <v>513</v>
      </c>
      <c r="B514" s="20" t="s">
        <v>35</v>
      </c>
      <c r="C514" s="20" t="s">
        <v>426</v>
      </c>
      <c r="D514" s="20" t="s">
        <v>167</v>
      </c>
      <c r="E514" s="20" t="s">
        <v>16</v>
      </c>
      <c r="F514" s="18" t="str">
        <f>C514&amp;"-"&amp;D514&amp;"-"&amp;E514</f>
        <v>B3-P5-C1</v>
      </c>
      <c r="G514" s="20" t="s">
        <v>17</v>
      </c>
      <c r="H514" s="20">
        <v>1</v>
      </c>
      <c r="I514" s="20" t="s">
        <v>555</v>
      </c>
      <c r="J514" s="20" t="s">
        <v>133</v>
      </c>
      <c r="K514" s="19" t="str">
        <f>B514&amp;"-"&amp;C514&amp;"-"&amp;D514&amp;"-"&amp;E514&amp;"-"&amp;G514&amp;H514</f>
        <v>Quercus-B3-P5-C1-A1</v>
      </c>
      <c r="L514" s="20" t="s">
        <v>64</v>
      </c>
      <c r="M514" s="20" t="s">
        <v>44</v>
      </c>
      <c r="N514" s="20" t="s">
        <v>169</v>
      </c>
      <c r="O514" s="27" t="str">
        <f>J514&amp;"_"&amp;M514</f>
        <v>Control_Yes</v>
      </c>
      <c r="P514" s="2" t="str">
        <f>J514&amp;"_"&amp;M514</f>
        <v>Control_Yes</v>
      </c>
      <c r="Q514" s="2" t="str">
        <f>L514&amp;"_"&amp;M514</f>
        <v>Grey_Yes</v>
      </c>
      <c r="R514" s="18" t="s">
        <v>2072</v>
      </c>
      <c r="S514" s="2"/>
      <c r="T514" s="2"/>
    </row>
    <row r="515" spans="1:20" s="10" customFormat="1" ht="15.75" customHeight="1" x14ac:dyDescent="0.2">
      <c r="A515" s="21">
        <v>514</v>
      </c>
      <c r="B515" s="20" t="s">
        <v>35</v>
      </c>
      <c r="C515" s="20" t="s">
        <v>426</v>
      </c>
      <c r="D515" s="20" t="s">
        <v>167</v>
      </c>
      <c r="E515" s="20" t="s">
        <v>16</v>
      </c>
      <c r="F515" s="18" t="str">
        <f>C515&amp;"-"&amp;D515&amp;"-"&amp;E515</f>
        <v>B3-P5-C1</v>
      </c>
      <c r="G515" s="20" t="s">
        <v>24</v>
      </c>
      <c r="H515" s="20">
        <v>1</v>
      </c>
      <c r="I515" s="20" t="s">
        <v>556</v>
      </c>
      <c r="J515" s="20" t="s">
        <v>133</v>
      </c>
      <c r="K515" s="19" t="str">
        <f>B515&amp;"-"&amp;C515&amp;"-"&amp;D515&amp;"-"&amp;E515&amp;"-"&amp;G515&amp;H515</f>
        <v>Quercus-B3-P5-C1-B1</v>
      </c>
      <c r="L515" s="20" t="s">
        <v>64</v>
      </c>
      <c r="M515" s="20" t="s">
        <v>44</v>
      </c>
      <c r="N515" s="20" t="s">
        <v>169</v>
      </c>
      <c r="O515" s="27" t="str">
        <f>J515&amp;"_"&amp;M515</f>
        <v>Control_Yes</v>
      </c>
      <c r="P515" s="2" t="str">
        <f>J515&amp;"_"&amp;M515</f>
        <v>Control_Yes</v>
      </c>
      <c r="Q515" s="2" t="str">
        <f>L515&amp;"_"&amp;M515</f>
        <v>Grey_Yes</v>
      </c>
      <c r="R515" s="18" t="s">
        <v>2072</v>
      </c>
      <c r="S515" s="2"/>
      <c r="T515" s="2"/>
    </row>
    <row r="516" spans="1:20" s="10" customFormat="1" ht="15.75" customHeight="1" x14ac:dyDescent="0.2">
      <c r="A516" s="21">
        <v>515</v>
      </c>
      <c r="B516" s="20" t="s">
        <v>35</v>
      </c>
      <c r="C516" s="20" t="s">
        <v>426</v>
      </c>
      <c r="D516" s="20" t="s">
        <v>167</v>
      </c>
      <c r="E516" s="20" t="s">
        <v>16</v>
      </c>
      <c r="F516" s="18" t="str">
        <f>C516&amp;"-"&amp;D516&amp;"-"&amp;E516</f>
        <v>B3-P5-C1</v>
      </c>
      <c r="G516" s="20" t="s">
        <v>17</v>
      </c>
      <c r="H516" s="20">
        <v>2</v>
      </c>
      <c r="I516" s="20" t="s">
        <v>557</v>
      </c>
      <c r="J516" s="20" t="s">
        <v>133</v>
      </c>
      <c r="K516" s="19" t="str">
        <f>B516&amp;"-"&amp;C516&amp;"-"&amp;D516&amp;"-"&amp;E516&amp;"-"&amp;G516&amp;H516</f>
        <v>Quercus-B3-P5-C1-A2</v>
      </c>
      <c r="L516" s="20" t="s">
        <v>64</v>
      </c>
      <c r="M516" s="20" t="s">
        <v>44</v>
      </c>
      <c r="N516" s="20" t="s">
        <v>169</v>
      </c>
      <c r="O516" s="27" t="str">
        <f>J516&amp;"_"&amp;M516</f>
        <v>Control_Yes</v>
      </c>
      <c r="P516" s="2" t="str">
        <f>J516&amp;"_"&amp;M516</f>
        <v>Control_Yes</v>
      </c>
      <c r="Q516" s="2" t="str">
        <f>L516&amp;"_"&amp;M516</f>
        <v>Grey_Yes</v>
      </c>
      <c r="R516" s="18" t="s">
        <v>2072</v>
      </c>
      <c r="S516" s="2"/>
      <c r="T516" s="2"/>
    </row>
    <row r="517" spans="1:20" s="10" customFormat="1" ht="15.75" customHeight="1" x14ac:dyDescent="0.2">
      <c r="A517" s="21">
        <v>516</v>
      </c>
      <c r="B517" s="20" t="s">
        <v>35</v>
      </c>
      <c r="C517" s="20" t="s">
        <v>426</v>
      </c>
      <c r="D517" s="20" t="s">
        <v>167</v>
      </c>
      <c r="E517" s="20" t="s">
        <v>16</v>
      </c>
      <c r="F517" s="18" t="str">
        <f>C517&amp;"-"&amp;D517&amp;"-"&amp;E517</f>
        <v>B3-P5-C1</v>
      </c>
      <c r="G517" s="20" t="s">
        <v>24</v>
      </c>
      <c r="H517" s="20">
        <v>2</v>
      </c>
      <c r="I517" s="20" t="s">
        <v>558</v>
      </c>
      <c r="J517" s="20" t="s">
        <v>133</v>
      </c>
      <c r="K517" s="19" t="str">
        <f>B517&amp;"-"&amp;C517&amp;"-"&amp;D517&amp;"-"&amp;E517&amp;"-"&amp;G517&amp;H517</f>
        <v>Quercus-B3-P5-C1-B2</v>
      </c>
      <c r="L517" s="20" t="s">
        <v>64</v>
      </c>
      <c r="M517" s="20" t="s">
        <v>44</v>
      </c>
      <c r="N517" s="20" t="s">
        <v>169</v>
      </c>
      <c r="O517" s="27" t="str">
        <f>J517&amp;"_"&amp;M517</f>
        <v>Control_Yes</v>
      </c>
      <c r="P517" s="2" t="str">
        <f>J517&amp;"_"&amp;M517</f>
        <v>Control_Yes</v>
      </c>
      <c r="Q517" s="2" t="str">
        <f>L517&amp;"_"&amp;M517</f>
        <v>Grey_Yes</v>
      </c>
      <c r="R517" s="18" t="s">
        <v>2072</v>
      </c>
      <c r="S517" s="2"/>
      <c r="T517" s="2"/>
    </row>
    <row r="518" spans="1:20" s="10" customFormat="1" ht="15.75" customHeight="1" x14ac:dyDescent="0.2">
      <c r="A518" s="21">
        <v>517</v>
      </c>
      <c r="B518" s="20" t="s">
        <v>35</v>
      </c>
      <c r="C518" s="20" t="s">
        <v>426</v>
      </c>
      <c r="D518" s="20" t="s">
        <v>167</v>
      </c>
      <c r="E518" s="20" t="s">
        <v>16</v>
      </c>
      <c r="F518" s="18" t="str">
        <f>C518&amp;"-"&amp;D518&amp;"-"&amp;E518</f>
        <v>B3-P5-C1</v>
      </c>
      <c r="G518" s="20" t="s">
        <v>17</v>
      </c>
      <c r="H518" s="20">
        <v>3</v>
      </c>
      <c r="I518" s="20" t="s">
        <v>559</v>
      </c>
      <c r="J518" s="20" t="s">
        <v>133</v>
      </c>
      <c r="K518" s="19" t="str">
        <f>B518&amp;"-"&amp;C518&amp;"-"&amp;D518&amp;"-"&amp;E518&amp;"-"&amp;G518&amp;H518</f>
        <v>Quercus-B3-P5-C1-A3</v>
      </c>
      <c r="L518" s="20" t="s">
        <v>64</v>
      </c>
      <c r="M518" s="20" t="s">
        <v>44</v>
      </c>
      <c r="N518" s="20" t="s">
        <v>169</v>
      </c>
      <c r="O518" s="27" t="str">
        <f>J518&amp;"_"&amp;M518</f>
        <v>Control_Yes</v>
      </c>
      <c r="P518" s="2" t="str">
        <f>J518&amp;"_"&amp;M518</f>
        <v>Control_Yes</v>
      </c>
      <c r="Q518" s="2" t="str">
        <f>L518&amp;"_"&amp;M518</f>
        <v>Grey_Yes</v>
      </c>
      <c r="R518" s="18" t="s">
        <v>2072</v>
      </c>
      <c r="S518" s="2"/>
      <c r="T518" s="2"/>
    </row>
    <row r="519" spans="1:20" s="10" customFormat="1" ht="15.75" customHeight="1" x14ac:dyDescent="0.2">
      <c r="A519" s="21">
        <v>518</v>
      </c>
      <c r="B519" s="20" t="s">
        <v>35</v>
      </c>
      <c r="C519" s="20" t="s">
        <v>426</v>
      </c>
      <c r="D519" s="20" t="s">
        <v>167</v>
      </c>
      <c r="E519" s="20" t="s">
        <v>16</v>
      </c>
      <c r="F519" s="18" t="str">
        <f>C519&amp;"-"&amp;D519&amp;"-"&amp;E519</f>
        <v>B3-P5-C1</v>
      </c>
      <c r="G519" s="20" t="s">
        <v>24</v>
      </c>
      <c r="H519" s="20">
        <v>3</v>
      </c>
      <c r="I519" s="20" t="s">
        <v>560</v>
      </c>
      <c r="J519" s="20" t="s">
        <v>133</v>
      </c>
      <c r="K519" s="19" t="str">
        <f>B519&amp;"-"&amp;C519&amp;"-"&amp;D519&amp;"-"&amp;E519&amp;"-"&amp;G519&amp;H519</f>
        <v>Quercus-B3-P5-C1-B3</v>
      </c>
      <c r="L519" s="20" t="s">
        <v>64</v>
      </c>
      <c r="M519" s="20" t="s">
        <v>44</v>
      </c>
      <c r="N519" s="20" t="s">
        <v>169</v>
      </c>
      <c r="O519" s="27" t="str">
        <f>J519&amp;"_"&amp;M519</f>
        <v>Control_Yes</v>
      </c>
      <c r="P519" s="2" t="str">
        <f>J519&amp;"_"&amp;M519</f>
        <v>Control_Yes</v>
      </c>
      <c r="Q519" s="2" t="str">
        <f>L519&amp;"_"&amp;M519</f>
        <v>Grey_Yes</v>
      </c>
      <c r="R519" s="18" t="s">
        <v>2072</v>
      </c>
      <c r="S519" s="2"/>
      <c r="T519" s="2"/>
    </row>
    <row r="520" spans="1:20" s="10" customFormat="1" ht="15.75" customHeight="1" x14ac:dyDescent="0.2">
      <c r="A520" s="21">
        <v>519</v>
      </c>
      <c r="B520" s="20" t="s">
        <v>35</v>
      </c>
      <c r="C520" s="20" t="s">
        <v>426</v>
      </c>
      <c r="D520" s="20" t="s">
        <v>167</v>
      </c>
      <c r="E520" s="20" t="s">
        <v>16</v>
      </c>
      <c r="F520" s="18" t="str">
        <f>C520&amp;"-"&amp;D520&amp;"-"&amp;E520</f>
        <v>B3-P5-C1</v>
      </c>
      <c r="G520" s="20" t="s">
        <v>17</v>
      </c>
      <c r="H520" s="20">
        <v>4</v>
      </c>
      <c r="I520" s="20" t="s">
        <v>561</v>
      </c>
      <c r="J520" s="20" t="s">
        <v>133</v>
      </c>
      <c r="K520" s="19" t="str">
        <f>B520&amp;"-"&amp;C520&amp;"-"&amp;D520&amp;"-"&amp;E520&amp;"-"&amp;G520&amp;H520</f>
        <v>Quercus-B3-P5-C1-A4</v>
      </c>
      <c r="L520" s="20" t="s">
        <v>64</v>
      </c>
      <c r="M520" s="20" t="s">
        <v>44</v>
      </c>
      <c r="N520" s="20" t="s">
        <v>169</v>
      </c>
      <c r="O520" s="27" t="str">
        <f>J520&amp;"_"&amp;M520</f>
        <v>Control_Yes</v>
      </c>
      <c r="P520" s="2" t="str">
        <f>J520&amp;"_"&amp;M520</f>
        <v>Control_Yes</v>
      </c>
      <c r="Q520" s="2" t="str">
        <f>L520&amp;"_"&amp;M520</f>
        <v>Grey_Yes</v>
      </c>
      <c r="R520" s="18" t="s">
        <v>2072</v>
      </c>
      <c r="S520" s="2"/>
      <c r="T520" s="2"/>
    </row>
    <row r="521" spans="1:20" s="10" customFormat="1" ht="15.75" customHeight="1" x14ac:dyDescent="0.2">
      <c r="A521" s="21">
        <v>520</v>
      </c>
      <c r="B521" s="20" t="s">
        <v>35</v>
      </c>
      <c r="C521" s="20" t="s">
        <v>426</v>
      </c>
      <c r="D521" s="20" t="s">
        <v>167</v>
      </c>
      <c r="E521" s="20" t="s">
        <v>16</v>
      </c>
      <c r="F521" s="18" t="str">
        <f>C521&amp;"-"&amp;D521&amp;"-"&amp;E521</f>
        <v>B3-P5-C1</v>
      </c>
      <c r="G521" s="20" t="s">
        <v>24</v>
      </c>
      <c r="H521" s="20">
        <v>4</v>
      </c>
      <c r="I521" s="20" t="s">
        <v>562</v>
      </c>
      <c r="J521" s="20" t="s">
        <v>133</v>
      </c>
      <c r="K521" s="19" t="str">
        <f>B521&amp;"-"&amp;C521&amp;"-"&amp;D521&amp;"-"&amp;E521&amp;"-"&amp;G521&amp;H521</f>
        <v>Quercus-B3-P5-C1-B4</v>
      </c>
      <c r="L521" s="20" t="s">
        <v>64</v>
      </c>
      <c r="M521" s="20" t="s">
        <v>44</v>
      </c>
      <c r="N521" s="20" t="s">
        <v>169</v>
      </c>
      <c r="O521" s="27" t="str">
        <f>J521&amp;"_"&amp;M521</f>
        <v>Control_Yes</v>
      </c>
      <c r="P521" s="2" t="str">
        <f>J521&amp;"_"&amp;M521</f>
        <v>Control_Yes</v>
      </c>
      <c r="Q521" s="2" t="str">
        <f>L521&amp;"_"&amp;M521</f>
        <v>Grey_Yes</v>
      </c>
      <c r="R521" s="18" t="s">
        <v>2072</v>
      </c>
      <c r="S521" s="2"/>
      <c r="T521" s="2"/>
    </row>
    <row r="522" spans="1:20" s="9" customFormat="1" ht="15.75" customHeight="1" x14ac:dyDescent="0.2">
      <c r="A522" s="13">
        <v>521</v>
      </c>
      <c r="B522" s="14" t="s">
        <v>19</v>
      </c>
      <c r="C522" s="14" t="s">
        <v>426</v>
      </c>
      <c r="D522" s="14" t="s">
        <v>167</v>
      </c>
      <c r="E522" s="14" t="s">
        <v>32</v>
      </c>
      <c r="F522" s="14" t="str">
        <f>C522&amp;"-"&amp;D522&amp;"-"&amp;E522</f>
        <v>B3-P5-C2</v>
      </c>
      <c r="G522" s="14" t="s">
        <v>17</v>
      </c>
      <c r="H522" s="14">
        <v>1</v>
      </c>
      <c r="I522" s="14" t="s">
        <v>563</v>
      </c>
      <c r="J522" s="14" t="s">
        <v>133</v>
      </c>
      <c r="K522" s="13" t="str">
        <f>B522&amp;"-"&amp;C522&amp;"-"&amp;D522&amp;"-"&amp;E522&amp;"-"&amp;G522&amp;H522</f>
        <v>Fagus-B3-P5-C2-A1</v>
      </c>
      <c r="L522" s="14" t="s">
        <v>64</v>
      </c>
      <c r="M522" s="14" t="s">
        <v>44</v>
      </c>
      <c r="N522" s="14" t="s">
        <v>169</v>
      </c>
      <c r="O522" s="26" t="str">
        <f>J522&amp;"_"&amp;M522</f>
        <v>Control_Yes</v>
      </c>
      <c r="P522" s="23" t="str">
        <f>J522&amp;"_"&amp;M522</f>
        <v>Control_Yes</v>
      </c>
      <c r="Q522" s="23" t="str">
        <f>L522&amp;"_"&amp;M522</f>
        <v>Grey_Yes</v>
      </c>
      <c r="R522" s="18" t="s">
        <v>2072</v>
      </c>
      <c r="S522" s="23"/>
      <c r="T522" s="23"/>
    </row>
    <row r="523" spans="1:20" s="9" customFormat="1" ht="15.75" customHeight="1" x14ac:dyDescent="0.2">
      <c r="A523" s="13">
        <v>522</v>
      </c>
      <c r="B523" s="14" t="s">
        <v>19</v>
      </c>
      <c r="C523" s="14" t="s">
        <v>426</v>
      </c>
      <c r="D523" s="14" t="s">
        <v>167</v>
      </c>
      <c r="E523" s="14" t="s">
        <v>32</v>
      </c>
      <c r="F523" s="14" t="str">
        <f>C523&amp;"-"&amp;D523&amp;"-"&amp;E523</f>
        <v>B3-P5-C2</v>
      </c>
      <c r="G523" s="14" t="s">
        <v>24</v>
      </c>
      <c r="H523" s="14">
        <v>1</v>
      </c>
      <c r="I523" s="14" t="s">
        <v>564</v>
      </c>
      <c r="J523" s="14" t="s">
        <v>133</v>
      </c>
      <c r="K523" s="13" t="str">
        <f>B523&amp;"-"&amp;C523&amp;"-"&amp;D523&amp;"-"&amp;E523&amp;"-"&amp;G523&amp;H523</f>
        <v>Fagus-B3-P5-C2-B1</v>
      </c>
      <c r="L523" s="14" t="s">
        <v>64</v>
      </c>
      <c r="M523" s="14" t="s">
        <v>44</v>
      </c>
      <c r="N523" s="14" t="s">
        <v>169</v>
      </c>
      <c r="O523" s="26" t="str">
        <f>J523&amp;"_"&amp;M523</f>
        <v>Control_Yes</v>
      </c>
      <c r="P523" s="23" t="str">
        <f>J523&amp;"_"&amp;M523</f>
        <v>Control_Yes</v>
      </c>
      <c r="Q523" s="23" t="str">
        <f>L523&amp;"_"&amp;M523</f>
        <v>Grey_Yes</v>
      </c>
      <c r="R523" s="18" t="s">
        <v>2072</v>
      </c>
      <c r="S523" s="23"/>
      <c r="T523" s="23"/>
    </row>
    <row r="524" spans="1:20" s="9" customFormat="1" ht="15.75" customHeight="1" x14ac:dyDescent="0.2">
      <c r="A524" s="13">
        <v>523</v>
      </c>
      <c r="B524" s="14" t="s">
        <v>19</v>
      </c>
      <c r="C524" s="14" t="s">
        <v>426</v>
      </c>
      <c r="D524" s="14" t="s">
        <v>167</v>
      </c>
      <c r="E524" s="14" t="s">
        <v>32</v>
      </c>
      <c r="F524" s="14" t="str">
        <f>C524&amp;"-"&amp;D524&amp;"-"&amp;E524</f>
        <v>B3-P5-C2</v>
      </c>
      <c r="G524" s="14" t="s">
        <v>17</v>
      </c>
      <c r="H524" s="14">
        <v>2</v>
      </c>
      <c r="I524" s="14" t="s">
        <v>565</v>
      </c>
      <c r="J524" s="14" t="s">
        <v>133</v>
      </c>
      <c r="K524" s="13" t="str">
        <f>B524&amp;"-"&amp;C524&amp;"-"&amp;D524&amp;"-"&amp;E524&amp;"-"&amp;G524&amp;H524</f>
        <v>Fagus-B3-P5-C2-A2</v>
      </c>
      <c r="L524" s="14" t="s">
        <v>64</v>
      </c>
      <c r="M524" s="14" t="s">
        <v>44</v>
      </c>
      <c r="N524" s="14" t="s">
        <v>169</v>
      </c>
      <c r="O524" s="26" t="str">
        <f>J524&amp;"_"&amp;M524</f>
        <v>Control_Yes</v>
      </c>
      <c r="P524" s="23" t="str">
        <f>J524&amp;"_"&amp;M524</f>
        <v>Control_Yes</v>
      </c>
      <c r="Q524" s="23" t="str">
        <f>L524&amp;"_"&amp;M524</f>
        <v>Grey_Yes</v>
      </c>
      <c r="R524" s="18" t="s">
        <v>2072</v>
      </c>
      <c r="S524" s="23"/>
      <c r="T524" s="23"/>
    </row>
    <row r="525" spans="1:20" s="9" customFormat="1" ht="15.75" customHeight="1" x14ac:dyDescent="0.2">
      <c r="A525" s="13">
        <v>524</v>
      </c>
      <c r="B525" s="14" t="s">
        <v>19</v>
      </c>
      <c r="C525" s="14" t="s">
        <v>426</v>
      </c>
      <c r="D525" s="14" t="s">
        <v>167</v>
      </c>
      <c r="E525" s="14" t="s">
        <v>32</v>
      </c>
      <c r="F525" s="14" t="str">
        <f>C525&amp;"-"&amp;D525&amp;"-"&amp;E525</f>
        <v>B3-P5-C2</v>
      </c>
      <c r="G525" s="14" t="s">
        <v>24</v>
      </c>
      <c r="H525" s="14">
        <v>2</v>
      </c>
      <c r="I525" s="14" t="s">
        <v>566</v>
      </c>
      <c r="J525" s="14" t="s">
        <v>133</v>
      </c>
      <c r="K525" s="13" t="str">
        <f>B525&amp;"-"&amp;C525&amp;"-"&amp;D525&amp;"-"&amp;E525&amp;"-"&amp;G525&amp;H525</f>
        <v>Fagus-B3-P5-C2-B2</v>
      </c>
      <c r="L525" s="14" t="s">
        <v>64</v>
      </c>
      <c r="M525" s="14" t="s">
        <v>44</v>
      </c>
      <c r="N525" s="14" t="s">
        <v>169</v>
      </c>
      <c r="O525" s="26" t="str">
        <f>J525&amp;"_"&amp;M525</f>
        <v>Control_Yes</v>
      </c>
      <c r="P525" s="23" t="str">
        <f>J525&amp;"_"&amp;M525</f>
        <v>Control_Yes</v>
      </c>
      <c r="Q525" s="23" t="str">
        <f>L525&amp;"_"&amp;M525</f>
        <v>Grey_Yes</v>
      </c>
      <c r="R525" s="18" t="s">
        <v>2072</v>
      </c>
      <c r="S525" s="23"/>
      <c r="T525" s="23"/>
    </row>
    <row r="526" spans="1:20" s="9" customFormat="1" ht="15.75" customHeight="1" x14ac:dyDescent="0.2">
      <c r="A526" s="13">
        <v>525</v>
      </c>
      <c r="B526" s="14" t="s">
        <v>19</v>
      </c>
      <c r="C526" s="14" t="s">
        <v>426</v>
      </c>
      <c r="D526" s="14" t="s">
        <v>167</v>
      </c>
      <c r="E526" s="14" t="s">
        <v>32</v>
      </c>
      <c r="F526" s="14" t="str">
        <f>C526&amp;"-"&amp;D526&amp;"-"&amp;E526</f>
        <v>B3-P5-C2</v>
      </c>
      <c r="G526" s="14" t="s">
        <v>17</v>
      </c>
      <c r="H526" s="14">
        <v>3</v>
      </c>
      <c r="I526" s="14" t="s">
        <v>567</v>
      </c>
      <c r="J526" s="14" t="s">
        <v>133</v>
      </c>
      <c r="K526" s="13" t="str">
        <f>B526&amp;"-"&amp;C526&amp;"-"&amp;D526&amp;"-"&amp;E526&amp;"-"&amp;G526&amp;H526</f>
        <v>Fagus-B3-P5-C2-A3</v>
      </c>
      <c r="L526" s="14" t="s">
        <v>64</v>
      </c>
      <c r="M526" s="14" t="s">
        <v>44</v>
      </c>
      <c r="N526" s="14" t="s">
        <v>169</v>
      </c>
      <c r="O526" s="26" t="str">
        <f>J526&amp;"_"&amp;M526</f>
        <v>Control_Yes</v>
      </c>
      <c r="P526" s="23" t="str">
        <f>J526&amp;"_"&amp;M526</f>
        <v>Control_Yes</v>
      </c>
      <c r="Q526" s="23" t="str">
        <f>L526&amp;"_"&amp;M526</f>
        <v>Grey_Yes</v>
      </c>
      <c r="R526" s="18" t="s">
        <v>2072</v>
      </c>
      <c r="S526" s="23"/>
      <c r="T526" s="23"/>
    </row>
    <row r="527" spans="1:20" s="9" customFormat="1" ht="15.75" customHeight="1" x14ac:dyDescent="0.2">
      <c r="A527" s="13">
        <v>526</v>
      </c>
      <c r="B527" s="14" t="s">
        <v>19</v>
      </c>
      <c r="C527" s="14" t="s">
        <v>426</v>
      </c>
      <c r="D527" s="14" t="s">
        <v>167</v>
      </c>
      <c r="E527" s="14" t="s">
        <v>32</v>
      </c>
      <c r="F527" s="14" t="str">
        <f>C527&amp;"-"&amp;D527&amp;"-"&amp;E527</f>
        <v>B3-P5-C2</v>
      </c>
      <c r="G527" s="14" t="s">
        <v>24</v>
      </c>
      <c r="H527" s="14">
        <v>3</v>
      </c>
      <c r="I527" s="14" t="s">
        <v>568</v>
      </c>
      <c r="J527" s="14" t="s">
        <v>133</v>
      </c>
      <c r="K527" s="13" t="str">
        <f>B527&amp;"-"&amp;C527&amp;"-"&amp;D527&amp;"-"&amp;E527&amp;"-"&amp;G527&amp;H527</f>
        <v>Fagus-B3-P5-C2-B3</v>
      </c>
      <c r="L527" s="14" t="s">
        <v>64</v>
      </c>
      <c r="M527" s="14" t="s">
        <v>44</v>
      </c>
      <c r="N527" s="14" t="s">
        <v>169</v>
      </c>
      <c r="O527" s="26" t="str">
        <f>J527&amp;"_"&amp;M527</f>
        <v>Control_Yes</v>
      </c>
      <c r="P527" s="23" t="str">
        <f>J527&amp;"_"&amp;M527</f>
        <v>Control_Yes</v>
      </c>
      <c r="Q527" s="23" t="str">
        <f>L527&amp;"_"&amp;M527</f>
        <v>Grey_Yes</v>
      </c>
      <c r="R527" s="18" t="s">
        <v>2072</v>
      </c>
      <c r="S527" s="23"/>
      <c r="T527" s="23"/>
    </row>
    <row r="528" spans="1:20" s="9" customFormat="1" ht="15.75" customHeight="1" x14ac:dyDescent="0.2">
      <c r="A528" s="13">
        <v>527</v>
      </c>
      <c r="B528" s="14" t="s">
        <v>19</v>
      </c>
      <c r="C528" s="14" t="s">
        <v>426</v>
      </c>
      <c r="D528" s="14" t="s">
        <v>167</v>
      </c>
      <c r="E528" s="14" t="s">
        <v>32</v>
      </c>
      <c r="F528" s="14" t="str">
        <f>C528&amp;"-"&amp;D528&amp;"-"&amp;E528</f>
        <v>B3-P5-C2</v>
      </c>
      <c r="G528" s="14" t="s">
        <v>17</v>
      </c>
      <c r="H528" s="14">
        <v>4</v>
      </c>
      <c r="I528" s="14" t="s">
        <v>569</v>
      </c>
      <c r="J528" s="14" t="s">
        <v>133</v>
      </c>
      <c r="K528" s="13" t="str">
        <f>B528&amp;"-"&amp;C528&amp;"-"&amp;D528&amp;"-"&amp;E528&amp;"-"&amp;G528&amp;H528</f>
        <v>Fagus-B3-P5-C2-A4</v>
      </c>
      <c r="L528" s="14" t="s">
        <v>64</v>
      </c>
      <c r="M528" s="14" t="s">
        <v>44</v>
      </c>
      <c r="N528" s="14" t="s">
        <v>169</v>
      </c>
      <c r="O528" s="26" t="str">
        <f>J528&amp;"_"&amp;M528</f>
        <v>Control_Yes</v>
      </c>
      <c r="P528" s="23" t="str">
        <f>J528&amp;"_"&amp;M528</f>
        <v>Control_Yes</v>
      </c>
      <c r="Q528" s="23" t="str">
        <f>L528&amp;"_"&amp;M528</f>
        <v>Grey_Yes</v>
      </c>
      <c r="R528" s="18" t="s">
        <v>2072</v>
      </c>
      <c r="S528" s="23"/>
      <c r="T528" s="23"/>
    </row>
    <row r="529" spans="1:20" s="9" customFormat="1" ht="15.75" customHeight="1" x14ac:dyDescent="0.2">
      <c r="A529" s="13">
        <v>528</v>
      </c>
      <c r="B529" s="14" t="s">
        <v>19</v>
      </c>
      <c r="C529" s="14" t="s">
        <v>426</v>
      </c>
      <c r="D529" s="14" t="s">
        <v>167</v>
      </c>
      <c r="E529" s="14" t="s">
        <v>32</v>
      </c>
      <c r="F529" s="14" t="str">
        <f>C529&amp;"-"&amp;D529&amp;"-"&amp;E529</f>
        <v>B3-P5-C2</v>
      </c>
      <c r="G529" s="14" t="s">
        <v>24</v>
      </c>
      <c r="H529" s="14">
        <v>4</v>
      </c>
      <c r="I529" s="14" t="s">
        <v>570</v>
      </c>
      <c r="J529" s="14" t="s">
        <v>133</v>
      </c>
      <c r="K529" s="13" t="str">
        <f>B529&amp;"-"&amp;C529&amp;"-"&amp;D529&amp;"-"&amp;E529&amp;"-"&amp;G529&amp;H529</f>
        <v>Fagus-B3-P5-C2-B4</v>
      </c>
      <c r="L529" s="14" t="s">
        <v>64</v>
      </c>
      <c r="M529" s="14" t="s">
        <v>44</v>
      </c>
      <c r="N529" s="14" t="s">
        <v>169</v>
      </c>
      <c r="O529" s="26" t="str">
        <f>J529&amp;"_"&amp;M529</f>
        <v>Control_Yes</v>
      </c>
      <c r="P529" s="23" t="str">
        <f>J529&amp;"_"&amp;M529</f>
        <v>Control_Yes</v>
      </c>
      <c r="Q529" s="23" t="str">
        <f>L529&amp;"_"&amp;M529</f>
        <v>Grey_Yes</v>
      </c>
      <c r="R529" s="18" t="s">
        <v>2072</v>
      </c>
      <c r="S529" s="23"/>
      <c r="T529" s="23"/>
    </row>
    <row r="530" spans="1:20" s="10" customFormat="1" ht="15.75" customHeight="1" x14ac:dyDescent="0.2">
      <c r="A530" s="21">
        <v>529</v>
      </c>
      <c r="B530" s="20" t="s">
        <v>19</v>
      </c>
      <c r="C530" s="20" t="s">
        <v>426</v>
      </c>
      <c r="D530" s="20" t="s">
        <v>167</v>
      </c>
      <c r="E530" s="20" t="s">
        <v>42</v>
      </c>
      <c r="F530" s="18" t="str">
        <f>C530&amp;"-"&amp;D530&amp;"-"&amp;E530</f>
        <v>B3-P5-C3</v>
      </c>
      <c r="G530" s="20" t="s">
        <v>17</v>
      </c>
      <c r="H530" s="20">
        <v>1</v>
      </c>
      <c r="I530" s="20" t="s">
        <v>571</v>
      </c>
      <c r="J530" s="20" t="s">
        <v>133</v>
      </c>
      <c r="K530" s="19" t="str">
        <f>B530&amp;"-"&amp;C530&amp;"-"&amp;D530&amp;"-"&amp;E530&amp;"-"&amp;G530&amp;H530</f>
        <v>Fagus-B3-P5-C3-A1</v>
      </c>
      <c r="L530" s="20" t="s">
        <v>21</v>
      </c>
      <c r="M530" s="20" t="s">
        <v>44</v>
      </c>
      <c r="N530" s="20" t="s">
        <v>143</v>
      </c>
      <c r="O530" s="27" t="str">
        <f>J530&amp;"_"&amp;M530</f>
        <v>Control_Yes</v>
      </c>
      <c r="P530" s="2" t="str">
        <f>J530&amp;"_"&amp;M530</f>
        <v>Control_Yes</v>
      </c>
      <c r="Q530" s="2" t="str">
        <f>L530&amp;"_"&amp;M530</f>
        <v>Yellow_Yes</v>
      </c>
      <c r="R530" s="23" t="s">
        <v>2071</v>
      </c>
      <c r="S530" s="1"/>
      <c r="T530" s="1"/>
    </row>
    <row r="531" spans="1:20" s="10" customFormat="1" ht="15.75" customHeight="1" x14ac:dyDescent="0.2">
      <c r="A531" s="21">
        <v>530</v>
      </c>
      <c r="B531" s="20" t="s">
        <v>19</v>
      </c>
      <c r="C531" s="20" t="s">
        <v>426</v>
      </c>
      <c r="D531" s="20" t="s">
        <v>167</v>
      </c>
      <c r="E531" s="20" t="s">
        <v>42</v>
      </c>
      <c r="F531" s="18" t="str">
        <f>C531&amp;"-"&amp;D531&amp;"-"&amp;E531</f>
        <v>B3-P5-C3</v>
      </c>
      <c r="G531" s="20" t="s">
        <v>24</v>
      </c>
      <c r="H531" s="20">
        <v>1</v>
      </c>
      <c r="I531" s="20" t="s">
        <v>572</v>
      </c>
      <c r="J531" s="20" t="s">
        <v>133</v>
      </c>
      <c r="K531" s="19" t="str">
        <f>B531&amp;"-"&amp;C531&amp;"-"&amp;D531&amp;"-"&amp;E531&amp;"-"&amp;G531&amp;H531</f>
        <v>Fagus-B3-P5-C3-B1</v>
      </c>
      <c r="L531" s="20" t="s">
        <v>21</v>
      </c>
      <c r="M531" s="20" t="s">
        <v>44</v>
      </c>
      <c r="N531" s="20" t="s">
        <v>143</v>
      </c>
      <c r="O531" s="27" t="str">
        <f>J531&amp;"_"&amp;M531</f>
        <v>Control_Yes</v>
      </c>
      <c r="P531" s="2" t="str">
        <f>J531&amp;"_"&amp;M531</f>
        <v>Control_Yes</v>
      </c>
      <c r="Q531" s="2" t="str">
        <f>L531&amp;"_"&amp;M531</f>
        <v>Yellow_Yes</v>
      </c>
      <c r="R531" s="23" t="s">
        <v>2071</v>
      </c>
      <c r="S531" s="1"/>
      <c r="T531" s="1"/>
    </row>
    <row r="532" spans="1:20" s="10" customFormat="1" ht="15.75" customHeight="1" x14ac:dyDescent="0.2">
      <c r="A532" s="21">
        <v>531</v>
      </c>
      <c r="B532" s="20" t="s">
        <v>19</v>
      </c>
      <c r="C532" s="20" t="s">
        <v>426</v>
      </c>
      <c r="D532" s="20" t="s">
        <v>167</v>
      </c>
      <c r="E532" s="20" t="s">
        <v>42</v>
      </c>
      <c r="F532" s="18" t="str">
        <f>C532&amp;"-"&amp;D532&amp;"-"&amp;E532</f>
        <v>B3-P5-C3</v>
      </c>
      <c r="G532" s="20" t="s">
        <v>17</v>
      </c>
      <c r="H532" s="20">
        <v>2</v>
      </c>
      <c r="I532" s="20" t="s">
        <v>573</v>
      </c>
      <c r="J532" s="20" t="s">
        <v>133</v>
      </c>
      <c r="K532" s="19" t="str">
        <f>B532&amp;"-"&amp;C532&amp;"-"&amp;D532&amp;"-"&amp;E532&amp;"-"&amp;G532&amp;H532</f>
        <v>Fagus-B3-P5-C3-A2</v>
      </c>
      <c r="L532" s="20" t="s">
        <v>21</v>
      </c>
      <c r="M532" s="20" t="s">
        <v>44</v>
      </c>
      <c r="N532" s="20" t="s">
        <v>143</v>
      </c>
      <c r="O532" s="27" t="str">
        <f>J532&amp;"_"&amp;M532</f>
        <v>Control_Yes</v>
      </c>
      <c r="P532" s="2" t="str">
        <f>J532&amp;"_"&amp;M532</f>
        <v>Control_Yes</v>
      </c>
      <c r="Q532" s="2" t="str">
        <f>L532&amp;"_"&amp;M532</f>
        <v>Yellow_Yes</v>
      </c>
      <c r="R532" s="23" t="s">
        <v>2071</v>
      </c>
      <c r="S532" s="1"/>
      <c r="T532" s="1"/>
    </row>
    <row r="533" spans="1:20" s="10" customFormat="1" ht="15.75" customHeight="1" x14ac:dyDescent="0.2">
      <c r="A533" s="21">
        <v>532</v>
      </c>
      <c r="B533" s="20" t="s">
        <v>19</v>
      </c>
      <c r="C533" s="20" t="s">
        <v>426</v>
      </c>
      <c r="D533" s="20" t="s">
        <v>167</v>
      </c>
      <c r="E533" s="20" t="s">
        <v>42</v>
      </c>
      <c r="F533" s="18" t="str">
        <f>C533&amp;"-"&amp;D533&amp;"-"&amp;E533</f>
        <v>B3-P5-C3</v>
      </c>
      <c r="G533" s="20" t="s">
        <v>24</v>
      </c>
      <c r="H533" s="20">
        <v>2</v>
      </c>
      <c r="I533" s="20" t="s">
        <v>574</v>
      </c>
      <c r="J533" s="20" t="s">
        <v>133</v>
      </c>
      <c r="K533" s="19" t="str">
        <f>B533&amp;"-"&amp;C533&amp;"-"&amp;D533&amp;"-"&amp;E533&amp;"-"&amp;G533&amp;H533</f>
        <v>Fagus-B3-P5-C3-B2</v>
      </c>
      <c r="L533" s="20" t="s">
        <v>21</v>
      </c>
      <c r="M533" s="20" t="s">
        <v>44</v>
      </c>
      <c r="N533" s="20" t="s">
        <v>143</v>
      </c>
      <c r="O533" s="27" t="str">
        <f>J533&amp;"_"&amp;M533</f>
        <v>Control_Yes</v>
      </c>
      <c r="P533" s="2" t="str">
        <f>J533&amp;"_"&amp;M533</f>
        <v>Control_Yes</v>
      </c>
      <c r="Q533" s="2" t="str">
        <f>L533&amp;"_"&amp;M533</f>
        <v>Yellow_Yes</v>
      </c>
      <c r="R533" s="23" t="s">
        <v>2071</v>
      </c>
      <c r="S533" s="1"/>
      <c r="T533" s="1"/>
    </row>
    <row r="534" spans="1:20" s="10" customFormat="1" ht="15.75" customHeight="1" x14ac:dyDescent="0.2">
      <c r="A534" s="21">
        <v>533</v>
      </c>
      <c r="B534" s="20" t="s">
        <v>19</v>
      </c>
      <c r="C534" s="20" t="s">
        <v>426</v>
      </c>
      <c r="D534" s="20" t="s">
        <v>167</v>
      </c>
      <c r="E534" s="20" t="s">
        <v>42</v>
      </c>
      <c r="F534" s="18" t="str">
        <f>C534&amp;"-"&amp;D534&amp;"-"&amp;E534</f>
        <v>B3-P5-C3</v>
      </c>
      <c r="G534" s="20" t="s">
        <v>17</v>
      </c>
      <c r="H534" s="20">
        <v>3</v>
      </c>
      <c r="I534" s="20" t="s">
        <v>575</v>
      </c>
      <c r="J534" s="20" t="s">
        <v>133</v>
      </c>
      <c r="K534" s="19" t="str">
        <f>B534&amp;"-"&amp;C534&amp;"-"&amp;D534&amp;"-"&amp;E534&amp;"-"&amp;G534&amp;H534</f>
        <v>Fagus-B3-P5-C3-A3</v>
      </c>
      <c r="L534" s="20" t="s">
        <v>21</v>
      </c>
      <c r="M534" s="20" t="s">
        <v>44</v>
      </c>
      <c r="N534" s="20" t="s">
        <v>143</v>
      </c>
      <c r="O534" s="27" t="str">
        <f>J534&amp;"_"&amp;M534</f>
        <v>Control_Yes</v>
      </c>
      <c r="P534" s="2" t="str">
        <f>J534&amp;"_"&amp;M534</f>
        <v>Control_Yes</v>
      </c>
      <c r="Q534" s="2" t="str">
        <f>L534&amp;"_"&amp;M534</f>
        <v>Yellow_Yes</v>
      </c>
      <c r="R534" s="23" t="s">
        <v>2071</v>
      </c>
      <c r="S534" s="1"/>
      <c r="T534" s="1"/>
    </row>
    <row r="535" spans="1:20" s="10" customFormat="1" ht="15.75" customHeight="1" x14ac:dyDescent="0.2">
      <c r="A535" s="21">
        <v>534</v>
      </c>
      <c r="B535" s="20" t="s">
        <v>19</v>
      </c>
      <c r="C535" s="20" t="s">
        <v>426</v>
      </c>
      <c r="D535" s="20" t="s">
        <v>167</v>
      </c>
      <c r="E535" s="20" t="s">
        <v>42</v>
      </c>
      <c r="F535" s="18" t="str">
        <f>C535&amp;"-"&amp;D535&amp;"-"&amp;E535</f>
        <v>B3-P5-C3</v>
      </c>
      <c r="G535" s="20" t="s">
        <v>24</v>
      </c>
      <c r="H535" s="20">
        <v>3</v>
      </c>
      <c r="I535" s="20" t="s">
        <v>576</v>
      </c>
      <c r="J535" s="20" t="s">
        <v>133</v>
      </c>
      <c r="K535" s="19" t="str">
        <f>B535&amp;"-"&amp;C535&amp;"-"&amp;D535&amp;"-"&amp;E535&amp;"-"&amp;G535&amp;H535</f>
        <v>Fagus-B3-P5-C3-B3</v>
      </c>
      <c r="L535" s="20" t="s">
        <v>21</v>
      </c>
      <c r="M535" s="20" t="s">
        <v>44</v>
      </c>
      <c r="N535" s="20" t="s">
        <v>143</v>
      </c>
      <c r="O535" s="27" t="str">
        <f>J535&amp;"_"&amp;M535</f>
        <v>Control_Yes</v>
      </c>
      <c r="P535" s="2" t="str">
        <f>J535&amp;"_"&amp;M535</f>
        <v>Control_Yes</v>
      </c>
      <c r="Q535" s="2" t="str">
        <f>L535&amp;"_"&amp;M535</f>
        <v>Yellow_Yes</v>
      </c>
      <c r="R535" s="23" t="s">
        <v>2071</v>
      </c>
      <c r="S535" s="1"/>
      <c r="T535" s="1"/>
    </row>
    <row r="536" spans="1:20" s="10" customFormat="1" ht="15.75" customHeight="1" x14ac:dyDescent="0.2">
      <c r="A536" s="21">
        <v>535</v>
      </c>
      <c r="B536" s="20" t="s">
        <v>19</v>
      </c>
      <c r="C536" s="20" t="s">
        <v>426</v>
      </c>
      <c r="D536" s="20" t="s">
        <v>167</v>
      </c>
      <c r="E536" s="20" t="s">
        <v>42</v>
      </c>
      <c r="F536" s="18" t="str">
        <f>C536&amp;"-"&amp;D536&amp;"-"&amp;E536</f>
        <v>B3-P5-C3</v>
      </c>
      <c r="G536" s="20" t="s">
        <v>17</v>
      </c>
      <c r="H536" s="20">
        <v>4</v>
      </c>
      <c r="I536" s="20" t="s">
        <v>577</v>
      </c>
      <c r="J536" s="20" t="s">
        <v>133</v>
      </c>
      <c r="K536" s="19" t="str">
        <f>B536&amp;"-"&amp;C536&amp;"-"&amp;D536&amp;"-"&amp;E536&amp;"-"&amp;G536&amp;H536</f>
        <v>Fagus-B3-P5-C3-A4</v>
      </c>
      <c r="L536" s="20" t="s">
        <v>21</v>
      </c>
      <c r="M536" s="20" t="s">
        <v>44</v>
      </c>
      <c r="N536" s="20" t="s">
        <v>143</v>
      </c>
      <c r="O536" s="27" t="str">
        <f>J536&amp;"_"&amp;M536</f>
        <v>Control_Yes</v>
      </c>
      <c r="P536" s="2" t="str">
        <f>J536&amp;"_"&amp;M536</f>
        <v>Control_Yes</v>
      </c>
      <c r="Q536" s="2" t="str">
        <f>L536&amp;"_"&amp;M536</f>
        <v>Yellow_Yes</v>
      </c>
      <c r="R536" s="23" t="s">
        <v>2071</v>
      </c>
      <c r="S536" s="2"/>
      <c r="T536" s="2"/>
    </row>
    <row r="537" spans="1:20" s="10" customFormat="1" ht="15.75" customHeight="1" x14ac:dyDescent="0.2">
      <c r="A537" s="21">
        <v>536</v>
      </c>
      <c r="B537" s="20" t="s">
        <v>19</v>
      </c>
      <c r="C537" s="20" t="s">
        <v>426</v>
      </c>
      <c r="D537" s="20" t="s">
        <v>167</v>
      </c>
      <c r="E537" s="20" t="s">
        <v>42</v>
      </c>
      <c r="F537" s="18" t="str">
        <f>C537&amp;"-"&amp;D537&amp;"-"&amp;E537</f>
        <v>B3-P5-C3</v>
      </c>
      <c r="G537" s="20" t="s">
        <v>24</v>
      </c>
      <c r="H537" s="20">
        <v>4</v>
      </c>
      <c r="I537" s="20" t="s">
        <v>578</v>
      </c>
      <c r="J537" s="20" t="s">
        <v>133</v>
      </c>
      <c r="K537" s="19" t="str">
        <f>B537&amp;"-"&amp;C537&amp;"-"&amp;D537&amp;"-"&amp;E537&amp;"-"&amp;G537&amp;H537</f>
        <v>Fagus-B3-P5-C3-B4</v>
      </c>
      <c r="L537" s="20" t="s">
        <v>21</v>
      </c>
      <c r="M537" s="20" t="s">
        <v>44</v>
      </c>
      <c r="N537" s="20" t="s">
        <v>143</v>
      </c>
      <c r="O537" s="27" t="str">
        <f>J537&amp;"_"&amp;M537</f>
        <v>Control_Yes</v>
      </c>
      <c r="P537" s="2" t="str">
        <f>J537&amp;"_"&amp;M537</f>
        <v>Control_Yes</v>
      </c>
      <c r="Q537" s="2" t="str">
        <f>L537&amp;"_"&amp;M537</f>
        <v>Yellow_Yes</v>
      </c>
      <c r="R537" s="23" t="s">
        <v>2071</v>
      </c>
      <c r="S537" s="2"/>
      <c r="T537" s="2"/>
    </row>
    <row r="538" spans="1:20" s="9" customFormat="1" ht="15.75" customHeight="1" x14ac:dyDescent="0.2">
      <c r="A538" s="13">
        <v>537</v>
      </c>
      <c r="B538" s="14" t="s">
        <v>35</v>
      </c>
      <c r="C538" s="14" t="s">
        <v>426</v>
      </c>
      <c r="D538" s="14" t="s">
        <v>167</v>
      </c>
      <c r="E538" s="14" t="s">
        <v>53</v>
      </c>
      <c r="F538" s="14" t="str">
        <f>C538&amp;"-"&amp;D538&amp;"-"&amp;E538</f>
        <v>B3-P5-C4</v>
      </c>
      <c r="G538" s="14" t="s">
        <v>17</v>
      </c>
      <c r="H538" s="14">
        <v>1</v>
      </c>
      <c r="I538" s="14" t="s">
        <v>579</v>
      </c>
      <c r="J538" s="14" t="s">
        <v>133</v>
      </c>
      <c r="K538" s="13" t="str">
        <f>B538&amp;"-"&amp;C538&amp;"-"&amp;D538&amp;"-"&amp;E538&amp;"-"&amp;G538&amp;H538</f>
        <v>Quercus-B3-P5-C4-A1</v>
      </c>
      <c r="L538" s="14" t="s">
        <v>21</v>
      </c>
      <c r="M538" s="14" t="s">
        <v>44</v>
      </c>
      <c r="N538" s="14" t="s">
        <v>143</v>
      </c>
      <c r="O538" s="26" t="str">
        <f>J538&amp;"_"&amp;M538</f>
        <v>Control_Yes</v>
      </c>
      <c r="P538" s="23" t="str">
        <f>J538&amp;"_"&amp;M538</f>
        <v>Control_Yes</v>
      </c>
      <c r="Q538" s="23" t="str">
        <f>L538&amp;"_"&amp;M538</f>
        <v>Yellow_Yes</v>
      </c>
      <c r="R538" s="23" t="s">
        <v>2071</v>
      </c>
      <c r="S538" s="2"/>
      <c r="T538" s="2"/>
    </row>
    <row r="539" spans="1:20" s="9" customFormat="1" ht="15.75" customHeight="1" x14ac:dyDescent="0.2">
      <c r="A539" s="13">
        <v>538</v>
      </c>
      <c r="B539" s="14" t="s">
        <v>35</v>
      </c>
      <c r="C539" s="14" t="s">
        <v>426</v>
      </c>
      <c r="D539" s="14" t="s">
        <v>167</v>
      </c>
      <c r="E539" s="14" t="s">
        <v>53</v>
      </c>
      <c r="F539" s="14" t="str">
        <f>C539&amp;"-"&amp;D539&amp;"-"&amp;E539</f>
        <v>B3-P5-C4</v>
      </c>
      <c r="G539" s="14" t="s">
        <v>24</v>
      </c>
      <c r="H539" s="14">
        <v>1</v>
      </c>
      <c r="I539" s="14" t="s">
        <v>580</v>
      </c>
      <c r="J539" s="14" t="s">
        <v>133</v>
      </c>
      <c r="K539" s="13" t="str">
        <f>B539&amp;"-"&amp;C539&amp;"-"&amp;D539&amp;"-"&amp;E539&amp;"-"&amp;G539&amp;H539</f>
        <v>Quercus-B3-P5-C4-B1</v>
      </c>
      <c r="L539" s="14" t="s">
        <v>21</v>
      </c>
      <c r="M539" s="14" t="s">
        <v>44</v>
      </c>
      <c r="N539" s="14" t="s">
        <v>143</v>
      </c>
      <c r="O539" s="26" t="str">
        <f>J539&amp;"_"&amp;M539</f>
        <v>Control_Yes</v>
      </c>
      <c r="P539" s="23" t="str">
        <f>J539&amp;"_"&amp;M539</f>
        <v>Control_Yes</v>
      </c>
      <c r="Q539" s="23" t="str">
        <f>L539&amp;"_"&amp;M539</f>
        <v>Yellow_Yes</v>
      </c>
      <c r="R539" s="23" t="s">
        <v>2071</v>
      </c>
      <c r="S539" s="2"/>
      <c r="T539" s="2"/>
    </row>
    <row r="540" spans="1:20" s="9" customFormat="1" ht="15.75" customHeight="1" x14ac:dyDescent="0.2">
      <c r="A540" s="13">
        <v>539</v>
      </c>
      <c r="B540" s="14" t="s">
        <v>35</v>
      </c>
      <c r="C540" s="14" t="s">
        <v>426</v>
      </c>
      <c r="D540" s="14" t="s">
        <v>167</v>
      </c>
      <c r="E540" s="14" t="s">
        <v>53</v>
      </c>
      <c r="F540" s="14" t="str">
        <f>C540&amp;"-"&amp;D540&amp;"-"&amp;E540</f>
        <v>B3-P5-C4</v>
      </c>
      <c r="G540" s="14" t="s">
        <v>17</v>
      </c>
      <c r="H540" s="14">
        <v>2</v>
      </c>
      <c r="I540" s="14" t="s">
        <v>581</v>
      </c>
      <c r="J540" s="14" t="s">
        <v>133</v>
      </c>
      <c r="K540" s="13" t="str">
        <f>B540&amp;"-"&amp;C540&amp;"-"&amp;D540&amp;"-"&amp;E540&amp;"-"&amp;G540&amp;H540</f>
        <v>Quercus-B3-P5-C4-A2</v>
      </c>
      <c r="L540" s="14" t="s">
        <v>21</v>
      </c>
      <c r="M540" s="14" t="s">
        <v>44</v>
      </c>
      <c r="N540" s="14" t="s">
        <v>143</v>
      </c>
      <c r="O540" s="26" t="str">
        <f>J540&amp;"_"&amp;M540</f>
        <v>Control_Yes</v>
      </c>
      <c r="P540" s="23" t="str">
        <f>J540&amp;"_"&amp;M540</f>
        <v>Control_Yes</v>
      </c>
      <c r="Q540" s="23" t="str">
        <f>L540&amp;"_"&amp;M540</f>
        <v>Yellow_Yes</v>
      </c>
      <c r="R540" s="23" t="s">
        <v>2071</v>
      </c>
      <c r="S540" s="2"/>
      <c r="T540" s="2"/>
    </row>
    <row r="541" spans="1:20" s="9" customFormat="1" ht="15.75" customHeight="1" x14ac:dyDescent="0.2">
      <c r="A541" s="13">
        <v>540</v>
      </c>
      <c r="B541" s="14" t="s">
        <v>35</v>
      </c>
      <c r="C541" s="14" t="s">
        <v>426</v>
      </c>
      <c r="D541" s="14" t="s">
        <v>167</v>
      </c>
      <c r="E541" s="14" t="s">
        <v>53</v>
      </c>
      <c r="F541" s="14" t="str">
        <f>C541&amp;"-"&amp;D541&amp;"-"&amp;E541</f>
        <v>B3-P5-C4</v>
      </c>
      <c r="G541" s="14" t="s">
        <v>24</v>
      </c>
      <c r="H541" s="14">
        <v>2</v>
      </c>
      <c r="I541" s="14" t="s">
        <v>582</v>
      </c>
      <c r="J541" s="14" t="s">
        <v>133</v>
      </c>
      <c r="K541" s="13" t="str">
        <f>B541&amp;"-"&amp;C541&amp;"-"&amp;D541&amp;"-"&amp;E541&amp;"-"&amp;G541&amp;H541</f>
        <v>Quercus-B3-P5-C4-B2</v>
      </c>
      <c r="L541" s="14" t="s">
        <v>21</v>
      </c>
      <c r="M541" s="14" t="s">
        <v>44</v>
      </c>
      <c r="N541" s="14" t="s">
        <v>143</v>
      </c>
      <c r="O541" s="26" t="str">
        <f>J541&amp;"_"&amp;M541</f>
        <v>Control_Yes</v>
      </c>
      <c r="P541" s="23" t="str">
        <f>J541&amp;"_"&amp;M541</f>
        <v>Control_Yes</v>
      </c>
      <c r="Q541" s="23" t="str">
        <f>L541&amp;"_"&amp;M541</f>
        <v>Yellow_Yes</v>
      </c>
      <c r="R541" s="23" t="s">
        <v>2071</v>
      </c>
      <c r="S541" s="2"/>
      <c r="T541" s="2"/>
    </row>
    <row r="542" spans="1:20" s="9" customFormat="1" ht="15.75" customHeight="1" x14ac:dyDescent="0.2">
      <c r="A542" s="13">
        <v>541</v>
      </c>
      <c r="B542" s="14" t="s">
        <v>35</v>
      </c>
      <c r="C542" s="14" t="s">
        <v>426</v>
      </c>
      <c r="D542" s="14" t="s">
        <v>167</v>
      </c>
      <c r="E542" s="14" t="s">
        <v>53</v>
      </c>
      <c r="F542" s="14" t="str">
        <f>C542&amp;"-"&amp;D542&amp;"-"&amp;E542</f>
        <v>B3-P5-C4</v>
      </c>
      <c r="G542" s="14" t="s">
        <v>17</v>
      </c>
      <c r="H542" s="14">
        <v>3</v>
      </c>
      <c r="I542" s="14" t="s">
        <v>583</v>
      </c>
      <c r="J542" s="14" t="s">
        <v>133</v>
      </c>
      <c r="K542" s="13" t="str">
        <f>B542&amp;"-"&amp;C542&amp;"-"&amp;D542&amp;"-"&amp;E542&amp;"-"&amp;G542&amp;H542</f>
        <v>Quercus-B3-P5-C4-A3</v>
      </c>
      <c r="L542" s="14" t="s">
        <v>21</v>
      </c>
      <c r="M542" s="14" t="s">
        <v>44</v>
      </c>
      <c r="N542" s="14" t="s">
        <v>143</v>
      </c>
      <c r="O542" s="26" t="str">
        <f>J542&amp;"_"&amp;M542</f>
        <v>Control_Yes</v>
      </c>
      <c r="P542" s="23" t="str">
        <f>J542&amp;"_"&amp;M542</f>
        <v>Control_Yes</v>
      </c>
      <c r="Q542" s="23" t="str">
        <f>L542&amp;"_"&amp;M542</f>
        <v>Yellow_Yes</v>
      </c>
      <c r="R542" s="23" t="s">
        <v>2071</v>
      </c>
      <c r="S542" s="1"/>
      <c r="T542" s="1"/>
    </row>
    <row r="543" spans="1:20" s="9" customFormat="1" ht="15.75" customHeight="1" x14ac:dyDescent="0.2">
      <c r="A543" s="13">
        <v>542</v>
      </c>
      <c r="B543" s="14" t="s">
        <v>35</v>
      </c>
      <c r="C543" s="14" t="s">
        <v>426</v>
      </c>
      <c r="D543" s="14" t="s">
        <v>167</v>
      </c>
      <c r="E543" s="14" t="s">
        <v>53</v>
      </c>
      <c r="F543" s="14" t="str">
        <f>C543&amp;"-"&amp;D543&amp;"-"&amp;E543</f>
        <v>B3-P5-C4</v>
      </c>
      <c r="G543" s="14" t="s">
        <v>24</v>
      </c>
      <c r="H543" s="14">
        <v>3</v>
      </c>
      <c r="I543" s="14" t="s">
        <v>584</v>
      </c>
      <c r="J543" s="14" t="s">
        <v>133</v>
      </c>
      <c r="K543" s="13" t="str">
        <f>B543&amp;"-"&amp;C543&amp;"-"&amp;D543&amp;"-"&amp;E543&amp;"-"&amp;G543&amp;H543</f>
        <v>Quercus-B3-P5-C4-B3</v>
      </c>
      <c r="L543" s="14" t="s">
        <v>21</v>
      </c>
      <c r="M543" s="14" t="s">
        <v>44</v>
      </c>
      <c r="N543" s="14" t="s">
        <v>143</v>
      </c>
      <c r="O543" s="26" t="str">
        <f>J543&amp;"_"&amp;M543</f>
        <v>Control_Yes</v>
      </c>
      <c r="P543" s="23" t="str">
        <f>J543&amp;"_"&amp;M543</f>
        <v>Control_Yes</v>
      </c>
      <c r="Q543" s="23" t="str">
        <f>L543&amp;"_"&amp;M543</f>
        <v>Yellow_Yes</v>
      </c>
      <c r="R543" s="23" t="s">
        <v>2071</v>
      </c>
      <c r="S543" s="1"/>
      <c r="T543" s="1"/>
    </row>
    <row r="544" spans="1:20" s="9" customFormat="1" ht="15.75" customHeight="1" x14ac:dyDescent="0.2">
      <c r="A544" s="13">
        <v>543</v>
      </c>
      <c r="B544" s="14" t="s">
        <v>35</v>
      </c>
      <c r="C544" s="14" t="s">
        <v>426</v>
      </c>
      <c r="D544" s="14" t="s">
        <v>167</v>
      </c>
      <c r="E544" s="14" t="s">
        <v>53</v>
      </c>
      <c r="F544" s="14" t="str">
        <f>C544&amp;"-"&amp;D544&amp;"-"&amp;E544</f>
        <v>B3-P5-C4</v>
      </c>
      <c r="G544" s="14" t="s">
        <v>17</v>
      </c>
      <c r="H544" s="14">
        <v>4</v>
      </c>
      <c r="I544" s="14" t="s">
        <v>585</v>
      </c>
      <c r="J544" s="14" t="s">
        <v>133</v>
      </c>
      <c r="K544" s="13" t="str">
        <f>B544&amp;"-"&amp;C544&amp;"-"&amp;D544&amp;"-"&amp;E544&amp;"-"&amp;G544&amp;H544</f>
        <v>Quercus-B3-P5-C4-A4</v>
      </c>
      <c r="L544" s="14" t="s">
        <v>21</v>
      </c>
      <c r="M544" s="14" t="s">
        <v>44</v>
      </c>
      <c r="N544" s="14" t="s">
        <v>143</v>
      </c>
      <c r="O544" s="26" t="str">
        <f>J544&amp;"_"&amp;M544</f>
        <v>Control_Yes</v>
      </c>
      <c r="P544" s="23" t="str">
        <f>J544&amp;"_"&amp;M544</f>
        <v>Control_Yes</v>
      </c>
      <c r="Q544" s="23" t="str">
        <f>L544&amp;"_"&amp;M544</f>
        <v>Yellow_Yes</v>
      </c>
      <c r="R544" s="23" t="s">
        <v>2071</v>
      </c>
      <c r="S544" s="1"/>
      <c r="T544" s="1"/>
    </row>
    <row r="545" spans="1:20" s="9" customFormat="1" ht="15.75" customHeight="1" x14ac:dyDescent="0.2">
      <c r="A545" s="13">
        <v>544</v>
      </c>
      <c r="B545" s="14" t="s">
        <v>35</v>
      </c>
      <c r="C545" s="14" t="s">
        <v>426</v>
      </c>
      <c r="D545" s="14" t="s">
        <v>167</v>
      </c>
      <c r="E545" s="14" t="s">
        <v>53</v>
      </c>
      <c r="F545" s="14" t="str">
        <f>C545&amp;"-"&amp;D545&amp;"-"&amp;E545</f>
        <v>B3-P5-C4</v>
      </c>
      <c r="G545" s="14" t="s">
        <v>24</v>
      </c>
      <c r="H545" s="14">
        <v>4</v>
      </c>
      <c r="I545" s="14" t="s">
        <v>584</v>
      </c>
      <c r="J545" s="14" t="s">
        <v>133</v>
      </c>
      <c r="K545" s="13" t="str">
        <f>B545&amp;"-"&amp;C545&amp;"-"&amp;D545&amp;"-"&amp;E545&amp;"-"&amp;G545&amp;H545</f>
        <v>Quercus-B3-P5-C4-B4</v>
      </c>
      <c r="L545" s="14" t="s">
        <v>21</v>
      </c>
      <c r="M545" s="14" t="s">
        <v>44</v>
      </c>
      <c r="N545" s="14" t="s">
        <v>143</v>
      </c>
      <c r="O545" s="26" t="str">
        <f>J545&amp;"_"&amp;M545</f>
        <v>Control_Yes</v>
      </c>
      <c r="P545" s="23" t="str">
        <f>J545&amp;"_"&amp;M545</f>
        <v>Control_Yes</v>
      </c>
      <c r="Q545" s="23" t="str">
        <f>L545&amp;"_"&amp;M545</f>
        <v>Yellow_Yes</v>
      </c>
      <c r="R545" s="23" t="s">
        <v>2071</v>
      </c>
      <c r="S545" s="1"/>
      <c r="T545" s="1"/>
    </row>
    <row r="546" spans="1:20" s="10" customFormat="1" ht="15.75" customHeight="1" x14ac:dyDescent="0.2">
      <c r="A546" s="21">
        <v>545</v>
      </c>
      <c r="B546" s="20" t="s">
        <v>19</v>
      </c>
      <c r="C546" s="20" t="s">
        <v>426</v>
      </c>
      <c r="D546" s="20" t="s">
        <v>200</v>
      </c>
      <c r="E546" s="20" t="s">
        <v>16</v>
      </c>
      <c r="F546" s="18" t="str">
        <f>C546&amp;"-"&amp;D546&amp;"-"&amp;E546</f>
        <v>B3-P6-C1</v>
      </c>
      <c r="G546" s="20" t="s">
        <v>17</v>
      </c>
      <c r="H546" s="20">
        <v>1</v>
      </c>
      <c r="I546" s="20" t="s">
        <v>586</v>
      </c>
      <c r="J546" s="20" t="s">
        <v>133</v>
      </c>
      <c r="K546" s="19" t="str">
        <f>B546&amp;"-"&amp;C546&amp;"-"&amp;D546&amp;"-"&amp;E546&amp;"-"&amp;G546&amp;H546</f>
        <v>Fagus-B3-P6-C1-A1</v>
      </c>
      <c r="L546" s="20" t="s">
        <v>21</v>
      </c>
      <c r="M546" s="20" t="s">
        <v>22</v>
      </c>
      <c r="N546" s="20" t="s">
        <v>134</v>
      </c>
      <c r="O546" s="27" t="str">
        <f>J546&amp;"_"&amp;M546</f>
        <v>Control_No</v>
      </c>
      <c r="P546" s="2" t="str">
        <f>J546&amp;"_"&amp;M546</f>
        <v>Control_No</v>
      </c>
      <c r="Q546" s="2" t="str">
        <f>L546&amp;"_"&amp;M546</f>
        <v>Yellow_No</v>
      </c>
      <c r="R546" s="23" t="s">
        <v>2071</v>
      </c>
      <c r="S546" s="1"/>
      <c r="T546" s="1"/>
    </row>
    <row r="547" spans="1:20" s="10" customFormat="1" ht="15.75" customHeight="1" x14ac:dyDescent="0.2">
      <c r="A547" s="21">
        <v>546</v>
      </c>
      <c r="B547" s="20" t="s">
        <v>35</v>
      </c>
      <c r="C547" s="20" t="s">
        <v>426</v>
      </c>
      <c r="D547" s="20" t="s">
        <v>200</v>
      </c>
      <c r="E547" s="20" t="s">
        <v>16</v>
      </c>
      <c r="F547" s="18" t="str">
        <f>C547&amp;"-"&amp;D547&amp;"-"&amp;E547</f>
        <v>B3-P6-C1</v>
      </c>
      <c r="G547" s="20" t="s">
        <v>24</v>
      </c>
      <c r="H547" s="20">
        <v>1</v>
      </c>
      <c r="I547" s="20" t="s">
        <v>587</v>
      </c>
      <c r="J547" s="20" t="s">
        <v>133</v>
      </c>
      <c r="K547" s="19" t="str">
        <f>B547&amp;"-"&amp;C547&amp;"-"&amp;D547&amp;"-"&amp;E547&amp;"-"&amp;G547&amp;H547</f>
        <v>Quercus-B3-P6-C1-B1</v>
      </c>
      <c r="L547" s="20" t="s">
        <v>21</v>
      </c>
      <c r="M547" s="20" t="s">
        <v>22</v>
      </c>
      <c r="N547" s="20" t="s">
        <v>134</v>
      </c>
      <c r="O547" s="27" t="str">
        <f>J547&amp;"_"&amp;M547</f>
        <v>Control_No</v>
      </c>
      <c r="P547" s="2" t="str">
        <f>J547&amp;"_"&amp;M547</f>
        <v>Control_No</v>
      </c>
      <c r="Q547" s="2" t="str">
        <f>L547&amp;"_"&amp;M547</f>
        <v>Yellow_No</v>
      </c>
      <c r="R547" s="23" t="s">
        <v>2071</v>
      </c>
      <c r="S547" s="1"/>
      <c r="T547" s="1"/>
    </row>
    <row r="548" spans="1:20" s="10" customFormat="1" ht="15.75" customHeight="1" x14ac:dyDescent="0.2">
      <c r="A548" s="21">
        <v>547</v>
      </c>
      <c r="B548" s="20" t="s">
        <v>35</v>
      </c>
      <c r="C548" s="20" t="s">
        <v>426</v>
      </c>
      <c r="D548" s="20" t="s">
        <v>200</v>
      </c>
      <c r="E548" s="20" t="s">
        <v>16</v>
      </c>
      <c r="F548" s="18" t="str">
        <f>C548&amp;"-"&amp;D548&amp;"-"&amp;E548</f>
        <v>B3-P6-C1</v>
      </c>
      <c r="G548" s="20" t="s">
        <v>17</v>
      </c>
      <c r="H548" s="20">
        <v>2</v>
      </c>
      <c r="I548" s="20" t="s">
        <v>588</v>
      </c>
      <c r="J548" s="20" t="s">
        <v>133</v>
      </c>
      <c r="K548" s="19" t="str">
        <f>B548&amp;"-"&amp;C548&amp;"-"&amp;D548&amp;"-"&amp;E548&amp;"-"&amp;G548&amp;H548</f>
        <v>Quercus-B3-P6-C1-A2</v>
      </c>
      <c r="L548" s="20" t="s">
        <v>21</v>
      </c>
      <c r="M548" s="20" t="s">
        <v>22</v>
      </c>
      <c r="N548" s="20" t="s">
        <v>134</v>
      </c>
      <c r="O548" s="27" t="str">
        <f>J548&amp;"_"&amp;M548</f>
        <v>Control_No</v>
      </c>
      <c r="P548" s="2" t="str">
        <f>J548&amp;"_"&amp;M548</f>
        <v>Control_No</v>
      </c>
      <c r="Q548" s="2" t="str">
        <f>L548&amp;"_"&amp;M548</f>
        <v>Yellow_No</v>
      </c>
      <c r="R548" s="23" t="s">
        <v>2071</v>
      </c>
      <c r="S548" s="2"/>
      <c r="T548" s="2"/>
    </row>
    <row r="549" spans="1:20" s="10" customFormat="1" ht="15.75" customHeight="1" x14ac:dyDescent="0.2">
      <c r="A549" s="21">
        <v>548</v>
      </c>
      <c r="B549" s="20" t="s">
        <v>19</v>
      </c>
      <c r="C549" s="20" t="s">
        <v>426</v>
      </c>
      <c r="D549" s="20" t="s">
        <v>200</v>
      </c>
      <c r="E549" s="20" t="s">
        <v>16</v>
      </c>
      <c r="F549" s="18" t="str">
        <f>C549&amp;"-"&amp;D549&amp;"-"&amp;E549</f>
        <v>B3-P6-C1</v>
      </c>
      <c r="G549" s="20" t="s">
        <v>24</v>
      </c>
      <c r="H549" s="20">
        <v>2</v>
      </c>
      <c r="I549" s="20" t="s">
        <v>589</v>
      </c>
      <c r="J549" s="20" t="s">
        <v>133</v>
      </c>
      <c r="K549" s="19" t="str">
        <f>B549&amp;"-"&amp;C549&amp;"-"&amp;D549&amp;"-"&amp;E549&amp;"-"&amp;G549&amp;H549</f>
        <v>Fagus-B3-P6-C1-B2</v>
      </c>
      <c r="L549" s="20" t="s">
        <v>21</v>
      </c>
      <c r="M549" s="20" t="s">
        <v>22</v>
      </c>
      <c r="N549" s="20" t="s">
        <v>134</v>
      </c>
      <c r="O549" s="27" t="str">
        <f>J549&amp;"_"&amp;M549</f>
        <v>Control_No</v>
      </c>
      <c r="P549" s="2" t="str">
        <f>J549&amp;"_"&amp;M549</f>
        <v>Control_No</v>
      </c>
      <c r="Q549" s="2" t="str">
        <f>L549&amp;"_"&amp;M549</f>
        <v>Yellow_No</v>
      </c>
      <c r="R549" s="23" t="s">
        <v>2071</v>
      </c>
      <c r="S549" s="2"/>
      <c r="T549" s="2"/>
    </row>
    <row r="550" spans="1:20" s="10" customFormat="1" ht="15.75" customHeight="1" x14ac:dyDescent="0.2">
      <c r="A550" s="21">
        <v>549</v>
      </c>
      <c r="B550" s="20" t="s">
        <v>19</v>
      </c>
      <c r="C550" s="20" t="s">
        <v>426</v>
      </c>
      <c r="D550" s="20" t="s">
        <v>200</v>
      </c>
      <c r="E550" s="20" t="s">
        <v>16</v>
      </c>
      <c r="F550" s="18" t="str">
        <f>C550&amp;"-"&amp;D550&amp;"-"&amp;E550</f>
        <v>B3-P6-C1</v>
      </c>
      <c r="G550" s="20" t="s">
        <v>17</v>
      </c>
      <c r="H550" s="20">
        <v>3</v>
      </c>
      <c r="I550" s="20" t="s">
        <v>590</v>
      </c>
      <c r="J550" s="20" t="s">
        <v>133</v>
      </c>
      <c r="K550" s="19" t="str">
        <f>B550&amp;"-"&amp;C550&amp;"-"&amp;D550&amp;"-"&amp;E550&amp;"-"&amp;G550&amp;H550</f>
        <v>Fagus-B3-P6-C1-A3</v>
      </c>
      <c r="L550" s="20" t="s">
        <v>21</v>
      </c>
      <c r="M550" s="20" t="s">
        <v>22</v>
      </c>
      <c r="N550" s="20" t="s">
        <v>134</v>
      </c>
      <c r="O550" s="27" t="str">
        <f>J550&amp;"_"&amp;M550</f>
        <v>Control_No</v>
      </c>
      <c r="P550" s="2" t="str">
        <f>J550&amp;"_"&amp;M550</f>
        <v>Control_No</v>
      </c>
      <c r="Q550" s="2" t="str">
        <f>L550&amp;"_"&amp;M550</f>
        <v>Yellow_No</v>
      </c>
      <c r="R550" s="23" t="s">
        <v>2071</v>
      </c>
      <c r="S550" s="2"/>
      <c r="T550" s="2"/>
    </row>
    <row r="551" spans="1:20" s="10" customFormat="1" ht="15.75" customHeight="1" x14ac:dyDescent="0.2">
      <c r="A551" s="21">
        <v>550</v>
      </c>
      <c r="B551" s="20" t="s">
        <v>35</v>
      </c>
      <c r="C551" s="20" t="s">
        <v>426</v>
      </c>
      <c r="D551" s="20" t="s">
        <v>200</v>
      </c>
      <c r="E551" s="20" t="s">
        <v>16</v>
      </c>
      <c r="F551" s="18" t="str">
        <f>C551&amp;"-"&amp;D551&amp;"-"&amp;E551</f>
        <v>B3-P6-C1</v>
      </c>
      <c r="G551" s="20" t="s">
        <v>24</v>
      </c>
      <c r="H551" s="20">
        <v>3</v>
      </c>
      <c r="I551" s="20" t="s">
        <v>591</v>
      </c>
      <c r="J551" s="20" t="s">
        <v>133</v>
      </c>
      <c r="K551" s="19" t="str">
        <f>B551&amp;"-"&amp;C551&amp;"-"&amp;D551&amp;"-"&amp;E551&amp;"-"&amp;G551&amp;H551</f>
        <v>Quercus-B3-P6-C1-B3</v>
      </c>
      <c r="L551" s="20" t="s">
        <v>21</v>
      </c>
      <c r="M551" s="20" t="s">
        <v>22</v>
      </c>
      <c r="N551" s="20" t="s">
        <v>134</v>
      </c>
      <c r="O551" s="27" t="str">
        <f>J551&amp;"_"&amp;M551</f>
        <v>Control_No</v>
      </c>
      <c r="P551" s="2" t="str">
        <f>J551&amp;"_"&amp;M551</f>
        <v>Control_No</v>
      </c>
      <c r="Q551" s="2" t="str">
        <f>L551&amp;"_"&amp;M551</f>
        <v>Yellow_No</v>
      </c>
      <c r="R551" s="23" t="s">
        <v>2071</v>
      </c>
      <c r="S551" s="2"/>
      <c r="T551" s="2"/>
    </row>
    <row r="552" spans="1:20" s="10" customFormat="1" ht="15.75" customHeight="1" x14ac:dyDescent="0.2">
      <c r="A552" s="21">
        <v>551</v>
      </c>
      <c r="B552" s="20" t="s">
        <v>35</v>
      </c>
      <c r="C552" s="20" t="s">
        <v>426</v>
      </c>
      <c r="D552" s="20" t="s">
        <v>200</v>
      </c>
      <c r="E552" s="20" t="s">
        <v>16</v>
      </c>
      <c r="F552" s="18" t="str">
        <f>C552&amp;"-"&amp;D552&amp;"-"&amp;E552</f>
        <v>B3-P6-C1</v>
      </c>
      <c r="G552" s="20" t="s">
        <v>17</v>
      </c>
      <c r="H552" s="20">
        <v>4</v>
      </c>
      <c r="I552" s="20" t="s">
        <v>592</v>
      </c>
      <c r="J552" s="20" t="s">
        <v>133</v>
      </c>
      <c r="K552" s="19" t="str">
        <f>B552&amp;"-"&amp;C552&amp;"-"&amp;D552&amp;"-"&amp;E552&amp;"-"&amp;G552&amp;H552</f>
        <v>Quercus-B3-P6-C1-A4</v>
      </c>
      <c r="L552" s="20" t="s">
        <v>21</v>
      </c>
      <c r="M552" s="20" t="s">
        <v>22</v>
      </c>
      <c r="N552" s="20" t="s">
        <v>134</v>
      </c>
      <c r="O552" s="27" t="str">
        <f>J552&amp;"_"&amp;M552</f>
        <v>Control_No</v>
      </c>
      <c r="P552" s="2" t="str">
        <f>J552&amp;"_"&amp;M552</f>
        <v>Control_No</v>
      </c>
      <c r="Q552" s="2" t="str">
        <f>L552&amp;"_"&amp;M552</f>
        <v>Yellow_No</v>
      </c>
      <c r="R552" s="23" t="s">
        <v>2071</v>
      </c>
      <c r="S552" s="2"/>
      <c r="T552" s="2"/>
    </row>
    <row r="553" spans="1:20" s="10" customFormat="1" ht="15.75" customHeight="1" x14ac:dyDescent="0.2">
      <c r="A553" s="21">
        <v>552</v>
      </c>
      <c r="B553" s="20" t="s">
        <v>19</v>
      </c>
      <c r="C553" s="20" t="s">
        <v>426</v>
      </c>
      <c r="D553" s="20" t="s">
        <v>200</v>
      </c>
      <c r="E553" s="20" t="s">
        <v>16</v>
      </c>
      <c r="F553" s="18" t="str">
        <f>C553&amp;"-"&amp;D553&amp;"-"&amp;E553</f>
        <v>B3-P6-C1</v>
      </c>
      <c r="G553" s="20" t="s">
        <v>24</v>
      </c>
      <c r="H553" s="20">
        <v>4</v>
      </c>
      <c r="I553" s="20" t="s">
        <v>593</v>
      </c>
      <c r="J553" s="20" t="s">
        <v>133</v>
      </c>
      <c r="K553" s="19" t="str">
        <f>B553&amp;"-"&amp;C553&amp;"-"&amp;D553&amp;"-"&amp;E553&amp;"-"&amp;G553&amp;H553</f>
        <v>Fagus-B3-P6-C1-B4</v>
      </c>
      <c r="L553" s="20" t="s">
        <v>21</v>
      </c>
      <c r="M553" s="20" t="s">
        <v>22</v>
      </c>
      <c r="N553" s="20" t="s">
        <v>134</v>
      </c>
      <c r="O553" s="27" t="str">
        <f>J553&amp;"_"&amp;M553</f>
        <v>Control_No</v>
      </c>
      <c r="P553" s="2" t="str">
        <f>J553&amp;"_"&amp;M553</f>
        <v>Control_No</v>
      </c>
      <c r="Q553" s="2" t="str">
        <f>L553&amp;"_"&amp;M553</f>
        <v>Yellow_No</v>
      </c>
      <c r="R553" s="23" t="s">
        <v>2071</v>
      </c>
      <c r="S553" s="2"/>
      <c r="T553" s="2"/>
    </row>
    <row r="554" spans="1:20" s="9" customFormat="1" ht="15.75" customHeight="1" x14ac:dyDescent="0.2">
      <c r="A554" s="13">
        <v>553</v>
      </c>
      <c r="B554" s="14" t="s">
        <v>19</v>
      </c>
      <c r="C554" s="14" t="s">
        <v>426</v>
      </c>
      <c r="D554" s="14" t="s">
        <v>200</v>
      </c>
      <c r="E554" s="14" t="s">
        <v>32</v>
      </c>
      <c r="F554" s="14" t="str">
        <f>C554&amp;"-"&amp;D554&amp;"-"&amp;E554</f>
        <v>B3-P6-C2</v>
      </c>
      <c r="G554" s="14" t="s">
        <v>17</v>
      </c>
      <c r="H554" s="14">
        <v>1</v>
      </c>
      <c r="I554" s="14" t="s">
        <v>594</v>
      </c>
      <c r="J554" s="14" t="s">
        <v>133</v>
      </c>
      <c r="K554" s="13" t="str">
        <f>B554&amp;"-"&amp;C554&amp;"-"&amp;D554&amp;"-"&amp;E554&amp;"-"&amp;G554&amp;H554</f>
        <v>Fagus-B3-P6-C2-A1</v>
      </c>
      <c r="L554" s="14" t="s">
        <v>21</v>
      </c>
      <c r="M554" s="14" t="s">
        <v>22</v>
      </c>
      <c r="N554" s="14" t="s">
        <v>134</v>
      </c>
      <c r="O554" s="26" t="str">
        <f>J554&amp;"_"&amp;M554</f>
        <v>Control_No</v>
      </c>
      <c r="P554" s="23" t="str">
        <f>J554&amp;"_"&amp;M554</f>
        <v>Control_No</v>
      </c>
      <c r="Q554" s="23" t="str">
        <f>L554&amp;"_"&amp;M554</f>
        <v>Yellow_No</v>
      </c>
      <c r="R554" s="23" t="s">
        <v>2071</v>
      </c>
      <c r="S554" s="23"/>
      <c r="T554" s="23"/>
    </row>
    <row r="555" spans="1:20" s="9" customFormat="1" ht="15.75" customHeight="1" x14ac:dyDescent="0.2">
      <c r="A555" s="13">
        <v>554</v>
      </c>
      <c r="B555" s="14" t="s">
        <v>19</v>
      </c>
      <c r="C555" s="14" t="s">
        <v>426</v>
      </c>
      <c r="D555" s="14" t="s">
        <v>200</v>
      </c>
      <c r="E555" s="14" t="s">
        <v>32</v>
      </c>
      <c r="F555" s="14" t="str">
        <f>C555&amp;"-"&amp;D555&amp;"-"&amp;E555</f>
        <v>B3-P6-C2</v>
      </c>
      <c r="G555" s="14" t="s">
        <v>24</v>
      </c>
      <c r="H555" s="14">
        <v>1</v>
      </c>
      <c r="I555" s="14" t="s">
        <v>595</v>
      </c>
      <c r="J555" s="14" t="s">
        <v>133</v>
      </c>
      <c r="K555" s="13" t="str">
        <f>B555&amp;"-"&amp;C555&amp;"-"&amp;D555&amp;"-"&amp;E555&amp;"-"&amp;G555&amp;H555</f>
        <v>Fagus-B3-P6-C2-B1</v>
      </c>
      <c r="L555" s="14" t="s">
        <v>21</v>
      </c>
      <c r="M555" s="14" t="s">
        <v>22</v>
      </c>
      <c r="N555" s="14" t="s">
        <v>134</v>
      </c>
      <c r="O555" s="26" t="str">
        <f>J555&amp;"_"&amp;M555</f>
        <v>Control_No</v>
      </c>
      <c r="P555" s="23" t="str">
        <f>J555&amp;"_"&amp;M555</f>
        <v>Control_No</v>
      </c>
      <c r="Q555" s="23" t="str">
        <f>L555&amp;"_"&amp;M555</f>
        <v>Yellow_No</v>
      </c>
      <c r="R555" s="23" t="s">
        <v>2071</v>
      </c>
      <c r="S555" s="23"/>
      <c r="T555" s="23"/>
    </row>
    <row r="556" spans="1:20" s="9" customFormat="1" ht="15.75" customHeight="1" x14ac:dyDescent="0.2">
      <c r="A556" s="13">
        <v>555</v>
      </c>
      <c r="B556" s="14" t="s">
        <v>19</v>
      </c>
      <c r="C556" s="14" t="s">
        <v>426</v>
      </c>
      <c r="D556" s="14" t="s">
        <v>200</v>
      </c>
      <c r="E556" s="14" t="s">
        <v>32</v>
      </c>
      <c r="F556" s="14" t="str">
        <f>C556&amp;"-"&amp;D556&amp;"-"&amp;E556</f>
        <v>B3-P6-C2</v>
      </c>
      <c r="G556" s="14" t="s">
        <v>17</v>
      </c>
      <c r="H556" s="14">
        <v>2</v>
      </c>
      <c r="I556" s="14" t="s">
        <v>596</v>
      </c>
      <c r="J556" s="14" t="s">
        <v>133</v>
      </c>
      <c r="K556" s="13" t="str">
        <f>B556&amp;"-"&amp;C556&amp;"-"&amp;D556&amp;"-"&amp;E556&amp;"-"&amp;G556&amp;H556</f>
        <v>Fagus-B3-P6-C2-A2</v>
      </c>
      <c r="L556" s="14" t="s">
        <v>21</v>
      </c>
      <c r="M556" s="14" t="s">
        <v>22</v>
      </c>
      <c r="N556" s="14" t="s">
        <v>134</v>
      </c>
      <c r="O556" s="26" t="str">
        <f>J556&amp;"_"&amp;M556</f>
        <v>Control_No</v>
      </c>
      <c r="P556" s="23" t="str">
        <f>J556&amp;"_"&amp;M556</f>
        <v>Control_No</v>
      </c>
      <c r="Q556" s="23" t="str">
        <f>L556&amp;"_"&amp;M556</f>
        <v>Yellow_No</v>
      </c>
      <c r="R556" s="23" t="s">
        <v>2071</v>
      </c>
      <c r="S556" s="23"/>
      <c r="T556" s="23"/>
    </row>
    <row r="557" spans="1:20" s="9" customFormat="1" ht="15.75" customHeight="1" x14ac:dyDescent="0.2">
      <c r="A557" s="13">
        <v>556</v>
      </c>
      <c r="B557" s="14" t="s">
        <v>19</v>
      </c>
      <c r="C557" s="14" t="s">
        <v>426</v>
      </c>
      <c r="D557" s="14" t="s">
        <v>200</v>
      </c>
      <c r="E557" s="14" t="s">
        <v>32</v>
      </c>
      <c r="F557" s="14" t="str">
        <f>C557&amp;"-"&amp;D557&amp;"-"&amp;E557</f>
        <v>B3-P6-C2</v>
      </c>
      <c r="G557" s="14" t="s">
        <v>24</v>
      </c>
      <c r="H557" s="14">
        <v>2</v>
      </c>
      <c r="I557" s="14" t="s">
        <v>597</v>
      </c>
      <c r="J557" s="14" t="s">
        <v>133</v>
      </c>
      <c r="K557" s="13" t="str">
        <f>B557&amp;"-"&amp;C557&amp;"-"&amp;D557&amp;"-"&amp;E557&amp;"-"&amp;G557&amp;H557</f>
        <v>Fagus-B3-P6-C2-B2</v>
      </c>
      <c r="L557" s="14" t="s">
        <v>21</v>
      </c>
      <c r="M557" s="14" t="s">
        <v>22</v>
      </c>
      <c r="N557" s="14" t="s">
        <v>134</v>
      </c>
      <c r="O557" s="26" t="str">
        <f>J557&amp;"_"&amp;M557</f>
        <v>Control_No</v>
      </c>
      <c r="P557" s="23" t="str">
        <f>J557&amp;"_"&amp;M557</f>
        <v>Control_No</v>
      </c>
      <c r="Q557" s="23" t="str">
        <f>L557&amp;"_"&amp;M557</f>
        <v>Yellow_No</v>
      </c>
      <c r="R557" s="23" t="s">
        <v>2071</v>
      </c>
      <c r="S557" s="23"/>
      <c r="T557" s="23"/>
    </row>
    <row r="558" spans="1:20" s="9" customFormat="1" ht="15.75" customHeight="1" x14ac:dyDescent="0.2">
      <c r="A558" s="13">
        <v>557</v>
      </c>
      <c r="B558" s="14" t="s">
        <v>19</v>
      </c>
      <c r="C558" s="14" t="s">
        <v>426</v>
      </c>
      <c r="D558" s="14" t="s">
        <v>200</v>
      </c>
      <c r="E558" s="14" t="s">
        <v>32</v>
      </c>
      <c r="F558" s="14" t="str">
        <f>C558&amp;"-"&amp;D558&amp;"-"&amp;E558</f>
        <v>B3-P6-C2</v>
      </c>
      <c r="G558" s="14" t="s">
        <v>17</v>
      </c>
      <c r="H558" s="14">
        <v>3</v>
      </c>
      <c r="I558" s="14" t="s">
        <v>598</v>
      </c>
      <c r="J558" s="14" t="s">
        <v>133</v>
      </c>
      <c r="K558" s="13" t="str">
        <f>B558&amp;"-"&amp;C558&amp;"-"&amp;D558&amp;"-"&amp;E558&amp;"-"&amp;G558&amp;H558</f>
        <v>Fagus-B3-P6-C2-A3</v>
      </c>
      <c r="L558" s="14" t="s">
        <v>21</v>
      </c>
      <c r="M558" s="14" t="s">
        <v>22</v>
      </c>
      <c r="N558" s="14" t="s">
        <v>134</v>
      </c>
      <c r="O558" s="26" t="str">
        <f>J558&amp;"_"&amp;M558</f>
        <v>Control_No</v>
      </c>
      <c r="P558" s="23" t="str">
        <f>J558&amp;"_"&amp;M558</f>
        <v>Control_No</v>
      </c>
      <c r="Q558" s="23" t="str">
        <f>L558&amp;"_"&amp;M558</f>
        <v>Yellow_No</v>
      </c>
      <c r="R558" s="23" t="s">
        <v>2071</v>
      </c>
      <c r="S558" s="23"/>
      <c r="T558" s="23"/>
    </row>
    <row r="559" spans="1:20" s="9" customFormat="1" ht="15.75" customHeight="1" x14ac:dyDescent="0.2">
      <c r="A559" s="13">
        <v>558</v>
      </c>
      <c r="B559" s="14" t="s">
        <v>19</v>
      </c>
      <c r="C559" s="14" t="s">
        <v>426</v>
      </c>
      <c r="D559" s="14" t="s">
        <v>200</v>
      </c>
      <c r="E559" s="14" t="s">
        <v>32</v>
      </c>
      <c r="F559" s="14" t="str">
        <f>C559&amp;"-"&amp;D559&amp;"-"&amp;E559</f>
        <v>B3-P6-C2</v>
      </c>
      <c r="G559" s="14" t="s">
        <v>24</v>
      </c>
      <c r="H559" s="14">
        <v>3</v>
      </c>
      <c r="I559" s="14" t="s">
        <v>599</v>
      </c>
      <c r="J559" s="14" t="s">
        <v>133</v>
      </c>
      <c r="K559" s="13" t="str">
        <f>B559&amp;"-"&amp;C559&amp;"-"&amp;D559&amp;"-"&amp;E559&amp;"-"&amp;G559&amp;H559</f>
        <v>Fagus-B3-P6-C2-B3</v>
      </c>
      <c r="L559" s="14" t="s">
        <v>21</v>
      </c>
      <c r="M559" s="14" t="s">
        <v>22</v>
      </c>
      <c r="N559" s="14" t="s">
        <v>134</v>
      </c>
      <c r="O559" s="26" t="str">
        <f>J559&amp;"_"&amp;M559</f>
        <v>Control_No</v>
      </c>
      <c r="P559" s="23" t="str">
        <f>J559&amp;"_"&amp;M559</f>
        <v>Control_No</v>
      </c>
      <c r="Q559" s="23" t="str">
        <f>L559&amp;"_"&amp;M559</f>
        <v>Yellow_No</v>
      </c>
      <c r="R559" s="23" t="s">
        <v>2071</v>
      </c>
      <c r="S559" s="23"/>
      <c r="T559" s="23"/>
    </row>
    <row r="560" spans="1:20" s="9" customFormat="1" ht="15.75" customHeight="1" x14ac:dyDescent="0.2">
      <c r="A560" s="13">
        <v>559</v>
      </c>
      <c r="B560" s="14" t="s">
        <v>19</v>
      </c>
      <c r="C560" s="14" t="s">
        <v>426</v>
      </c>
      <c r="D560" s="14" t="s">
        <v>200</v>
      </c>
      <c r="E560" s="14" t="s">
        <v>32</v>
      </c>
      <c r="F560" s="14" t="str">
        <f>C560&amp;"-"&amp;D560&amp;"-"&amp;E560</f>
        <v>B3-P6-C2</v>
      </c>
      <c r="G560" s="14" t="s">
        <v>17</v>
      </c>
      <c r="H560" s="14">
        <v>4</v>
      </c>
      <c r="I560" s="14" t="s">
        <v>600</v>
      </c>
      <c r="J560" s="14" t="s">
        <v>133</v>
      </c>
      <c r="K560" s="13" t="str">
        <f>B560&amp;"-"&amp;C560&amp;"-"&amp;D560&amp;"-"&amp;E560&amp;"-"&amp;G560&amp;H560</f>
        <v>Fagus-B3-P6-C2-A4</v>
      </c>
      <c r="L560" s="14" t="s">
        <v>21</v>
      </c>
      <c r="M560" s="14" t="s">
        <v>22</v>
      </c>
      <c r="N560" s="14" t="s">
        <v>134</v>
      </c>
      <c r="O560" s="26" t="str">
        <f>J560&amp;"_"&amp;M560</f>
        <v>Control_No</v>
      </c>
      <c r="P560" s="23" t="str">
        <f>J560&amp;"_"&amp;M560</f>
        <v>Control_No</v>
      </c>
      <c r="Q560" s="23" t="str">
        <f>L560&amp;"_"&amp;M560</f>
        <v>Yellow_No</v>
      </c>
      <c r="R560" s="23" t="s">
        <v>2071</v>
      </c>
      <c r="S560" s="2"/>
      <c r="T560" s="2"/>
    </row>
    <row r="561" spans="1:20" s="9" customFormat="1" ht="15.75" customHeight="1" x14ac:dyDescent="0.2">
      <c r="A561" s="13">
        <v>560</v>
      </c>
      <c r="B561" s="14" t="s">
        <v>19</v>
      </c>
      <c r="C561" s="14" t="s">
        <v>426</v>
      </c>
      <c r="D561" s="14" t="s">
        <v>200</v>
      </c>
      <c r="E561" s="14" t="s">
        <v>32</v>
      </c>
      <c r="F561" s="14" t="str">
        <f>C561&amp;"-"&amp;D561&amp;"-"&amp;E561</f>
        <v>B3-P6-C2</v>
      </c>
      <c r="G561" s="14" t="s">
        <v>24</v>
      </c>
      <c r="H561" s="14">
        <v>4</v>
      </c>
      <c r="I561" s="14" t="s">
        <v>601</v>
      </c>
      <c r="J561" s="14" t="s">
        <v>133</v>
      </c>
      <c r="K561" s="13" t="str">
        <f>B561&amp;"-"&amp;C561&amp;"-"&amp;D561&amp;"-"&amp;E561&amp;"-"&amp;G561&amp;H561</f>
        <v>Fagus-B3-P6-C2-B4</v>
      </c>
      <c r="L561" s="14" t="s">
        <v>21</v>
      </c>
      <c r="M561" s="14" t="s">
        <v>22</v>
      </c>
      <c r="N561" s="14" t="s">
        <v>134</v>
      </c>
      <c r="O561" s="26" t="str">
        <f>J561&amp;"_"&amp;M561</f>
        <v>Control_No</v>
      </c>
      <c r="P561" s="23" t="str">
        <f>J561&amp;"_"&amp;M561</f>
        <v>Control_No</v>
      </c>
      <c r="Q561" s="23" t="str">
        <f>L561&amp;"_"&amp;M561</f>
        <v>Yellow_No</v>
      </c>
      <c r="R561" s="23" t="s">
        <v>2071</v>
      </c>
      <c r="S561" s="2"/>
      <c r="T561" s="2"/>
    </row>
    <row r="562" spans="1:20" s="10" customFormat="1" ht="15.75" customHeight="1" x14ac:dyDescent="0.2">
      <c r="A562" s="21">
        <v>561</v>
      </c>
      <c r="B562" s="20" t="s">
        <v>19</v>
      </c>
      <c r="C562" s="20" t="s">
        <v>426</v>
      </c>
      <c r="D562" s="20" t="s">
        <v>200</v>
      </c>
      <c r="E562" s="20" t="s">
        <v>42</v>
      </c>
      <c r="F562" s="18" t="str">
        <f>C562&amp;"-"&amp;D562&amp;"-"&amp;E562</f>
        <v>B3-P6-C3</v>
      </c>
      <c r="G562" s="20" t="s">
        <v>17</v>
      </c>
      <c r="H562" s="20">
        <v>1</v>
      </c>
      <c r="I562" s="20" t="s">
        <v>602</v>
      </c>
      <c r="J562" s="20" t="s">
        <v>133</v>
      </c>
      <c r="K562" s="19" t="str">
        <f>B562&amp;"-"&amp;C562&amp;"-"&amp;D562&amp;"-"&amp;E562&amp;"-"&amp;G562&amp;H562</f>
        <v>Fagus-B3-P6-C3-A1</v>
      </c>
      <c r="L562" s="20" t="s">
        <v>21</v>
      </c>
      <c r="M562" s="20" t="s">
        <v>44</v>
      </c>
      <c r="N562" s="20" t="s">
        <v>143</v>
      </c>
      <c r="O562" s="27" t="str">
        <f>J562&amp;"_"&amp;M562</f>
        <v>Control_Yes</v>
      </c>
      <c r="P562" s="2" t="str">
        <f>J562&amp;"_"&amp;M562</f>
        <v>Control_Yes</v>
      </c>
      <c r="Q562" s="2" t="str">
        <f>L562&amp;"_"&amp;M562</f>
        <v>Yellow_Yes</v>
      </c>
      <c r="R562" s="23" t="s">
        <v>2071</v>
      </c>
      <c r="S562" s="2"/>
      <c r="T562" s="2"/>
    </row>
    <row r="563" spans="1:20" s="10" customFormat="1" ht="15.75" customHeight="1" x14ac:dyDescent="0.2">
      <c r="A563" s="21">
        <v>562</v>
      </c>
      <c r="B563" s="20" t="s">
        <v>35</v>
      </c>
      <c r="C563" s="20" t="s">
        <v>426</v>
      </c>
      <c r="D563" s="20" t="s">
        <v>200</v>
      </c>
      <c r="E563" s="20" t="s">
        <v>42</v>
      </c>
      <c r="F563" s="18" t="str">
        <f>C563&amp;"-"&amp;D563&amp;"-"&amp;E563</f>
        <v>B3-P6-C3</v>
      </c>
      <c r="G563" s="20" t="s">
        <v>24</v>
      </c>
      <c r="H563" s="20">
        <v>1</v>
      </c>
      <c r="I563" s="20" t="s">
        <v>603</v>
      </c>
      <c r="J563" s="20" t="s">
        <v>133</v>
      </c>
      <c r="K563" s="19" t="str">
        <f>B563&amp;"-"&amp;C563&amp;"-"&amp;D563&amp;"-"&amp;E563&amp;"-"&amp;G563&amp;H563</f>
        <v>Quercus-B3-P6-C3-B1</v>
      </c>
      <c r="L563" s="20" t="s">
        <v>21</v>
      </c>
      <c r="M563" s="20" t="s">
        <v>44</v>
      </c>
      <c r="N563" s="20" t="s">
        <v>143</v>
      </c>
      <c r="O563" s="27" t="str">
        <f>J563&amp;"_"&amp;M563</f>
        <v>Control_Yes</v>
      </c>
      <c r="P563" s="2" t="str">
        <f>J563&amp;"_"&amp;M563</f>
        <v>Control_Yes</v>
      </c>
      <c r="Q563" s="2" t="str">
        <f>L563&amp;"_"&amp;M563</f>
        <v>Yellow_Yes</v>
      </c>
      <c r="R563" s="23" t="s">
        <v>2071</v>
      </c>
      <c r="S563" s="2"/>
      <c r="T563" s="2"/>
    </row>
    <row r="564" spans="1:20" s="10" customFormat="1" ht="15.75" customHeight="1" x14ac:dyDescent="0.2">
      <c r="A564" s="21">
        <v>563</v>
      </c>
      <c r="B564" s="20" t="s">
        <v>35</v>
      </c>
      <c r="C564" s="20" t="s">
        <v>426</v>
      </c>
      <c r="D564" s="20" t="s">
        <v>200</v>
      </c>
      <c r="E564" s="20" t="s">
        <v>42</v>
      </c>
      <c r="F564" s="18" t="str">
        <f>C564&amp;"-"&amp;D564&amp;"-"&amp;E564</f>
        <v>B3-P6-C3</v>
      </c>
      <c r="G564" s="20" t="s">
        <v>17</v>
      </c>
      <c r="H564" s="20">
        <v>2</v>
      </c>
      <c r="I564" s="20" t="s">
        <v>604</v>
      </c>
      <c r="J564" s="20" t="s">
        <v>133</v>
      </c>
      <c r="K564" s="19" t="str">
        <f>B564&amp;"-"&amp;C564&amp;"-"&amp;D564&amp;"-"&amp;E564&amp;"-"&amp;G564&amp;H564</f>
        <v>Quercus-B3-P6-C3-A2</v>
      </c>
      <c r="L564" s="20" t="s">
        <v>21</v>
      </c>
      <c r="M564" s="20" t="s">
        <v>44</v>
      </c>
      <c r="N564" s="20" t="s">
        <v>143</v>
      </c>
      <c r="O564" s="27" t="str">
        <f>J564&amp;"_"&amp;M564</f>
        <v>Control_Yes</v>
      </c>
      <c r="P564" s="2" t="str">
        <f>J564&amp;"_"&amp;M564</f>
        <v>Control_Yes</v>
      </c>
      <c r="Q564" s="2" t="str">
        <f>L564&amp;"_"&amp;M564</f>
        <v>Yellow_Yes</v>
      </c>
      <c r="R564" s="23" t="s">
        <v>2071</v>
      </c>
      <c r="S564" s="2"/>
      <c r="T564" s="2"/>
    </row>
    <row r="565" spans="1:20" s="10" customFormat="1" ht="15.75" customHeight="1" x14ac:dyDescent="0.2">
      <c r="A565" s="21">
        <v>564</v>
      </c>
      <c r="B565" s="20" t="s">
        <v>19</v>
      </c>
      <c r="C565" s="20" t="s">
        <v>426</v>
      </c>
      <c r="D565" s="20" t="s">
        <v>200</v>
      </c>
      <c r="E565" s="20" t="s">
        <v>42</v>
      </c>
      <c r="F565" s="18" t="str">
        <f>C565&amp;"-"&amp;D565&amp;"-"&amp;E565</f>
        <v>B3-P6-C3</v>
      </c>
      <c r="G565" s="20" t="s">
        <v>24</v>
      </c>
      <c r="H565" s="20">
        <v>2</v>
      </c>
      <c r="I565" s="20" t="s">
        <v>605</v>
      </c>
      <c r="J565" s="20" t="s">
        <v>133</v>
      </c>
      <c r="K565" s="19" t="str">
        <f>B565&amp;"-"&amp;C565&amp;"-"&amp;D565&amp;"-"&amp;E565&amp;"-"&amp;G565&amp;H565</f>
        <v>Fagus-B3-P6-C3-B2</v>
      </c>
      <c r="L565" s="20" t="s">
        <v>21</v>
      </c>
      <c r="M565" s="20" t="s">
        <v>44</v>
      </c>
      <c r="N565" s="20" t="s">
        <v>143</v>
      </c>
      <c r="O565" s="27" t="str">
        <f>J565&amp;"_"&amp;M565</f>
        <v>Control_Yes</v>
      </c>
      <c r="P565" s="2" t="str">
        <f>J565&amp;"_"&amp;M565</f>
        <v>Control_Yes</v>
      </c>
      <c r="Q565" s="2" t="str">
        <f>L565&amp;"_"&amp;M565</f>
        <v>Yellow_Yes</v>
      </c>
      <c r="R565" s="23" t="s">
        <v>2071</v>
      </c>
      <c r="S565" s="2"/>
      <c r="T565" s="2"/>
    </row>
    <row r="566" spans="1:20" s="10" customFormat="1" ht="15.75" customHeight="1" x14ac:dyDescent="0.2">
      <c r="A566" s="21">
        <v>565</v>
      </c>
      <c r="B566" s="20" t="s">
        <v>19</v>
      </c>
      <c r="C566" s="20" t="s">
        <v>426</v>
      </c>
      <c r="D566" s="20" t="s">
        <v>200</v>
      </c>
      <c r="E566" s="20" t="s">
        <v>42</v>
      </c>
      <c r="F566" s="18" t="str">
        <f>C566&amp;"-"&amp;D566&amp;"-"&amp;E566</f>
        <v>B3-P6-C3</v>
      </c>
      <c r="G566" s="20" t="s">
        <v>17</v>
      </c>
      <c r="H566" s="20">
        <v>3</v>
      </c>
      <c r="I566" s="20" t="s">
        <v>606</v>
      </c>
      <c r="J566" s="20" t="s">
        <v>133</v>
      </c>
      <c r="K566" s="19" t="str">
        <f>B566&amp;"-"&amp;C566&amp;"-"&amp;D566&amp;"-"&amp;E566&amp;"-"&amp;G566&amp;H566</f>
        <v>Fagus-B3-P6-C3-A3</v>
      </c>
      <c r="L566" s="20" t="s">
        <v>21</v>
      </c>
      <c r="M566" s="20" t="s">
        <v>44</v>
      </c>
      <c r="N566" s="20" t="s">
        <v>143</v>
      </c>
      <c r="O566" s="27" t="str">
        <f>J566&amp;"_"&amp;M566</f>
        <v>Control_Yes</v>
      </c>
      <c r="P566" s="2" t="str">
        <f>J566&amp;"_"&amp;M566</f>
        <v>Control_Yes</v>
      </c>
      <c r="Q566" s="2" t="str">
        <f>L566&amp;"_"&amp;M566</f>
        <v>Yellow_Yes</v>
      </c>
      <c r="R566" s="23" t="s">
        <v>2071</v>
      </c>
      <c r="S566" s="1"/>
      <c r="T566" s="1"/>
    </row>
    <row r="567" spans="1:20" s="10" customFormat="1" ht="15.75" customHeight="1" x14ac:dyDescent="0.2">
      <c r="A567" s="21">
        <v>566</v>
      </c>
      <c r="B567" s="20" t="s">
        <v>35</v>
      </c>
      <c r="C567" s="20" t="s">
        <v>426</v>
      </c>
      <c r="D567" s="20" t="s">
        <v>200</v>
      </c>
      <c r="E567" s="20" t="s">
        <v>42</v>
      </c>
      <c r="F567" s="18" t="str">
        <f>C567&amp;"-"&amp;D567&amp;"-"&amp;E567</f>
        <v>B3-P6-C3</v>
      </c>
      <c r="G567" s="20" t="s">
        <v>24</v>
      </c>
      <c r="H567" s="20">
        <v>3</v>
      </c>
      <c r="I567" s="20" t="s">
        <v>607</v>
      </c>
      <c r="J567" s="20" t="s">
        <v>133</v>
      </c>
      <c r="K567" s="19" t="str">
        <f>B567&amp;"-"&amp;C567&amp;"-"&amp;D567&amp;"-"&amp;E567&amp;"-"&amp;G567&amp;H567</f>
        <v>Quercus-B3-P6-C3-B3</v>
      </c>
      <c r="L567" s="20" t="s">
        <v>21</v>
      </c>
      <c r="M567" s="20" t="s">
        <v>44</v>
      </c>
      <c r="N567" s="20" t="s">
        <v>143</v>
      </c>
      <c r="O567" s="27" t="str">
        <f>J567&amp;"_"&amp;M567</f>
        <v>Control_Yes</v>
      </c>
      <c r="P567" s="2" t="str">
        <f>J567&amp;"_"&amp;M567</f>
        <v>Control_Yes</v>
      </c>
      <c r="Q567" s="2" t="str">
        <f>L567&amp;"_"&amp;M567</f>
        <v>Yellow_Yes</v>
      </c>
      <c r="R567" s="23" t="s">
        <v>2071</v>
      </c>
      <c r="S567" s="1"/>
      <c r="T567" s="1"/>
    </row>
    <row r="568" spans="1:20" s="10" customFormat="1" ht="15.75" customHeight="1" x14ac:dyDescent="0.2">
      <c r="A568" s="21">
        <v>567</v>
      </c>
      <c r="B568" s="20" t="s">
        <v>35</v>
      </c>
      <c r="C568" s="20" t="s">
        <v>426</v>
      </c>
      <c r="D568" s="20" t="s">
        <v>200</v>
      </c>
      <c r="E568" s="20" t="s">
        <v>42</v>
      </c>
      <c r="F568" s="18" t="str">
        <f>C568&amp;"-"&amp;D568&amp;"-"&amp;E568</f>
        <v>B3-P6-C3</v>
      </c>
      <c r="G568" s="20" t="s">
        <v>17</v>
      </c>
      <c r="H568" s="20">
        <v>4</v>
      </c>
      <c r="I568" s="20" t="s">
        <v>608</v>
      </c>
      <c r="J568" s="20" t="s">
        <v>133</v>
      </c>
      <c r="K568" s="19" t="str">
        <f>B568&amp;"-"&amp;C568&amp;"-"&amp;D568&amp;"-"&amp;E568&amp;"-"&amp;G568&amp;H568</f>
        <v>Quercus-B3-P6-C3-A4</v>
      </c>
      <c r="L568" s="20" t="s">
        <v>21</v>
      </c>
      <c r="M568" s="20" t="s">
        <v>44</v>
      </c>
      <c r="N568" s="20" t="s">
        <v>143</v>
      </c>
      <c r="O568" s="27" t="str">
        <f>J568&amp;"_"&amp;M568</f>
        <v>Control_Yes</v>
      </c>
      <c r="P568" s="2" t="str">
        <f>J568&amp;"_"&amp;M568</f>
        <v>Control_Yes</v>
      </c>
      <c r="Q568" s="2" t="str">
        <f>L568&amp;"_"&amp;M568</f>
        <v>Yellow_Yes</v>
      </c>
      <c r="R568" s="23" t="s">
        <v>2071</v>
      </c>
      <c r="S568" s="1"/>
      <c r="T568" s="1"/>
    </row>
    <row r="569" spans="1:20" s="10" customFormat="1" ht="15.75" customHeight="1" x14ac:dyDescent="0.2">
      <c r="A569" s="21">
        <v>568</v>
      </c>
      <c r="B569" s="20" t="s">
        <v>19</v>
      </c>
      <c r="C569" s="20" t="s">
        <v>426</v>
      </c>
      <c r="D569" s="20" t="s">
        <v>200</v>
      </c>
      <c r="E569" s="20" t="s">
        <v>42</v>
      </c>
      <c r="F569" s="18" t="str">
        <f>C569&amp;"-"&amp;D569&amp;"-"&amp;E569</f>
        <v>B3-P6-C3</v>
      </c>
      <c r="G569" s="20" t="s">
        <v>24</v>
      </c>
      <c r="H569" s="20">
        <v>4</v>
      </c>
      <c r="I569" s="20" t="s">
        <v>609</v>
      </c>
      <c r="J569" s="20" t="s">
        <v>133</v>
      </c>
      <c r="K569" s="19" t="str">
        <f>B569&amp;"-"&amp;C569&amp;"-"&amp;D569&amp;"-"&amp;E569&amp;"-"&amp;G569&amp;H569</f>
        <v>Fagus-B3-P6-C3-B4</v>
      </c>
      <c r="L569" s="20" t="s">
        <v>21</v>
      </c>
      <c r="M569" s="20" t="s">
        <v>44</v>
      </c>
      <c r="N569" s="20" t="s">
        <v>143</v>
      </c>
      <c r="O569" s="27" t="str">
        <f>J569&amp;"_"&amp;M569</f>
        <v>Control_Yes</v>
      </c>
      <c r="P569" s="2" t="str">
        <f>J569&amp;"_"&amp;M569</f>
        <v>Control_Yes</v>
      </c>
      <c r="Q569" s="2" t="str">
        <f>L569&amp;"_"&amp;M569</f>
        <v>Yellow_Yes</v>
      </c>
      <c r="R569" s="23" t="s">
        <v>2071</v>
      </c>
      <c r="S569" s="1"/>
      <c r="T569" s="1"/>
    </row>
    <row r="570" spans="1:20" s="9" customFormat="1" ht="15.75" customHeight="1" x14ac:dyDescent="0.2">
      <c r="A570" s="13">
        <v>569</v>
      </c>
      <c r="B570" s="14" t="s">
        <v>35</v>
      </c>
      <c r="C570" s="14" t="s">
        <v>426</v>
      </c>
      <c r="D570" s="14" t="s">
        <v>200</v>
      </c>
      <c r="E570" s="14" t="s">
        <v>53</v>
      </c>
      <c r="F570" s="14" t="str">
        <f>C570&amp;"-"&amp;D570&amp;"-"&amp;E570</f>
        <v>B3-P6-C4</v>
      </c>
      <c r="G570" s="14" t="s">
        <v>17</v>
      </c>
      <c r="H570" s="14">
        <v>1</v>
      </c>
      <c r="I570" s="14" t="s">
        <v>610</v>
      </c>
      <c r="J570" s="14" t="s">
        <v>133</v>
      </c>
      <c r="K570" s="13" t="str">
        <f>B570&amp;"-"&amp;C570&amp;"-"&amp;D570&amp;"-"&amp;E570&amp;"-"&amp;G570&amp;H570</f>
        <v>Quercus-B3-P6-C4-A1</v>
      </c>
      <c r="L570" s="14" t="s">
        <v>21</v>
      </c>
      <c r="M570" s="14" t="s">
        <v>22</v>
      </c>
      <c r="N570" s="14" t="s">
        <v>134</v>
      </c>
      <c r="O570" s="26" t="str">
        <f>J570&amp;"_"&amp;M570</f>
        <v>Control_No</v>
      </c>
      <c r="P570" s="23" t="str">
        <f>J570&amp;"_"&amp;M570</f>
        <v>Control_No</v>
      </c>
      <c r="Q570" s="23" t="str">
        <f>L570&amp;"_"&amp;M570</f>
        <v>Yellow_No</v>
      </c>
      <c r="R570" s="23" t="s">
        <v>2071</v>
      </c>
      <c r="S570" s="1"/>
      <c r="T570" s="1"/>
    </row>
    <row r="571" spans="1:20" s="9" customFormat="1" ht="15.75" customHeight="1" x14ac:dyDescent="0.2">
      <c r="A571" s="13">
        <v>570</v>
      </c>
      <c r="B571" s="14" t="s">
        <v>35</v>
      </c>
      <c r="C571" s="14" t="s">
        <v>426</v>
      </c>
      <c r="D571" s="14" t="s">
        <v>200</v>
      </c>
      <c r="E571" s="14" t="s">
        <v>53</v>
      </c>
      <c r="F571" s="14" t="str">
        <f>C571&amp;"-"&amp;D571&amp;"-"&amp;E571</f>
        <v>B3-P6-C4</v>
      </c>
      <c r="G571" s="14" t="s">
        <v>24</v>
      </c>
      <c r="H571" s="14">
        <v>1</v>
      </c>
      <c r="I571" s="14" t="s">
        <v>611</v>
      </c>
      <c r="J571" s="14" t="s">
        <v>133</v>
      </c>
      <c r="K571" s="13" t="str">
        <f>B571&amp;"-"&amp;C571&amp;"-"&amp;D571&amp;"-"&amp;E571&amp;"-"&amp;G571&amp;H571</f>
        <v>Quercus-B3-P6-C4-B1</v>
      </c>
      <c r="L571" s="14" t="s">
        <v>21</v>
      </c>
      <c r="M571" s="14" t="s">
        <v>22</v>
      </c>
      <c r="N571" s="14" t="s">
        <v>134</v>
      </c>
      <c r="O571" s="26" t="str">
        <f>J571&amp;"_"&amp;M571</f>
        <v>Control_No</v>
      </c>
      <c r="P571" s="23" t="str">
        <f>J571&amp;"_"&amp;M571</f>
        <v>Control_No</v>
      </c>
      <c r="Q571" s="23" t="str">
        <f>L571&amp;"_"&amp;M571</f>
        <v>Yellow_No</v>
      </c>
      <c r="R571" s="23" t="s">
        <v>2071</v>
      </c>
      <c r="S571" s="1"/>
      <c r="T571" s="1"/>
    </row>
    <row r="572" spans="1:20" s="9" customFormat="1" ht="15.75" customHeight="1" x14ac:dyDescent="0.2">
      <c r="A572" s="13">
        <v>571</v>
      </c>
      <c r="B572" s="14" t="s">
        <v>35</v>
      </c>
      <c r="C572" s="14" t="s">
        <v>426</v>
      </c>
      <c r="D572" s="14" t="s">
        <v>200</v>
      </c>
      <c r="E572" s="14" t="s">
        <v>53</v>
      </c>
      <c r="F572" s="14" t="str">
        <f>C572&amp;"-"&amp;D572&amp;"-"&amp;E572</f>
        <v>B3-P6-C4</v>
      </c>
      <c r="G572" s="14" t="s">
        <v>17</v>
      </c>
      <c r="H572" s="14">
        <v>2</v>
      </c>
      <c r="I572" s="14" t="s">
        <v>612</v>
      </c>
      <c r="J572" s="14" t="s">
        <v>133</v>
      </c>
      <c r="K572" s="13" t="str">
        <f>B572&amp;"-"&amp;C572&amp;"-"&amp;D572&amp;"-"&amp;E572&amp;"-"&amp;G572&amp;H572</f>
        <v>Quercus-B3-P6-C4-A2</v>
      </c>
      <c r="L572" s="14" t="s">
        <v>21</v>
      </c>
      <c r="M572" s="14" t="s">
        <v>22</v>
      </c>
      <c r="N572" s="14" t="s">
        <v>134</v>
      </c>
      <c r="O572" s="26" t="str">
        <f>J572&amp;"_"&amp;M572</f>
        <v>Control_No</v>
      </c>
      <c r="P572" s="23" t="str">
        <f>J572&amp;"_"&amp;M572</f>
        <v>Control_No</v>
      </c>
      <c r="Q572" s="23" t="str">
        <f>L572&amp;"_"&amp;M572</f>
        <v>Yellow_No</v>
      </c>
      <c r="R572" s="23" t="s">
        <v>2071</v>
      </c>
      <c r="S572" s="2"/>
      <c r="T572" s="2"/>
    </row>
    <row r="573" spans="1:20" s="9" customFormat="1" ht="15.75" customHeight="1" x14ac:dyDescent="0.2">
      <c r="A573" s="13">
        <v>572</v>
      </c>
      <c r="B573" s="14" t="s">
        <v>35</v>
      </c>
      <c r="C573" s="14" t="s">
        <v>426</v>
      </c>
      <c r="D573" s="14" t="s">
        <v>200</v>
      </c>
      <c r="E573" s="14" t="s">
        <v>53</v>
      </c>
      <c r="F573" s="14" t="str">
        <f>C573&amp;"-"&amp;D573&amp;"-"&amp;E573</f>
        <v>B3-P6-C4</v>
      </c>
      <c r="G573" s="14" t="s">
        <v>24</v>
      </c>
      <c r="H573" s="14">
        <v>2</v>
      </c>
      <c r="I573" s="14" t="s">
        <v>613</v>
      </c>
      <c r="J573" s="14" t="s">
        <v>133</v>
      </c>
      <c r="K573" s="13" t="str">
        <f>B573&amp;"-"&amp;C573&amp;"-"&amp;D573&amp;"-"&amp;E573&amp;"-"&amp;G573&amp;H573</f>
        <v>Quercus-B3-P6-C4-B2</v>
      </c>
      <c r="L573" s="14" t="s">
        <v>21</v>
      </c>
      <c r="M573" s="14" t="s">
        <v>22</v>
      </c>
      <c r="N573" s="14" t="s">
        <v>134</v>
      </c>
      <c r="O573" s="26" t="str">
        <f>J573&amp;"_"&amp;M573</f>
        <v>Control_No</v>
      </c>
      <c r="P573" s="23" t="str">
        <f>J573&amp;"_"&amp;M573</f>
        <v>Control_No</v>
      </c>
      <c r="Q573" s="23" t="str">
        <f>L573&amp;"_"&amp;M573</f>
        <v>Yellow_No</v>
      </c>
      <c r="R573" s="23" t="s">
        <v>2071</v>
      </c>
      <c r="S573" s="2"/>
      <c r="T573" s="2"/>
    </row>
    <row r="574" spans="1:20" s="9" customFormat="1" ht="15.75" customHeight="1" x14ac:dyDescent="0.2">
      <c r="A574" s="13">
        <v>573</v>
      </c>
      <c r="B574" s="14" t="s">
        <v>35</v>
      </c>
      <c r="C574" s="14" t="s">
        <v>426</v>
      </c>
      <c r="D574" s="14" t="s">
        <v>200</v>
      </c>
      <c r="E574" s="14" t="s">
        <v>53</v>
      </c>
      <c r="F574" s="14" t="str">
        <f>C574&amp;"-"&amp;D574&amp;"-"&amp;E574</f>
        <v>B3-P6-C4</v>
      </c>
      <c r="G574" s="14" t="s">
        <v>17</v>
      </c>
      <c r="H574" s="14">
        <v>3</v>
      </c>
      <c r="I574" s="14" t="s">
        <v>614</v>
      </c>
      <c r="J574" s="14" t="s">
        <v>133</v>
      </c>
      <c r="K574" s="13" t="str">
        <f>B574&amp;"-"&amp;C574&amp;"-"&amp;D574&amp;"-"&amp;E574&amp;"-"&amp;G574&amp;H574</f>
        <v>Quercus-B3-P6-C4-A3</v>
      </c>
      <c r="L574" s="14" t="s">
        <v>21</v>
      </c>
      <c r="M574" s="14" t="s">
        <v>22</v>
      </c>
      <c r="N574" s="14" t="s">
        <v>134</v>
      </c>
      <c r="O574" s="26" t="str">
        <f>J574&amp;"_"&amp;M574</f>
        <v>Control_No</v>
      </c>
      <c r="P574" s="23" t="str">
        <f>J574&amp;"_"&amp;M574</f>
        <v>Control_No</v>
      </c>
      <c r="Q574" s="23" t="str">
        <f>L574&amp;"_"&amp;M574</f>
        <v>Yellow_No</v>
      </c>
      <c r="R574" s="23" t="s">
        <v>2071</v>
      </c>
      <c r="S574" s="2"/>
      <c r="T574" s="2"/>
    </row>
    <row r="575" spans="1:20" s="9" customFormat="1" ht="15.75" customHeight="1" x14ac:dyDescent="0.2">
      <c r="A575" s="13">
        <v>574</v>
      </c>
      <c r="B575" s="14" t="s">
        <v>35</v>
      </c>
      <c r="C575" s="14" t="s">
        <v>426</v>
      </c>
      <c r="D575" s="14" t="s">
        <v>200</v>
      </c>
      <c r="E575" s="14" t="s">
        <v>53</v>
      </c>
      <c r="F575" s="14" t="str">
        <f>C575&amp;"-"&amp;D575&amp;"-"&amp;E575</f>
        <v>B3-P6-C4</v>
      </c>
      <c r="G575" s="14" t="s">
        <v>24</v>
      </c>
      <c r="H575" s="14">
        <v>3</v>
      </c>
      <c r="I575" s="14" t="s">
        <v>615</v>
      </c>
      <c r="J575" s="14" t="s">
        <v>133</v>
      </c>
      <c r="K575" s="13" t="str">
        <f>B575&amp;"-"&amp;C575&amp;"-"&amp;D575&amp;"-"&amp;E575&amp;"-"&amp;G575&amp;H575</f>
        <v>Quercus-B3-P6-C4-B3</v>
      </c>
      <c r="L575" s="14" t="s">
        <v>21</v>
      </c>
      <c r="M575" s="14" t="s">
        <v>22</v>
      </c>
      <c r="N575" s="14" t="s">
        <v>134</v>
      </c>
      <c r="O575" s="26" t="str">
        <f>J575&amp;"_"&amp;M575</f>
        <v>Control_No</v>
      </c>
      <c r="P575" s="23" t="str">
        <f>J575&amp;"_"&amp;M575</f>
        <v>Control_No</v>
      </c>
      <c r="Q575" s="23" t="str">
        <f>L575&amp;"_"&amp;M575</f>
        <v>Yellow_No</v>
      </c>
      <c r="R575" s="23" t="s">
        <v>2071</v>
      </c>
      <c r="S575" s="2"/>
      <c r="T575" s="2"/>
    </row>
    <row r="576" spans="1:20" s="9" customFormat="1" ht="15.75" customHeight="1" x14ac:dyDescent="0.2">
      <c r="A576" s="13">
        <v>575</v>
      </c>
      <c r="B576" s="14" t="s">
        <v>35</v>
      </c>
      <c r="C576" s="14" t="s">
        <v>426</v>
      </c>
      <c r="D576" s="14" t="s">
        <v>200</v>
      </c>
      <c r="E576" s="14" t="s">
        <v>53</v>
      </c>
      <c r="F576" s="14" t="str">
        <f>C576&amp;"-"&amp;D576&amp;"-"&amp;E576</f>
        <v>B3-P6-C4</v>
      </c>
      <c r="G576" s="14" t="s">
        <v>17</v>
      </c>
      <c r="H576" s="14">
        <v>4</v>
      </c>
      <c r="I576" s="14" t="s">
        <v>616</v>
      </c>
      <c r="J576" s="14" t="s">
        <v>133</v>
      </c>
      <c r="K576" s="13" t="str">
        <f>B576&amp;"-"&amp;C576&amp;"-"&amp;D576&amp;"-"&amp;E576&amp;"-"&amp;G576&amp;H576</f>
        <v>Quercus-B3-P6-C4-A4</v>
      </c>
      <c r="L576" s="14" t="s">
        <v>21</v>
      </c>
      <c r="M576" s="14" t="s">
        <v>22</v>
      </c>
      <c r="N576" s="14" t="s">
        <v>134</v>
      </c>
      <c r="O576" s="26" t="str">
        <f>J576&amp;"_"&amp;M576</f>
        <v>Control_No</v>
      </c>
      <c r="P576" s="23" t="str">
        <f>J576&amp;"_"&amp;M576</f>
        <v>Control_No</v>
      </c>
      <c r="Q576" s="23" t="str">
        <f>L576&amp;"_"&amp;M576</f>
        <v>Yellow_No</v>
      </c>
      <c r="R576" s="23" t="s">
        <v>2071</v>
      </c>
      <c r="S576" s="2"/>
      <c r="T576" s="2"/>
    </row>
    <row r="577" spans="1:20" s="9" customFormat="1" ht="15.75" customHeight="1" x14ac:dyDescent="0.2">
      <c r="A577" s="13">
        <v>576</v>
      </c>
      <c r="B577" s="14" t="s">
        <v>35</v>
      </c>
      <c r="C577" s="14" t="s">
        <v>426</v>
      </c>
      <c r="D577" s="14" t="s">
        <v>200</v>
      </c>
      <c r="E577" s="14" t="s">
        <v>53</v>
      </c>
      <c r="F577" s="14" t="str">
        <f>C577&amp;"-"&amp;D577&amp;"-"&amp;E577</f>
        <v>B3-P6-C4</v>
      </c>
      <c r="G577" s="14" t="s">
        <v>24</v>
      </c>
      <c r="H577" s="14">
        <v>4</v>
      </c>
      <c r="I577" s="14" t="s">
        <v>617</v>
      </c>
      <c r="J577" s="14" t="s">
        <v>133</v>
      </c>
      <c r="K577" s="13" t="str">
        <f>B577&amp;"-"&amp;C577&amp;"-"&amp;D577&amp;"-"&amp;E577&amp;"-"&amp;G577&amp;H577</f>
        <v>Quercus-B3-P6-C4-B4</v>
      </c>
      <c r="L577" s="14" t="s">
        <v>21</v>
      </c>
      <c r="M577" s="14" t="s">
        <v>22</v>
      </c>
      <c r="N577" s="14" t="s">
        <v>134</v>
      </c>
      <c r="O577" s="26" t="str">
        <f>J577&amp;"_"&amp;M577</f>
        <v>Control_No</v>
      </c>
      <c r="P577" s="23" t="str">
        <f>J577&amp;"_"&amp;M577</f>
        <v>Control_No</v>
      </c>
      <c r="Q577" s="23" t="str">
        <f>L577&amp;"_"&amp;M577</f>
        <v>Yellow_No</v>
      </c>
      <c r="R577" s="23" t="s">
        <v>2071</v>
      </c>
      <c r="S577" s="2"/>
      <c r="T577" s="2"/>
    </row>
    <row r="578" spans="1:20" ht="15.75" customHeight="1" x14ac:dyDescent="0.2">
      <c r="A578" s="13">
        <v>601</v>
      </c>
      <c r="B578" s="15" t="s">
        <v>11</v>
      </c>
      <c r="C578" s="15" t="s">
        <v>14</v>
      </c>
      <c r="D578" s="15" t="s">
        <v>15</v>
      </c>
      <c r="E578" s="15" t="s">
        <v>42</v>
      </c>
      <c r="F578" s="15" t="str">
        <f>C578&amp;"-"&amp;D578&amp;"-"&amp;E578</f>
        <v>B1-P1-C3</v>
      </c>
      <c r="G578" s="15" t="s">
        <v>618</v>
      </c>
      <c r="H578" s="15">
        <v>1</v>
      </c>
      <c r="I578" s="15" t="str">
        <f>C578&amp;"_"&amp;D578&amp;"_"&amp;E578&amp;"_"&amp;G578&amp;H578</f>
        <v>B1_P1_C3_D1</v>
      </c>
      <c r="J578" s="15" t="s">
        <v>20</v>
      </c>
      <c r="K578" s="13" t="str">
        <f>B578&amp;"-"&amp;C578&amp;"-"&amp;D578&amp;"-"&amp;E578&amp;"-"&amp;G578&amp;H578</f>
        <v>Robinia-B1-P1-C3-D1</v>
      </c>
      <c r="L578" s="15" t="s">
        <v>21</v>
      </c>
      <c r="M578" s="15" t="s">
        <v>44</v>
      </c>
      <c r="N578" s="15" t="str">
        <f>J578&amp;"_"&amp;L578&amp;"_"&amp;M578</f>
        <v>Drought_Yellow_Yes</v>
      </c>
      <c r="O578" s="28" t="str">
        <f>J578&amp;"_"&amp;M578</f>
        <v>Drought_Yes</v>
      </c>
      <c r="P578" s="1" t="str">
        <f>J578&amp;"_"&amp;M578</f>
        <v>Drought_Yes</v>
      </c>
      <c r="Q578" s="1" t="str">
        <f>L578&amp;"_"&amp;M578</f>
        <v>Yellow_Yes</v>
      </c>
      <c r="R578" s="23" t="s">
        <v>2071</v>
      </c>
    </row>
    <row r="579" spans="1:20" ht="15.75" customHeight="1" x14ac:dyDescent="0.2">
      <c r="A579" s="13">
        <v>602</v>
      </c>
      <c r="B579" s="15" t="s">
        <v>11</v>
      </c>
      <c r="C579" s="15" t="s">
        <v>14</v>
      </c>
      <c r="D579" s="15" t="s">
        <v>15</v>
      </c>
      <c r="E579" s="15" t="s">
        <v>42</v>
      </c>
      <c r="F579" s="15" t="str">
        <f>C579&amp;"-"&amp;D579&amp;"-"&amp;E579</f>
        <v>B1-P1-C3</v>
      </c>
      <c r="G579" s="15" t="s">
        <v>619</v>
      </c>
      <c r="H579" s="15">
        <v>1</v>
      </c>
      <c r="I579" s="15" t="str">
        <f>C579&amp;"_"&amp;D579&amp;"_"&amp;E579&amp;"_"&amp;G579&amp;H579</f>
        <v>B1_P1_C3_E1</v>
      </c>
      <c r="J579" s="15" t="s">
        <v>20</v>
      </c>
      <c r="K579" s="13" t="str">
        <f>B579&amp;"-"&amp;C579&amp;"-"&amp;D579&amp;"-"&amp;E579&amp;"-"&amp;G579&amp;H579</f>
        <v>Robinia-B1-P1-C3-E1</v>
      </c>
      <c r="L579" s="15" t="s">
        <v>21</v>
      </c>
      <c r="M579" s="15" t="s">
        <v>44</v>
      </c>
      <c r="N579" s="15" t="str">
        <f>J579&amp;"_"&amp;L579&amp;"_"&amp;M579</f>
        <v>Drought_Yellow_Yes</v>
      </c>
      <c r="O579" s="24" t="str">
        <f>J579&amp;"_"&amp;M579</f>
        <v>Drought_Yes</v>
      </c>
      <c r="P579" s="1" t="str">
        <f>J579&amp;"_"&amp;M579</f>
        <v>Drought_Yes</v>
      </c>
      <c r="Q579" s="1" t="str">
        <f>L579&amp;"_"&amp;M579</f>
        <v>Yellow_Yes</v>
      </c>
      <c r="R579" s="23" t="s">
        <v>2071</v>
      </c>
    </row>
    <row r="580" spans="1:20" ht="15.75" customHeight="1" x14ac:dyDescent="0.2">
      <c r="A580" s="13">
        <v>603</v>
      </c>
      <c r="B580" s="15" t="s">
        <v>11</v>
      </c>
      <c r="C580" s="15" t="s">
        <v>14</v>
      </c>
      <c r="D580" s="15" t="s">
        <v>15</v>
      </c>
      <c r="E580" s="15" t="s">
        <v>42</v>
      </c>
      <c r="F580" s="15" t="str">
        <f>C580&amp;"-"&amp;D580&amp;"-"&amp;E580</f>
        <v>B1-P1-C3</v>
      </c>
      <c r="G580" s="15" t="s">
        <v>620</v>
      </c>
      <c r="H580" s="15">
        <v>1</v>
      </c>
      <c r="I580" s="15" t="str">
        <f>C580&amp;"_"&amp;D580&amp;"_"&amp;E580&amp;"_"&amp;G580&amp;H580</f>
        <v>B1_P1_C3_F1</v>
      </c>
      <c r="J580" s="15" t="s">
        <v>20</v>
      </c>
      <c r="K580" s="13" t="str">
        <f>B580&amp;"-"&amp;C580&amp;"-"&amp;D580&amp;"-"&amp;E580&amp;"-"&amp;G580&amp;H580</f>
        <v>Robinia-B1-P1-C3-F1</v>
      </c>
      <c r="L580" s="15" t="s">
        <v>21</v>
      </c>
      <c r="M580" s="15" t="s">
        <v>44</v>
      </c>
      <c r="N580" s="15" t="str">
        <f>J580&amp;"_"&amp;L580&amp;"_"&amp;M580</f>
        <v>Drought_Yellow_Yes</v>
      </c>
      <c r="O580" s="24" t="str">
        <f>J580&amp;"_"&amp;M580</f>
        <v>Drought_Yes</v>
      </c>
      <c r="P580" s="1" t="str">
        <f>J580&amp;"_"&amp;M580</f>
        <v>Drought_Yes</v>
      </c>
      <c r="Q580" s="1" t="str">
        <f>L580&amp;"_"&amp;M580</f>
        <v>Yellow_Yes</v>
      </c>
      <c r="R580" s="23" t="s">
        <v>2071</v>
      </c>
    </row>
    <row r="581" spans="1:20" ht="15.75" customHeight="1" x14ac:dyDescent="0.2">
      <c r="A581" s="13">
        <v>604</v>
      </c>
      <c r="B581" s="15" t="s">
        <v>11</v>
      </c>
      <c r="C581" s="15" t="s">
        <v>14</v>
      </c>
      <c r="D581" s="15" t="s">
        <v>15</v>
      </c>
      <c r="E581" s="15" t="s">
        <v>42</v>
      </c>
      <c r="F581" s="15" t="str">
        <f>C581&amp;"-"&amp;D581&amp;"-"&amp;E581</f>
        <v>B1-P1-C3</v>
      </c>
      <c r="G581" s="15" t="s">
        <v>618</v>
      </c>
      <c r="H581" s="15">
        <v>2</v>
      </c>
      <c r="I581" s="15" t="str">
        <f>C581&amp;"_"&amp;D581&amp;"_"&amp;E581&amp;"_"&amp;G581&amp;H581</f>
        <v>B1_P1_C3_D2</v>
      </c>
      <c r="J581" s="15" t="s">
        <v>20</v>
      </c>
      <c r="K581" s="13" t="str">
        <f>B581&amp;"-"&amp;C581&amp;"-"&amp;D581&amp;"-"&amp;E581&amp;"-"&amp;G581&amp;H581</f>
        <v>Robinia-B1-P1-C3-D2</v>
      </c>
      <c r="L581" s="15" t="s">
        <v>21</v>
      </c>
      <c r="M581" s="15" t="s">
        <v>44</v>
      </c>
      <c r="N581" s="15" t="str">
        <f>J581&amp;"_"&amp;L581&amp;"_"&amp;M581</f>
        <v>Drought_Yellow_Yes</v>
      </c>
      <c r="O581" s="24" t="str">
        <f>J581&amp;"_"&amp;M581</f>
        <v>Drought_Yes</v>
      </c>
      <c r="P581" s="1" t="str">
        <f>J581&amp;"_"&amp;M581</f>
        <v>Drought_Yes</v>
      </c>
      <c r="Q581" s="1" t="str">
        <f>L581&amp;"_"&amp;M581</f>
        <v>Yellow_Yes</v>
      </c>
      <c r="R581" s="23" t="s">
        <v>2071</v>
      </c>
    </row>
    <row r="582" spans="1:20" ht="15.75" customHeight="1" x14ac:dyDescent="0.2">
      <c r="A582" s="13">
        <v>605</v>
      </c>
      <c r="B582" s="15" t="s">
        <v>11</v>
      </c>
      <c r="C582" s="15" t="s">
        <v>14</v>
      </c>
      <c r="D582" s="15" t="s">
        <v>15</v>
      </c>
      <c r="E582" s="15" t="s">
        <v>42</v>
      </c>
      <c r="F582" s="15" t="str">
        <f>C582&amp;"-"&amp;D582&amp;"-"&amp;E582</f>
        <v>B1-P1-C3</v>
      </c>
      <c r="G582" s="15" t="s">
        <v>619</v>
      </c>
      <c r="H582" s="15">
        <v>2</v>
      </c>
      <c r="I582" s="15" t="str">
        <f>C582&amp;"_"&amp;D582&amp;"_"&amp;E582&amp;"_"&amp;G582&amp;H582</f>
        <v>B1_P1_C3_E2</v>
      </c>
      <c r="J582" s="15" t="s">
        <v>20</v>
      </c>
      <c r="K582" s="13" t="str">
        <f>B582&amp;"-"&amp;C582&amp;"-"&amp;D582&amp;"-"&amp;E582&amp;"-"&amp;G582&amp;H582</f>
        <v>Robinia-B1-P1-C3-E2</v>
      </c>
      <c r="L582" s="15" t="s">
        <v>21</v>
      </c>
      <c r="M582" s="15" t="s">
        <v>44</v>
      </c>
      <c r="N582" s="15" t="str">
        <f>J582&amp;"_"&amp;L582&amp;"_"&amp;M582</f>
        <v>Drought_Yellow_Yes</v>
      </c>
      <c r="O582" s="24" t="str">
        <f>J582&amp;"_"&amp;M582</f>
        <v>Drought_Yes</v>
      </c>
      <c r="P582" s="1" t="str">
        <f>J582&amp;"_"&amp;M582</f>
        <v>Drought_Yes</v>
      </c>
      <c r="Q582" s="1" t="str">
        <f>L582&amp;"_"&amp;M582</f>
        <v>Yellow_Yes</v>
      </c>
      <c r="R582" s="23" t="s">
        <v>2071</v>
      </c>
    </row>
    <row r="583" spans="1:20" ht="15.75" customHeight="1" x14ac:dyDescent="0.2">
      <c r="A583" s="13">
        <v>606</v>
      </c>
      <c r="B583" s="15" t="s">
        <v>11</v>
      </c>
      <c r="C583" s="15" t="s">
        <v>14</v>
      </c>
      <c r="D583" s="15" t="s">
        <v>15</v>
      </c>
      <c r="E583" s="15" t="s">
        <v>42</v>
      </c>
      <c r="F583" s="15" t="str">
        <f>C583&amp;"-"&amp;D583&amp;"-"&amp;E583</f>
        <v>B1-P1-C3</v>
      </c>
      <c r="G583" s="15" t="s">
        <v>620</v>
      </c>
      <c r="H583" s="15">
        <v>2</v>
      </c>
      <c r="I583" s="15" t="str">
        <f>C583&amp;"_"&amp;D583&amp;"_"&amp;E583&amp;"_"&amp;G583&amp;H583</f>
        <v>B1_P1_C3_F2</v>
      </c>
      <c r="J583" s="15" t="s">
        <v>20</v>
      </c>
      <c r="K583" s="13" t="str">
        <f>B583&amp;"-"&amp;C583&amp;"-"&amp;D583&amp;"-"&amp;E583&amp;"-"&amp;G583&amp;H583</f>
        <v>Robinia-B1-P1-C3-F2</v>
      </c>
      <c r="L583" s="15" t="s">
        <v>21</v>
      </c>
      <c r="M583" s="15" t="s">
        <v>44</v>
      </c>
      <c r="N583" s="15" t="str">
        <f>J583&amp;"_"&amp;L583&amp;"_"&amp;M583</f>
        <v>Drought_Yellow_Yes</v>
      </c>
      <c r="O583" s="24" t="str">
        <f>J583&amp;"_"&amp;M583</f>
        <v>Drought_Yes</v>
      </c>
      <c r="P583" s="1" t="str">
        <f>J583&amp;"_"&amp;M583</f>
        <v>Drought_Yes</v>
      </c>
      <c r="Q583" s="1" t="str">
        <f>L583&amp;"_"&amp;M583</f>
        <v>Yellow_Yes</v>
      </c>
      <c r="R583" s="23" t="s">
        <v>2071</v>
      </c>
    </row>
    <row r="584" spans="1:20" s="10" customFormat="1" ht="15.75" customHeight="1" x14ac:dyDescent="0.2">
      <c r="A584" s="21">
        <v>607</v>
      </c>
      <c r="B584" s="22" t="s">
        <v>11</v>
      </c>
      <c r="C584" s="22" t="s">
        <v>14</v>
      </c>
      <c r="D584" s="22" t="s">
        <v>15</v>
      </c>
      <c r="E584" s="22" t="s">
        <v>53</v>
      </c>
      <c r="F584" s="18" t="str">
        <f>C584&amp;"-"&amp;D584&amp;"-"&amp;E584</f>
        <v>B1-P1-C4</v>
      </c>
      <c r="G584" s="22" t="s">
        <v>618</v>
      </c>
      <c r="H584" s="22">
        <v>1</v>
      </c>
      <c r="I584" s="22" t="str">
        <f>C584&amp;"_"&amp;D584&amp;"_"&amp;E584&amp;"_"&amp;G584&amp;H584</f>
        <v>B1_P1_C4_D1</v>
      </c>
      <c r="J584" s="22" t="s">
        <v>20</v>
      </c>
      <c r="K584" s="21" t="str">
        <f>B584&amp;"-"&amp;C584&amp;"-"&amp;D584&amp;"-"&amp;E584&amp;"-"&amp;G584&amp;H584</f>
        <v>Robinia-B1-P1-C4-D1</v>
      </c>
      <c r="L584" s="22" t="s">
        <v>21</v>
      </c>
      <c r="M584" s="22" t="s">
        <v>44</v>
      </c>
      <c r="N584" s="22" t="str">
        <f>J584&amp;"_"&amp;L584&amp;"_"&amp;M584</f>
        <v>Drought_Yellow_Yes</v>
      </c>
      <c r="O584" s="27" t="str">
        <f>J584&amp;"_"&amp;M584</f>
        <v>Drought_Yes</v>
      </c>
      <c r="P584" s="2" t="str">
        <f>J584&amp;"_"&amp;M584</f>
        <v>Drought_Yes</v>
      </c>
      <c r="Q584" s="2" t="str">
        <f>L584&amp;"_"&amp;M584</f>
        <v>Yellow_Yes</v>
      </c>
      <c r="R584" s="23" t="s">
        <v>2071</v>
      </c>
      <c r="S584" s="2"/>
      <c r="T584" s="2"/>
    </row>
    <row r="585" spans="1:20" s="10" customFormat="1" ht="15.75" customHeight="1" x14ac:dyDescent="0.2">
      <c r="A585" s="21">
        <v>608</v>
      </c>
      <c r="B585" s="22" t="s">
        <v>11</v>
      </c>
      <c r="C585" s="22" t="s">
        <v>14</v>
      </c>
      <c r="D585" s="22" t="s">
        <v>15</v>
      </c>
      <c r="E585" s="22" t="s">
        <v>53</v>
      </c>
      <c r="F585" s="18" t="str">
        <f>C585&amp;"-"&amp;D585&amp;"-"&amp;E585</f>
        <v>B1-P1-C4</v>
      </c>
      <c r="G585" s="22" t="s">
        <v>619</v>
      </c>
      <c r="H585" s="22">
        <v>1</v>
      </c>
      <c r="I585" s="22" t="str">
        <f>C585&amp;"_"&amp;D585&amp;"_"&amp;E585&amp;"_"&amp;G585&amp;H585</f>
        <v>B1_P1_C4_E1</v>
      </c>
      <c r="J585" s="22" t="s">
        <v>20</v>
      </c>
      <c r="K585" s="21" t="str">
        <f>B585&amp;"-"&amp;C585&amp;"-"&amp;D585&amp;"-"&amp;E585&amp;"-"&amp;G585&amp;H585</f>
        <v>Robinia-B1-P1-C4-E1</v>
      </c>
      <c r="L585" s="22" t="s">
        <v>21</v>
      </c>
      <c r="M585" s="22" t="s">
        <v>44</v>
      </c>
      <c r="N585" s="22" t="str">
        <f>J585&amp;"_"&amp;L585&amp;"_"&amp;M585</f>
        <v>Drought_Yellow_Yes</v>
      </c>
      <c r="O585" s="27" t="str">
        <f>J585&amp;"_"&amp;M585</f>
        <v>Drought_Yes</v>
      </c>
      <c r="P585" s="2" t="str">
        <f>J585&amp;"_"&amp;M585</f>
        <v>Drought_Yes</v>
      </c>
      <c r="Q585" s="2" t="str">
        <f>L585&amp;"_"&amp;M585</f>
        <v>Yellow_Yes</v>
      </c>
      <c r="R585" s="23" t="s">
        <v>2071</v>
      </c>
      <c r="S585" s="2"/>
      <c r="T585" s="2"/>
    </row>
    <row r="586" spans="1:20" s="10" customFormat="1" ht="15.75" customHeight="1" x14ac:dyDescent="0.2">
      <c r="A586" s="21">
        <v>609</v>
      </c>
      <c r="B586" s="22" t="s">
        <v>11</v>
      </c>
      <c r="C586" s="22" t="s">
        <v>14</v>
      </c>
      <c r="D586" s="22" t="s">
        <v>15</v>
      </c>
      <c r="E586" s="22" t="s">
        <v>53</v>
      </c>
      <c r="F586" s="18" t="str">
        <f>C586&amp;"-"&amp;D586&amp;"-"&amp;E586</f>
        <v>B1-P1-C4</v>
      </c>
      <c r="G586" s="22" t="s">
        <v>620</v>
      </c>
      <c r="H586" s="22">
        <v>1</v>
      </c>
      <c r="I586" s="22" t="str">
        <f>C586&amp;"_"&amp;D586&amp;"_"&amp;E586&amp;"_"&amp;G586&amp;H586</f>
        <v>B1_P1_C4_F1</v>
      </c>
      <c r="J586" s="22" t="s">
        <v>20</v>
      </c>
      <c r="K586" s="21" t="str">
        <f>B586&amp;"-"&amp;C586&amp;"-"&amp;D586&amp;"-"&amp;E586&amp;"-"&amp;G586&amp;H586</f>
        <v>Robinia-B1-P1-C4-F1</v>
      </c>
      <c r="L586" s="22" t="s">
        <v>21</v>
      </c>
      <c r="M586" s="22" t="s">
        <v>44</v>
      </c>
      <c r="N586" s="22" t="str">
        <f>J586&amp;"_"&amp;L586&amp;"_"&amp;M586</f>
        <v>Drought_Yellow_Yes</v>
      </c>
      <c r="O586" s="27" t="str">
        <f>J586&amp;"_"&amp;M586</f>
        <v>Drought_Yes</v>
      </c>
      <c r="P586" s="2" t="str">
        <f>J586&amp;"_"&amp;M586</f>
        <v>Drought_Yes</v>
      </c>
      <c r="Q586" s="2" t="str">
        <f>L586&amp;"_"&amp;M586</f>
        <v>Yellow_Yes</v>
      </c>
      <c r="R586" s="23" t="s">
        <v>2071</v>
      </c>
      <c r="S586" s="2"/>
      <c r="T586" s="2"/>
    </row>
    <row r="587" spans="1:20" s="10" customFormat="1" ht="15.75" customHeight="1" x14ac:dyDescent="0.2">
      <c r="A587" s="21">
        <v>610</v>
      </c>
      <c r="B587" s="22" t="s">
        <v>11</v>
      </c>
      <c r="C587" s="22" t="s">
        <v>14</v>
      </c>
      <c r="D587" s="22" t="s">
        <v>15</v>
      </c>
      <c r="E587" s="22" t="s">
        <v>53</v>
      </c>
      <c r="F587" s="18" t="str">
        <f>C587&amp;"-"&amp;D587&amp;"-"&amp;E587</f>
        <v>B1-P1-C4</v>
      </c>
      <c r="G587" s="22" t="s">
        <v>618</v>
      </c>
      <c r="H587" s="22">
        <v>2</v>
      </c>
      <c r="I587" s="22" t="str">
        <f>C587&amp;"_"&amp;D587&amp;"_"&amp;E587&amp;"_"&amp;G587&amp;H587</f>
        <v>B1_P1_C4_D2</v>
      </c>
      <c r="J587" s="22" t="s">
        <v>20</v>
      </c>
      <c r="K587" s="21" t="str">
        <f>B587&amp;"-"&amp;C587&amp;"-"&amp;D587&amp;"-"&amp;E587&amp;"-"&amp;G587&amp;H587</f>
        <v>Robinia-B1-P1-C4-D2</v>
      </c>
      <c r="L587" s="22" t="s">
        <v>21</v>
      </c>
      <c r="M587" s="22" t="s">
        <v>44</v>
      </c>
      <c r="N587" s="22" t="str">
        <f>J587&amp;"_"&amp;L587&amp;"_"&amp;M587</f>
        <v>Drought_Yellow_Yes</v>
      </c>
      <c r="O587" s="27" t="str">
        <f>J587&amp;"_"&amp;M587</f>
        <v>Drought_Yes</v>
      </c>
      <c r="P587" s="2" t="str">
        <f>J587&amp;"_"&amp;M587</f>
        <v>Drought_Yes</v>
      </c>
      <c r="Q587" s="2" t="str">
        <f>L587&amp;"_"&amp;M587</f>
        <v>Yellow_Yes</v>
      </c>
      <c r="R587" s="23" t="s">
        <v>2071</v>
      </c>
      <c r="S587" s="2"/>
      <c r="T587" s="2"/>
    </row>
    <row r="588" spans="1:20" s="10" customFormat="1" ht="15.75" customHeight="1" x14ac:dyDescent="0.2">
      <c r="A588" s="21">
        <v>611</v>
      </c>
      <c r="B588" s="22" t="s">
        <v>11</v>
      </c>
      <c r="C588" s="22" t="s">
        <v>14</v>
      </c>
      <c r="D588" s="22" t="s">
        <v>15</v>
      </c>
      <c r="E588" s="22" t="s">
        <v>53</v>
      </c>
      <c r="F588" s="18" t="str">
        <f>C588&amp;"-"&amp;D588&amp;"-"&amp;E588</f>
        <v>B1-P1-C4</v>
      </c>
      <c r="G588" s="22" t="s">
        <v>619</v>
      </c>
      <c r="H588" s="22">
        <v>2</v>
      </c>
      <c r="I588" s="22" t="str">
        <f>C588&amp;"_"&amp;D588&amp;"_"&amp;E588&amp;"_"&amp;G588&amp;H588</f>
        <v>B1_P1_C4_E2</v>
      </c>
      <c r="J588" s="22" t="s">
        <v>20</v>
      </c>
      <c r="K588" s="21" t="str">
        <f>B588&amp;"-"&amp;C588&amp;"-"&amp;D588&amp;"-"&amp;E588&amp;"-"&amp;G588&amp;H588</f>
        <v>Robinia-B1-P1-C4-E2</v>
      </c>
      <c r="L588" s="22" t="s">
        <v>21</v>
      </c>
      <c r="M588" s="22" t="s">
        <v>44</v>
      </c>
      <c r="N588" s="22" t="str">
        <f>J588&amp;"_"&amp;L588&amp;"_"&amp;M588</f>
        <v>Drought_Yellow_Yes</v>
      </c>
      <c r="O588" s="27" t="str">
        <f>J588&amp;"_"&amp;M588</f>
        <v>Drought_Yes</v>
      </c>
      <c r="P588" s="2" t="str">
        <f>J588&amp;"_"&amp;M588</f>
        <v>Drought_Yes</v>
      </c>
      <c r="Q588" s="2" t="str">
        <f>L588&amp;"_"&amp;M588</f>
        <v>Yellow_Yes</v>
      </c>
      <c r="R588" s="23" t="s">
        <v>2071</v>
      </c>
      <c r="S588" s="2"/>
      <c r="T588" s="2"/>
    </row>
    <row r="589" spans="1:20" s="10" customFormat="1" ht="15.75" customHeight="1" x14ac:dyDescent="0.2">
      <c r="A589" s="21">
        <v>612</v>
      </c>
      <c r="B589" s="22" t="s">
        <v>11</v>
      </c>
      <c r="C589" s="22" t="s">
        <v>14</v>
      </c>
      <c r="D589" s="22" t="s">
        <v>15</v>
      </c>
      <c r="E589" s="22" t="s">
        <v>53</v>
      </c>
      <c r="F589" s="18" t="str">
        <f>C589&amp;"-"&amp;D589&amp;"-"&amp;E589</f>
        <v>B1-P1-C4</v>
      </c>
      <c r="G589" s="22" t="s">
        <v>620</v>
      </c>
      <c r="H589" s="22">
        <v>2</v>
      </c>
      <c r="I589" s="22" t="str">
        <f>C589&amp;"_"&amp;D589&amp;"_"&amp;E589&amp;"_"&amp;G589&amp;H589</f>
        <v>B1_P1_C4_F2</v>
      </c>
      <c r="J589" s="22" t="s">
        <v>20</v>
      </c>
      <c r="K589" s="21" t="str">
        <f>B589&amp;"-"&amp;C589&amp;"-"&amp;D589&amp;"-"&amp;E589&amp;"-"&amp;G589&amp;H589</f>
        <v>Robinia-B1-P1-C4-F2</v>
      </c>
      <c r="L589" s="22" t="s">
        <v>21</v>
      </c>
      <c r="M589" s="22" t="s">
        <v>44</v>
      </c>
      <c r="N589" s="22" t="str">
        <f>J589&amp;"_"&amp;L589&amp;"_"&amp;M589</f>
        <v>Drought_Yellow_Yes</v>
      </c>
      <c r="O589" s="27" t="str">
        <f>J589&amp;"_"&amp;M589</f>
        <v>Drought_Yes</v>
      </c>
      <c r="P589" s="2" t="str">
        <f>J589&amp;"_"&amp;M589</f>
        <v>Drought_Yes</v>
      </c>
      <c r="Q589" s="2" t="str">
        <f>L589&amp;"_"&amp;M589</f>
        <v>Yellow_Yes</v>
      </c>
      <c r="R589" s="23" t="s">
        <v>2071</v>
      </c>
      <c r="S589" s="2"/>
      <c r="T589" s="2"/>
    </row>
    <row r="590" spans="1:20" ht="15.75" customHeight="1" x14ac:dyDescent="0.2">
      <c r="A590" s="13">
        <v>613</v>
      </c>
      <c r="B590" s="15" t="s">
        <v>11</v>
      </c>
      <c r="C590" s="15" t="s">
        <v>14</v>
      </c>
      <c r="D590" s="15" t="s">
        <v>62</v>
      </c>
      <c r="E590" s="15" t="s">
        <v>16</v>
      </c>
      <c r="F590" s="15" t="str">
        <f>C590&amp;"-"&amp;D590&amp;"-"&amp;E590</f>
        <v>B1-P2-C1</v>
      </c>
      <c r="G590" s="15" t="s">
        <v>618</v>
      </c>
      <c r="H590" s="15">
        <v>1</v>
      </c>
      <c r="I590" s="15" t="str">
        <f>C590&amp;"_"&amp;D590&amp;"_"&amp;E590&amp;"_"&amp;G590&amp;H590</f>
        <v>B1_P2_C1_D1</v>
      </c>
      <c r="J590" s="15" t="s">
        <v>20</v>
      </c>
      <c r="K590" s="13" t="str">
        <f>B590&amp;"-"&amp;C590&amp;"-"&amp;D590&amp;"-"&amp;E590&amp;"-"&amp;G590&amp;H590</f>
        <v>Robinia-B1-P2-C1-D1</v>
      </c>
      <c r="L590" s="15" t="s">
        <v>64</v>
      </c>
      <c r="M590" s="15" t="s">
        <v>44</v>
      </c>
      <c r="N590" s="15" t="str">
        <f>J590&amp;"_"&amp;L590&amp;"_"&amp;M590</f>
        <v>Drought_Grey_Yes</v>
      </c>
      <c r="O590" s="24" t="str">
        <f>J590&amp;"_"&amp;M590</f>
        <v>Drought_Yes</v>
      </c>
      <c r="P590" s="1" t="str">
        <f>J590&amp;"_"&amp;M590</f>
        <v>Drought_Yes</v>
      </c>
      <c r="Q590" s="1" t="str">
        <f>L590&amp;"_"&amp;M590</f>
        <v>Grey_Yes</v>
      </c>
      <c r="R590" s="18" t="s">
        <v>2072</v>
      </c>
      <c r="S590" s="2"/>
      <c r="T590" s="2"/>
    </row>
    <row r="591" spans="1:20" ht="15.75" customHeight="1" x14ac:dyDescent="0.2">
      <c r="A591" s="13">
        <v>614</v>
      </c>
      <c r="B591" s="15" t="s">
        <v>11</v>
      </c>
      <c r="C591" s="15" t="s">
        <v>14</v>
      </c>
      <c r="D591" s="15" t="s">
        <v>62</v>
      </c>
      <c r="E591" s="15" t="s">
        <v>16</v>
      </c>
      <c r="F591" s="15" t="str">
        <f>C591&amp;"-"&amp;D591&amp;"-"&amp;E591</f>
        <v>B1-P2-C1</v>
      </c>
      <c r="G591" s="15" t="s">
        <v>619</v>
      </c>
      <c r="H591" s="15">
        <v>1</v>
      </c>
      <c r="I591" s="15" t="str">
        <f>C591&amp;"_"&amp;D591&amp;"_"&amp;E591&amp;"_"&amp;G591&amp;H591</f>
        <v>B1_P2_C1_E1</v>
      </c>
      <c r="J591" s="15" t="s">
        <v>20</v>
      </c>
      <c r="K591" s="13" t="str">
        <f>B591&amp;"-"&amp;C591&amp;"-"&amp;D591&amp;"-"&amp;E591&amp;"-"&amp;G591&amp;H591</f>
        <v>Robinia-B1-P2-C1-E1</v>
      </c>
      <c r="L591" s="15" t="s">
        <v>64</v>
      </c>
      <c r="M591" s="15" t="s">
        <v>44</v>
      </c>
      <c r="N591" s="15" t="str">
        <f>J591&amp;"_"&amp;L591&amp;"_"&amp;M591</f>
        <v>Drought_Grey_Yes</v>
      </c>
      <c r="O591" s="24" t="str">
        <f>J591&amp;"_"&amp;M591</f>
        <v>Drought_Yes</v>
      </c>
      <c r="P591" s="1" t="str">
        <f>J591&amp;"_"&amp;M591</f>
        <v>Drought_Yes</v>
      </c>
      <c r="Q591" s="1" t="str">
        <f>L591&amp;"_"&amp;M591</f>
        <v>Grey_Yes</v>
      </c>
      <c r="R591" s="18" t="s">
        <v>2072</v>
      </c>
      <c r="S591" s="2"/>
      <c r="T591" s="2"/>
    </row>
    <row r="592" spans="1:20" ht="15.75" customHeight="1" x14ac:dyDescent="0.2">
      <c r="A592" s="13">
        <v>615</v>
      </c>
      <c r="B592" s="15" t="s">
        <v>11</v>
      </c>
      <c r="C592" s="15" t="s">
        <v>14</v>
      </c>
      <c r="D592" s="15" t="s">
        <v>62</v>
      </c>
      <c r="E592" s="15" t="s">
        <v>16</v>
      </c>
      <c r="F592" s="15" t="str">
        <f>C592&amp;"-"&amp;D592&amp;"-"&amp;E592</f>
        <v>B1-P2-C1</v>
      </c>
      <c r="G592" s="15" t="s">
        <v>620</v>
      </c>
      <c r="H592" s="15">
        <v>1</v>
      </c>
      <c r="I592" s="15" t="str">
        <f>C592&amp;"_"&amp;D592&amp;"_"&amp;E592&amp;"_"&amp;G592&amp;H592</f>
        <v>B1_P2_C1_F1</v>
      </c>
      <c r="J592" s="15" t="s">
        <v>20</v>
      </c>
      <c r="K592" s="13" t="str">
        <f>B592&amp;"-"&amp;C592&amp;"-"&amp;D592&amp;"-"&amp;E592&amp;"-"&amp;G592&amp;H592</f>
        <v>Robinia-B1-P2-C1-F1</v>
      </c>
      <c r="L592" s="15" t="s">
        <v>64</v>
      </c>
      <c r="M592" s="15" t="s">
        <v>44</v>
      </c>
      <c r="N592" s="15" t="str">
        <f>J592&amp;"_"&amp;L592&amp;"_"&amp;M592</f>
        <v>Drought_Grey_Yes</v>
      </c>
      <c r="O592" s="24" t="str">
        <f>J592&amp;"_"&amp;M592</f>
        <v>Drought_Yes</v>
      </c>
      <c r="P592" s="1" t="str">
        <f>J592&amp;"_"&amp;M592</f>
        <v>Drought_Yes</v>
      </c>
      <c r="Q592" s="1" t="str">
        <f>L592&amp;"_"&amp;M592</f>
        <v>Grey_Yes</v>
      </c>
      <c r="R592" s="18" t="s">
        <v>2072</v>
      </c>
      <c r="S592" s="2"/>
      <c r="T592" s="2"/>
    </row>
    <row r="593" spans="1:20" ht="15.75" customHeight="1" x14ac:dyDescent="0.2">
      <c r="A593" s="13">
        <v>616</v>
      </c>
      <c r="B593" s="15" t="s">
        <v>11</v>
      </c>
      <c r="C593" s="15" t="s">
        <v>14</v>
      </c>
      <c r="D593" s="15" t="s">
        <v>62</v>
      </c>
      <c r="E593" s="15" t="s">
        <v>16</v>
      </c>
      <c r="F593" s="15" t="str">
        <f>C593&amp;"-"&amp;D593&amp;"-"&amp;E593</f>
        <v>B1-P2-C1</v>
      </c>
      <c r="G593" s="15" t="s">
        <v>618</v>
      </c>
      <c r="H593" s="15">
        <v>2</v>
      </c>
      <c r="I593" s="15" t="str">
        <f>C593&amp;"_"&amp;D593&amp;"_"&amp;E593&amp;"_"&amp;G593&amp;H593</f>
        <v>B1_P2_C1_D2</v>
      </c>
      <c r="J593" s="15" t="s">
        <v>20</v>
      </c>
      <c r="K593" s="13" t="str">
        <f>B593&amp;"-"&amp;C593&amp;"-"&amp;D593&amp;"-"&amp;E593&amp;"-"&amp;G593&amp;H593</f>
        <v>Robinia-B1-P2-C1-D2</v>
      </c>
      <c r="L593" s="15" t="s">
        <v>64</v>
      </c>
      <c r="M593" s="15" t="s">
        <v>44</v>
      </c>
      <c r="N593" s="15" t="str">
        <f>J593&amp;"_"&amp;L593&amp;"_"&amp;M593</f>
        <v>Drought_Grey_Yes</v>
      </c>
      <c r="O593" s="24" t="str">
        <f>J593&amp;"_"&amp;M593</f>
        <v>Drought_Yes</v>
      </c>
      <c r="P593" s="1" t="str">
        <f>J593&amp;"_"&amp;M593</f>
        <v>Drought_Yes</v>
      </c>
      <c r="Q593" s="1" t="str">
        <f>L593&amp;"_"&amp;M593</f>
        <v>Grey_Yes</v>
      </c>
      <c r="R593" s="18" t="s">
        <v>2072</v>
      </c>
      <c r="S593" s="2"/>
      <c r="T593" s="2"/>
    </row>
    <row r="594" spans="1:20" ht="15.75" customHeight="1" x14ac:dyDescent="0.2">
      <c r="A594" s="13">
        <v>617</v>
      </c>
      <c r="B594" s="15" t="s">
        <v>11</v>
      </c>
      <c r="C594" s="15" t="s">
        <v>14</v>
      </c>
      <c r="D594" s="15" t="s">
        <v>62</v>
      </c>
      <c r="E594" s="15" t="s">
        <v>16</v>
      </c>
      <c r="F594" s="15" t="str">
        <f>C594&amp;"-"&amp;D594&amp;"-"&amp;E594</f>
        <v>B1-P2-C1</v>
      </c>
      <c r="G594" s="15" t="s">
        <v>619</v>
      </c>
      <c r="H594" s="15">
        <v>2</v>
      </c>
      <c r="I594" s="15" t="str">
        <f>C594&amp;"_"&amp;D594&amp;"_"&amp;E594&amp;"_"&amp;G594&amp;H594</f>
        <v>B1_P2_C1_E2</v>
      </c>
      <c r="J594" s="15" t="s">
        <v>20</v>
      </c>
      <c r="K594" s="13" t="str">
        <f>B594&amp;"-"&amp;C594&amp;"-"&amp;D594&amp;"-"&amp;E594&amp;"-"&amp;G594&amp;H594</f>
        <v>Robinia-B1-P2-C1-E2</v>
      </c>
      <c r="L594" s="15" t="s">
        <v>64</v>
      </c>
      <c r="M594" s="15" t="s">
        <v>44</v>
      </c>
      <c r="N594" s="15" t="str">
        <f>J594&amp;"_"&amp;L594&amp;"_"&amp;M594</f>
        <v>Drought_Grey_Yes</v>
      </c>
      <c r="O594" s="24" t="str">
        <f>J594&amp;"_"&amp;M594</f>
        <v>Drought_Yes</v>
      </c>
      <c r="P594" s="1" t="str">
        <f>J594&amp;"_"&amp;M594</f>
        <v>Drought_Yes</v>
      </c>
      <c r="Q594" s="1" t="str">
        <f>L594&amp;"_"&amp;M594</f>
        <v>Grey_Yes</v>
      </c>
      <c r="R594" s="18" t="s">
        <v>2072</v>
      </c>
      <c r="S594" s="2"/>
      <c r="T594" s="2"/>
    </row>
    <row r="595" spans="1:20" ht="15.75" customHeight="1" x14ac:dyDescent="0.2">
      <c r="A595" s="13">
        <v>618</v>
      </c>
      <c r="B595" s="15" t="s">
        <v>11</v>
      </c>
      <c r="C595" s="15" t="s">
        <v>14</v>
      </c>
      <c r="D595" s="15" t="s">
        <v>62</v>
      </c>
      <c r="E595" s="15" t="s">
        <v>16</v>
      </c>
      <c r="F595" s="15" t="str">
        <f>C595&amp;"-"&amp;D595&amp;"-"&amp;E595</f>
        <v>B1-P2-C1</v>
      </c>
      <c r="G595" s="15" t="s">
        <v>620</v>
      </c>
      <c r="H595" s="15">
        <v>2</v>
      </c>
      <c r="I595" s="15" t="str">
        <f>C595&amp;"_"&amp;D595&amp;"_"&amp;E595&amp;"_"&amp;G595&amp;H595</f>
        <v>B1_P2_C1_F2</v>
      </c>
      <c r="J595" s="15" t="s">
        <v>20</v>
      </c>
      <c r="K595" s="13" t="str">
        <f>B595&amp;"-"&amp;C595&amp;"-"&amp;D595&amp;"-"&amp;E595&amp;"-"&amp;G595&amp;H595</f>
        <v>Robinia-B1-P2-C1-F2</v>
      </c>
      <c r="L595" s="15" t="s">
        <v>64</v>
      </c>
      <c r="M595" s="15" t="s">
        <v>44</v>
      </c>
      <c r="N595" s="15" t="str">
        <f>J595&amp;"_"&amp;L595&amp;"_"&amp;M595</f>
        <v>Drought_Grey_Yes</v>
      </c>
      <c r="O595" s="24" t="str">
        <f>J595&amp;"_"&amp;M595</f>
        <v>Drought_Yes</v>
      </c>
      <c r="P595" s="1" t="str">
        <f>J595&amp;"_"&amp;M595</f>
        <v>Drought_Yes</v>
      </c>
      <c r="Q595" s="1" t="str">
        <f>L595&amp;"_"&amp;M595</f>
        <v>Grey_Yes</v>
      </c>
      <c r="R595" s="18" t="s">
        <v>2072</v>
      </c>
      <c r="S595" s="2"/>
      <c r="T595" s="2"/>
    </row>
    <row r="596" spans="1:20" s="10" customFormat="1" ht="15.75" customHeight="1" x14ac:dyDescent="0.2">
      <c r="A596" s="21">
        <v>619</v>
      </c>
      <c r="B596" s="22" t="s">
        <v>11</v>
      </c>
      <c r="C596" s="22" t="s">
        <v>14</v>
      </c>
      <c r="D596" s="22" t="s">
        <v>62</v>
      </c>
      <c r="E596" s="22" t="s">
        <v>42</v>
      </c>
      <c r="F596" s="18" t="str">
        <f>C596&amp;"-"&amp;D596&amp;"-"&amp;E596</f>
        <v>B1-P2-C3</v>
      </c>
      <c r="G596" s="22" t="s">
        <v>618</v>
      </c>
      <c r="H596" s="22">
        <v>1</v>
      </c>
      <c r="I596" s="22" t="str">
        <f>C596&amp;"_"&amp;D596&amp;"_"&amp;E596&amp;"_"&amp;G596&amp;H596</f>
        <v>B1_P2_C3_D1</v>
      </c>
      <c r="J596" s="22" t="s">
        <v>20</v>
      </c>
      <c r="K596" s="21" t="str">
        <f>B596&amp;"-"&amp;C596&amp;"-"&amp;D596&amp;"-"&amp;E596&amp;"-"&amp;G596&amp;H596</f>
        <v>Robinia-B1-P2-C3-D1</v>
      </c>
      <c r="L596" s="22" t="s">
        <v>21</v>
      </c>
      <c r="M596" s="22" t="s">
        <v>44</v>
      </c>
      <c r="N596" s="22" t="str">
        <f>J596&amp;"_"&amp;L596&amp;"_"&amp;M596</f>
        <v>Drought_Yellow_Yes</v>
      </c>
      <c r="O596" s="27" t="str">
        <f>J596&amp;"_"&amp;M596</f>
        <v>Drought_Yes</v>
      </c>
      <c r="P596" s="2" t="str">
        <f>J596&amp;"_"&amp;M596</f>
        <v>Drought_Yes</v>
      </c>
      <c r="Q596" s="2" t="str">
        <f>L596&amp;"_"&amp;M596</f>
        <v>Yellow_Yes</v>
      </c>
      <c r="R596" s="23" t="s">
        <v>2071</v>
      </c>
      <c r="S596" s="1"/>
      <c r="T596" s="1"/>
    </row>
    <row r="597" spans="1:20" s="10" customFormat="1" ht="15.75" customHeight="1" x14ac:dyDescent="0.2">
      <c r="A597" s="21">
        <v>620</v>
      </c>
      <c r="B597" s="22" t="s">
        <v>11</v>
      </c>
      <c r="C597" s="22" t="s">
        <v>14</v>
      </c>
      <c r="D597" s="22" t="s">
        <v>62</v>
      </c>
      <c r="E597" s="22" t="s">
        <v>42</v>
      </c>
      <c r="F597" s="18" t="str">
        <f>C597&amp;"-"&amp;D597&amp;"-"&amp;E597</f>
        <v>B1-P2-C3</v>
      </c>
      <c r="G597" s="22" t="s">
        <v>619</v>
      </c>
      <c r="H597" s="22">
        <v>1</v>
      </c>
      <c r="I597" s="22" t="str">
        <f>C597&amp;"_"&amp;D597&amp;"_"&amp;E597&amp;"_"&amp;G597&amp;H597</f>
        <v>B1_P2_C3_E1</v>
      </c>
      <c r="J597" s="22" t="s">
        <v>20</v>
      </c>
      <c r="K597" s="21" t="str">
        <f>B597&amp;"-"&amp;C597&amp;"-"&amp;D597&amp;"-"&amp;E597&amp;"-"&amp;G597&amp;H597</f>
        <v>Robinia-B1-P2-C3-E1</v>
      </c>
      <c r="L597" s="22" t="s">
        <v>21</v>
      </c>
      <c r="M597" s="22" t="s">
        <v>44</v>
      </c>
      <c r="N597" s="22" t="str">
        <f>J597&amp;"_"&amp;L597&amp;"_"&amp;M597</f>
        <v>Drought_Yellow_Yes</v>
      </c>
      <c r="O597" s="27" t="str">
        <f>J597&amp;"_"&amp;M597</f>
        <v>Drought_Yes</v>
      </c>
      <c r="P597" s="2" t="str">
        <f>J597&amp;"_"&amp;M597</f>
        <v>Drought_Yes</v>
      </c>
      <c r="Q597" s="2" t="str">
        <f>L597&amp;"_"&amp;M597</f>
        <v>Yellow_Yes</v>
      </c>
      <c r="R597" s="23" t="s">
        <v>2071</v>
      </c>
      <c r="S597" s="1"/>
      <c r="T597" s="1"/>
    </row>
    <row r="598" spans="1:20" s="10" customFormat="1" ht="15.75" customHeight="1" x14ac:dyDescent="0.2">
      <c r="A598" s="21">
        <v>621</v>
      </c>
      <c r="B598" s="22" t="s">
        <v>11</v>
      </c>
      <c r="C598" s="22" t="s">
        <v>14</v>
      </c>
      <c r="D598" s="22" t="s">
        <v>62</v>
      </c>
      <c r="E598" s="22" t="s">
        <v>42</v>
      </c>
      <c r="F598" s="18" t="str">
        <f>C598&amp;"-"&amp;D598&amp;"-"&amp;E598</f>
        <v>B1-P2-C3</v>
      </c>
      <c r="G598" s="22" t="s">
        <v>620</v>
      </c>
      <c r="H598" s="22">
        <v>1</v>
      </c>
      <c r="I598" s="22" t="str">
        <f>C598&amp;"_"&amp;D598&amp;"_"&amp;E598&amp;"_"&amp;G598&amp;H598</f>
        <v>B1_P2_C3_F1</v>
      </c>
      <c r="J598" s="22" t="s">
        <v>20</v>
      </c>
      <c r="K598" s="21" t="str">
        <f>B598&amp;"-"&amp;C598&amp;"-"&amp;D598&amp;"-"&amp;E598&amp;"-"&amp;G598&amp;H598</f>
        <v>Robinia-B1-P2-C3-F1</v>
      </c>
      <c r="L598" s="22" t="s">
        <v>21</v>
      </c>
      <c r="M598" s="22" t="s">
        <v>44</v>
      </c>
      <c r="N598" s="22" t="str">
        <f>J598&amp;"_"&amp;L598&amp;"_"&amp;M598</f>
        <v>Drought_Yellow_Yes</v>
      </c>
      <c r="O598" s="27" t="str">
        <f>J598&amp;"_"&amp;M598</f>
        <v>Drought_Yes</v>
      </c>
      <c r="P598" s="2" t="str">
        <f>J598&amp;"_"&amp;M598</f>
        <v>Drought_Yes</v>
      </c>
      <c r="Q598" s="2" t="str">
        <f>L598&amp;"_"&amp;M598</f>
        <v>Yellow_Yes</v>
      </c>
      <c r="R598" s="23" t="s">
        <v>2071</v>
      </c>
      <c r="S598" s="1"/>
      <c r="T598" s="1"/>
    </row>
    <row r="599" spans="1:20" s="10" customFormat="1" ht="15.75" customHeight="1" x14ac:dyDescent="0.2">
      <c r="A599" s="21">
        <v>622</v>
      </c>
      <c r="B599" s="22" t="s">
        <v>11</v>
      </c>
      <c r="C599" s="22" t="s">
        <v>14</v>
      </c>
      <c r="D599" s="22" t="s">
        <v>62</v>
      </c>
      <c r="E599" s="22" t="s">
        <v>42</v>
      </c>
      <c r="F599" s="18" t="str">
        <f>C599&amp;"-"&amp;D599&amp;"-"&amp;E599</f>
        <v>B1-P2-C3</v>
      </c>
      <c r="G599" s="22" t="s">
        <v>618</v>
      </c>
      <c r="H599" s="22">
        <v>2</v>
      </c>
      <c r="I599" s="22" t="str">
        <f>C599&amp;"_"&amp;D599&amp;"_"&amp;E599&amp;"_"&amp;G599&amp;H599</f>
        <v>B1_P2_C3_D2</v>
      </c>
      <c r="J599" s="22" t="s">
        <v>20</v>
      </c>
      <c r="K599" s="21" t="str">
        <f>B599&amp;"-"&amp;C599&amp;"-"&amp;D599&amp;"-"&amp;E599&amp;"-"&amp;G599&amp;H599</f>
        <v>Robinia-B1-P2-C3-D2</v>
      </c>
      <c r="L599" s="22" t="s">
        <v>21</v>
      </c>
      <c r="M599" s="22" t="s">
        <v>44</v>
      </c>
      <c r="N599" s="22" t="str">
        <f>J599&amp;"_"&amp;L599&amp;"_"&amp;M599</f>
        <v>Drought_Yellow_Yes</v>
      </c>
      <c r="O599" s="27" t="str">
        <f>J599&amp;"_"&amp;M599</f>
        <v>Drought_Yes</v>
      </c>
      <c r="P599" s="2" t="str">
        <f>J599&amp;"_"&amp;M599</f>
        <v>Drought_Yes</v>
      </c>
      <c r="Q599" s="2" t="str">
        <f>L599&amp;"_"&amp;M599</f>
        <v>Yellow_Yes</v>
      </c>
      <c r="R599" s="23" t="s">
        <v>2071</v>
      </c>
      <c r="S599" s="1"/>
      <c r="T599" s="1"/>
    </row>
    <row r="600" spans="1:20" s="10" customFormat="1" ht="15.75" customHeight="1" x14ac:dyDescent="0.2">
      <c r="A600" s="21">
        <v>623</v>
      </c>
      <c r="B600" s="22" t="s">
        <v>11</v>
      </c>
      <c r="C600" s="22" t="s">
        <v>14</v>
      </c>
      <c r="D600" s="22" t="s">
        <v>62</v>
      </c>
      <c r="E600" s="22" t="s">
        <v>42</v>
      </c>
      <c r="F600" s="18" t="str">
        <f>C600&amp;"-"&amp;D600&amp;"-"&amp;E600</f>
        <v>B1-P2-C3</v>
      </c>
      <c r="G600" s="22" t="s">
        <v>619</v>
      </c>
      <c r="H600" s="22">
        <v>2</v>
      </c>
      <c r="I600" s="22" t="str">
        <f>C600&amp;"_"&amp;D600&amp;"_"&amp;E600&amp;"_"&amp;G600&amp;H600</f>
        <v>B1_P2_C3_E2</v>
      </c>
      <c r="J600" s="22" t="s">
        <v>20</v>
      </c>
      <c r="K600" s="21" t="str">
        <f>B600&amp;"-"&amp;C600&amp;"-"&amp;D600&amp;"-"&amp;E600&amp;"-"&amp;G600&amp;H600</f>
        <v>Robinia-B1-P2-C3-E2</v>
      </c>
      <c r="L600" s="22" t="s">
        <v>21</v>
      </c>
      <c r="M600" s="22" t="s">
        <v>44</v>
      </c>
      <c r="N600" s="22" t="str">
        <f>J600&amp;"_"&amp;L600&amp;"_"&amp;M600</f>
        <v>Drought_Yellow_Yes</v>
      </c>
      <c r="O600" s="27" t="str">
        <f>J600&amp;"_"&amp;M600</f>
        <v>Drought_Yes</v>
      </c>
      <c r="P600" s="2" t="str">
        <f>J600&amp;"_"&amp;M600</f>
        <v>Drought_Yes</v>
      </c>
      <c r="Q600" s="2" t="str">
        <f>L600&amp;"_"&amp;M600</f>
        <v>Yellow_Yes</v>
      </c>
      <c r="R600" s="23" t="s">
        <v>2071</v>
      </c>
      <c r="S600" s="1"/>
      <c r="T600" s="1"/>
    </row>
    <row r="601" spans="1:20" s="10" customFormat="1" ht="15.75" customHeight="1" x14ac:dyDescent="0.2">
      <c r="A601" s="21">
        <v>624</v>
      </c>
      <c r="B601" s="22" t="s">
        <v>11</v>
      </c>
      <c r="C601" s="22" t="s">
        <v>14</v>
      </c>
      <c r="D601" s="22" t="s">
        <v>62</v>
      </c>
      <c r="E601" s="22" t="s">
        <v>42</v>
      </c>
      <c r="F601" s="18" t="str">
        <f>C601&amp;"-"&amp;D601&amp;"-"&amp;E601</f>
        <v>B1-P2-C3</v>
      </c>
      <c r="G601" s="22" t="s">
        <v>620</v>
      </c>
      <c r="H601" s="22">
        <v>2</v>
      </c>
      <c r="I601" s="22" t="str">
        <f>C601&amp;"_"&amp;D601&amp;"_"&amp;E601&amp;"_"&amp;G601&amp;H601</f>
        <v>B1_P2_C3_F2</v>
      </c>
      <c r="J601" s="22" t="s">
        <v>20</v>
      </c>
      <c r="K601" s="21" t="str">
        <f>B601&amp;"-"&amp;C601&amp;"-"&amp;D601&amp;"-"&amp;E601&amp;"-"&amp;G601&amp;H601</f>
        <v>Robinia-B1-P2-C3-F2</v>
      </c>
      <c r="L601" s="22" t="s">
        <v>21</v>
      </c>
      <c r="M601" s="22" t="s">
        <v>44</v>
      </c>
      <c r="N601" s="22" t="str">
        <f>J601&amp;"_"&amp;L601&amp;"_"&amp;M601</f>
        <v>Drought_Yellow_Yes</v>
      </c>
      <c r="O601" s="27" t="str">
        <f>J601&amp;"_"&amp;M601</f>
        <v>Drought_Yes</v>
      </c>
      <c r="P601" s="2" t="str">
        <f>J601&amp;"_"&amp;M601</f>
        <v>Drought_Yes</v>
      </c>
      <c r="Q601" s="2" t="str">
        <f>L601&amp;"_"&amp;M601</f>
        <v>Yellow_Yes</v>
      </c>
      <c r="R601" s="23" t="s">
        <v>2071</v>
      </c>
      <c r="S601" s="1"/>
      <c r="T601" s="1"/>
    </row>
    <row r="602" spans="1:20" s="9" customFormat="1" ht="15.75" customHeight="1" x14ac:dyDescent="0.2">
      <c r="A602" s="13">
        <v>625</v>
      </c>
      <c r="B602" s="15" t="s">
        <v>11</v>
      </c>
      <c r="C602" s="15" t="s">
        <v>14</v>
      </c>
      <c r="D602" s="15" t="s">
        <v>98</v>
      </c>
      <c r="E602" s="15" t="s">
        <v>42</v>
      </c>
      <c r="F602" s="15" t="str">
        <f>C602&amp;"-"&amp;D602&amp;"-"&amp;E602</f>
        <v>B1-P3-C3</v>
      </c>
      <c r="G602" s="15" t="s">
        <v>618</v>
      </c>
      <c r="H602" s="15">
        <v>1</v>
      </c>
      <c r="I602" s="15" t="str">
        <f>C602&amp;"_"&amp;D602&amp;"_"&amp;E602&amp;"_"&amp;G602&amp;H602</f>
        <v>B1_P3_C3_D1</v>
      </c>
      <c r="J602" s="15" t="s">
        <v>20</v>
      </c>
      <c r="K602" s="13" t="str">
        <f>B602&amp;"-"&amp;C602&amp;"-"&amp;D602&amp;"-"&amp;E602&amp;"-"&amp;G602&amp;H602</f>
        <v>Robinia-B1-P3-C3-D1</v>
      </c>
      <c r="L602" s="15" t="s">
        <v>64</v>
      </c>
      <c r="M602" s="15" t="s">
        <v>44</v>
      </c>
      <c r="N602" s="15" t="str">
        <f>J602&amp;"_"&amp;L602&amp;"_"&amp;M602</f>
        <v>Drought_Grey_Yes</v>
      </c>
      <c r="O602" s="26" t="str">
        <f>J602&amp;"_"&amp;M602</f>
        <v>Drought_Yes</v>
      </c>
      <c r="P602" s="23" t="str">
        <f>J602&amp;"_"&amp;M602</f>
        <v>Drought_Yes</v>
      </c>
      <c r="Q602" s="23" t="str">
        <f>L602&amp;"_"&amp;M602</f>
        <v>Grey_Yes</v>
      </c>
      <c r="R602" s="18" t="s">
        <v>2072</v>
      </c>
      <c r="S602" s="2"/>
      <c r="T602" s="2"/>
    </row>
    <row r="603" spans="1:20" s="9" customFormat="1" ht="15.75" customHeight="1" x14ac:dyDescent="0.2">
      <c r="A603" s="13">
        <v>626</v>
      </c>
      <c r="B603" s="15" t="s">
        <v>11</v>
      </c>
      <c r="C603" s="15" t="s">
        <v>14</v>
      </c>
      <c r="D603" s="15" t="s">
        <v>98</v>
      </c>
      <c r="E603" s="15" t="s">
        <v>42</v>
      </c>
      <c r="F603" s="15" t="str">
        <f>C603&amp;"-"&amp;D603&amp;"-"&amp;E603</f>
        <v>B1-P3-C3</v>
      </c>
      <c r="G603" s="15" t="s">
        <v>619</v>
      </c>
      <c r="H603" s="15">
        <v>1</v>
      </c>
      <c r="I603" s="15" t="str">
        <f>C603&amp;"_"&amp;D603&amp;"_"&amp;E603&amp;"_"&amp;G603&amp;H603</f>
        <v>B1_P3_C3_E1</v>
      </c>
      <c r="J603" s="15" t="s">
        <v>20</v>
      </c>
      <c r="K603" s="13" t="str">
        <f>B603&amp;"-"&amp;C603&amp;"-"&amp;D603&amp;"-"&amp;E603&amp;"-"&amp;G603&amp;H603</f>
        <v>Robinia-B1-P3-C3-E1</v>
      </c>
      <c r="L603" s="15" t="s">
        <v>64</v>
      </c>
      <c r="M603" s="15" t="s">
        <v>44</v>
      </c>
      <c r="N603" s="15" t="str">
        <f>J603&amp;"_"&amp;L603&amp;"_"&amp;M603</f>
        <v>Drought_Grey_Yes</v>
      </c>
      <c r="O603" s="26" t="str">
        <f>J603&amp;"_"&amp;M603</f>
        <v>Drought_Yes</v>
      </c>
      <c r="P603" s="23" t="str">
        <f>J603&amp;"_"&amp;M603</f>
        <v>Drought_Yes</v>
      </c>
      <c r="Q603" s="23" t="str">
        <f>L603&amp;"_"&amp;M603</f>
        <v>Grey_Yes</v>
      </c>
      <c r="R603" s="18" t="s">
        <v>2072</v>
      </c>
      <c r="S603" s="2"/>
      <c r="T603" s="2"/>
    </row>
    <row r="604" spans="1:20" s="9" customFormat="1" ht="15.75" customHeight="1" x14ac:dyDescent="0.2">
      <c r="A604" s="13">
        <v>627</v>
      </c>
      <c r="B604" s="15" t="s">
        <v>11</v>
      </c>
      <c r="C604" s="15" t="s">
        <v>14</v>
      </c>
      <c r="D604" s="15" t="s">
        <v>98</v>
      </c>
      <c r="E604" s="15" t="s">
        <v>42</v>
      </c>
      <c r="F604" s="15" t="str">
        <f>C604&amp;"-"&amp;D604&amp;"-"&amp;E604</f>
        <v>B1-P3-C3</v>
      </c>
      <c r="G604" s="15" t="s">
        <v>620</v>
      </c>
      <c r="H604" s="15">
        <v>1</v>
      </c>
      <c r="I604" s="15" t="str">
        <f>C604&amp;"_"&amp;D604&amp;"_"&amp;E604&amp;"_"&amp;G604&amp;H604</f>
        <v>B1_P3_C3_F1</v>
      </c>
      <c r="J604" s="15" t="s">
        <v>20</v>
      </c>
      <c r="K604" s="13" t="str">
        <f>B604&amp;"-"&amp;C604&amp;"-"&amp;D604&amp;"-"&amp;E604&amp;"-"&amp;G604&amp;H604</f>
        <v>Robinia-B1-P3-C3-F1</v>
      </c>
      <c r="L604" s="15" t="s">
        <v>64</v>
      </c>
      <c r="M604" s="15" t="s">
        <v>44</v>
      </c>
      <c r="N604" s="15" t="str">
        <f>J604&amp;"_"&amp;L604&amp;"_"&amp;M604</f>
        <v>Drought_Grey_Yes</v>
      </c>
      <c r="O604" s="26" t="str">
        <f>J604&amp;"_"&amp;M604</f>
        <v>Drought_Yes</v>
      </c>
      <c r="P604" s="23" t="str">
        <f>J604&amp;"_"&amp;M604</f>
        <v>Drought_Yes</v>
      </c>
      <c r="Q604" s="23" t="str">
        <f>L604&amp;"_"&amp;M604</f>
        <v>Grey_Yes</v>
      </c>
      <c r="R604" s="18" t="s">
        <v>2072</v>
      </c>
      <c r="S604" s="23"/>
      <c r="T604" s="23"/>
    </row>
    <row r="605" spans="1:20" s="9" customFormat="1" ht="15.75" customHeight="1" x14ac:dyDescent="0.2">
      <c r="A605" s="13">
        <v>628</v>
      </c>
      <c r="B605" s="15" t="s">
        <v>11</v>
      </c>
      <c r="C605" s="15" t="s">
        <v>14</v>
      </c>
      <c r="D605" s="15" t="s">
        <v>98</v>
      </c>
      <c r="E605" s="15" t="s">
        <v>42</v>
      </c>
      <c r="F605" s="15" t="str">
        <f>C605&amp;"-"&amp;D605&amp;"-"&amp;E605</f>
        <v>B1-P3-C3</v>
      </c>
      <c r="G605" s="15" t="s">
        <v>618</v>
      </c>
      <c r="H605" s="15">
        <v>2</v>
      </c>
      <c r="I605" s="15" t="str">
        <f>C605&amp;"_"&amp;D605&amp;"_"&amp;E605&amp;"_"&amp;G605&amp;H605</f>
        <v>B1_P3_C3_D2</v>
      </c>
      <c r="J605" s="15" t="s">
        <v>20</v>
      </c>
      <c r="K605" s="13" t="str">
        <f>B605&amp;"-"&amp;C605&amp;"-"&amp;D605&amp;"-"&amp;E605&amp;"-"&amp;G605&amp;H605</f>
        <v>Robinia-B1-P3-C3-D2</v>
      </c>
      <c r="L605" s="15" t="s">
        <v>64</v>
      </c>
      <c r="M605" s="15" t="s">
        <v>44</v>
      </c>
      <c r="N605" s="15" t="str">
        <f>J605&amp;"_"&amp;L605&amp;"_"&amp;M605</f>
        <v>Drought_Grey_Yes</v>
      </c>
      <c r="O605" s="26" t="str">
        <f>J605&amp;"_"&amp;M605</f>
        <v>Drought_Yes</v>
      </c>
      <c r="P605" s="23" t="str">
        <f>J605&amp;"_"&amp;M605</f>
        <v>Drought_Yes</v>
      </c>
      <c r="Q605" s="23" t="str">
        <f>L605&amp;"_"&amp;M605</f>
        <v>Grey_Yes</v>
      </c>
      <c r="R605" s="18" t="s">
        <v>2072</v>
      </c>
      <c r="S605" s="23"/>
      <c r="T605" s="23"/>
    </row>
    <row r="606" spans="1:20" s="9" customFormat="1" ht="15.75" customHeight="1" x14ac:dyDescent="0.2">
      <c r="A606" s="13">
        <v>629</v>
      </c>
      <c r="B606" s="15" t="s">
        <v>11</v>
      </c>
      <c r="C606" s="15" t="s">
        <v>14</v>
      </c>
      <c r="D606" s="15" t="s">
        <v>98</v>
      </c>
      <c r="E606" s="15" t="s">
        <v>42</v>
      </c>
      <c r="F606" s="15" t="str">
        <f>C606&amp;"-"&amp;D606&amp;"-"&amp;E606</f>
        <v>B1-P3-C3</v>
      </c>
      <c r="G606" s="15" t="s">
        <v>619</v>
      </c>
      <c r="H606" s="15">
        <v>2</v>
      </c>
      <c r="I606" s="15" t="str">
        <f>C606&amp;"_"&amp;D606&amp;"_"&amp;E606&amp;"_"&amp;G606&amp;H606</f>
        <v>B1_P3_C3_E2</v>
      </c>
      <c r="J606" s="15" t="s">
        <v>20</v>
      </c>
      <c r="K606" s="13" t="str">
        <f>B606&amp;"-"&amp;C606&amp;"-"&amp;D606&amp;"-"&amp;E606&amp;"-"&amp;G606&amp;H606</f>
        <v>Robinia-B1-P3-C3-E2</v>
      </c>
      <c r="L606" s="15" t="s">
        <v>64</v>
      </c>
      <c r="M606" s="15" t="s">
        <v>44</v>
      </c>
      <c r="N606" s="15" t="str">
        <f>J606&amp;"_"&amp;L606&amp;"_"&amp;M606</f>
        <v>Drought_Grey_Yes</v>
      </c>
      <c r="O606" s="26" t="str">
        <f>J606&amp;"_"&amp;M606</f>
        <v>Drought_Yes</v>
      </c>
      <c r="P606" s="23" t="str">
        <f>J606&amp;"_"&amp;M606</f>
        <v>Drought_Yes</v>
      </c>
      <c r="Q606" s="23" t="str">
        <f>L606&amp;"_"&amp;M606</f>
        <v>Grey_Yes</v>
      </c>
      <c r="R606" s="18" t="s">
        <v>2072</v>
      </c>
      <c r="S606" s="23"/>
      <c r="T606" s="23"/>
    </row>
    <row r="607" spans="1:20" s="9" customFormat="1" ht="15.75" customHeight="1" x14ac:dyDescent="0.2">
      <c r="A607" s="13">
        <v>630</v>
      </c>
      <c r="B607" s="15" t="s">
        <v>11</v>
      </c>
      <c r="C607" s="15" t="s">
        <v>14</v>
      </c>
      <c r="D607" s="15" t="s">
        <v>98</v>
      </c>
      <c r="E607" s="15" t="s">
        <v>42</v>
      </c>
      <c r="F607" s="15" t="str">
        <f>C607&amp;"-"&amp;D607&amp;"-"&amp;E607</f>
        <v>B1-P3-C3</v>
      </c>
      <c r="G607" s="15" t="s">
        <v>620</v>
      </c>
      <c r="H607" s="15">
        <v>2</v>
      </c>
      <c r="I607" s="15" t="str">
        <f>C607&amp;"_"&amp;D607&amp;"_"&amp;E607&amp;"_"&amp;G607&amp;H607</f>
        <v>B1_P3_C3_F2</v>
      </c>
      <c r="J607" s="15" t="s">
        <v>20</v>
      </c>
      <c r="K607" s="13" t="str">
        <f>B607&amp;"-"&amp;C607&amp;"-"&amp;D607&amp;"-"&amp;E607&amp;"-"&amp;G607&amp;H607</f>
        <v>Robinia-B1-P3-C3-F2</v>
      </c>
      <c r="L607" s="15" t="s">
        <v>64</v>
      </c>
      <c r="M607" s="15" t="s">
        <v>44</v>
      </c>
      <c r="N607" s="15" t="str">
        <f>J607&amp;"_"&amp;L607&amp;"_"&amp;M607</f>
        <v>Drought_Grey_Yes</v>
      </c>
      <c r="O607" s="26" t="str">
        <f>J607&amp;"_"&amp;M607</f>
        <v>Drought_Yes</v>
      </c>
      <c r="P607" s="23" t="str">
        <f>J607&amp;"_"&amp;M607</f>
        <v>Drought_Yes</v>
      </c>
      <c r="Q607" s="23" t="str">
        <f>L607&amp;"_"&amp;M607</f>
        <v>Grey_Yes</v>
      </c>
      <c r="R607" s="18" t="s">
        <v>2072</v>
      </c>
      <c r="S607" s="23"/>
      <c r="T607" s="23"/>
    </row>
    <row r="608" spans="1:20" s="10" customFormat="1" ht="15.75" customHeight="1" x14ac:dyDescent="0.2">
      <c r="A608" s="21">
        <v>631</v>
      </c>
      <c r="B608" s="22" t="s">
        <v>11</v>
      </c>
      <c r="C608" s="22" t="s">
        <v>14</v>
      </c>
      <c r="D608" s="22" t="s">
        <v>98</v>
      </c>
      <c r="E608" s="22" t="s">
        <v>53</v>
      </c>
      <c r="F608" s="18" t="str">
        <f>C608&amp;"-"&amp;D608&amp;"-"&amp;E608</f>
        <v>B1-P3-C4</v>
      </c>
      <c r="G608" s="22" t="s">
        <v>618</v>
      </c>
      <c r="H608" s="22">
        <v>1</v>
      </c>
      <c r="I608" s="22" t="str">
        <f>C608&amp;"_"&amp;D608&amp;"_"&amp;E608&amp;"_"&amp;G608&amp;H608</f>
        <v>B1_P3_C4_D1</v>
      </c>
      <c r="J608" s="22" t="s">
        <v>20</v>
      </c>
      <c r="K608" s="21" t="str">
        <f>B608&amp;"-"&amp;C608&amp;"-"&amp;D608&amp;"-"&amp;E608&amp;"-"&amp;G608&amp;H608</f>
        <v>Robinia-B1-P3-C4-D1</v>
      </c>
      <c r="L608" s="22" t="s">
        <v>64</v>
      </c>
      <c r="M608" s="22" t="s">
        <v>44</v>
      </c>
      <c r="N608" s="22" t="str">
        <f>J608&amp;"_"&amp;L608&amp;"_"&amp;M608</f>
        <v>Drought_Grey_Yes</v>
      </c>
      <c r="O608" s="27" t="str">
        <f>J608&amp;"_"&amp;M608</f>
        <v>Drought_Yes</v>
      </c>
      <c r="P608" s="2" t="str">
        <f>J608&amp;"_"&amp;M608</f>
        <v>Drought_Yes</v>
      </c>
      <c r="Q608" s="2" t="str">
        <f>L608&amp;"_"&amp;M608</f>
        <v>Grey_Yes</v>
      </c>
      <c r="R608" s="18" t="s">
        <v>2072</v>
      </c>
      <c r="S608" s="23"/>
      <c r="T608" s="23"/>
    </row>
    <row r="609" spans="1:20" s="10" customFormat="1" ht="15.75" customHeight="1" x14ac:dyDescent="0.2">
      <c r="A609" s="21">
        <v>632</v>
      </c>
      <c r="B609" s="22" t="s">
        <v>11</v>
      </c>
      <c r="C609" s="22" t="s">
        <v>14</v>
      </c>
      <c r="D609" s="22" t="s">
        <v>98</v>
      </c>
      <c r="E609" s="22" t="s">
        <v>53</v>
      </c>
      <c r="F609" s="18" t="str">
        <f>C609&amp;"-"&amp;D609&amp;"-"&amp;E609</f>
        <v>B1-P3-C4</v>
      </c>
      <c r="G609" s="22" t="s">
        <v>619</v>
      </c>
      <c r="H609" s="22">
        <v>1</v>
      </c>
      <c r="I609" s="22" t="str">
        <f>C609&amp;"_"&amp;D609&amp;"_"&amp;E609&amp;"_"&amp;G609&amp;H609</f>
        <v>B1_P3_C4_E1</v>
      </c>
      <c r="J609" s="22" t="s">
        <v>20</v>
      </c>
      <c r="K609" s="21" t="str">
        <f>B609&amp;"-"&amp;C609&amp;"-"&amp;D609&amp;"-"&amp;E609&amp;"-"&amp;G609&amp;H609</f>
        <v>Robinia-B1-P3-C4-E1</v>
      </c>
      <c r="L609" s="22" t="s">
        <v>64</v>
      </c>
      <c r="M609" s="22" t="s">
        <v>44</v>
      </c>
      <c r="N609" s="22" t="str">
        <f>J609&amp;"_"&amp;L609&amp;"_"&amp;M609</f>
        <v>Drought_Grey_Yes</v>
      </c>
      <c r="O609" s="27" t="str">
        <f>J609&amp;"_"&amp;M609</f>
        <v>Drought_Yes</v>
      </c>
      <c r="P609" s="2" t="str">
        <f>J609&amp;"_"&amp;M609</f>
        <v>Drought_Yes</v>
      </c>
      <c r="Q609" s="2" t="str">
        <f>L609&amp;"_"&amp;M609</f>
        <v>Grey_Yes</v>
      </c>
      <c r="R609" s="18" t="s">
        <v>2072</v>
      </c>
      <c r="S609" s="23"/>
      <c r="T609" s="23"/>
    </row>
    <row r="610" spans="1:20" s="10" customFormat="1" ht="15.75" customHeight="1" x14ac:dyDescent="0.2">
      <c r="A610" s="21">
        <v>633</v>
      </c>
      <c r="B610" s="22" t="s">
        <v>11</v>
      </c>
      <c r="C610" s="22" t="s">
        <v>14</v>
      </c>
      <c r="D610" s="22" t="s">
        <v>98</v>
      </c>
      <c r="E610" s="22" t="s">
        <v>53</v>
      </c>
      <c r="F610" s="18" t="str">
        <f>C610&amp;"-"&amp;D610&amp;"-"&amp;E610</f>
        <v>B1-P3-C4</v>
      </c>
      <c r="G610" s="22" t="s">
        <v>620</v>
      </c>
      <c r="H610" s="22">
        <v>1</v>
      </c>
      <c r="I610" s="22" t="str">
        <f>C610&amp;"_"&amp;D610&amp;"_"&amp;E610&amp;"_"&amp;G610&amp;H610</f>
        <v>B1_P3_C4_F1</v>
      </c>
      <c r="J610" s="22" t="s">
        <v>20</v>
      </c>
      <c r="K610" s="21" t="str">
        <f>B610&amp;"-"&amp;C610&amp;"-"&amp;D610&amp;"-"&amp;E610&amp;"-"&amp;G610&amp;H610</f>
        <v>Robinia-B1-P3-C4-F1</v>
      </c>
      <c r="L610" s="22" t="s">
        <v>64</v>
      </c>
      <c r="M610" s="22" t="s">
        <v>44</v>
      </c>
      <c r="N610" s="22" t="str">
        <f>J610&amp;"_"&amp;L610&amp;"_"&amp;M610</f>
        <v>Drought_Grey_Yes</v>
      </c>
      <c r="O610" s="27" t="str">
        <f>J610&amp;"_"&amp;M610</f>
        <v>Drought_Yes</v>
      </c>
      <c r="P610" s="2" t="str">
        <f>J610&amp;"_"&amp;M610</f>
        <v>Drought_Yes</v>
      </c>
      <c r="Q610" s="2" t="str">
        <f>L610&amp;"_"&amp;M610</f>
        <v>Grey_Yes</v>
      </c>
      <c r="R610" s="18" t="s">
        <v>2072</v>
      </c>
      <c r="S610" s="23"/>
      <c r="T610" s="23"/>
    </row>
    <row r="611" spans="1:20" s="10" customFormat="1" ht="15.75" customHeight="1" x14ac:dyDescent="0.2">
      <c r="A611" s="21">
        <v>634</v>
      </c>
      <c r="B611" s="22" t="s">
        <v>11</v>
      </c>
      <c r="C611" s="22" t="s">
        <v>14</v>
      </c>
      <c r="D611" s="22" t="s">
        <v>98</v>
      </c>
      <c r="E611" s="22" t="s">
        <v>53</v>
      </c>
      <c r="F611" s="18" t="str">
        <f>C611&amp;"-"&amp;D611&amp;"-"&amp;E611</f>
        <v>B1-P3-C4</v>
      </c>
      <c r="G611" s="22" t="s">
        <v>618</v>
      </c>
      <c r="H611" s="22">
        <v>2</v>
      </c>
      <c r="I611" s="22" t="str">
        <f>C611&amp;"_"&amp;D611&amp;"_"&amp;E611&amp;"_"&amp;G611&amp;H611</f>
        <v>B1_P3_C4_D2</v>
      </c>
      <c r="J611" s="22" t="s">
        <v>20</v>
      </c>
      <c r="K611" s="21" t="str">
        <f>B611&amp;"-"&amp;C611&amp;"-"&amp;D611&amp;"-"&amp;E611&amp;"-"&amp;G611&amp;H611</f>
        <v>Robinia-B1-P3-C4-D2</v>
      </c>
      <c r="L611" s="22" t="s">
        <v>64</v>
      </c>
      <c r="M611" s="22" t="s">
        <v>44</v>
      </c>
      <c r="N611" s="22" t="str">
        <f>J611&amp;"_"&amp;L611&amp;"_"&amp;M611</f>
        <v>Drought_Grey_Yes</v>
      </c>
      <c r="O611" s="27" t="str">
        <f>J611&amp;"_"&amp;M611</f>
        <v>Drought_Yes</v>
      </c>
      <c r="P611" s="2" t="str">
        <f>J611&amp;"_"&amp;M611</f>
        <v>Drought_Yes</v>
      </c>
      <c r="Q611" s="2" t="str">
        <f>L611&amp;"_"&amp;M611</f>
        <v>Grey_Yes</v>
      </c>
      <c r="R611" s="18" t="s">
        <v>2072</v>
      </c>
      <c r="S611" s="23"/>
      <c r="T611" s="23"/>
    </row>
    <row r="612" spans="1:20" s="10" customFormat="1" ht="15.75" customHeight="1" x14ac:dyDescent="0.2">
      <c r="A612" s="21">
        <v>635</v>
      </c>
      <c r="B612" s="22" t="s">
        <v>11</v>
      </c>
      <c r="C612" s="22" t="s">
        <v>14</v>
      </c>
      <c r="D612" s="22" t="s">
        <v>98</v>
      </c>
      <c r="E612" s="22" t="s">
        <v>53</v>
      </c>
      <c r="F612" s="18" t="str">
        <f>C612&amp;"-"&amp;D612&amp;"-"&amp;E612</f>
        <v>B1-P3-C4</v>
      </c>
      <c r="G612" s="22" t="s">
        <v>619</v>
      </c>
      <c r="H612" s="22">
        <v>2</v>
      </c>
      <c r="I612" s="22" t="str">
        <f>C612&amp;"_"&amp;D612&amp;"_"&amp;E612&amp;"_"&amp;G612&amp;H612</f>
        <v>B1_P3_C4_E2</v>
      </c>
      <c r="J612" s="22" t="s">
        <v>20</v>
      </c>
      <c r="K612" s="21" t="str">
        <f>B612&amp;"-"&amp;C612&amp;"-"&amp;D612&amp;"-"&amp;E612&amp;"-"&amp;G612&amp;H612</f>
        <v>Robinia-B1-P3-C4-E2</v>
      </c>
      <c r="L612" s="22" t="s">
        <v>64</v>
      </c>
      <c r="M612" s="22" t="s">
        <v>44</v>
      </c>
      <c r="N612" s="22" t="str">
        <f>J612&amp;"_"&amp;L612&amp;"_"&amp;M612</f>
        <v>Drought_Grey_Yes</v>
      </c>
      <c r="O612" s="27" t="str">
        <f>J612&amp;"_"&amp;M612</f>
        <v>Drought_Yes</v>
      </c>
      <c r="P612" s="2" t="str">
        <f>J612&amp;"_"&amp;M612</f>
        <v>Drought_Yes</v>
      </c>
      <c r="Q612" s="2" t="str">
        <f>L612&amp;"_"&amp;M612</f>
        <v>Grey_Yes</v>
      </c>
      <c r="R612" s="18" t="s">
        <v>2072</v>
      </c>
      <c r="S612" s="2"/>
      <c r="T612" s="2"/>
    </row>
    <row r="613" spans="1:20" s="10" customFormat="1" ht="15.75" customHeight="1" x14ac:dyDescent="0.2">
      <c r="A613" s="21">
        <v>636</v>
      </c>
      <c r="B613" s="22" t="s">
        <v>11</v>
      </c>
      <c r="C613" s="22" t="s">
        <v>14</v>
      </c>
      <c r="D613" s="22" t="s">
        <v>98</v>
      </c>
      <c r="E613" s="22" t="s">
        <v>53</v>
      </c>
      <c r="F613" s="18" t="str">
        <f>C613&amp;"-"&amp;D613&amp;"-"&amp;E613</f>
        <v>B1-P3-C4</v>
      </c>
      <c r="G613" s="22" t="s">
        <v>620</v>
      </c>
      <c r="H613" s="22">
        <v>2</v>
      </c>
      <c r="I613" s="22" t="str">
        <f>C613&amp;"_"&amp;D613&amp;"_"&amp;E613&amp;"_"&amp;G613&amp;H613</f>
        <v>B1_P3_C4_F2</v>
      </c>
      <c r="J613" s="22" t="s">
        <v>20</v>
      </c>
      <c r="K613" s="21" t="str">
        <f>B613&amp;"-"&amp;C613&amp;"-"&amp;D613&amp;"-"&amp;E613&amp;"-"&amp;G613&amp;H613</f>
        <v>Robinia-B1-P3-C4-F2</v>
      </c>
      <c r="L613" s="22" t="s">
        <v>64</v>
      </c>
      <c r="M613" s="22" t="s">
        <v>44</v>
      </c>
      <c r="N613" s="22" t="str">
        <f>J613&amp;"_"&amp;L613&amp;"_"&amp;M613</f>
        <v>Drought_Grey_Yes</v>
      </c>
      <c r="O613" s="27" t="str">
        <f>J613&amp;"_"&amp;M613</f>
        <v>Drought_Yes</v>
      </c>
      <c r="P613" s="2" t="str">
        <f>J613&amp;"_"&amp;M613</f>
        <v>Drought_Yes</v>
      </c>
      <c r="Q613" s="2" t="str">
        <f>L613&amp;"_"&amp;M613</f>
        <v>Grey_Yes</v>
      </c>
      <c r="R613" s="18" t="s">
        <v>2072</v>
      </c>
      <c r="S613" s="2"/>
      <c r="T613" s="2"/>
    </row>
    <row r="614" spans="1:20" ht="15.75" customHeight="1" x14ac:dyDescent="0.2">
      <c r="A614" s="13">
        <v>637</v>
      </c>
      <c r="B614" s="15" t="s">
        <v>11</v>
      </c>
      <c r="C614" s="15" t="s">
        <v>14</v>
      </c>
      <c r="D614" s="15" t="s">
        <v>131</v>
      </c>
      <c r="E614" s="15" t="s">
        <v>32</v>
      </c>
      <c r="F614" s="15" t="str">
        <f>C614&amp;"-"&amp;D614&amp;"-"&amp;E614</f>
        <v>B1-P4-C2</v>
      </c>
      <c r="G614" s="15" t="s">
        <v>618</v>
      </c>
      <c r="H614" s="15">
        <v>1</v>
      </c>
      <c r="I614" s="15" t="str">
        <f>C614&amp;"_"&amp;D614&amp;"_"&amp;E614&amp;"_"&amp;G614&amp;H614</f>
        <v>B1_P4_C2_D1</v>
      </c>
      <c r="J614" s="15" t="s">
        <v>133</v>
      </c>
      <c r="K614" s="13" t="str">
        <f>B614&amp;"-"&amp;C614&amp;"-"&amp;D614&amp;"-"&amp;E614&amp;"-"&amp;G614&amp;H614</f>
        <v>Robinia-B1-P4-C2-D1</v>
      </c>
      <c r="L614" s="15" t="s">
        <v>21</v>
      </c>
      <c r="M614" s="15" t="s">
        <v>44</v>
      </c>
      <c r="N614" s="15" t="str">
        <f>J614&amp;"_"&amp;L614&amp;"_"&amp;M614</f>
        <v>Control_Yellow_Yes</v>
      </c>
      <c r="O614" s="24" t="str">
        <f>J614&amp;"_"&amp;M614</f>
        <v>Control_Yes</v>
      </c>
      <c r="P614" s="1" t="str">
        <f>J614&amp;"_"&amp;M614</f>
        <v>Control_Yes</v>
      </c>
      <c r="Q614" s="1" t="str">
        <f>L614&amp;"_"&amp;M614</f>
        <v>Yellow_Yes</v>
      </c>
      <c r="R614" s="23" t="s">
        <v>2071</v>
      </c>
      <c r="S614" s="2"/>
      <c r="T614" s="2"/>
    </row>
    <row r="615" spans="1:20" ht="15.75" customHeight="1" x14ac:dyDescent="0.2">
      <c r="A615" s="13">
        <v>638</v>
      </c>
      <c r="B615" s="15" t="s">
        <v>11</v>
      </c>
      <c r="C615" s="15" t="s">
        <v>14</v>
      </c>
      <c r="D615" s="15" t="s">
        <v>131</v>
      </c>
      <c r="E615" s="15" t="s">
        <v>32</v>
      </c>
      <c r="F615" s="15" t="str">
        <f>C615&amp;"-"&amp;D615&amp;"-"&amp;E615</f>
        <v>B1-P4-C2</v>
      </c>
      <c r="G615" s="15" t="s">
        <v>619</v>
      </c>
      <c r="H615" s="15">
        <v>1</v>
      </c>
      <c r="I615" s="15" t="str">
        <f>C615&amp;"_"&amp;D615&amp;"_"&amp;E615&amp;"_"&amp;G615&amp;H615</f>
        <v>B1_P4_C2_E1</v>
      </c>
      <c r="J615" s="15" t="s">
        <v>133</v>
      </c>
      <c r="K615" s="13" t="str">
        <f>B615&amp;"-"&amp;C615&amp;"-"&amp;D615&amp;"-"&amp;E615&amp;"-"&amp;G615&amp;H615</f>
        <v>Robinia-B1-P4-C2-E1</v>
      </c>
      <c r="L615" s="15" t="s">
        <v>21</v>
      </c>
      <c r="M615" s="15" t="s">
        <v>44</v>
      </c>
      <c r="N615" s="15" t="str">
        <f>J615&amp;"_"&amp;L615&amp;"_"&amp;M615</f>
        <v>Control_Yellow_Yes</v>
      </c>
      <c r="O615" s="24" t="str">
        <f>J615&amp;"_"&amp;M615</f>
        <v>Control_Yes</v>
      </c>
      <c r="P615" s="1" t="str">
        <f>J615&amp;"_"&amp;M615</f>
        <v>Control_Yes</v>
      </c>
      <c r="Q615" s="1" t="str">
        <f>L615&amp;"_"&amp;M615</f>
        <v>Yellow_Yes</v>
      </c>
      <c r="R615" s="23" t="s">
        <v>2071</v>
      </c>
      <c r="S615" s="2"/>
      <c r="T615" s="2"/>
    </row>
    <row r="616" spans="1:20" ht="15.75" customHeight="1" x14ac:dyDescent="0.2">
      <c r="A616" s="13">
        <v>639</v>
      </c>
      <c r="B616" s="15" t="s">
        <v>11</v>
      </c>
      <c r="C616" s="15" t="s">
        <v>14</v>
      </c>
      <c r="D616" s="15" t="s">
        <v>131</v>
      </c>
      <c r="E616" s="15" t="s">
        <v>32</v>
      </c>
      <c r="F616" s="15" t="str">
        <f>C616&amp;"-"&amp;D616&amp;"-"&amp;E616</f>
        <v>B1-P4-C2</v>
      </c>
      <c r="G616" s="15" t="s">
        <v>620</v>
      </c>
      <c r="H616" s="15">
        <v>1</v>
      </c>
      <c r="I616" s="15" t="str">
        <f>C616&amp;"_"&amp;D616&amp;"_"&amp;E616&amp;"_"&amp;G616&amp;H616</f>
        <v>B1_P4_C2_F1</v>
      </c>
      <c r="J616" s="15" t="s">
        <v>133</v>
      </c>
      <c r="K616" s="13" t="str">
        <f>B616&amp;"-"&amp;C616&amp;"-"&amp;D616&amp;"-"&amp;E616&amp;"-"&amp;G616&amp;H616</f>
        <v>Robinia-B1-P4-C2-F1</v>
      </c>
      <c r="L616" s="15" t="s">
        <v>21</v>
      </c>
      <c r="M616" s="15" t="s">
        <v>44</v>
      </c>
      <c r="N616" s="15" t="str">
        <f>J616&amp;"_"&amp;L616&amp;"_"&amp;M616</f>
        <v>Control_Yellow_Yes</v>
      </c>
      <c r="O616" s="24" t="str">
        <f>J616&amp;"_"&amp;M616</f>
        <v>Control_Yes</v>
      </c>
      <c r="P616" s="1" t="str">
        <f>J616&amp;"_"&amp;M616</f>
        <v>Control_Yes</v>
      </c>
      <c r="Q616" s="1" t="str">
        <f>L616&amp;"_"&amp;M616</f>
        <v>Yellow_Yes</v>
      </c>
      <c r="R616" s="23" t="s">
        <v>2071</v>
      </c>
      <c r="S616" s="2"/>
      <c r="T616" s="2"/>
    </row>
    <row r="617" spans="1:20" ht="15.75" customHeight="1" x14ac:dyDescent="0.2">
      <c r="A617" s="13">
        <v>640</v>
      </c>
      <c r="B617" s="15" t="s">
        <v>11</v>
      </c>
      <c r="C617" s="15" t="s">
        <v>14</v>
      </c>
      <c r="D617" s="15" t="s">
        <v>131</v>
      </c>
      <c r="E617" s="15" t="s">
        <v>32</v>
      </c>
      <c r="F617" s="15" t="str">
        <f>C617&amp;"-"&amp;D617&amp;"-"&amp;E617</f>
        <v>B1-P4-C2</v>
      </c>
      <c r="G617" s="15" t="s">
        <v>618</v>
      </c>
      <c r="H617" s="15">
        <v>2</v>
      </c>
      <c r="I617" s="15" t="str">
        <f>C617&amp;"_"&amp;D617&amp;"_"&amp;E617&amp;"_"&amp;G617&amp;H617</f>
        <v>B1_P4_C2_D2</v>
      </c>
      <c r="J617" s="15" t="s">
        <v>133</v>
      </c>
      <c r="K617" s="13" t="str">
        <f>B617&amp;"-"&amp;C617&amp;"-"&amp;D617&amp;"-"&amp;E617&amp;"-"&amp;G617&amp;H617</f>
        <v>Robinia-B1-P4-C2-D2</v>
      </c>
      <c r="L617" s="15" t="s">
        <v>21</v>
      </c>
      <c r="M617" s="15" t="s">
        <v>44</v>
      </c>
      <c r="N617" s="15" t="str">
        <f>J617&amp;"_"&amp;L617&amp;"_"&amp;M617</f>
        <v>Control_Yellow_Yes</v>
      </c>
      <c r="O617" s="24" t="str">
        <f>J617&amp;"_"&amp;M617</f>
        <v>Control_Yes</v>
      </c>
      <c r="P617" s="1" t="str">
        <f>J617&amp;"_"&amp;M617</f>
        <v>Control_Yes</v>
      </c>
      <c r="Q617" s="1" t="str">
        <f>L617&amp;"_"&amp;M617</f>
        <v>Yellow_Yes</v>
      </c>
      <c r="R617" s="23" t="s">
        <v>2071</v>
      </c>
      <c r="S617" s="2"/>
      <c r="T617" s="2"/>
    </row>
    <row r="618" spans="1:20" ht="15.75" customHeight="1" x14ac:dyDescent="0.2">
      <c r="A618" s="13">
        <v>641</v>
      </c>
      <c r="B618" s="15" t="s">
        <v>11</v>
      </c>
      <c r="C618" s="15" t="s">
        <v>14</v>
      </c>
      <c r="D618" s="15" t="s">
        <v>131</v>
      </c>
      <c r="E618" s="15" t="s">
        <v>32</v>
      </c>
      <c r="F618" s="15" t="str">
        <f>C618&amp;"-"&amp;D618&amp;"-"&amp;E618</f>
        <v>B1-P4-C2</v>
      </c>
      <c r="G618" s="15" t="s">
        <v>619</v>
      </c>
      <c r="H618" s="15">
        <v>2</v>
      </c>
      <c r="I618" s="15" t="str">
        <f>C618&amp;"_"&amp;D618&amp;"_"&amp;E618&amp;"_"&amp;G618&amp;H618</f>
        <v>B1_P4_C2_E2</v>
      </c>
      <c r="J618" s="15" t="s">
        <v>133</v>
      </c>
      <c r="K618" s="13" t="str">
        <f>B618&amp;"-"&amp;C618&amp;"-"&amp;D618&amp;"-"&amp;E618&amp;"-"&amp;G618&amp;H618</f>
        <v>Robinia-B1-P4-C2-E2</v>
      </c>
      <c r="L618" s="15" t="s">
        <v>21</v>
      </c>
      <c r="M618" s="15" t="s">
        <v>44</v>
      </c>
      <c r="N618" s="15" t="str">
        <f>J618&amp;"_"&amp;L618&amp;"_"&amp;M618</f>
        <v>Control_Yellow_Yes</v>
      </c>
      <c r="O618" s="24" t="str">
        <f>J618&amp;"_"&amp;M618</f>
        <v>Control_Yes</v>
      </c>
      <c r="P618" s="1" t="str">
        <f>J618&amp;"_"&amp;M618</f>
        <v>Control_Yes</v>
      </c>
      <c r="Q618" s="1" t="str">
        <f>L618&amp;"_"&amp;M618</f>
        <v>Yellow_Yes</v>
      </c>
      <c r="R618" s="23" t="s">
        <v>2071</v>
      </c>
      <c r="S618" s="2"/>
      <c r="T618" s="2"/>
    </row>
    <row r="619" spans="1:20" ht="15.75" customHeight="1" x14ac:dyDescent="0.2">
      <c r="A619" s="13">
        <v>642</v>
      </c>
      <c r="B619" s="15" t="s">
        <v>11</v>
      </c>
      <c r="C619" s="15" t="s">
        <v>14</v>
      </c>
      <c r="D619" s="15" t="s">
        <v>131</v>
      </c>
      <c r="E619" s="15" t="s">
        <v>32</v>
      </c>
      <c r="F619" s="15" t="str">
        <f>C619&amp;"-"&amp;D619&amp;"-"&amp;E619</f>
        <v>B1-P4-C2</v>
      </c>
      <c r="G619" s="15" t="s">
        <v>620</v>
      </c>
      <c r="H619" s="15">
        <v>2</v>
      </c>
      <c r="I619" s="15" t="str">
        <f>C619&amp;"_"&amp;D619&amp;"_"&amp;E619&amp;"_"&amp;G619&amp;H619</f>
        <v>B1_P4_C2_F2</v>
      </c>
      <c r="J619" s="15" t="s">
        <v>133</v>
      </c>
      <c r="K619" s="13" t="str">
        <f>B619&amp;"-"&amp;C619&amp;"-"&amp;D619&amp;"-"&amp;E619&amp;"-"&amp;G619&amp;H619</f>
        <v>Robinia-B1-P4-C2-F2</v>
      </c>
      <c r="L619" s="15" t="s">
        <v>21</v>
      </c>
      <c r="M619" s="15" t="s">
        <v>44</v>
      </c>
      <c r="N619" s="15" t="str">
        <f>J619&amp;"_"&amp;L619&amp;"_"&amp;M619</f>
        <v>Control_Yellow_Yes</v>
      </c>
      <c r="O619" s="24" t="str">
        <f>J619&amp;"_"&amp;M619</f>
        <v>Control_Yes</v>
      </c>
      <c r="P619" s="1" t="str">
        <f>J619&amp;"_"&amp;M619</f>
        <v>Control_Yes</v>
      </c>
      <c r="Q619" s="1" t="str">
        <f>L619&amp;"_"&amp;M619</f>
        <v>Yellow_Yes</v>
      </c>
      <c r="R619" s="23" t="s">
        <v>2071</v>
      </c>
      <c r="S619" s="2"/>
      <c r="T619" s="2"/>
    </row>
    <row r="620" spans="1:20" s="10" customFormat="1" ht="15.75" customHeight="1" x14ac:dyDescent="0.2">
      <c r="A620" s="21">
        <v>643</v>
      </c>
      <c r="B620" s="22" t="s">
        <v>11</v>
      </c>
      <c r="C620" s="22" t="s">
        <v>14</v>
      </c>
      <c r="D620" s="22" t="s">
        <v>131</v>
      </c>
      <c r="E620" s="22" t="s">
        <v>42</v>
      </c>
      <c r="F620" s="18" t="str">
        <f>C620&amp;"-"&amp;D620&amp;"-"&amp;E620</f>
        <v>B1-P4-C3</v>
      </c>
      <c r="G620" s="22" t="s">
        <v>618</v>
      </c>
      <c r="H620" s="22">
        <v>1</v>
      </c>
      <c r="I620" s="22" t="str">
        <f>C620&amp;"_"&amp;D620&amp;"_"&amp;E620&amp;"_"&amp;G620&amp;H620</f>
        <v>B1_P4_C3_D1</v>
      </c>
      <c r="J620" s="22" t="s">
        <v>133</v>
      </c>
      <c r="K620" s="21" t="str">
        <f>B620&amp;"-"&amp;C620&amp;"-"&amp;D620&amp;"-"&amp;E620&amp;"-"&amp;G620&amp;H620</f>
        <v>Robinia-B1-P4-C3-D1</v>
      </c>
      <c r="L620" s="22" t="s">
        <v>21</v>
      </c>
      <c r="M620" s="22" t="s">
        <v>44</v>
      </c>
      <c r="N620" s="22" t="str">
        <f>J620&amp;"_"&amp;L620&amp;"_"&amp;M620</f>
        <v>Control_Yellow_Yes</v>
      </c>
      <c r="O620" s="27" t="str">
        <f>J620&amp;"_"&amp;M620</f>
        <v>Control_Yes</v>
      </c>
      <c r="P620" s="2" t="str">
        <f>J620&amp;"_"&amp;M620</f>
        <v>Control_Yes</v>
      </c>
      <c r="Q620" s="2" t="str">
        <f>L620&amp;"_"&amp;M620</f>
        <v>Yellow_Yes</v>
      </c>
      <c r="R620" s="23" t="s">
        <v>2071</v>
      </c>
      <c r="S620" s="1"/>
      <c r="T620" s="1"/>
    </row>
    <row r="621" spans="1:20" s="10" customFormat="1" ht="15.75" customHeight="1" x14ac:dyDescent="0.2">
      <c r="A621" s="21">
        <v>644</v>
      </c>
      <c r="B621" s="22" t="s">
        <v>11</v>
      </c>
      <c r="C621" s="22" t="s">
        <v>14</v>
      </c>
      <c r="D621" s="22" t="s">
        <v>131</v>
      </c>
      <c r="E621" s="22" t="s">
        <v>42</v>
      </c>
      <c r="F621" s="18" t="str">
        <f>C621&amp;"-"&amp;D621&amp;"-"&amp;E621</f>
        <v>B1-P4-C3</v>
      </c>
      <c r="G621" s="22" t="s">
        <v>619</v>
      </c>
      <c r="H621" s="22">
        <v>1</v>
      </c>
      <c r="I621" s="22" t="str">
        <f>C621&amp;"_"&amp;D621&amp;"_"&amp;E621&amp;"_"&amp;G621&amp;H621</f>
        <v>B1_P4_C3_E1</v>
      </c>
      <c r="J621" s="22" t="s">
        <v>133</v>
      </c>
      <c r="K621" s="21" t="str">
        <f>B621&amp;"-"&amp;C621&amp;"-"&amp;D621&amp;"-"&amp;E621&amp;"-"&amp;G621&amp;H621</f>
        <v>Robinia-B1-P4-C3-E1</v>
      </c>
      <c r="L621" s="22" t="s">
        <v>21</v>
      </c>
      <c r="M621" s="22" t="s">
        <v>44</v>
      </c>
      <c r="N621" s="22" t="str">
        <f>J621&amp;"_"&amp;L621&amp;"_"&amp;M621</f>
        <v>Control_Yellow_Yes</v>
      </c>
      <c r="O621" s="27" t="str">
        <f>J621&amp;"_"&amp;M621</f>
        <v>Control_Yes</v>
      </c>
      <c r="P621" s="2" t="str">
        <f>J621&amp;"_"&amp;M621</f>
        <v>Control_Yes</v>
      </c>
      <c r="Q621" s="2" t="str">
        <f>L621&amp;"_"&amp;M621</f>
        <v>Yellow_Yes</v>
      </c>
      <c r="R621" s="23" t="s">
        <v>2071</v>
      </c>
      <c r="S621" s="1"/>
      <c r="T621" s="1"/>
    </row>
    <row r="622" spans="1:20" s="10" customFormat="1" ht="15.75" customHeight="1" x14ac:dyDescent="0.2">
      <c r="A622" s="21">
        <v>645</v>
      </c>
      <c r="B622" s="22" t="s">
        <v>11</v>
      </c>
      <c r="C622" s="22" t="s">
        <v>14</v>
      </c>
      <c r="D622" s="22" t="s">
        <v>131</v>
      </c>
      <c r="E622" s="22" t="s">
        <v>42</v>
      </c>
      <c r="F622" s="18" t="str">
        <f>C622&amp;"-"&amp;D622&amp;"-"&amp;E622</f>
        <v>B1-P4-C3</v>
      </c>
      <c r="G622" s="22" t="s">
        <v>620</v>
      </c>
      <c r="H622" s="22">
        <v>1</v>
      </c>
      <c r="I622" s="22" t="str">
        <f>C622&amp;"_"&amp;D622&amp;"_"&amp;E622&amp;"_"&amp;G622&amp;H622</f>
        <v>B1_P4_C3_F1</v>
      </c>
      <c r="J622" s="22" t="s">
        <v>133</v>
      </c>
      <c r="K622" s="21" t="str">
        <f>B622&amp;"-"&amp;C622&amp;"-"&amp;D622&amp;"-"&amp;E622&amp;"-"&amp;G622&amp;H622</f>
        <v>Robinia-B1-P4-C3-F1</v>
      </c>
      <c r="L622" s="22" t="s">
        <v>21</v>
      </c>
      <c r="M622" s="22" t="s">
        <v>44</v>
      </c>
      <c r="N622" s="22" t="str">
        <f>J622&amp;"_"&amp;L622&amp;"_"&amp;M622</f>
        <v>Control_Yellow_Yes</v>
      </c>
      <c r="O622" s="27" t="str">
        <f>J622&amp;"_"&amp;M622</f>
        <v>Control_Yes</v>
      </c>
      <c r="P622" s="2" t="str">
        <f>J622&amp;"_"&amp;M622</f>
        <v>Control_Yes</v>
      </c>
      <c r="Q622" s="2" t="str">
        <f>L622&amp;"_"&amp;M622</f>
        <v>Yellow_Yes</v>
      </c>
      <c r="R622" s="23" t="s">
        <v>2071</v>
      </c>
      <c r="S622" s="1"/>
      <c r="T622" s="1"/>
    </row>
    <row r="623" spans="1:20" s="10" customFormat="1" ht="15.75" customHeight="1" x14ac:dyDescent="0.2">
      <c r="A623" s="21">
        <v>646</v>
      </c>
      <c r="B623" s="22" t="s">
        <v>11</v>
      </c>
      <c r="C623" s="22" t="s">
        <v>14</v>
      </c>
      <c r="D623" s="22" t="s">
        <v>131</v>
      </c>
      <c r="E623" s="22" t="s">
        <v>42</v>
      </c>
      <c r="F623" s="18" t="str">
        <f>C623&amp;"-"&amp;D623&amp;"-"&amp;E623</f>
        <v>B1-P4-C3</v>
      </c>
      <c r="G623" s="22" t="s">
        <v>618</v>
      </c>
      <c r="H623" s="22">
        <v>2</v>
      </c>
      <c r="I623" s="22" t="str">
        <f>C623&amp;"_"&amp;D623&amp;"_"&amp;E623&amp;"_"&amp;G623&amp;H623</f>
        <v>B1_P4_C3_D2</v>
      </c>
      <c r="J623" s="22" t="s">
        <v>133</v>
      </c>
      <c r="K623" s="21" t="str">
        <f>B623&amp;"-"&amp;C623&amp;"-"&amp;D623&amp;"-"&amp;E623&amp;"-"&amp;G623&amp;H623</f>
        <v>Robinia-B1-P4-C3-D2</v>
      </c>
      <c r="L623" s="22" t="s">
        <v>21</v>
      </c>
      <c r="M623" s="22" t="s">
        <v>44</v>
      </c>
      <c r="N623" s="22" t="str">
        <f>J623&amp;"_"&amp;L623&amp;"_"&amp;M623</f>
        <v>Control_Yellow_Yes</v>
      </c>
      <c r="O623" s="27" t="str">
        <f>J623&amp;"_"&amp;M623</f>
        <v>Control_Yes</v>
      </c>
      <c r="P623" s="2" t="str">
        <f>J623&amp;"_"&amp;M623</f>
        <v>Control_Yes</v>
      </c>
      <c r="Q623" s="2" t="str">
        <f>L623&amp;"_"&amp;M623</f>
        <v>Yellow_Yes</v>
      </c>
      <c r="R623" s="23" t="s">
        <v>2071</v>
      </c>
      <c r="S623" s="1"/>
      <c r="T623" s="1"/>
    </row>
    <row r="624" spans="1:20" s="10" customFormat="1" ht="15.75" customHeight="1" x14ac:dyDescent="0.2">
      <c r="A624" s="21">
        <v>647</v>
      </c>
      <c r="B624" s="22" t="s">
        <v>11</v>
      </c>
      <c r="C624" s="22" t="s">
        <v>14</v>
      </c>
      <c r="D624" s="22" t="s">
        <v>131</v>
      </c>
      <c r="E624" s="22" t="s">
        <v>42</v>
      </c>
      <c r="F624" s="18" t="str">
        <f>C624&amp;"-"&amp;D624&amp;"-"&amp;E624</f>
        <v>B1-P4-C3</v>
      </c>
      <c r="G624" s="22" t="s">
        <v>619</v>
      </c>
      <c r="H624" s="22">
        <v>2</v>
      </c>
      <c r="I624" s="22" t="str">
        <f>C624&amp;"_"&amp;D624&amp;"_"&amp;E624&amp;"_"&amp;G624&amp;H624</f>
        <v>B1_P4_C3_E2</v>
      </c>
      <c r="J624" s="22" t="s">
        <v>133</v>
      </c>
      <c r="K624" s="21" t="str">
        <f>B624&amp;"-"&amp;C624&amp;"-"&amp;D624&amp;"-"&amp;E624&amp;"-"&amp;G624&amp;H624</f>
        <v>Robinia-B1-P4-C3-E2</v>
      </c>
      <c r="L624" s="22" t="s">
        <v>21</v>
      </c>
      <c r="M624" s="22" t="s">
        <v>44</v>
      </c>
      <c r="N624" s="22" t="str">
        <f>J624&amp;"_"&amp;L624&amp;"_"&amp;M624</f>
        <v>Control_Yellow_Yes</v>
      </c>
      <c r="O624" s="27" t="str">
        <f>J624&amp;"_"&amp;M624</f>
        <v>Control_Yes</v>
      </c>
      <c r="P624" s="2" t="str">
        <f>J624&amp;"_"&amp;M624</f>
        <v>Control_Yes</v>
      </c>
      <c r="Q624" s="2" t="str">
        <f>L624&amp;"_"&amp;M624</f>
        <v>Yellow_Yes</v>
      </c>
      <c r="R624" s="23" t="s">
        <v>2071</v>
      </c>
      <c r="S624" s="1"/>
      <c r="T624" s="1"/>
    </row>
    <row r="625" spans="1:20" s="10" customFormat="1" ht="15.75" customHeight="1" x14ac:dyDescent="0.2">
      <c r="A625" s="21">
        <v>648</v>
      </c>
      <c r="B625" s="22" t="s">
        <v>11</v>
      </c>
      <c r="C625" s="22" t="s">
        <v>14</v>
      </c>
      <c r="D625" s="22" t="s">
        <v>131</v>
      </c>
      <c r="E625" s="22" t="s">
        <v>42</v>
      </c>
      <c r="F625" s="18" t="str">
        <f>C625&amp;"-"&amp;D625&amp;"-"&amp;E625</f>
        <v>B1-P4-C3</v>
      </c>
      <c r="G625" s="22" t="s">
        <v>620</v>
      </c>
      <c r="H625" s="22">
        <v>2</v>
      </c>
      <c r="I625" s="22" t="str">
        <f>C625&amp;"_"&amp;D625&amp;"_"&amp;E625&amp;"_"&amp;G625&amp;H625</f>
        <v>B1_P4_C3_F2</v>
      </c>
      <c r="J625" s="22" t="s">
        <v>133</v>
      </c>
      <c r="K625" s="21" t="str">
        <f>B625&amp;"-"&amp;C625&amp;"-"&amp;D625&amp;"-"&amp;E625&amp;"-"&amp;G625&amp;H625</f>
        <v>Robinia-B1-P4-C3-F2</v>
      </c>
      <c r="L625" s="22" t="s">
        <v>21</v>
      </c>
      <c r="M625" s="22" t="s">
        <v>44</v>
      </c>
      <c r="N625" s="22" t="str">
        <f>J625&amp;"_"&amp;L625&amp;"_"&amp;M625</f>
        <v>Control_Yellow_Yes</v>
      </c>
      <c r="O625" s="27" t="str">
        <f>J625&amp;"_"&amp;M625</f>
        <v>Control_Yes</v>
      </c>
      <c r="P625" s="2" t="str">
        <f>J625&amp;"_"&amp;M625</f>
        <v>Control_Yes</v>
      </c>
      <c r="Q625" s="2" t="str">
        <f>L625&amp;"_"&amp;M625</f>
        <v>Yellow_Yes</v>
      </c>
      <c r="R625" s="23" t="s">
        <v>2071</v>
      </c>
      <c r="S625" s="1"/>
      <c r="T625" s="1"/>
    </row>
    <row r="626" spans="1:20" ht="15.75" customHeight="1" x14ac:dyDescent="0.2">
      <c r="A626" s="13">
        <v>649</v>
      </c>
      <c r="B626" s="15" t="s">
        <v>11</v>
      </c>
      <c r="C626" s="15" t="s">
        <v>14</v>
      </c>
      <c r="D626" s="15" t="s">
        <v>131</v>
      </c>
      <c r="E626" s="15" t="s">
        <v>53</v>
      </c>
      <c r="F626" s="15" t="str">
        <f>C626&amp;"-"&amp;D626&amp;"-"&amp;E626</f>
        <v>B1-P4-C4</v>
      </c>
      <c r="G626" s="15" t="s">
        <v>618</v>
      </c>
      <c r="H626" s="15">
        <v>1</v>
      </c>
      <c r="I626" s="15" t="str">
        <f>C626&amp;"_"&amp;D626&amp;"_"&amp;E626&amp;"_"&amp;G626&amp;H626</f>
        <v>B1_P4_C4_D1</v>
      </c>
      <c r="J626" s="15" t="s">
        <v>133</v>
      </c>
      <c r="K626" s="13" t="str">
        <f>B626&amp;"-"&amp;C626&amp;"-"&amp;D626&amp;"-"&amp;E626&amp;"-"&amp;G626&amp;H626</f>
        <v>Robinia-B1-P4-C4-D1</v>
      </c>
      <c r="L626" s="15" t="s">
        <v>21</v>
      </c>
      <c r="M626" s="15" t="s">
        <v>44</v>
      </c>
      <c r="N626" s="15" t="str">
        <f>J626&amp;"_"&amp;L626&amp;"_"&amp;M626</f>
        <v>Control_Yellow_Yes</v>
      </c>
      <c r="O626" s="24" t="str">
        <f>J626&amp;"_"&amp;M626</f>
        <v>Control_Yes</v>
      </c>
      <c r="P626" s="1" t="str">
        <f>J626&amp;"_"&amp;M626</f>
        <v>Control_Yes</v>
      </c>
      <c r="Q626" s="1" t="str">
        <f>L626&amp;"_"&amp;M626</f>
        <v>Yellow_Yes</v>
      </c>
      <c r="R626" s="23" t="s">
        <v>2071</v>
      </c>
      <c r="S626" s="2"/>
      <c r="T626" s="2"/>
    </row>
    <row r="627" spans="1:20" ht="15.75" customHeight="1" x14ac:dyDescent="0.2">
      <c r="A627" s="13">
        <v>650</v>
      </c>
      <c r="B627" s="15" t="s">
        <v>11</v>
      </c>
      <c r="C627" s="15" t="s">
        <v>14</v>
      </c>
      <c r="D627" s="15" t="s">
        <v>131</v>
      </c>
      <c r="E627" s="15" t="s">
        <v>53</v>
      </c>
      <c r="F627" s="15" t="str">
        <f>C627&amp;"-"&amp;D627&amp;"-"&amp;E627</f>
        <v>B1-P4-C4</v>
      </c>
      <c r="G627" s="15" t="s">
        <v>619</v>
      </c>
      <c r="H627" s="15">
        <v>1</v>
      </c>
      <c r="I627" s="15" t="str">
        <f>C627&amp;"_"&amp;D627&amp;"_"&amp;E627&amp;"_"&amp;G627&amp;H627</f>
        <v>B1_P4_C4_E1</v>
      </c>
      <c r="J627" s="15" t="s">
        <v>133</v>
      </c>
      <c r="K627" s="13" t="str">
        <f>B627&amp;"-"&amp;C627&amp;"-"&amp;D627&amp;"-"&amp;E627&amp;"-"&amp;G627&amp;H627</f>
        <v>Robinia-B1-P4-C4-E1</v>
      </c>
      <c r="L627" s="15" t="s">
        <v>21</v>
      </c>
      <c r="M627" s="15" t="s">
        <v>44</v>
      </c>
      <c r="N627" s="15" t="str">
        <f>J627&amp;"_"&amp;L627&amp;"_"&amp;M627</f>
        <v>Control_Yellow_Yes</v>
      </c>
      <c r="O627" s="24" t="str">
        <f>J627&amp;"_"&amp;M627</f>
        <v>Control_Yes</v>
      </c>
      <c r="P627" s="1" t="str">
        <f>J627&amp;"_"&amp;M627</f>
        <v>Control_Yes</v>
      </c>
      <c r="Q627" s="1" t="str">
        <f>L627&amp;"_"&amp;M627</f>
        <v>Yellow_Yes</v>
      </c>
      <c r="R627" s="23" t="s">
        <v>2071</v>
      </c>
      <c r="S627" s="2"/>
      <c r="T627" s="2"/>
    </row>
    <row r="628" spans="1:20" ht="15.75" customHeight="1" x14ac:dyDescent="0.2">
      <c r="A628" s="13">
        <v>651</v>
      </c>
      <c r="B628" s="15" t="s">
        <v>11</v>
      </c>
      <c r="C628" s="15" t="s">
        <v>14</v>
      </c>
      <c r="D628" s="15" t="s">
        <v>131</v>
      </c>
      <c r="E628" s="15" t="s">
        <v>53</v>
      </c>
      <c r="F628" s="15" t="str">
        <f>C628&amp;"-"&amp;D628&amp;"-"&amp;E628</f>
        <v>B1-P4-C4</v>
      </c>
      <c r="G628" s="15" t="s">
        <v>620</v>
      </c>
      <c r="H628" s="15">
        <v>1</v>
      </c>
      <c r="I628" s="15" t="str">
        <f>C628&amp;"_"&amp;D628&amp;"_"&amp;E628&amp;"_"&amp;G628&amp;H628</f>
        <v>B1_P4_C4_F1</v>
      </c>
      <c r="J628" s="15" t="s">
        <v>133</v>
      </c>
      <c r="K628" s="13" t="str">
        <f>B628&amp;"-"&amp;C628&amp;"-"&amp;D628&amp;"-"&amp;E628&amp;"-"&amp;G628&amp;H628</f>
        <v>Robinia-B1-P4-C4-F1</v>
      </c>
      <c r="L628" s="15" t="s">
        <v>21</v>
      </c>
      <c r="M628" s="15" t="s">
        <v>44</v>
      </c>
      <c r="N628" s="15" t="str">
        <f>J628&amp;"_"&amp;L628&amp;"_"&amp;M628</f>
        <v>Control_Yellow_Yes</v>
      </c>
      <c r="O628" s="24" t="str">
        <f>J628&amp;"_"&amp;M628</f>
        <v>Control_Yes</v>
      </c>
      <c r="P628" s="1" t="str">
        <f>J628&amp;"_"&amp;M628</f>
        <v>Control_Yes</v>
      </c>
      <c r="Q628" s="1" t="str">
        <f>L628&amp;"_"&amp;M628</f>
        <v>Yellow_Yes</v>
      </c>
      <c r="R628" s="23" t="s">
        <v>2071</v>
      </c>
      <c r="S628" s="2"/>
      <c r="T628" s="2"/>
    </row>
    <row r="629" spans="1:20" ht="15.75" customHeight="1" x14ac:dyDescent="0.2">
      <c r="A629" s="13">
        <v>652</v>
      </c>
      <c r="B629" s="15" t="s">
        <v>11</v>
      </c>
      <c r="C629" s="15" t="s">
        <v>14</v>
      </c>
      <c r="D629" s="15" t="s">
        <v>131</v>
      </c>
      <c r="E629" s="15" t="s">
        <v>53</v>
      </c>
      <c r="F629" s="15" t="str">
        <f>C629&amp;"-"&amp;D629&amp;"-"&amp;E629</f>
        <v>B1-P4-C4</v>
      </c>
      <c r="G629" s="15" t="s">
        <v>618</v>
      </c>
      <c r="H629" s="15">
        <v>2</v>
      </c>
      <c r="I629" s="15" t="str">
        <f>C629&amp;"_"&amp;D629&amp;"_"&amp;E629&amp;"_"&amp;G629&amp;H629</f>
        <v>B1_P4_C4_D2</v>
      </c>
      <c r="J629" s="15" t="s">
        <v>133</v>
      </c>
      <c r="K629" s="13" t="str">
        <f>B629&amp;"-"&amp;C629&amp;"-"&amp;D629&amp;"-"&amp;E629&amp;"-"&amp;G629&amp;H629</f>
        <v>Robinia-B1-P4-C4-D2</v>
      </c>
      <c r="L629" s="15" t="s">
        <v>21</v>
      </c>
      <c r="M629" s="15" t="s">
        <v>44</v>
      </c>
      <c r="N629" s="15" t="str">
        <f>J629&amp;"_"&amp;L629&amp;"_"&amp;M629</f>
        <v>Control_Yellow_Yes</v>
      </c>
      <c r="O629" s="24" t="str">
        <f>J629&amp;"_"&amp;M629</f>
        <v>Control_Yes</v>
      </c>
      <c r="P629" s="1" t="str">
        <f>J629&amp;"_"&amp;M629</f>
        <v>Control_Yes</v>
      </c>
      <c r="Q629" s="1" t="str">
        <f>L629&amp;"_"&amp;M629</f>
        <v>Yellow_Yes</v>
      </c>
      <c r="R629" s="23" t="s">
        <v>2071</v>
      </c>
      <c r="S629" s="2"/>
      <c r="T629" s="2"/>
    </row>
    <row r="630" spans="1:20" ht="15.75" customHeight="1" x14ac:dyDescent="0.2">
      <c r="A630" s="13">
        <v>653</v>
      </c>
      <c r="B630" s="15" t="s">
        <v>11</v>
      </c>
      <c r="C630" s="15" t="s">
        <v>14</v>
      </c>
      <c r="D630" s="15" t="s">
        <v>131</v>
      </c>
      <c r="E630" s="15" t="s">
        <v>53</v>
      </c>
      <c r="F630" s="15" t="str">
        <f>C630&amp;"-"&amp;D630&amp;"-"&amp;E630</f>
        <v>B1-P4-C4</v>
      </c>
      <c r="G630" s="15" t="s">
        <v>619</v>
      </c>
      <c r="H630" s="15">
        <v>2</v>
      </c>
      <c r="I630" s="15" t="str">
        <f>C630&amp;"_"&amp;D630&amp;"_"&amp;E630&amp;"_"&amp;G630&amp;H630</f>
        <v>B1_P4_C4_E2</v>
      </c>
      <c r="J630" s="15" t="s">
        <v>133</v>
      </c>
      <c r="K630" s="13" t="str">
        <f>B630&amp;"-"&amp;C630&amp;"-"&amp;D630&amp;"-"&amp;E630&amp;"-"&amp;G630&amp;H630</f>
        <v>Robinia-B1-P4-C4-E2</v>
      </c>
      <c r="L630" s="15" t="s">
        <v>21</v>
      </c>
      <c r="M630" s="15" t="s">
        <v>44</v>
      </c>
      <c r="N630" s="15" t="str">
        <f>J630&amp;"_"&amp;L630&amp;"_"&amp;M630</f>
        <v>Control_Yellow_Yes</v>
      </c>
      <c r="O630" s="24" t="str">
        <f>J630&amp;"_"&amp;M630</f>
        <v>Control_Yes</v>
      </c>
      <c r="P630" s="1" t="str">
        <f>J630&amp;"_"&amp;M630</f>
        <v>Control_Yes</v>
      </c>
      <c r="Q630" s="1" t="str">
        <f>L630&amp;"_"&amp;M630</f>
        <v>Yellow_Yes</v>
      </c>
      <c r="R630" s="23" t="s">
        <v>2071</v>
      </c>
      <c r="S630" s="2"/>
      <c r="T630" s="2"/>
    </row>
    <row r="631" spans="1:20" ht="15.75" customHeight="1" x14ac:dyDescent="0.2">
      <c r="A631" s="13">
        <v>654</v>
      </c>
      <c r="B631" s="15" t="s">
        <v>11</v>
      </c>
      <c r="C631" s="15" t="s">
        <v>14</v>
      </c>
      <c r="D631" s="15" t="s">
        <v>131</v>
      </c>
      <c r="E631" s="15" t="s">
        <v>53</v>
      </c>
      <c r="F631" s="15" t="str">
        <f>C631&amp;"-"&amp;D631&amp;"-"&amp;E631</f>
        <v>B1-P4-C4</v>
      </c>
      <c r="G631" s="15" t="s">
        <v>620</v>
      </c>
      <c r="H631" s="15">
        <v>2</v>
      </c>
      <c r="I631" s="15" t="str">
        <f>C631&amp;"_"&amp;D631&amp;"_"&amp;E631&amp;"_"&amp;G631&amp;H631</f>
        <v>B1_P4_C4_F2</v>
      </c>
      <c r="J631" s="15" t="s">
        <v>133</v>
      </c>
      <c r="K631" s="13" t="str">
        <f>B631&amp;"-"&amp;C631&amp;"-"&amp;D631&amp;"-"&amp;E631&amp;"-"&amp;G631&amp;H631</f>
        <v>Robinia-B1-P4-C4-F2</v>
      </c>
      <c r="L631" s="15" t="s">
        <v>21</v>
      </c>
      <c r="M631" s="15" t="s">
        <v>44</v>
      </c>
      <c r="N631" s="15" t="str">
        <f>J631&amp;"_"&amp;L631&amp;"_"&amp;M631</f>
        <v>Control_Yellow_Yes</v>
      </c>
      <c r="O631" s="24" t="str">
        <f>J631&amp;"_"&amp;M631</f>
        <v>Control_Yes</v>
      </c>
      <c r="P631" s="1" t="str">
        <f>J631&amp;"_"&amp;M631</f>
        <v>Control_Yes</v>
      </c>
      <c r="Q631" s="1" t="str">
        <f>L631&amp;"_"&amp;M631</f>
        <v>Yellow_Yes</v>
      </c>
      <c r="R631" s="23" t="s">
        <v>2071</v>
      </c>
      <c r="S631" s="2"/>
      <c r="T631" s="2"/>
    </row>
    <row r="632" spans="1:20" s="10" customFormat="1" ht="15.75" customHeight="1" x14ac:dyDescent="0.2">
      <c r="A632" s="21">
        <v>655</v>
      </c>
      <c r="B632" s="22" t="s">
        <v>11</v>
      </c>
      <c r="C632" s="22" t="s">
        <v>14</v>
      </c>
      <c r="D632" s="22" t="s">
        <v>167</v>
      </c>
      <c r="E632" s="22" t="s">
        <v>16</v>
      </c>
      <c r="F632" s="18" t="str">
        <f>C632&amp;"-"&amp;D632&amp;"-"&amp;E632</f>
        <v>B1-P5-C1</v>
      </c>
      <c r="G632" s="22" t="s">
        <v>618</v>
      </c>
      <c r="H632" s="22">
        <v>1</v>
      </c>
      <c r="I632" s="22" t="str">
        <f>C632&amp;"_"&amp;D632&amp;"_"&amp;E632&amp;"_"&amp;G632&amp;H632</f>
        <v>B1_P5_C1_D1</v>
      </c>
      <c r="J632" s="22" t="s">
        <v>133</v>
      </c>
      <c r="K632" s="21" t="str">
        <f>B632&amp;"-"&amp;C632&amp;"-"&amp;D632&amp;"-"&amp;E632&amp;"-"&amp;G632&amp;H632</f>
        <v>Robinia-B1-P5-C1-D1</v>
      </c>
      <c r="L632" s="22" t="s">
        <v>64</v>
      </c>
      <c r="M632" s="22" t="s">
        <v>44</v>
      </c>
      <c r="N632" s="22" t="str">
        <f>J632&amp;"_"&amp;L632&amp;"_"&amp;M632</f>
        <v>Control_Grey_Yes</v>
      </c>
      <c r="O632" s="27" t="str">
        <f>J632&amp;"_"&amp;M632</f>
        <v>Control_Yes</v>
      </c>
      <c r="P632" s="2" t="str">
        <f>J632&amp;"_"&amp;M632</f>
        <v>Control_Yes</v>
      </c>
      <c r="Q632" s="2" t="str">
        <f>L632&amp;"_"&amp;M632</f>
        <v>Grey_Yes</v>
      </c>
      <c r="R632" s="18" t="s">
        <v>2072</v>
      </c>
      <c r="S632" s="2"/>
      <c r="T632" s="2"/>
    </row>
    <row r="633" spans="1:20" s="10" customFormat="1" ht="15.75" customHeight="1" x14ac:dyDescent="0.2">
      <c r="A633" s="21">
        <v>656</v>
      </c>
      <c r="B633" s="22" t="s">
        <v>11</v>
      </c>
      <c r="C633" s="22" t="s">
        <v>14</v>
      </c>
      <c r="D633" s="22" t="s">
        <v>167</v>
      </c>
      <c r="E633" s="22" t="s">
        <v>16</v>
      </c>
      <c r="F633" s="18" t="str">
        <f>C633&amp;"-"&amp;D633&amp;"-"&amp;E633</f>
        <v>B1-P5-C1</v>
      </c>
      <c r="G633" s="22" t="s">
        <v>619</v>
      </c>
      <c r="H633" s="22">
        <v>1</v>
      </c>
      <c r="I633" s="22" t="str">
        <f>C633&amp;"_"&amp;D633&amp;"_"&amp;E633&amp;"_"&amp;G633&amp;H633</f>
        <v>B1_P5_C1_E1</v>
      </c>
      <c r="J633" s="22" t="s">
        <v>133</v>
      </c>
      <c r="K633" s="21" t="str">
        <f>B633&amp;"-"&amp;C633&amp;"-"&amp;D633&amp;"-"&amp;E633&amp;"-"&amp;G633&amp;H633</f>
        <v>Robinia-B1-P5-C1-E1</v>
      </c>
      <c r="L633" s="22" t="s">
        <v>64</v>
      </c>
      <c r="M633" s="22" t="s">
        <v>44</v>
      </c>
      <c r="N633" s="22" t="str">
        <f>J633&amp;"_"&amp;L633&amp;"_"&amp;M633</f>
        <v>Control_Grey_Yes</v>
      </c>
      <c r="O633" s="27" t="str">
        <f>J633&amp;"_"&amp;M633</f>
        <v>Control_Yes</v>
      </c>
      <c r="P633" s="2" t="str">
        <f>J633&amp;"_"&amp;M633</f>
        <v>Control_Yes</v>
      </c>
      <c r="Q633" s="2" t="str">
        <f>L633&amp;"_"&amp;M633</f>
        <v>Grey_Yes</v>
      </c>
      <c r="R633" s="18" t="s">
        <v>2072</v>
      </c>
      <c r="S633" s="2"/>
      <c r="T633" s="2"/>
    </row>
    <row r="634" spans="1:20" s="10" customFormat="1" ht="15.75" customHeight="1" x14ac:dyDescent="0.2">
      <c r="A634" s="21">
        <v>657</v>
      </c>
      <c r="B634" s="22" t="s">
        <v>11</v>
      </c>
      <c r="C634" s="22" t="s">
        <v>14</v>
      </c>
      <c r="D634" s="22" t="s">
        <v>167</v>
      </c>
      <c r="E634" s="22" t="s">
        <v>16</v>
      </c>
      <c r="F634" s="18" t="str">
        <f>C634&amp;"-"&amp;D634&amp;"-"&amp;E634</f>
        <v>B1-P5-C1</v>
      </c>
      <c r="G634" s="22" t="s">
        <v>620</v>
      </c>
      <c r="H634" s="22">
        <v>1</v>
      </c>
      <c r="I634" s="22" t="str">
        <f>C634&amp;"_"&amp;D634&amp;"_"&amp;E634&amp;"_"&amp;G634&amp;H634</f>
        <v>B1_P5_C1_F1</v>
      </c>
      <c r="J634" s="22" t="s">
        <v>133</v>
      </c>
      <c r="K634" s="21" t="str">
        <f>B634&amp;"-"&amp;C634&amp;"-"&amp;D634&amp;"-"&amp;E634&amp;"-"&amp;G634&amp;H634</f>
        <v>Robinia-B1-P5-C1-F1</v>
      </c>
      <c r="L634" s="22" t="s">
        <v>64</v>
      </c>
      <c r="M634" s="22" t="s">
        <v>44</v>
      </c>
      <c r="N634" s="22" t="str">
        <f>J634&amp;"_"&amp;L634&amp;"_"&amp;M634</f>
        <v>Control_Grey_Yes</v>
      </c>
      <c r="O634" s="27" t="str">
        <f>J634&amp;"_"&amp;M634</f>
        <v>Control_Yes</v>
      </c>
      <c r="P634" s="2" t="str">
        <f>J634&amp;"_"&amp;M634</f>
        <v>Control_Yes</v>
      </c>
      <c r="Q634" s="2" t="str">
        <f>L634&amp;"_"&amp;M634</f>
        <v>Grey_Yes</v>
      </c>
      <c r="R634" s="18" t="s">
        <v>2072</v>
      </c>
      <c r="S634" s="2"/>
      <c r="T634" s="2"/>
    </row>
    <row r="635" spans="1:20" s="10" customFormat="1" ht="15.75" customHeight="1" x14ac:dyDescent="0.2">
      <c r="A635" s="21">
        <v>658</v>
      </c>
      <c r="B635" s="22" t="s">
        <v>11</v>
      </c>
      <c r="C635" s="22" t="s">
        <v>14</v>
      </c>
      <c r="D635" s="22" t="s">
        <v>167</v>
      </c>
      <c r="E635" s="22" t="s">
        <v>16</v>
      </c>
      <c r="F635" s="18" t="str">
        <f>C635&amp;"-"&amp;D635&amp;"-"&amp;E635</f>
        <v>B1-P5-C1</v>
      </c>
      <c r="G635" s="22" t="s">
        <v>618</v>
      </c>
      <c r="H635" s="22">
        <v>2</v>
      </c>
      <c r="I635" s="22" t="str">
        <f>C635&amp;"_"&amp;D635&amp;"_"&amp;E635&amp;"_"&amp;G635&amp;H635</f>
        <v>B1_P5_C1_D2</v>
      </c>
      <c r="J635" s="22" t="s">
        <v>133</v>
      </c>
      <c r="K635" s="21" t="str">
        <f>B635&amp;"-"&amp;C635&amp;"-"&amp;D635&amp;"-"&amp;E635&amp;"-"&amp;G635&amp;H635</f>
        <v>Robinia-B1-P5-C1-D2</v>
      </c>
      <c r="L635" s="22" t="s">
        <v>64</v>
      </c>
      <c r="M635" s="22" t="s">
        <v>44</v>
      </c>
      <c r="N635" s="22" t="str">
        <f>J635&amp;"_"&amp;L635&amp;"_"&amp;M635</f>
        <v>Control_Grey_Yes</v>
      </c>
      <c r="O635" s="27" t="str">
        <f>J635&amp;"_"&amp;M635</f>
        <v>Control_Yes</v>
      </c>
      <c r="P635" s="2" t="str">
        <f>J635&amp;"_"&amp;M635</f>
        <v>Control_Yes</v>
      </c>
      <c r="Q635" s="2" t="str">
        <f>L635&amp;"_"&amp;M635</f>
        <v>Grey_Yes</v>
      </c>
      <c r="R635" s="18" t="s">
        <v>2072</v>
      </c>
      <c r="S635" s="2"/>
      <c r="T635" s="2"/>
    </row>
    <row r="636" spans="1:20" s="10" customFormat="1" ht="15.75" customHeight="1" x14ac:dyDescent="0.2">
      <c r="A636" s="21">
        <v>659</v>
      </c>
      <c r="B636" s="22" t="s">
        <v>11</v>
      </c>
      <c r="C636" s="22" t="s">
        <v>14</v>
      </c>
      <c r="D636" s="22" t="s">
        <v>167</v>
      </c>
      <c r="E636" s="22" t="s">
        <v>16</v>
      </c>
      <c r="F636" s="18" t="str">
        <f>C636&amp;"-"&amp;D636&amp;"-"&amp;E636</f>
        <v>B1-P5-C1</v>
      </c>
      <c r="G636" s="22" t="s">
        <v>619</v>
      </c>
      <c r="H636" s="22">
        <v>2</v>
      </c>
      <c r="I636" s="22" t="str">
        <f>C636&amp;"_"&amp;D636&amp;"_"&amp;E636&amp;"_"&amp;G636&amp;H636</f>
        <v>B1_P5_C1_E2</v>
      </c>
      <c r="J636" s="22" t="s">
        <v>133</v>
      </c>
      <c r="K636" s="21" t="str">
        <f>B636&amp;"-"&amp;C636&amp;"-"&amp;D636&amp;"-"&amp;E636&amp;"-"&amp;G636&amp;H636</f>
        <v>Robinia-B1-P5-C1-E2</v>
      </c>
      <c r="L636" s="22" t="s">
        <v>64</v>
      </c>
      <c r="M636" s="22" t="s">
        <v>44</v>
      </c>
      <c r="N636" s="22" t="str">
        <f>J636&amp;"_"&amp;L636&amp;"_"&amp;M636</f>
        <v>Control_Grey_Yes</v>
      </c>
      <c r="O636" s="27" t="str">
        <f>J636&amp;"_"&amp;M636</f>
        <v>Control_Yes</v>
      </c>
      <c r="P636" s="2" t="str">
        <f>J636&amp;"_"&amp;M636</f>
        <v>Control_Yes</v>
      </c>
      <c r="Q636" s="2" t="str">
        <f>L636&amp;"_"&amp;M636</f>
        <v>Grey_Yes</v>
      </c>
      <c r="R636" s="18" t="s">
        <v>2072</v>
      </c>
      <c r="S636" s="2"/>
      <c r="T636" s="2"/>
    </row>
    <row r="637" spans="1:20" s="10" customFormat="1" ht="15.75" customHeight="1" x14ac:dyDescent="0.2">
      <c r="A637" s="21">
        <v>660</v>
      </c>
      <c r="B637" s="22" t="s">
        <v>11</v>
      </c>
      <c r="C637" s="22" t="s">
        <v>14</v>
      </c>
      <c r="D637" s="22" t="s">
        <v>167</v>
      </c>
      <c r="E637" s="22" t="s">
        <v>16</v>
      </c>
      <c r="F637" s="18" t="str">
        <f>C637&amp;"-"&amp;D637&amp;"-"&amp;E637</f>
        <v>B1-P5-C1</v>
      </c>
      <c r="G637" s="22" t="s">
        <v>620</v>
      </c>
      <c r="H637" s="22">
        <v>2</v>
      </c>
      <c r="I637" s="22" t="str">
        <f>C637&amp;"_"&amp;D637&amp;"_"&amp;E637&amp;"_"&amp;G637&amp;H637</f>
        <v>B1_P5_C1_F2</v>
      </c>
      <c r="J637" s="22" t="s">
        <v>133</v>
      </c>
      <c r="K637" s="21" t="str">
        <f>B637&amp;"-"&amp;C637&amp;"-"&amp;D637&amp;"-"&amp;E637&amp;"-"&amp;G637&amp;H637</f>
        <v>Robinia-B1-P5-C1-F2</v>
      </c>
      <c r="L637" s="22" t="s">
        <v>64</v>
      </c>
      <c r="M637" s="22" t="s">
        <v>44</v>
      </c>
      <c r="N637" s="22" t="str">
        <f>J637&amp;"_"&amp;L637&amp;"_"&amp;M637</f>
        <v>Control_Grey_Yes</v>
      </c>
      <c r="O637" s="27" t="str">
        <f>J637&amp;"_"&amp;M637</f>
        <v>Control_Yes</v>
      </c>
      <c r="P637" s="2" t="str">
        <f>J637&amp;"_"&amp;M637</f>
        <v>Control_Yes</v>
      </c>
      <c r="Q637" s="2" t="str">
        <f>L637&amp;"_"&amp;M637</f>
        <v>Grey_Yes</v>
      </c>
      <c r="R637" s="18" t="s">
        <v>2072</v>
      </c>
      <c r="S637" s="2"/>
      <c r="T637" s="2"/>
    </row>
    <row r="638" spans="1:20" ht="15.75" customHeight="1" x14ac:dyDescent="0.2">
      <c r="A638" s="13">
        <v>661</v>
      </c>
      <c r="B638" s="15" t="s">
        <v>11</v>
      </c>
      <c r="C638" s="15" t="s">
        <v>14</v>
      </c>
      <c r="D638" s="15" t="s">
        <v>167</v>
      </c>
      <c r="E638" s="15" t="s">
        <v>32</v>
      </c>
      <c r="F638" s="15" t="str">
        <f>C638&amp;"-"&amp;D638&amp;"-"&amp;E638</f>
        <v>B1-P5-C2</v>
      </c>
      <c r="G638" s="15" t="s">
        <v>618</v>
      </c>
      <c r="H638" s="15">
        <v>1</v>
      </c>
      <c r="I638" s="15" t="str">
        <f>C638&amp;"_"&amp;D638&amp;"_"&amp;E638&amp;"_"&amp;G638&amp;H638</f>
        <v>B1_P5_C2_D1</v>
      </c>
      <c r="J638" s="15" t="s">
        <v>133</v>
      </c>
      <c r="K638" s="13" t="str">
        <f>B638&amp;"-"&amp;C638&amp;"-"&amp;D638&amp;"-"&amp;E638&amp;"-"&amp;G638&amp;H638</f>
        <v>Robinia-B1-P5-C2-D1</v>
      </c>
      <c r="L638" s="15" t="s">
        <v>64</v>
      </c>
      <c r="M638" s="15" t="s">
        <v>44</v>
      </c>
      <c r="N638" s="15" t="str">
        <f>J638&amp;"_"&amp;L638&amp;"_"&amp;M638</f>
        <v>Control_Grey_Yes</v>
      </c>
      <c r="O638" s="24" t="str">
        <f>J638&amp;"_"&amp;M638</f>
        <v>Control_Yes</v>
      </c>
      <c r="P638" s="1" t="str">
        <f>J638&amp;"_"&amp;M638</f>
        <v>Control_Yes</v>
      </c>
      <c r="Q638" s="1" t="str">
        <f>L638&amp;"_"&amp;M638</f>
        <v>Grey_Yes</v>
      </c>
      <c r="R638" s="18" t="s">
        <v>2072</v>
      </c>
      <c r="S638" s="23"/>
      <c r="T638" s="23"/>
    </row>
    <row r="639" spans="1:20" ht="15.75" customHeight="1" x14ac:dyDescent="0.2">
      <c r="A639" s="13">
        <v>662</v>
      </c>
      <c r="B639" s="15" t="s">
        <v>11</v>
      </c>
      <c r="C639" s="15" t="s">
        <v>14</v>
      </c>
      <c r="D639" s="15" t="s">
        <v>167</v>
      </c>
      <c r="E639" s="15" t="s">
        <v>32</v>
      </c>
      <c r="F639" s="15" t="str">
        <f>C639&amp;"-"&amp;D639&amp;"-"&amp;E639</f>
        <v>B1-P5-C2</v>
      </c>
      <c r="G639" s="15" t="s">
        <v>619</v>
      </c>
      <c r="H639" s="15">
        <v>1</v>
      </c>
      <c r="I639" s="15" t="str">
        <f>C639&amp;"_"&amp;D639&amp;"_"&amp;E639&amp;"_"&amp;G639&amp;H639</f>
        <v>B1_P5_C2_E1</v>
      </c>
      <c r="J639" s="15" t="s">
        <v>133</v>
      </c>
      <c r="K639" s="13" t="str">
        <f>B639&amp;"-"&amp;C639&amp;"-"&amp;D639&amp;"-"&amp;E639&amp;"-"&amp;G639&amp;H639</f>
        <v>Robinia-B1-P5-C2-E1</v>
      </c>
      <c r="L639" s="15" t="s">
        <v>64</v>
      </c>
      <c r="M639" s="15" t="s">
        <v>44</v>
      </c>
      <c r="N639" s="15" t="str">
        <f>J639&amp;"_"&amp;L639&amp;"_"&amp;M639</f>
        <v>Control_Grey_Yes</v>
      </c>
      <c r="O639" s="24" t="str">
        <f>J639&amp;"_"&amp;M639</f>
        <v>Control_Yes</v>
      </c>
      <c r="P639" s="1" t="str">
        <f>J639&amp;"_"&amp;M639</f>
        <v>Control_Yes</v>
      </c>
      <c r="Q639" s="1" t="str">
        <f>L639&amp;"_"&amp;M639</f>
        <v>Grey_Yes</v>
      </c>
      <c r="R639" s="18" t="s">
        <v>2072</v>
      </c>
      <c r="S639" s="23"/>
      <c r="T639" s="23"/>
    </row>
    <row r="640" spans="1:20" ht="15.75" customHeight="1" x14ac:dyDescent="0.2">
      <c r="A640" s="13">
        <v>663</v>
      </c>
      <c r="B640" s="15" t="s">
        <v>11</v>
      </c>
      <c r="C640" s="15" t="s">
        <v>14</v>
      </c>
      <c r="D640" s="15" t="s">
        <v>167</v>
      </c>
      <c r="E640" s="15" t="s">
        <v>32</v>
      </c>
      <c r="F640" s="15" t="str">
        <f>C640&amp;"-"&amp;D640&amp;"-"&amp;E640</f>
        <v>B1-P5-C2</v>
      </c>
      <c r="G640" s="15" t="s">
        <v>620</v>
      </c>
      <c r="H640" s="15">
        <v>1</v>
      </c>
      <c r="I640" s="15" t="str">
        <f>C640&amp;"_"&amp;D640&amp;"_"&amp;E640&amp;"_"&amp;G640&amp;H640</f>
        <v>B1_P5_C2_F1</v>
      </c>
      <c r="J640" s="15" t="s">
        <v>133</v>
      </c>
      <c r="K640" s="13" t="str">
        <f>B640&amp;"-"&amp;C640&amp;"-"&amp;D640&amp;"-"&amp;E640&amp;"-"&amp;G640&amp;H640</f>
        <v>Robinia-B1-P5-C2-F1</v>
      </c>
      <c r="L640" s="15" t="s">
        <v>64</v>
      </c>
      <c r="M640" s="15" t="s">
        <v>44</v>
      </c>
      <c r="N640" s="15" t="str">
        <f>J640&amp;"_"&amp;L640&amp;"_"&amp;M640</f>
        <v>Control_Grey_Yes</v>
      </c>
      <c r="O640" s="24" t="str">
        <f>J640&amp;"_"&amp;M640</f>
        <v>Control_Yes</v>
      </c>
      <c r="P640" s="1" t="str">
        <f>J640&amp;"_"&amp;M640</f>
        <v>Control_Yes</v>
      </c>
      <c r="Q640" s="1" t="str">
        <f>L640&amp;"_"&amp;M640</f>
        <v>Grey_Yes</v>
      </c>
      <c r="R640" s="18" t="s">
        <v>2072</v>
      </c>
      <c r="S640" s="23"/>
      <c r="T640" s="23"/>
    </row>
    <row r="641" spans="1:20" ht="15.75" customHeight="1" x14ac:dyDescent="0.2">
      <c r="A641" s="13">
        <v>664</v>
      </c>
      <c r="B641" s="15" t="s">
        <v>11</v>
      </c>
      <c r="C641" s="15" t="s">
        <v>14</v>
      </c>
      <c r="D641" s="15" t="s">
        <v>167</v>
      </c>
      <c r="E641" s="15" t="s">
        <v>32</v>
      </c>
      <c r="F641" s="15" t="str">
        <f>C641&amp;"-"&amp;D641&amp;"-"&amp;E641</f>
        <v>B1-P5-C2</v>
      </c>
      <c r="G641" s="15" t="s">
        <v>618</v>
      </c>
      <c r="H641" s="15">
        <v>2</v>
      </c>
      <c r="I641" s="15" t="str">
        <f>C641&amp;"_"&amp;D641&amp;"_"&amp;E641&amp;"_"&amp;G641&amp;H641</f>
        <v>B1_P5_C2_D2</v>
      </c>
      <c r="J641" s="15" t="s">
        <v>133</v>
      </c>
      <c r="K641" s="13" t="str">
        <f>B641&amp;"-"&amp;C641&amp;"-"&amp;D641&amp;"-"&amp;E641&amp;"-"&amp;G641&amp;H641</f>
        <v>Robinia-B1-P5-C2-D2</v>
      </c>
      <c r="L641" s="15" t="s">
        <v>64</v>
      </c>
      <c r="M641" s="15" t="s">
        <v>44</v>
      </c>
      <c r="N641" s="15" t="str">
        <f>J641&amp;"_"&amp;L641&amp;"_"&amp;M641</f>
        <v>Control_Grey_Yes</v>
      </c>
      <c r="O641" s="24" t="str">
        <f>J641&amp;"_"&amp;M641</f>
        <v>Control_Yes</v>
      </c>
      <c r="P641" s="1" t="str">
        <f>J641&amp;"_"&amp;M641</f>
        <v>Control_Yes</v>
      </c>
      <c r="Q641" s="1" t="str">
        <f>L641&amp;"_"&amp;M641</f>
        <v>Grey_Yes</v>
      </c>
      <c r="R641" s="18" t="s">
        <v>2072</v>
      </c>
      <c r="S641" s="23"/>
      <c r="T641" s="23"/>
    </row>
    <row r="642" spans="1:20" ht="15.75" customHeight="1" x14ac:dyDescent="0.2">
      <c r="A642" s="13">
        <v>665</v>
      </c>
      <c r="B642" s="15" t="s">
        <v>11</v>
      </c>
      <c r="C642" s="15" t="s">
        <v>14</v>
      </c>
      <c r="D642" s="15" t="s">
        <v>167</v>
      </c>
      <c r="E642" s="15" t="s">
        <v>32</v>
      </c>
      <c r="F642" s="15" t="str">
        <f>C642&amp;"-"&amp;D642&amp;"-"&amp;E642</f>
        <v>B1-P5-C2</v>
      </c>
      <c r="G642" s="15" t="s">
        <v>619</v>
      </c>
      <c r="H642" s="15">
        <v>2</v>
      </c>
      <c r="I642" s="15" t="str">
        <f>C642&amp;"_"&amp;D642&amp;"_"&amp;E642&amp;"_"&amp;G642&amp;H642</f>
        <v>B1_P5_C2_E2</v>
      </c>
      <c r="J642" s="15" t="s">
        <v>133</v>
      </c>
      <c r="K642" s="13" t="str">
        <f>B642&amp;"-"&amp;C642&amp;"-"&amp;D642&amp;"-"&amp;E642&amp;"-"&amp;G642&amp;H642</f>
        <v>Robinia-B1-P5-C2-E2</v>
      </c>
      <c r="L642" s="15" t="s">
        <v>64</v>
      </c>
      <c r="M642" s="15" t="s">
        <v>44</v>
      </c>
      <c r="N642" s="15" t="str">
        <f>J642&amp;"_"&amp;L642&amp;"_"&amp;M642</f>
        <v>Control_Grey_Yes</v>
      </c>
      <c r="O642" s="24" t="str">
        <f>J642&amp;"_"&amp;M642</f>
        <v>Control_Yes</v>
      </c>
      <c r="P642" s="1" t="str">
        <f>J642&amp;"_"&amp;M642</f>
        <v>Control_Yes</v>
      </c>
      <c r="Q642" s="1" t="str">
        <f>L642&amp;"_"&amp;M642</f>
        <v>Grey_Yes</v>
      </c>
      <c r="R642" s="18" t="s">
        <v>2072</v>
      </c>
      <c r="S642" s="23"/>
      <c r="T642" s="23"/>
    </row>
    <row r="643" spans="1:20" ht="15.75" customHeight="1" x14ac:dyDescent="0.2">
      <c r="A643" s="13">
        <v>666</v>
      </c>
      <c r="B643" s="15" t="s">
        <v>11</v>
      </c>
      <c r="C643" s="15" t="s">
        <v>14</v>
      </c>
      <c r="D643" s="15" t="s">
        <v>167</v>
      </c>
      <c r="E643" s="15" t="s">
        <v>32</v>
      </c>
      <c r="F643" s="15" t="str">
        <f>C643&amp;"-"&amp;D643&amp;"-"&amp;E643</f>
        <v>B1-P5-C2</v>
      </c>
      <c r="G643" s="15" t="s">
        <v>620</v>
      </c>
      <c r="H643" s="15">
        <v>2</v>
      </c>
      <c r="I643" s="15" t="str">
        <f>C643&amp;"_"&amp;D643&amp;"_"&amp;E643&amp;"_"&amp;G643&amp;H643</f>
        <v>B1_P5_C2_F2</v>
      </c>
      <c r="J643" s="15" t="s">
        <v>133</v>
      </c>
      <c r="K643" s="13" t="str">
        <f>B643&amp;"-"&amp;C643&amp;"-"&amp;D643&amp;"-"&amp;E643&amp;"-"&amp;G643&amp;H643</f>
        <v>Robinia-B1-P5-C2-F2</v>
      </c>
      <c r="L643" s="15" t="s">
        <v>64</v>
      </c>
      <c r="M643" s="15" t="s">
        <v>44</v>
      </c>
      <c r="N643" s="15" t="str">
        <f>J643&amp;"_"&amp;L643&amp;"_"&amp;M643</f>
        <v>Control_Grey_Yes</v>
      </c>
      <c r="O643" s="24" t="str">
        <f>J643&amp;"_"&amp;M643</f>
        <v>Control_Yes</v>
      </c>
      <c r="P643" s="1" t="str">
        <f>J643&amp;"_"&amp;M643</f>
        <v>Control_Yes</v>
      </c>
      <c r="Q643" s="1" t="str">
        <f>L643&amp;"_"&amp;M643</f>
        <v>Grey_Yes</v>
      </c>
      <c r="R643" s="18" t="s">
        <v>2072</v>
      </c>
      <c r="S643" s="23"/>
      <c r="T643" s="23"/>
    </row>
    <row r="644" spans="1:20" s="10" customFormat="1" ht="15.75" customHeight="1" x14ac:dyDescent="0.2">
      <c r="A644" s="21">
        <v>667</v>
      </c>
      <c r="B644" s="22" t="s">
        <v>11</v>
      </c>
      <c r="C644" s="22" t="s">
        <v>14</v>
      </c>
      <c r="D644" s="22" t="s">
        <v>200</v>
      </c>
      <c r="E644" s="22" t="s">
        <v>53</v>
      </c>
      <c r="F644" s="18" t="str">
        <f>C644&amp;"-"&amp;D644&amp;"-"&amp;E644</f>
        <v>B1-P6-C4</v>
      </c>
      <c r="G644" s="22" t="s">
        <v>618</v>
      </c>
      <c r="H644" s="22">
        <v>1</v>
      </c>
      <c r="I644" s="22" t="str">
        <f>C644&amp;"_"&amp;D644&amp;"_"&amp;E644&amp;"_"&amp;G644&amp;H644</f>
        <v>B1_P6_C4_D1</v>
      </c>
      <c r="J644" s="22" t="s">
        <v>133</v>
      </c>
      <c r="K644" s="21" t="str">
        <f>B644&amp;"-"&amp;C644&amp;"-"&amp;D644&amp;"-"&amp;E644&amp;"-"&amp;G644&amp;H644</f>
        <v>Robinia-B1-P6-C4-D1</v>
      </c>
      <c r="L644" s="22" t="s">
        <v>64</v>
      </c>
      <c r="M644" s="22" t="s">
        <v>44</v>
      </c>
      <c r="N644" s="22" t="str">
        <f>J644&amp;"_"&amp;L644&amp;"_"&amp;M644</f>
        <v>Control_Grey_Yes</v>
      </c>
      <c r="O644" s="27" t="str">
        <f>J644&amp;"_"&amp;M644</f>
        <v>Control_Yes</v>
      </c>
      <c r="P644" s="2" t="str">
        <f>J644&amp;"_"&amp;M644</f>
        <v>Control_Yes</v>
      </c>
      <c r="Q644" s="2" t="str">
        <f>L644&amp;"_"&amp;M644</f>
        <v>Grey_Yes</v>
      </c>
      <c r="R644" s="18" t="s">
        <v>2072</v>
      </c>
      <c r="S644" s="23"/>
      <c r="T644" s="23"/>
    </row>
    <row r="645" spans="1:20" s="10" customFormat="1" ht="15.75" customHeight="1" x14ac:dyDescent="0.2">
      <c r="A645" s="21">
        <v>668</v>
      </c>
      <c r="B645" s="22" t="s">
        <v>11</v>
      </c>
      <c r="C645" s="22" t="s">
        <v>14</v>
      </c>
      <c r="D645" s="22" t="s">
        <v>200</v>
      </c>
      <c r="E645" s="22" t="s">
        <v>53</v>
      </c>
      <c r="F645" s="18" t="str">
        <f>C645&amp;"-"&amp;D645&amp;"-"&amp;E645</f>
        <v>B1-P6-C4</v>
      </c>
      <c r="G645" s="22" t="s">
        <v>619</v>
      </c>
      <c r="H645" s="22">
        <v>1</v>
      </c>
      <c r="I645" s="22" t="str">
        <f>C645&amp;"_"&amp;D645&amp;"_"&amp;E645&amp;"_"&amp;G645&amp;H645</f>
        <v>B1_P6_C4_E1</v>
      </c>
      <c r="J645" s="22" t="s">
        <v>133</v>
      </c>
      <c r="K645" s="21" t="str">
        <f>B645&amp;"-"&amp;C645&amp;"-"&amp;D645&amp;"-"&amp;E645&amp;"-"&amp;G645&amp;H645</f>
        <v>Robinia-B1-P6-C4-E1</v>
      </c>
      <c r="L645" s="22" t="s">
        <v>64</v>
      </c>
      <c r="M645" s="22" t="s">
        <v>44</v>
      </c>
      <c r="N645" s="22" t="str">
        <f>J645&amp;"_"&amp;L645&amp;"_"&amp;M645</f>
        <v>Control_Grey_Yes</v>
      </c>
      <c r="O645" s="27" t="str">
        <f>J645&amp;"_"&amp;M645</f>
        <v>Control_Yes</v>
      </c>
      <c r="P645" s="2" t="str">
        <f>J645&amp;"_"&amp;M645</f>
        <v>Control_Yes</v>
      </c>
      <c r="Q645" s="2" t="str">
        <f>L645&amp;"_"&amp;M645</f>
        <v>Grey_Yes</v>
      </c>
      <c r="R645" s="18" t="s">
        <v>2072</v>
      </c>
      <c r="S645" s="23"/>
      <c r="T645" s="23"/>
    </row>
    <row r="646" spans="1:20" s="10" customFormat="1" ht="15.75" customHeight="1" x14ac:dyDescent="0.2">
      <c r="A646" s="21">
        <v>669</v>
      </c>
      <c r="B646" s="22" t="s">
        <v>11</v>
      </c>
      <c r="C646" s="22" t="s">
        <v>14</v>
      </c>
      <c r="D646" s="22" t="s">
        <v>200</v>
      </c>
      <c r="E646" s="22" t="s">
        <v>53</v>
      </c>
      <c r="F646" s="18" t="str">
        <f>C646&amp;"-"&amp;D646&amp;"-"&amp;E646</f>
        <v>B1-P6-C4</v>
      </c>
      <c r="G646" s="22" t="s">
        <v>620</v>
      </c>
      <c r="H646" s="22">
        <v>1</v>
      </c>
      <c r="I646" s="22" t="str">
        <f>C646&amp;"_"&amp;D646&amp;"_"&amp;E646&amp;"_"&amp;G646&amp;H646</f>
        <v>B1_P6_C4_F1</v>
      </c>
      <c r="J646" s="22" t="s">
        <v>133</v>
      </c>
      <c r="K646" s="21" t="str">
        <f>B646&amp;"-"&amp;C646&amp;"-"&amp;D646&amp;"-"&amp;E646&amp;"-"&amp;G646&amp;H646</f>
        <v>Robinia-B1-P6-C4-F1</v>
      </c>
      <c r="L646" s="22" t="s">
        <v>64</v>
      </c>
      <c r="M646" s="22" t="s">
        <v>44</v>
      </c>
      <c r="N646" s="22" t="str">
        <f>J646&amp;"_"&amp;L646&amp;"_"&amp;M646</f>
        <v>Control_Grey_Yes</v>
      </c>
      <c r="O646" s="27" t="str">
        <f>J646&amp;"_"&amp;M646</f>
        <v>Control_Yes</v>
      </c>
      <c r="P646" s="2" t="str">
        <f>J646&amp;"_"&amp;M646</f>
        <v>Control_Yes</v>
      </c>
      <c r="Q646" s="2" t="str">
        <f>L646&amp;"_"&amp;M646</f>
        <v>Grey_Yes</v>
      </c>
      <c r="R646" s="18" t="s">
        <v>2072</v>
      </c>
      <c r="S646" s="2"/>
      <c r="T646" s="2"/>
    </row>
    <row r="647" spans="1:20" s="10" customFormat="1" ht="15.75" customHeight="1" x14ac:dyDescent="0.2">
      <c r="A647" s="21">
        <v>670</v>
      </c>
      <c r="B647" s="22" t="s">
        <v>11</v>
      </c>
      <c r="C647" s="22" t="s">
        <v>14</v>
      </c>
      <c r="D647" s="22" t="s">
        <v>200</v>
      </c>
      <c r="E647" s="22" t="s">
        <v>53</v>
      </c>
      <c r="F647" s="18" t="str">
        <f>C647&amp;"-"&amp;D647&amp;"-"&amp;E647</f>
        <v>B1-P6-C4</v>
      </c>
      <c r="G647" s="22" t="s">
        <v>618</v>
      </c>
      <c r="H647" s="22">
        <v>2</v>
      </c>
      <c r="I647" s="22" t="str">
        <f>C647&amp;"_"&amp;D647&amp;"_"&amp;E647&amp;"_"&amp;G647&amp;H647</f>
        <v>B1_P6_C4_D2</v>
      </c>
      <c r="J647" s="22" t="s">
        <v>133</v>
      </c>
      <c r="K647" s="21" t="str">
        <f>B647&amp;"-"&amp;C647&amp;"-"&amp;D647&amp;"-"&amp;E647&amp;"-"&amp;G647&amp;H647</f>
        <v>Robinia-B1-P6-C4-D2</v>
      </c>
      <c r="L647" s="22" t="s">
        <v>64</v>
      </c>
      <c r="M647" s="22" t="s">
        <v>44</v>
      </c>
      <c r="N647" s="22" t="str">
        <f>J647&amp;"_"&amp;L647&amp;"_"&amp;M647</f>
        <v>Control_Grey_Yes</v>
      </c>
      <c r="O647" s="27" t="str">
        <f>J647&amp;"_"&amp;M647</f>
        <v>Control_Yes</v>
      </c>
      <c r="P647" s="2" t="str">
        <f>J647&amp;"_"&amp;M647</f>
        <v>Control_Yes</v>
      </c>
      <c r="Q647" s="2" t="str">
        <f>L647&amp;"_"&amp;M647</f>
        <v>Grey_Yes</v>
      </c>
      <c r="R647" s="18" t="s">
        <v>2072</v>
      </c>
      <c r="S647" s="2"/>
      <c r="T647" s="2"/>
    </row>
    <row r="648" spans="1:20" s="10" customFormat="1" ht="15.75" customHeight="1" x14ac:dyDescent="0.2">
      <c r="A648" s="21">
        <v>671</v>
      </c>
      <c r="B648" s="22" t="s">
        <v>11</v>
      </c>
      <c r="C648" s="22" t="s">
        <v>14</v>
      </c>
      <c r="D648" s="22" t="s">
        <v>200</v>
      </c>
      <c r="E648" s="22" t="s">
        <v>53</v>
      </c>
      <c r="F648" s="18" t="str">
        <f>C648&amp;"-"&amp;D648&amp;"-"&amp;E648</f>
        <v>B1-P6-C4</v>
      </c>
      <c r="G648" s="22" t="s">
        <v>619</v>
      </c>
      <c r="H648" s="22">
        <v>2</v>
      </c>
      <c r="I648" s="22" t="str">
        <f>C648&amp;"_"&amp;D648&amp;"_"&amp;E648&amp;"_"&amp;G648&amp;H648</f>
        <v>B1_P6_C4_E2</v>
      </c>
      <c r="J648" s="22" t="s">
        <v>133</v>
      </c>
      <c r="K648" s="21" t="str">
        <f>B648&amp;"-"&amp;C648&amp;"-"&amp;D648&amp;"-"&amp;E648&amp;"-"&amp;G648&amp;H648</f>
        <v>Robinia-B1-P6-C4-E2</v>
      </c>
      <c r="L648" s="22" t="s">
        <v>64</v>
      </c>
      <c r="M648" s="22" t="s">
        <v>44</v>
      </c>
      <c r="N648" s="22" t="str">
        <f>J648&amp;"_"&amp;L648&amp;"_"&amp;M648</f>
        <v>Control_Grey_Yes</v>
      </c>
      <c r="O648" s="27" t="str">
        <f>J648&amp;"_"&amp;M648</f>
        <v>Control_Yes</v>
      </c>
      <c r="P648" s="2" t="str">
        <f>J648&amp;"_"&amp;M648</f>
        <v>Control_Yes</v>
      </c>
      <c r="Q648" s="2" t="str">
        <f>L648&amp;"_"&amp;M648</f>
        <v>Grey_Yes</v>
      </c>
      <c r="R648" s="18" t="s">
        <v>2072</v>
      </c>
      <c r="S648" s="2"/>
      <c r="T648" s="2"/>
    </row>
    <row r="649" spans="1:20" s="10" customFormat="1" ht="15.75" customHeight="1" x14ac:dyDescent="0.2">
      <c r="A649" s="21">
        <v>672</v>
      </c>
      <c r="B649" s="22" t="s">
        <v>11</v>
      </c>
      <c r="C649" s="22" t="s">
        <v>14</v>
      </c>
      <c r="D649" s="22" t="s">
        <v>200</v>
      </c>
      <c r="E649" s="22" t="s">
        <v>53</v>
      </c>
      <c r="F649" s="18" t="str">
        <f>C649&amp;"-"&amp;D649&amp;"-"&amp;E649</f>
        <v>B1-P6-C4</v>
      </c>
      <c r="G649" s="22" t="s">
        <v>620</v>
      </c>
      <c r="H649" s="22">
        <v>2</v>
      </c>
      <c r="I649" s="22" t="str">
        <f>C649&amp;"_"&amp;D649&amp;"_"&amp;E649&amp;"_"&amp;G649&amp;H649</f>
        <v>B1_P6_C4_F2</v>
      </c>
      <c r="J649" s="22" t="s">
        <v>133</v>
      </c>
      <c r="K649" s="21" t="str">
        <f>B649&amp;"-"&amp;C649&amp;"-"&amp;D649&amp;"-"&amp;E649&amp;"-"&amp;G649&amp;H649</f>
        <v>Robinia-B1-P6-C4-F2</v>
      </c>
      <c r="L649" s="22" t="s">
        <v>64</v>
      </c>
      <c r="M649" s="22" t="s">
        <v>44</v>
      </c>
      <c r="N649" s="22" t="str">
        <f>J649&amp;"_"&amp;L649&amp;"_"&amp;M649</f>
        <v>Control_Grey_Yes</v>
      </c>
      <c r="O649" s="27" t="str">
        <f>J649&amp;"_"&amp;M649</f>
        <v>Control_Yes</v>
      </c>
      <c r="P649" s="2" t="str">
        <f>J649&amp;"_"&amp;M649</f>
        <v>Control_Yes</v>
      </c>
      <c r="Q649" s="2" t="str">
        <f>L649&amp;"_"&amp;M649</f>
        <v>Grey_Yes</v>
      </c>
      <c r="R649" s="18" t="s">
        <v>2072</v>
      </c>
      <c r="S649" s="2"/>
      <c r="T649" s="2"/>
    </row>
    <row r="650" spans="1:20" ht="15.75" customHeight="1" x14ac:dyDescent="0.2">
      <c r="A650" s="13">
        <v>673</v>
      </c>
      <c r="B650" s="15" t="s">
        <v>11</v>
      </c>
      <c r="C650" s="15" t="s">
        <v>234</v>
      </c>
      <c r="D650" s="15" t="s">
        <v>15</v>
      </c>
      <c r="E650" s="15" t="s">
        <v>16</v>
      </c>
      <c r="F650" s="15" t="str">
        <f>C650&amp;"-"&amp;D650&amp;"-"&amp;E650</f>
        <v>B2-P1-C1</v>
      </c>
      <c r="G650" s="15" t="s">
        <v>618</v>
      </c>
      <c r="H650" s="15">
        <v>1</v>
      </c>
      <c r="I650" s="15" t="str">
        <f>C650&amp;"_"&amp;D650&amp;"_"&amp;E650&amp;"_"&amp;G650&amp;H650</f>
        <v>B2_P1_C1_D1</v>
      </c>
      <c r="J650" s="15" t="s">
        <v>133</v>
      </c>
      <c r="K650" s="13" t="str">
        <f>B650&amp;"-"&amp;C650&amp;"-"&amp;D650&amp;"-"&amp;E650&amp;"-"&amp;G650&amp;H650</f>
        <v>Robinia-B2-P1-C1-D1</v>
      </c>
      <c r="L650" s="15" t="s">
        <v>64</v>
      </c>
      <c r="M650" s="15" t="s">
        <v>44</v>
      </c>
      <c r="N650" s="15" t="str">
        <f>J650&amp;"_"&amp;L650&amp;"_"&amp;M650</f>
        <v>Control_Grey_Yes</v>
      </c>
      <c r="O650" s="24" t="str">
        <f>J650&amp;"_"&amp;M650</f>
        <v>Control_Yes</v>
      </c>
      <c r="P650" s="1" t="str">
        <f>J650&amp;"_"&amp;M650</f>
        <v>Control_Yes</v>
      </c>
      <c r="Q650" s="1" t="str">
        <f>L650&amp;"_"&amp;M650</f>
        <v>Grey_Yes</v>
      </c>
      <c r="R650" s="18" t="s">
        <v>2072</v>
      </c>
      <c r="S650" s="2"/>
      <c r="T650" s="2"/>
    </row>
    <row r="651" spans="1:20" ht="15.75" customHeight="1" x14ac:dyDescent="0.2">
      <c r="A651" s="13">
        <v>674</v>
      </c>
      <c r="B651" s="15" t="s">
        <v>11</v>
      </c>
      <c r="C651" s="15" t="s">
        <v>234</v>
      </c>
      <c r="D651" s="15" t="s">
        <v>15</v>
      </c>
      <c r="E651" s="15" t="s">
        <v>16</v>
      </c>
      <c r="F651" s="15" t="str">
        <f>C651&amp;"-"&amp;D651&amp;"-"&amp;E651</f>
        <v>B2-P1-C1</v>
      </c>
      <c r="G651" s="15" t="s">
        <v>619</v>
      </c>
      <c r="H651" s="15">
        <v>1</v>
      </c>
      <c r="I651" s="15" t="str">
        <f>C651&amp;"_"&amp;D651&amp;"_"&amp;E651&amp;"_"&amp;G651&amp;H651</f>
        <v>B2_P1_C1_E1</v>
      </c>
      <c r="J651" s="15" t="s">
        <v>133</v>
      </c>
      <c r="K651" s="13" t="str">
        <f>B651&amp;"-"&amp;C651&amp;"-"&amp;D651&amp;"-"&amp;E651&amp;"-"&amp;G651&amp;H651</f>
        <v>Robinia-B2-P1-C1-E1</v>
      </c>
      <c r="L651" s="15" t="s">
        <v>64</v>
      </c>
      <c r="M651" s="15" t="s">
        <v>44</v>
      </c>
      <c r="N651" s="15" t="str">
        <f>J651&amp;"_"&amp;L651&amp;"_"&amp;M651</f>
        <v>Control_Grey_Yes</v>
      </c>
      <c r="O651" s="24" t="str">
        <f>J651&amp;"_"&amp;M651</f>
        <v>Control_Yes</v>
      </c>
      <c r="P651" s="1" t="str">
        <f>J651&amp;"_"&amp;M651</f>
        <v>Control_Yes</v>
      </c>
      <c r="Q651" s="1" t="str">
        <f>L651&amp;"_"&amp;M651</f>
        <v>Grey_Yes</v>
      </c>
      <c r="R651" s="18" t="s">
        <v>2072</v>
      </c>
      <c r="S651" s="2"/>
      <c r="T651" s="2"/>
    </row>
    <row r="652" spans="1:20" ht="15.75" customHeight="1" x14ac:dyDescent="0.2">
      <c r="A652" s="13">
        <v>675</v>
      </c>
      <c r="B652" s="15" t="s">
        <v>11</v>
      </c>
      <c r="C652" s="15" t="s">
        <v>234</v>
      </c>
      <c r="D652" s="15" t="s">
        <v>15</v>
      </c>
      <c r="E652" s="15" t="s">
        <v>16</v>
      </c>
      <c r="F652" s="15" t="str">
        <f>C652&amp;"-"&amp;D652&amp;"-"&amp;E652</f>
        <v>B2-P1-C1</v>
      </c>
      <c r="G652" s="15" t="s">
        <v>620</v>
      </c>
      <c r="H652" s="15">
        <v>1</v>
      </c>
      <c r="I652" s="15" t="str">
        <f>C652&amp;"_"&amp;D652&amp;"_"&amp;E652&amp;"_"&amp;G652&amp;H652</f>
        <v>B2_P1_C1_F1</v>
      </c>
      <c r="J652" s="15" t="s">
        <v>133</v>
      </c>
      <c r="K652" s="13" t="str">
        <f>B652&amp;"-"&amp;C652&amp;"-"&amp;D652&amp;"-"&amp;E652&amp;"-"&amp;G652&amp;H652</f>
        <v>Robinia-B2-P1-C1-F1</v>
      </c>
      <c r="L652" s="15" t="s">
        <v>64</v>
      </c>
      <c r="M652" s="15" t="s">
        <v>44</v>
      </c>
      <c r="N652" s="15" t="str">
        <f>J652&amp;"_"&amp;L652&amp;"_"&amp;M652</f>
        <v>Control_Grey_Yes</v>
      </c>
      <c r="O652" s="24" t="str">
        <f>J652&amp;"_"&amp;M652</f>
        <v>Control_Yes</v>
      </c>
      <c r="P652" s="1" t="str">
        <f>J652&amp;"_"&amp;M652</f>
        <v>Control_Yes</v>
      </c>
      <c r="Q652" s="1" t="str">
        <f>L652&amp;"_"&amp;M652</f>
        <v>Grey_Yes</v>
      </c>
      <c r="R652" s="18" t="s">
        <v>2072</v>
      </c>
      <c r="S652" s="2"/>
      <c r="T652" s="2"/>
    </row>
    <row r="653" spans="1:20" ht="15.75" customHeight="1" x14ac:dyDescent="0.2">
      <c r="A653" s="13">
        <v>676</v>
      </c>
      <c r="B653" s="15" t="s">
        <v>11</v>
      </c>
      <c r="C653" s="15" t="s">
        <v>234</v>
      </c>
      <c r="D653" s="15" t="s">
        <v>15</v>
      </c>
      <c r="E653" s="15" t="s">
        <v>16</v>
      </c>
      <c r="F653" s="15" t="str">
        <f>C653&amp;"-"&amp;D653&amp;"-"&amp;E653</f>
        <v>B2-P1-C1</v>
      </c>
      <c r="G653" s="15" t="s">
        <v>618</v>
      </c>
      <c r="H653" s="15">
        <v>2</v>
      </c>
      <c r="I653" s="15" t="str">
        <f>C653&amp;"_"&amp;D653&amp;"_"&amp;E653&amp;"_"&amp;G653&amp;H653</f>
        <v>B2_P1_C1_D2</v>
      </c>
      <c r="J653" s="15" t="s">
        <v>133</v>
      </c>
      <c r="K653" s="13" t="str">
        <f>B653&amp;"-"&amp;C653&amp;"-"&amp;D653&amp;"-"&amp;E653&amp;"-"&amp;G653&amp;H653</f>
        <v>Robinia-B2-P1-C1-D2</v>
      </c>
      <c r="L653" s="15" t="s">
        <v>64</v>
      </c>
      <c r="M653" s="15" t="s">
        <v>44</v>
      </c>
      <c r="N653" s="15" t="str">
        <f>J653&amp;"_"&amp;L653&amp;"_"&amp;M653</f>
        <v>Control_Grey_Yes</v>
      </c>
      <c r="O653" s="24" t="str">
        <f>J653&amp;"_"&amp;M653</f>
        <v>Control_Yes</v>
      </c>
      <c r="P653" s="1" t="str">
        <f>J653&amp;"_"&amp;M653</f>
        <v>Control_Yes</v>
      </c>
      <c r="Q653" s="1" t="str">
        <f>L653&amp;"_"&amp;M653</f>
        <v>Grey_Yes</v>
      </c>
      <c r="R653" s="18" t="s">
        <v>2072</v>
      </c>
      <c r="S653" s="2"/>
      <c r="T653" s="2"/>
    </row>
    <row r="654" spans="1:20" ht="15.75" customHeight="1" x14ac:dyDescent="0.2">
      <c r="A654" s="13">
        <v>677</v>
      </c>
      <c r="B654" s="15" t="s">
        <v>11</v>
      </c>
      <c r="C654" s="15" t="s">
        <v>234</v>
      </c>
      <c r="D654" s="15" t="s">
        <v>15</v>
      </c>
      <c r="E654" s="15" t="s">
        <v>16</v>
      </c>
      <c r="F654" s="15" t="str">
        <f>C654&amp;"-"&amp;D654&amp;"-"&amp;E654</f>
        <v>B2-P1-C1</v>
      </c>
      <c r="G654" s="15" t="s">
        <v>619</v>
      </c>
      <c r="H654" s="15">
        <v>2</v>
      </c>
      <c r="I654" s="15" t="str">
        <f>C654&amp;"_"&amp;D654&amp;"_"&amp;E654&amp;"_"&amp;G654&amp;H654</f>
        <v>B2_P1_C1_E2</v>
      </c>
      <c r="J654" s="15" t="s">
        <v>133</v>
      </c>
      <c r="K654" s="13" t="str">
        <f>B654&amp;"-"&amp;C654&amp;"-"&amp;D654&amp;"-"&amp;E654&amp;"-"&amp;G654&amp;H654</f>
        <v>Robinia-B2-P1-C1-E2</v>
      </c>
      <c r="L654" s="15" t="s">
        <v>64</v>
      </c>
      <c r="M654" s="15" t="s">
        <v>44</v>
      </c>
      <c r="N654" s="15" t="str">
        <f>J654&amp;"_"&amp;L654&amp;"_"&amp;M654</f>
        <v>Control_Grey_Yes</v>
      </c>
      <c r="O654" s="24" t="str">
        <f>J654&amp;"_"&amp;M654</f>
        <v>Control_Yes</v>
      </c>
      <c r="P654" s="1" t="str">
        <f>J654&amp;"_"&amp;M654</f>
        <v>Control_Yes</v>
      </c>
      <c r="Q654" s="1" t="str">
        <f>L654&amp;"_"&amp;M654</f>
        <v>Grey_Yes</v>
      </c>
      <c r="R654" s="18" t="s">
        <v>2072</v>
      </c>
      <c r="S654" s="23"/>
      <c r="T654" s="23"/>
    </row>
    <row r="655" spans="1:20" ht="15.75" customHeight="1" x14ac:dyDescent="0.2">
      <c r="A655" s="13">
        <v>678</v>
      </c>
      <c r="B655" s="15" t="s">
        <v>11</v>
      </c>
      <c r="C655" s="15" t="s">
        <v>234</v>
      </c>
      <c r="D655" s="15" t="s">
        <v>15</v>
      </c>
      <c r="E655" s="15" t="s">
        <v>16</v>
      </c>
      <c r="F655" s="15" t="str">
        <f>C655&amp;"-"&amp;D655&amp;"-"&amp;E655</f>
        <v>B2-P1-C1</v>
      </c>
      <c r="G655" s="15" t="s">
        <v>620</v>
      </c>
      <c r="H655" s="15">
        <v>2</v>
      </c>
      <c r="I655" s="15" t="str">
        <f>C655&amp;"_"&amp;D655&amp;"_"&amp;E655&amp;"_"&amp;G655&amp;H655</f>
        <v>B2_P1_C1_F2</v>
      </c>
      <c r="J655" s="15" t="s">
        <v>133</v>
      </c>
      <c r="K655" s="13" t="str">
        <f>B655&amp;"-"&amp;C655&amp;"-"&amp;D655&amp;"-"&amp;E655&amp;"-"&amp;G655&amp;H655</f>
        <v>Robinia-B2-P1-C1-F2</v>
      </c>
      <c r="L655" s="15" t="s">
        <v>64</v>
      </c>
      <c r="M655" s="15" t="s">
        <v>44</v>
      </c>
      <c r="N655" s="15" t="str">
        <f>J655&amp;"_"&amp;L655&amp;"_"&amp;M655</f>
        <v>Control_Grey_Yes</v>
      </c>
      <c r="O655" s="24" t="str">
        <f>J655&amp;"_"&amp;M655</f>
        <v>Control_Yes</v>
      </c>
      <c r="P655" s="1" t="str">
        <f>J655&amp;"_"&amp;M655</f>
        <v>Control_Yes</v>
      </c>
      <c r="Q655" s="1" t="str">
        <f>L655&amp;"_"&amp;M655</f>
        <v>Grey_Yes</v>
      </c>
      <c r="R655" s="18" t="s">
        <v>2072</v>
      </c>
      <c r="S655" s="23"/>
      <c r="T655" s="23"/>
    </row>
    <row r="656" spans="1:20" s="10" customFormat="1" ht="15.75" customHeight="1" x14ac:dyDescent="0.2">
      <c r="A656" s="21">
        <v>679</v>
      </c>
      <c r="B656" s="22" t="s">
        <v>11</v>
      </c>
      <c r="C656" s="22" t="s">
        <v>234</v>
      </c>
      <c r="D656" s="22" t="s">
        <v>15</v>
      </c>
      <c r="E656" s="22" t="s">
        <v>42</v>
      </c>
      <c r="F656" s="18" t="str">
        <f>C656&amp;"-"&amp;D656&amp;"-"&amp;E656</f>
        <v>B2-P1-C3</v>
      </c>
      <c r="G656" s="22" t="s">
        <v>618</v>
      </c>
      <c r="H656" s="22">
        <v>1</v>
      </c>
      <c r="I656" s="22" t="str">
        <f>C656&amp;"_"&amp;D656&amp;"_"&amp;E656&amp;"_"&amp;G656&amp;H656</f>
        <v>B2_P1_C3_D1</v>
      </c>
      <c r="J656" s="22" t="s">
        <v>133</v>
      </c>
      <c r="K656" s="21" t="str">
        <f>B656&amp;"-"&amp;C656&amp;"-"&amp;D656&amp;"-"&amp;E656&amp;"-"&amp;G656&amp;H656</f>
        <v>Robinia-B2-P1-C3-D1</v>
      </c>
      <c r="L656" s="22" t="s">
        <v>64</v>
      </c>
      <c r="M656" s="22" t="s">
        <v>44</v>
      </c>
      <c r="N656" s="22" t="str">
        <f>J656&amp;"_"&amp;L656&amp;"_"&amp;M656</f>
        <v>Control_Grey_Yes</v>
      </c>
      <c r="O656" s="27" t="str">
        <f>J656&amp;"_"&amp;M656</f>
        <v>Control_Yes</v>
      </c>
      <c r="P656" s="2" t="str">
        <f>J656&amp;"_"&amp;M656</f>
        <v>Control_Yes</v>
      </c>
      <c r="Q656" s="2" t="str">
        <f>L656&amp;"_"&amp;M656</f>
        <v>Grey_Yes</v>
      </c>
      <c r="R656" s="18" t="s">
        <v>2072</v>
      </c>
      <c r="S656" s="23"/>
      <c r="T656" s="23"/>
    </row>
    <row r="657" spans="1:20" s="10" customFormat="1" ht="15.75" customHeight="1" x14ac:dyDescent="0.2">
      <c r="A657" s="21">
        <v>680</v>
      </c>
      <c r="B657" s="22" t="s">
        <v>11</v>
      </c>
      <c r="C657" s="22" t="s">
        <v>234</v>
      </c>
      <c r="D657" s="22" t="s">
        <v>15</v>
      </c>
      <c r="E657" s="22" t="s">
        <v>42</v>
      </c>
      <c r="F657" s="18" t="str">
        <f>C657&amp;"-"&amp;D657&amp;"-"&amp;E657</f>
        <v>B2-P1-C3</v>
      </c>
      <c r="G657" s="22" t="s">
        <v>619</v>
      </c>
      <c r="H657" s="22">
        <v>1</v>
      </c>
      <c r="I657" s="22" t="str">
        <f>C657&amp;"_"&amp;D657&amp;"_"&amp;E657&amp;"_"&amp;G657&amp;H657</f>
        <v>B2_P1_C3_E1</v>
      </c>
      <c r="J657" s="22" t="s">
        <v>133</v>
      </c>
      <c r="K657" s="21" t="str">
        <f>B657&amp;"-"&amp;C657&amp;"-"&amp;D657&amp;"-"&amp;E657&amp;"-"&amp;G657&amp;H657</f>
        <v>Robinia-B2-P1-C3-E1</v>
      </c>
      <c r="L657" s="22" t="s">
        <v>64</v>
      </c>
      <c r="M657" s="22" t="s">
        <v>44</v>
      </c>
      <c r="N657" s="22" t="str">
        <f>J657&amp;"_"&amp;L657&amp;"_"&amp;M657</f>
        <v>Control_Grey_Yes</v>
      </c>
      <c r="O657" s="27" t="str">
        <f>J657&amp;"_"&amp;M657</f>
        <v>Control_Yes</v>
      </c>
      <c r="P657" s="2" t="str">
        <f>J657&amp;"_"&amp;M657</f>
        <v>Control_Yes</v>
      </c>
      <c r="Q657" s="2" t="str">
        <f>L657&amp;"_"&amp;M657</f>
        <v>Grey_Yes</v>
      </c>
      <c r="R657" s="18" t="s">
        <v>2072</v>
      </c>
      <c r="S657" s="23"/>
      <c r="T657" s="23"/>
    </row>
    <row r="658" spans="1:20" s="10" customFormat="1" ht="15.75" customHeight="1" x14ac:dyDescent="0.2">
      <c r="A658" s="21">
        <v>681</v>
      </c>
      <c r="B658" s="22" t="s">
        <v>11</v>
      </c>
      <c r="C658" s="22" t="s">
        <v>234</v>
      </c>
      <c r="D658" s="22" t="s">
        <v>15</v>
      </c>
      <c r="E658" s="22" t="s">
        <v>42</v>
      </c>
      <c r="F658" s="18" t="str">
        <f>C658&amp;"-"&amp;D658&amp;"-"&amp;E658</f>
        <v>B2-P1-C3</v>
      </c>
      <c r="G658" s="22" t="s">
        <v>620</v>
      </c>
      <c r="H658" s="22">
        <v>1</v>
      </c>
      <c r="I658" s="22" t="str">
        <f>C658&amp;"_"&amp;D658&amp;"_"&amp;E658&amp;"_"&amp;G658&amp;H658</f>
        <v>B2_P1_C3_F1</v>
      </c>
      <c r="J658" s="22" t="s">
        <v>133</v>
      </c>
      <c r="K658" s="21" t="str">
        <f>B658&amp;"-"&amp;C658&amp;"-"&amp;D658&amp;"-"&amp;E658&amp;"-"&amp;G658&amp;H658</f>
        <v>Robinia-B2-P1-C3-F1</v>
      </c>
      <c r="L658" s="22" t="s">
        <v>64</v>
      </c>
      <c r="M658" s="22" t="s">
        <v>44</v>
      </c>
      <c r="N658" s="22" t="str">
        <f>J658&amp;"_"&amp;L658&amp;"_"&amp;M658</f>
        <v>Control_Grey_Yes</v>
      </c>
      <c r="O658" s="27" t="str">
        <f>J658&amp;"_"&amp;M658</f>
        <v>Control_Yes</v>
      </c>
      <c r="P658" s="2" t="str">
        <f>J658&amp;"_"&amp;M658</f>
        <v>Control_Yes</v>
      </c>
      <c r="Q658" s="2" t="str">
        <f>L658&amp;"_"&amp;M658</f>
        <v>Grey_Yes</v>
      </c>
      <c r="R658" s="18" t="s">
        <v>2072</v>
      </c>
      <c r="S658" s="23"/>
      <c r="T658" s="23"/>
    </row>
    <row r="659" spans="1:20" s="10" customFormat="1" ht="15.75" customHeight="1" x14ac:dyDescent="0.2">
      <c r="A659" s="21">
        <v>682</v>
      </c>
      <c r="B659" s="22" t="s">
        <v>11</v>
      </c>
      <c r="C659" s="22" t="s">
        <v>234</v>
      </c>
      <c r="D659" s="22" t="s">
        <v>15</v>
      </c>
      <c r="E659" s="22" t="s">
        <v>42</v>
      </c>
      <c r="F659" s="18" t="str">
        <f>C659&amp;"-"&amp;D659&amp;"-"&amp;E659</f>
        <v>B2-P1-C3</v>
      </c>
      <c r="G659" s="22" t="s">
        <v>618</v>
      </c>
      <c r="H659" s="22">
        <v>2</v>
      </c>
      <c r="I659" s="22" t="str">
        <f>C659&amp;"_"&amp;D659&amp;"_"&amp;E659&amp;"_"&amp;G659&amp;H659</f>
        <v>B2_P1_C3_D2</v>
      </c>
      <c r="J659" s="22" t="s">
        <v>133</v>
      </c>
      <c r="K659" s="21" t="str">
        <f>B659&amp;"-"&amp;C659&amp;"-"&amp;D659&amp;"-"&amp;E659&amp;"-"&amp;G659&amp;H659</f>
        <v>Robinia-B2-P1-C3-D2</v>
      </c>
      <c r="L659" s="22" t="s">
        <v>64</v>
      </c>
      <c r="M659" s="22" t="s">
        <v>44</v>
      </c>
      <c r="N659" s="22" t="str">
        <f>J659&amp;"_"&amp;L659&amp;"_"&amp;M659</f>
        <v>Control_Grey_Yes</v>
      </c>
      <c r="O659" s="27" t="str">
        <f>J659&amp;"_"&amp;M659</f>
        <v>Control_Yes</v>
      </c>
      <c r="P659" s="2" t="str">
        <f>J659&amp;"_"&amp;M659</f>
        <v>Control_Yes</v>
      </c>
      <c r="Q659" s="2" t="str">
        <f>L659&amp;"_"&amp;M659</f>
        <v>Grey_Yes</v>
      </c>
      <c r="R659" s="18" t="s">
        <v>2072</v>
      </c>
      <c r="S659" s="23"/>
      <c r="T659" s="23"/>
    </row>
    <row r="660" spans="1:20" s="10" customFormat="1" ht="15.75" customHeight="1" x14ac:dyDescent="0.2">
      <c r="A660" s="21">
        <v>683</v>
      </c>
      <c r="B660" s="22" t="s">
        <v>11</v>
      </c>
      <c r="C660" s="22" t="s">
        <v>234</v>
      </c>
      <c r="D660" s="22" t="s">
        <v>15</v>
      </c>
      <c r="E660" s="22" t="s">
        <v>42</v>
      </c>
      <c r="F660" s="18" t="str">
        <f>C660&amp;"-"&amp;D660&amp;"-"&amp;E660</f>
        <v>B2-P1-C3</v>
      </c>
      <c r="G660" s="22" t="s">
        <v>619</v>
      </c>
      <c r="H660" s="22">
        <v>2</v>
      </c>
      <c r="I660" s="22" t="str">
        <f>C660&amp;"_"&amp;D660&amp;"_"&amp;E660&amp;"_"&amp;G660&amp;H660</f>
        <v>B2_P1_C3_E2</v>
      </c>
      <c r="J660" s="22" t="s">
        <v>133</v>
      </c>
      <c r="K660" s="21" t="str">
        <f>B660&amp;"-"&amp;C660&amp;"-"&amp;D660&amp;"-"&amp;E660&amp;"-"&amp;G660&amp;H660</f>
        <v>Robinia-B2-P1-C3-E2</v>
      </c>
      <c r="L660" s="22" t="s">
        <v>64</v>
      </c>
      <c r="M660" s="22" t="s">
        <v>44</v>
      </c>
      <c r="N660" s="22" t="str">
        <f>J660&amp;"_"&amp;L660&amp;"_"&amp;M660</f>
        <v>Control_Grey_Yes</v>
      </c>
      <c r="O660" s="27" t="str">
        <f>J660&amp;"_"&amp;M660</f>
        <v>Control_Yes</v>
      </c>
      <c r="P660" s="2" t="str">
        <f>J660&amp;"_"&amp;M660</f>
        <v>Control_Yes</v>
      </c>
      <c r="Q660" s="2" t="str">
        <f>L660&amp;"_"&amp;M660</f>
        <v>Grey_Yes</v>
      </c>
      <c r="R660" s="18" t="s">
        <v>2072</v>
      </c>
      <c r="S660" s="23"/>
      <c r="T660" s="23"/>
    </row>
    <row r="661" spans="1:20" s="10" customFormat="1" ht="15.75" customHeight="1" x14ac:dyDescent="0.2">
      <c r="A661" s="21">
        <v>684</v>
      </c>
      <c r="B661" s="22" t="s">
        <v>11</v>
      </c>
      <c r="C661" s="22" t="s">
        <v>234</v>
      </c>
      <c r="D661" s="22" t="s">
        <v>15</v>
      </c>
      <c r="E661" s="22" t="s">
        <v>42</v>
      </c>
      <c r="F661" s="18" t="str">
        <f>C661&amp;"-"&amp;D661&amp;"-"&amp;E661</f>
        <v>B2-P1-C3</v>
      </c>
      <c r="G661" s="22" t="s">
        <v>620</v>
      </c>
      <c r="H661" s="22">
        <v>2</v>
      </c>
      <c r="I661" s="22" t="str">
        <f>C661&amp;"_"&amp;D661&amp;"_"&amp;E661&amp;"_"&amp;G661&amp;H661</f>
        <v>B2_P1_C3_F2</v>
      </c>
      <c r="J661" s="22" t="s">
        <v>133</v>
      </c>
      <c r="K661" s="21" t="str">
        <f>B661&amp;"-"&amp;C661&amp;"-"&amp;D661&amp;"-"&amp;E661&amp;"-"&amp;G661&amp;H661</f>
        <v>Robinia-B2-P1-C3-F2</v>
      </c>
      <c r="L661" s="22" t="s">
        <v>64</v>
      </c>
      <c r="M661" s="22" t="s">
        <v>44</v>
      </c>
      <c r="N661" s="22" t="str">
        <f>J661&amp;"_"&amp;L661&amp;"_"&amp;M661</f>
        <v>Control_Grey_Yes</v>
      </c>
      <c r="O661" s="27" t="str">
        <f>J661&amp;"_"&amp;M661</f>
        <v>Control_Yes</v>
      </c>
      <c r="P661" s="2" t="str">
        <f>J661&amp;"_"&amp;M661</f>
        <v>Control_Yes</v>
      </c>
      <c r="Q661" s="2" t="str">
        <f>L661&amp;"_"&amp;M661</f>
        <v>Grey_Yes</v>
      </c>
      <c r="R661" s="18" t="s">
        <v>2072</v>
      </c>
      <c r="S661" s="23"/>
      <c r="T661" s="23"/>
    </row>
    <row r="662" spans="1:20" s="9" customFormat="1" ht="15.75" customHeight="1" x14ac:dyDescent="0.2">
      <c r="A662" s="13">
        <v>685</v>
      </c>
      <c r="B662" s="15" t="s">
        <v>11</v>
      </c>
      <c r="C662" s="15" t="s">
        <v>234</v>
      </c>
      <c r="D662" s="15" t="s">
        <v>62</v>
      </c>
      <c r="E662" s="15" t="s">
        <v>16</v>
      </c>
      <c r="F662" s="15" t="str">
        <f>C662&amp;"-"&amp;D662&amp;"-"&amp;E662</f>
        <v>B2-P2-C1</v>
      </c>
      <c r="G662" s="15" t="s">
        <v>618</v>
      </c>
      <c r="H662" s="15">
        <v>1</v>
      </c>
      <c r="I662" s="15" t="str">
        <f>C662&amp;"_"&amp;D662&amp;"_"&amp;E662&amp;"_"&amp;G662&amp;H662</f>
        <v>B2_P2_C1_D1</v>
      </c>
      <c r="J662" s="15" t="s">
        <v>133</v>
      </c>
      <c r="K662" s="13" t="str">
        <f>B662&amp;"-"&amp;C662&amp;"-"&amp;D662&amp;"-"&amp;E662&amp;"-"&amp;G662&amp;H662</f>
        <v>Robinia-B2-P2-C1-D1</v>
      </c>
      <c r="L662" s="15" t="s">
        <v>21</v>
      </c>
      <c r="M662" s="15" t="s">
        <v>44</v>
      </c>
      <c r="N662" s="15" t="str">
        <f>J662&amp;"_"&amp;L662&amp;"_"&amp;M662</f>
        <v>Control_Yellow_Yes</v>
      </c>
      <c r="O662" s="26" t="str">
        <f>J662&amp;"_"&amp;M662</f>
        <v>Control_Yes</v>
      </c>
      <c r="P662" s="23" t="str">
        <f>J662&amp;"_"&amp;M662</f>
        <v>Control_Yes</v>
      </c>
      <c r="Q662" s="23" t="str">
        <f>L662&amp;"_"&amp;M662</f>
        <v>Yellow_Yes</v>
      </c>
      <c r="R662" s="23" t="s">
        <v>2071</v>
      </c>
      <c r="S662" s="1"/>
      <c r="T662" s="1"/>
    </row>
    <row r="663" spans="1:20" s="9" customFormat="1" ht="15.75" customHeight="1" x14ac:dyDescent="0.2">
      <c r="A663" s="13">
        <v>686</v>
      </c>
      <c r="B663" s="15" t="s">
        <v>11</v>
      </c>
      <c r="C663" s="15" t="s">
        <v>234</v>
      </c>
      <c r="D663" s="15" t="s">
        <v>62</v>
      </c>
      <c r="E663" s="15" t="s">
        <v>16</v>
      </c>
      <c r="F663" s="15" t="str">
        <f>C663&amp;"-"&amp;D663&amp;"-"&amp;E663</f>
        <v>B2-P2-C1</v>
      </c>
      <c r="G663" s="15" t="s">
        <v>619</v>
      </c>
      <c r="H663" s="15">
        <v>1</v>
      </c>
      <c r="I663" s="15" t="str">
        <f>C663&amp;"_"&amp;D663&amp;"_"&amp;E663&amp;"_"&amp;G663&amp;H663</f>
        <v>B2_P2_C1_E1</v>
      </c>
      <c r="J663" s="15" t="s">
        <v>133</v>
      </c>
      <c r="K663" s="13" t="str">
        <f>B663&amp;"-"&amp;C663&amp;"-"&amp;D663&amp;"-"&amp;E663&amp;"-"&amp;G663&amp;H663</f>
        <v>Robinia-B2-P2-C1-E1</v>
      </c>
      <c r="L663" s="15" t="s">
        <v>21</v>
      </c>
      <c r="M663" s="15" t="s">
        <v>44</v>
      </c>
      <c r="N663" s="15" t="str">
        <f>J663&amp;"_"&amp;L663&amp;"_"&amp;M663</f>
        <v>Control_Yellow_Yes</v>
      </c>
      <c r="O663" s="26" t="str">
        <f>J663&amp;"_"&amp;M663</f>
        <v>Control_Yes</v>
      </c>
      <c r="P663" s="23" t="str">
        <f>J663&amp;"_"&amp;M663</f>
        <v>Control_Yes</v>
      </c>
      <c r="Q663" s="23" t="str">
        <f>L663&amp;"_"&amp;M663</f>
        <v>Yellow_Yes</v>
      </c>
      <c r="R663" s="23" t="s">
        <v>2071</v>
      </c>
      <c r="S663" s="1"/>
      <c r="T663" s="1"/>
    </row>
    <row r="664" spans="1:20" s="9" customFormat="1" ht="15.75" customHeight="1" x14ac:dyDescent="0.2">
      <c r="A664" s="13">
        <v>687</v>
      </c>
      <c r="B664" s="15" t="s">
        <v>11</v>
      </c>
      <c r="C664" s="15" t="s">
        <v>234</v>
      </c>
      <c r="D664" s="15" t="s">
        <v>62</v>
      </c>
      <c r="E664" s="15" t="s">
        <v>16</v>
      </c>
      <c r="F664" s="15" t="str">
        <f>C664&amp;"-"&amp;D664&amp;"-"&amp;E664</f>
        <v>B2-P2-C1</v>
      </c>
      <c r="G664" s="15" t="s">
        <v>620</v>
      </c>
      <c r="H664" s="15">
        <v>1</v>
      </c>
      <c r="I664" s="15" t="str">
        <f>C664&amp;"_"&amp;D664&amp;"_"&amp;E664&amp;"_"&amp;G664&amp;H664</f>
        <v>B2_P2_C1_F1</v>
      </c>
      <c r="J664" s="15" t="s">
        <v>133</v>
      </c>
      <c r="K664" s="13" t="str">
        <f>B664&amp;"-"&amp;C664&amp;"-"&amp;D664&amp;"-"&amp;E664&amp;"-"&amp;G664&amp;H664</f>
        <v>Robinia-B2-P2-C1-F1</v>
      </c>
      <c r="L664" s="15" t="s">
        <v>21</v>
      </c>
      <c r="M664" s="15" t="s">
        <v>44</v>
      </c>
      <c r="N664" s="15" t="str">
        <f>J664&amp;"_"&amp;L664&amp;"_"&amp;M664</f>
        <v>Control_Yellow_Yes</v>
      </c>
      <c r="O664" s="26" t="str">
        <f>J664&amp;"_"&amp;M664</f>
        <v>Control_Yes</v>
      </c>
      <c r="P664" s="23" t="str">
        <f>J664&amp;"_"&amp;M664</f>
        <v>Control_Yes</v>
      </c>
      <c r="Q664" s="23" t="str">
        <f>L664&amp;"_"&amp;M664</f>
        <v>Yellow_Yes</v>
      </c>
      <c r="R664" s="23" t="s">
        <v>2071</v>
      </c>
      <c r="S664" s="1"/>
      <c r="T664" s="1"/>
    </row>
    <row r="665" spans="1:20" s="9" customFormat="1" ht="15.75" customHeight="1" x14ac:dyDescent="0.2">
      <c r="A665" s="13">
        <v>688</v>
      </c>
      <c r="B665" s="15" t="s">
        <v>11</v>
      </c>
      <c r="C665" s="15" t="s">
        <v>234</v>
      </c>
      <c r="D665" s="15" t="s">
        <v>62</v>
      </c>
      <c r="E665" s="15" t="s">
        <v>16</v>
      </c>
      <c r="F665" s="15" t="str">
        <f>C665&amp;"-"&amp;D665&amp;"-"&amp;E665</f>
        <v>B2-P2-C1</v>
      </c>
      <c r="G665" s="15" t="s">
        <v>618</v>
      </c>
      <c r="H665" s="15">
        <v>2</v>
      </c>
      <c r="I665" s="15" t="str">
        <f>C665&amp;"_"&amp;D665&amp;"_"&amp;E665&amp;"_"&amp;G665&amp;H665</f>
        <v>B2_P2_C1_D2</v>
      </c>
      <c r="J665" s="15" t="s">
        <v>133</v>
      </c>
      <c r="K665" s="13" t="str">
        <f>B665&amp;"-"&amp;C665&amp;"-"&amp;D665&amp;"-"&amp;E665&amp;"-"&amp;G665&amp;H665</f>
        <v>Robinia-B2-P2-C1-D2</v>
      </c>
      <c r="L665" s="15" t="s">
        <v>21</v>
      </c>
      <c r="M665" s="15" t="s">
        <v>44</v>
      </c>
      <c r="N665" s="15" t="str">
        <f>J665&amp;"_"&amp;L665&amp;"_"&amp;M665</f>
        <v>Control_Yellow_Yes</v>
      </c>
      <c r="O665" s="26" t="str">
        <f>J665&amp;"_"&amp;M665</f>
        <v>Control_Yes</v>
      </c>
      <c r="P665" s="23" t="str">
        <f>J665&amp;"_"&amp;M665</f>
        <v>Control_Yes</v>
      </c>
      <c r="Q665" s="23" t="str">
        <f>L665&amp;"_"&amp;M665</f>
        <v>Yellow_Yes</v>
      </c>
      <c r="R665" s="23" t="s">
        <v>2071</v>
      </c>
      <c r="S665" s="1"/>
      <c r="T665" s="1"/>
    </row>
    <row r="666" spans="1:20" s="9" customFormat="1" ht="15.75" customHeight="1" x14ac:dyDescent="0.2">
      <c r="A666" s="13">
        <v>689</v>
      </c>
      <c r="B666" s="15" t="s">
        <v>11</v>
      </c>
      <c r="C666" s="15" t="s">
        <v>234</v>
      </c>
      <c r="D666" s="15" t="s">
        <v>62</v>
      </c>
      <c r="E666" s="15" t="s">
        <v>16</v>
      </c>
      <c r="F666" s="15" t="str">
        <f>C666&amp;"-"&amp;D666&amp;"-"&amp;E666</f>
        <v>B2-P2-C1</v>
      </c>
      <c r="G666" s="15" t="s">
        <v>619</v>
      </c>
      <c r="H666" s="15">
        <v>2</v>
      </c>
      <c r="I666" s="15" t="str">
        <f>C666&amp;"_"&amp;D666&amp;"_"&amp;E666&amp;"_"&amp;G666&amp;H666</f>
        <v>B2_P2_C1_E2</v>
      </c>
      <c r="J666" s="15" t="s">
        <v>133</v>
      </c>
      <c r="K666" s="13" t="str">
        <f>B666&amp;"-"&amp;C666&amp;"-"&amp;D666&amp;"-"&amp;E666&amp;"-"&amp;G666&amp;H666</f>
        <v>Robinia-B2-P2-C1-E2</v>
      </c>
      <c r="L666" s="15" t="s">
        <v>21</v>
      </c>
      <c r="M666" s="15" t="s">
        <v>44</v>
      </c>
      <c r="N666" s="15" t="str">
        <f>J666&amp;"_"&amp;L666&amp;"_"&amp;M666</f>
        <v>Control_Yellow_Yes</v>
      </c>
      <c r="O666" s="26" t="str">
        <f>J666&amp;"_"&amp;M666</f>
        <v>Control_Yes</v>
      </c>
      <c r="P666" s="23" t="str">
        <f>J666&amp;"_"&amp;M666</f>
        <v>Control_Yes</v>
      </c>
      <c r="Q666" s="23" t="str">
        <f>L666&amp;"_"&amp;M666</f>
        <v>Yellow_Yes</v>
      </c>
      <c r="R666" s="23" t="s">
        <v>2071</v>
      </c>
      <c r="S666" s="1"/>
      <c r="T666" s="1"/>
    </row>
    <row r="667" spans="1:20" s="9" customFormat="1" ht="15.75" customHeight="1" x14ac:dyDescent="0.2">
      <c r="A667" s="13">
        <v>690</v>
      </c>
      <c r="B667" s="15" t="s">
        <v>11</v>
      </c>
      <c r="C667" s="15" t="s">
        <v>234</v>
      </c>
      <c r="D667" s="15" t="s">
        <v>62</v>
      </c>
      <c r="E667" s="15" t="s">
        <v>16</v>
      </c>
      <c r="F667" s="15" t="str">
        <f>C667&amp;"-"&amp;D667&amp;"-"&amp;E667</f>
        <v>B2-P2-C1</v>
      </c>
      <c r="G667" s="15" t="s">
        <v>620</v>
      </c>
      <c r="H667" s="15">
        <v>2</v>
      </c>
      <c r="I667" s="15" t="str">
        <f>C667&amp;"_"&amp;D667&amp;"_"&amp;E667&amp;"_"&amp;G667&amp;H667</f>
        <v>B2_P2_C1_F2</v>
      </c>
      <c r="J667" s="15" t="s">
        <v>133</v>
      </c>
      <c r="K667" s="13" t="str">
        <f>B667&amp;"-"&amp;C667&amp;"-"&amp;D667&amp;"-"&amp;E667&amp;"-"&amp;G667&amp;H667</f>
        <v>Robinia-B2-P2-C1-F2</v>
      </c>
      <c r="L667" s="15" t="s">
        <v>21</v>
      </c>
      <c r="M667" s="15" t="s">
        <v>44</v>
      </c>
      <c r="N667" s="15" t="str">
        <f>J667&amp;"_"&amp;L667&amp;"_"&amp;M667</f>
        <v>Control_Yellow_Yes</v>
      </c>
      <c r="O667" s="26" t="str">
        <f>J667&amp;"_"&amp;M667</f>
        <v>Control_Yes</v>
      </c>
      <c r="P667" s="23" t="str">
        <f>J667&amp;"_"&amp;M667</f>
        <v>Control_Yes</v>
      </c>
      <c r="Q667" s="23" t="str">
        <f>L667&amp;"_"&amp;M667</f>
        <v>Yellow_Yes</v>
      </c>
      <c r="R667" s="23" t="s">
        <v>2071</v>
      </c>
      <c r="S667" s="1"/>
      <c r="T667" s="1"/>
    </row>
    <row r="668" spans="1:20" s="10" customFormat="1" ht="15.75" customHeight="1" x14ac:dyDescent="0.2">
      <c r="A668" s="21">
        <v>691</v>
      </c>
      <c r="B668" s="22" t="s">
        <v>11</v>
      </c>
      <c r="C668" s="22" t="s">
        <v>234</v>
      </c>
      <c r="D668" s="22" t="s">
        <v>62</v>
      </c>
      <c r="E668" s="22" t="s">
        <v>32</v>
      </c>
      <c r="F668" s="18" t="str">
        <f>C668&amp;"-"&amp;D668&amp;"-"&amp;E668</f>
        <v>B2-P2-C2</v>
      </c>
      <c r="G668" s="22" t="s">
        <v>618</v>
      </c>
      <c r="H668" s="22">
        <v>1</v>
      </c>
      <c r="I668" s="22" t="str">
        <f>C668&amp;"_"&amp;D668&amp;"_"&amp;E668&amp;"_"&amp;G668&amp;H668</f>
        <v>B2_P2_C2_D1</v>
      </c>
      <c r="J668" s="22" t="s">
        <v>133</v>
      </c>
      <c r="K668" s="21" t="str">
        <f>B668&amp;"-"&amp;C668&amp;"-"&amp;D668&amp;"-"&amp;E668&amp;"-"&amp;G668&amp;H668</f>
        <v>Robinia-B2-P2-C2-D1</v>
      </c>
      <c r="L668" s="22" t="s">
        <v>21</v>
      </c>
      <c r="M668" s="22" t="s">
        <v>44</v>
      </c>
      <c r="N668" s="22" t="str">
        <f>J668&amp;"_"&amp;L668&amp;"_"&amp;M668</f>
        <v>Control_Yellow_Yes</v>
      </c>
      <c r="O668" s="27" t="str">
        <f>J668&amp;"_"&amp;M668</f>
        <v>Control_Yes</v>
      </c>
      <c r="P668" s="2" t="str">
        <f>J668&amp;"_"&amp;M668</f>
        <v>Control_Yes</v>
      </c>
      <c r="Q668" s="2" t="str">
        <f>L668&amp;"_"&amp;M668</f>
        <v>Yellow_Yes</v>
      </c>
      <c r="R668" s="23" t="s">
        <v>2071</v>
      </c>
      <c r="S668" s="2"/>
      <c r="T668" s="2"/>
    </row>
    <row r="669" spans="1:20" s="10" customFormat="1" ht="15.75" customHeight="1" x14ac:dyDescent="0.2">
      <c r="A669" s="21">
        <v>692</v>
      </c>
      <c r="B669" s="22" t="s">
        <v>11</v>
      </c>
      <c r="C669" s="22" t="s">
        <v>234</v>
      </c>
      <c r="D669" s="22" t="s">
        <v>62</v>
      </c>
      <c r="E669" s="22" t="s">
        <v>32</v>
      </c>
      <c r="F669" s="18" t="str">
        <f>C669&amp;"-"&amp;D669&amp;"-"&amp;E669</f>
        <v>B2-P2-C2</v>
      </c>
      <c r="G669" s="22" t="s">
        <v>619</v>
      </c>
      <c r="H669" s="22">
        <v>1</v>
      </c>
      <c r="I669" s="22" t="str">
        <f>C669&amp;"_"&amp;D669&amp;"_"&amp;E669&amp;"_"&amp;G669&amp;H669</f>
        <v>B2_P2_C2_E1</v>
      </c>
      <c r="J669" s="22" t="s">
        <v>133</v>
      </c>
      <c r="K669" s="21" t="str">
        <f>B669&amp;"-"&amp;C669&amp;"-"&amp;D669&amp;"-"&amp;E669&amp;"-"&amp;G669&amp;H669</f>
        <v>Robinia-B2-P2-C2-E1</v>
      </c>
      <c r="L669" s="22" t="s">
        <v>21</v>
      </c>
      <c r="M669" s="22" t="s">
        <v>44</v>
      </c>
      <c r="N669" s="22" t="str">
        <f>J669&amp;"_"&amp;L669&amp;"_"&amp;M669</f>
        <v>Control_Yellow_Yes</v>
      </c>
      <c r="O669" s="27" t="str">
        <f>J669&amp;"_"&amp;M669</f>
        <v>Control_Yes</v>
      </c>
      <c r="P669" s="2" t="str">
        <f>J669&amp;"_"&amp;M669</f>
        <v>Control_Yes</v>
      </c>
      <c r="Q669" s="2" t="str">
        <f>L669&amp;"_"&amp;M669</f>
        <v>Yellow_Yes</v>
      </c>
      <c r="R669" s="23" t="s">
        <v>2071</v>
      </c>
      <c r="S669" s="2"/>
      <c r="T669" s="2"/>
    </row>
    <row r="670" spans="1:20" s="10" customFormat="1" ht="15.75" customHeight="1" x14ac:dyDescent="0.2">
      <c r="A670" s="21">
        <v>693</v>
      </c>
      <c r="B670" s="22" t="s">
        <v>11</v>
      </c>
      <c r="C670" s="22" t="s">
        <v>234</v>
      </c>
      <c r="D670" s="22" t="s">
        <v>62</v>
      </c>
      <c r="E670" s="22" t="s">
        <v>32</v>
      </c>
      <c r="F670" s="18" t="str">
        <f>C670&amp;"-"&amp;D670&amp;"-"&amp;E670</f>
        <v>B2-P2-C2</v>
      </c>
      <c r="G670" s="22" t="s">
        <v>620</v>
      </c>
      <c r="H670" s="22">
        <v>1</v>
      </c>
      <c r="I670" s="22" t="str">
        <f>C670&amp;"_"&amp;D670&amp;"_"&amp;E670&amp;"_"&amp;G670&amp;H670</f>
        <v>B2_P2_C2_F1</v>
      </c>
      <c r="J670" s="22" t="s">
        <v>133</v>
      </c>
      <c r="K670" s="21" t="str">
        <f>B670&amp;"-"&amp;C670&amp;"-"&amp;D670&amp;"-"&amp;E670&amp;"-"&amp;G670&amp;H670</f>
        <v>Robinia-B2-P2-C2-F1</v>
      </c>
      <c r="L670" s="22" t="s">
        <v>21</v>
      </c>
      <c r="M670" s="22" t="s">
        <v>44</v>
      </c>
      <c r="N670" s="22" t="str">
        <f>J670&amp;"_"&amp;L670&amp;"_"&amp;M670</f>
        <v>Control_Yellow_Yes</v>
      </c>
      <c r="O670" s="27" t="str">
        <f>J670&amp;"_"&amp;M670</f>
        <v>Control_Yes</v>
      </c>
      <c r="P670" s="2" t="str">
        <f>J670&amp;"_"&amp;M670</f>
        <v>Control_Yes</v>
      </c>
      <c r="Q670" s="2" t="str">
        <f>L670&amp;"_"&amp;M670</f>
        <v>Yellow_Yes</v>
      </c>
      <c r="R670" s="23" t="s">
        <v>2071</v>
      </c>
      <c r="S670" s="2"/>
      <c r="T670" s="2"/>
    </row>
    <row r="671" spans="1:20" s="10" customFormat="1" ht="15.75" customHeight="1" x14ac:dyDescent="0.2">
      <c r="A671" s="21">
        <v>694</v>
      </c>
      <c r="B671" s="22" t="s">
        <v>11</v>
      </c>
      <c r="C671" s="22" t="s">
        <v>234</v>
      </c>
      <c r="D671" s="22" t="s">
        <v>62</v>
      </c>
      <c r="E671" s="22" t="s">
        <v>32</v>
      </c>
      <c r="F671" s="18" t="str">
        <f>C671&amp;"-"&amp;D671&amp;"-"&amp;E671</f>
        <v>B2-P2-C2</v>
      </c>
      <c r="G671" s="22" t="s">
        <v>618</v>
      </c>
      <c r="H671" s="22">
        <v>2</v>
      </c>
      <c r="I671" s="22" t="str">
        <f>C671&amp;"_"&amp;D671&amp;"_"&amp;E671&amp;"_"&amp;G671&amp;H671</f>
        <v>B2_P2_C2_D2</v>
      </c>
      <c r="J671" s="22" t="s">
        <v>133</v>
      </c>
      <c r="K671" s="21" t="str">
        <f>B671&amp;"-"&amp;C671&amp;"-"&amp;D671&amp;"-"&amp;E671&amp;"-"&amp;G671&amp;H671</f>
        <v>Robinia-B2-P2-C2-D2</v>
      </c>
      <c r="L671" s="22" t="s">
        <v>21</v>
      </c>
      <c r="M671" s="22" t="s">
        <v>44</v>
      </c>
      <c r="N671" s="22" t="str">
        <f>J671&amp;"_"&amp;L671&amp;"_"&amp;M671</f>
        <v>Control_Yellow_Yes</v>
      </c>
      <c r="O671" s="27" t="str">
        <f>J671&amp;"_"&amp;M671</f>
        <v>Control_Yes</v>
      </c>
      <c r="P671" s="2" t="str">
        <f>J671&amp;"_"&amp;M671</f>
        <v>Control_Yes</v>
      </c>
      <c r="Q671" s="2" t="str">
        <f>L671&amp;"_"&amp;M671</f>
        <v>Yellow_Yes</v>
      </c>
      <c r="R671" s="23" t="s">
        <v>2071</v>
      </c>
      <c r="S671" s="2"/>
      <c r="T671" s="2"/>
    </row>
    <row r="672" spans="1:20" s="10" customFormat="1" ht="15.75" customHeight="1" x14ac:dyDescent="0.2">
      <c r="A672" s="21">
        <v>695</v>
      </c>
      <c r="B672" s="22" t="s">
        <v>11</v>
      </c>
      <c r="C672" s="22" t="s">
        <v>234</v>
      </c>
      <c r="D672" s="22" t="s">
        <v>62</v>
      </c>
      <c r="E672" s="22" t="s">
        <v>32</v>
      </c>
      <c r="F672" s="18" t="str">
        <f>C672&amp;"-"&amp;D672&amp;"-"&amp;E672</f>
        <v>B2-P2-C2</v>
      </c>
      <c r="G672" s="22" t="s">
        <v>619</v>
      </c>
      <c r="H672" s="22">
        <v>2</v>
      </c>
      <c r="I672" s="22" t="str">
        <f>C672&amp;"_"&amp;D672&amp;"_"&amp;E672&amp;"_"&amp;G672&amp;H672</f>
        <v>B2_P2_C2_E2</v>
      </c>
      <c r="J672" s="22" t="s">
        <v>133</v>
      </c>
      <c r="K672" s="21" t="str">
        <f>B672&amp;"-"&amp;C672&amp;"-"&amp;D672&amp;"-"&amp;E672&amp;"-"&amp;G672&amp;H672</f>
        <v>Robinia-B2-P2-C2-E2</v>
      </c>
      <c r="L672" s="22" t="s">
        <v>21</v>
      </c>
      <c r="M672" s="22" t="s">
        <v>44</v>
      </c>
      <c r="N672" s="22" t="str">
        <f>J672&amp;"_"&amp;L672&amp;"_"&amp;M672</f>
        <v>Control_Yellow_Yes</v>
      </c>
      <c r="O672" s="27" t="str">
        <f>J672&amp;"_"&amp;M672</f>
        <v>Control_Yes</v>
      </c>
      <c r="P672" s="2" t="str">
        <f>J672&amp;"_"&amp;M672</f>
        <v>Control_Yes</v>
      </c>
      <c r="Q672" s="2" t="str">
        <f>L672&amp;"_"&amp;M672</f>
        <v>Yellow_Yes</v>
      </c>
      <c r="R672" s="23" t="s">
        <v>2071</v>
      </c>
      <c r="S672" s="2"/>
      <c r="T672" s="2"/>
    </row>
    <row r="673" spans="1:20" s="10" customFormat="1" ht="15.75" customHeight="1" x14ac:dyDescent="0.2">
      <c r="A673" s="21">
        <v>696</v>
      </c>
      <c r="B673" s="22" t="s">
        <v>11</v>
      </c>
      <c r="C673" s="22" t="s">
        <v>234</v>
      </c>
      <c r="D673" s="22" t="s">
        <v>62</v>
      </c>
      <c r="E673" s="22" t="s">
        <v>32</v>
      </c>
      <c r="F673" s="18" t="str">
        <f>C673&amp;"-"&amp;D673&amp;"-"&amp;E673</f>
        <v>B2-P2-C2</v>
      </c>
      <c r="G673" s="22" t="s">
        <v>620</v>
      </c>
      <c r="H673" s="22">
        <v>2</v>
      </c>
      <c r="I673" s="22" t="str">
        <f>C673&amp;"_"&amp;D673&amp;"_"&amp;E673&amp;"_"&amp;G673&amp;H673</f>
        <v>B2_P2_C2_F2</v>
      </c>
      <c r="J673" s="22" t="s">
        <v>133</v>
      </c>
      <c r="K673" s="21" t="str">
        <f>B673&amp;"-"&amp;C673&amp;"-"&amp;D673&amp;"-"&amp;E673&amp;"-"&amp;G673&amp;H673</f>
        <v>Robinia-B2-P2-C2-F2</v>
      </c>
      <c r="L673" s="22" t="s">
        <v>21</v>
      </c>
      <c r="M673" s="22" t="s">
        <v>44</v>
      </c>
      <c r="N673" s="22" t="str">
        <f>J673&amp;"_"&amp;L673&amp;"_"&amp;M673</f>
        <v>Control_Yellow_Yes</v>
      </c>
      <c r="O673" s="27" t="str">
        <f>J673&amp;"_"&amp;M673</f>
        <v>Control_Yes</v>
      </c>
      <c r="P673" s="2" t="str">
        <f>J673&amp;"_"&amp;M673</f>
        <v>Control_Yes</v>
      </c>
      <c r="Q673" s="2" t="str">
        <f>L673&amp;"_"&amp;M673</f>
        <v>Yellow_Yes</v>
      </c>
      <c r="R673" s="23" t="s">
        <v>2071</v>
      </c>
      <c r="S673" s="2"/>
      <c r="T673" s="2"/>
    </row>
    <row r="674" spans="1:20" ht="15.75" customHeight="1" x14ac:dyDescent="0.2">
      <c r="A674" s="13">
        <v>697</v>
      </c>
      <c r="B674" s="15" t="s">
        <v>11</v>
      </c>
      <c r="C674" s="15" t="s">
        <v>234</v>
      </c>
      <c r="D674" s="15" t="s">
        <v>62</v>
      </c>
      <c r="E674" s="15" t="s">
        <v>53</v>
      </c>
      <c r="F674" s="15" t="str">
        <f>C674&amp;"-"&amp;D674&amp;"-"&amp;E674</f>
        <v>B2-P2-C4</v>
      </c>
      <c r="G674" s="15" t="s">
        <v>618</v>
      </c>
      <c r="H674" s="15">
        <v>1</v>
      </c>
      <c r="I674" s="15" t="str">
        <f>C674&amp;"_"&amp;D674&amp;"_"&amp;E674&amp;"_"&amp;G674&amp;H674</f>
        <v>B2_P2_C4_D1</v>
      </c>
      <c r="J674" s="15" t="s">
        <v>133</v>
      </c>
      <c r="K674" s="13" t="str">
        <f>B674&amp;"-"&amp;C674&amp;"-"&amp;D674&amp;"-"&amp;E674&amp;"-"&amp;G674&amp;H674</f>
        <v>Robinia-B2-P2-C4-D1</v>
      </c>
      <c r="L674" s="15" t="s">
        <v>21</v>
      </c>
      <c r="M674" s="15" t="s">
        <v>44</v>
      </c>
      <c r="N674" s="15" t="str">
        <f>J674&amp;"_"&amp;L674&amp;"_"&amp;M674</f>
        <v>Control_Yellow_Yes</v>
      </c>
      <c r="O674" s="24" t="str">
        <f>J674&amp;"_"&amp;M674</f>
        <v>Control_Yes</v>
      </c>
      <c r="P674" s="1" t="str">
        <f>J674&amp;"_"&amp;M674</f>
        <v>Control_Yes</v>
      </c>
      <c r="Q674" s="1" t="str">
        <f>L674&amp;"_"&amp;M674</f>
        <v>Yellow_Yes</v>
      </c>
      <c r="R674" s="23" t="s">
        <v>2071</v>
      </c>
    </row>
    <row r="675" spans="1:20" ht="15.75" customHeight="1" x14ac:dyDescent="0.2">
      <c r="A675" s="13">
        <v>698</v>
      </c>
      <c r="B675" s="15" t="s">
        <v>11</v>
      </c>
      <c r="C675" s="15" t="s">
        <v>234</v>
      </c>
      <c r="D675" s="15" t="s">
        <v>62</v>
      </c>
      <c r="E675" s="15" t="s">
        <v>53</v>
      </c>
      <c r="F675" s="15" t="str">
        <f>C675&amp;"-"&amp;D675&amp;"-"&amp;E675</f>
        <v>B2-P2-C4</v>
      </c>
      <c r="G675" s="15" t="s">
        <v>619</v>
      </c>
      <c r="H675" s="15">
        <v>1</v>
      </c>
      <c r="I675" s="15" t="str">
        <f>C675&amp;"_"&amp;D675&amp;"_"&amp;E675&amp;"_"&amp;G675&amp;H675</f>
        <v>B2_P2_C4_E1</v>
      </c>
      <c r="J675" s="15" t="s">
        <v>133</v>
      </c>
      <c r="K675" s="13" t="str">
        <f>B675&amp;"-"&amp;C675&amp;"-"&amp;D675&amp;"-"&amp;E675&amp;"-"&amp;G675&amp;H675</f>
        <v>Robinia-B2-P2-C4-E1</v>
      </c>
      <c r="L675" s="15" t="s">
        <v>21</v>
      </c>
      <c r="M675" s="15" t="s">
        <v>44</v>
      </c>
      <c r="N675" s="15" t="str">
        <f>J675&amp;"_"&amp;L675&amp;"_"&amp;M675</f>
        <v>Control_Yellow_Yes</v>
      </c>
      <c r="O675" s="24" t="str">
        <f>J675&amp;"_"&amp;M675</f>
        <v>Control_Yes</v>
      </c>
      <c r="P675" s="1" t="str">
        <f>J675&amp;"_"&amp;M675</f>
        <v>Control_Yes</v>
      </c>
      <c r="Q675" s="1" t="str">
        <f>L675&amp;"_"&amp;M675</f>
        <v>Yellow_Yes</v>
      </c>
      <c r="R675" s="23" t="s">
        <v>2071</v>
      </c>
    </row>
    <row r="676" spans="1:20" ht="15.75" customHeight="1" x14ac:dyDescent="0.2">
      <c r="A676" s="13">
        <v>699</v>
      </c>
      <c r="B676" s="15" t="s">
        <v>11</v>
      </c>
      <c r="C676" s="15" t="s">
        <v>234</v>
      </c>
      <c r="D676" s="15" t="s">
        <v>62</v>
      </c>
      <c r="E676" s="15" t="s">
        <v>53</v>
      </c>
      <c r="F676" s="15" t="str">
        <f>C676&amp;"-"&amp;D676&amp;"-"&amp;E676</f>
        <v>B2-P2-C4</v>
      </c>
      <c r="G676" s="15" t="s">
        <v>620</v>
      </c>
      <c r="H676" s="15">
        <v>1</v>
      </c>
      <c r="I676" s="15" t="str">
        <f>C676&amp;"_"&amp;D676&amp;"_"&amp;E676&amp;"_"&amp;G676&amp;H676</f>
        <v>B2_P2_C4_F1</v>
      </c>
      <c r="J676" s="15" t="s">
        <v>133</v>
      </c>
      <c r="K676" s="13" t="str">
        <f>B676&amp;"-"&amp;C676&amp;"-"&amp;D676&amp;"-"&amp;E676&amp;"-"&amp;G676&amp;H676</f>
        <v>Robinia-B2-P2-C4-F1</v>
      </c>
      <c r="L676" s="15" t="s">
        <v>21</v>
      </c>
      <c r="M676" s="15" t="s">
        <v>44</v>
      </c>
      <c r="N676" s="15" t="str">
        <f>J676&amp;"_"&amp;L676&amp;"_"&amp;M676</f>
        <v>Control_Yellow_Yes</v>
      </c>
      <c r="O676" s="24" t="str">
        <f>J676&amp;"_"&amp;M676</f>
        <v>Control_Yes</v>
      </c>
      <c r="P676" s="1" t="str">
        <f>J676&amp;"_"&amp;M676</f>
        <v>Control_Yes</v>
      </c>
      <c r="Q676" s="1" t="str">
        <f>L676&amp;"_"&amp;M676</f>
        <v>Yellow_Yes</v>
      </c>
      <c r="R676" s="23" t="s">
        <v>2071</v>
      </c>
    </row>
    <row r="677" spans="1:20" ht="15.75" customHeight="1" x14ac:dyDescent="0.2">
      <c r="A677" s="13">
        <v>700</v>
      </c>
      <c r="B677" s="15" t="s">
        <v>11</v>
      </c>
      <c r="C677" s="15" t="s">
        <v>234</v>
      </c>
      <c r="D677" s="15" t="s">
        <v>62</v>
      </c>
      <c r="E677" s="15" t="s">
        <v>53</v>
      </c>
      <c r="F677" s="15" t="str">
        <f>C677&amp;"-"&amp;D677&amp;"-"&amp;E677</f>
        <v>B2-P2-C4</v>
      </c>
      <c r="G677" s="15" t="s">
        <v>618</v>
      </c>
      <c r="H677" s="15">
        <v>2</v>
      </c>
      <c r="I677" s="15" t="str">
        <f>C677&amp;"_"&amp;D677&amp;"_"&amp;E677&amp;"_"&amp;G677&amp;H677</f>
        <v>B2_P2_C4_D2</v>
      </c>
      <c r="J677" s="15" t="s">
        <v>133</v>
      </c>
      <c r="K677" s="13" t="str">
        <f>B677&amp;"-"&amp;C677&amp;"-"&amp;D677&amp;"-"&amp;E677&amp;"-"&amp;G677&amp;H677</f>
        <v>Robinia-B2-P2-C4-D2</v>
      </c>
      <c r="L677" s="15" t="s">
        <v>21</v>
      </c>
      <c r="M677" s="15" t="s">
        <v>44</v>
      </c>
      <c r="N677" s="15" t="str">
        <f>J677&amp;"_"&amp;L677&amp;"_"&amp;M677</f>
        <v>Control_Yellow_Yes</v>
      </c>
      <c r="O677" s="24" t="str">
        <f>J677&amp;"_"&amp;M677</f>
        <v>Control_Yes</v>
      </c>
      <c r="P677" s="1" t="str">
        <f>J677&amp;"_"&amp;M677</f>
        <v>Control_Yes</v>
      </c>
      <c r="Q677" s="1" t="str">
        <f>L677&amp;"_"&amp;M677</f>
        <v>Yellow_Yes</v>
      </c>
      <c r="R677" s="23" t="s">
        <v>2071</v>
      </c>
    </row>
    <row r="678" spans="1:20" ht="15.75" customHeight="1" x14ac:dyDescent="0.2">
      <c r="A678" s="13">
        <v>701</v>
      </c>
      <c r="B678" s="15" t="s">
        <v>11</v>
      </c>
      <c r="C678" s="15" t="s">
        <v>234</v>
      </c>
      <c r="D678" s="15" t="s">
        <v>62</v>
      </c>
      <c r="E678" s="15" t="s">
        <v>53</v>
      </c>
      <c r="F678" s="15" t="str">
        <f>C678&amp;"-"&amp;D678&amp;"-"&amp;E678</f>
        <v>B2-P2-C4</v>
      </c>
      <c r="G678" s="15" t="s">
        <v>619</v>
      </c>
      <c r="H678" s="15">
        <v>2</v>
      </c>
      <c r="I678" s="15" t="str">
        <f>C678&amp;"_"&amp;D678&amp;"_"&amp;E678&amp;"_"&amp;G678&amp;H678</f>
        <v>B2_P2_C4_E2</v>
      </c>
      <c r="J678" s="15" t="s">
        <v>133</v>
      </c>
      <c r="K678" s="13" t="str">
        <f>B678&amp;"-"&amp;C678&amp;"-"&amp;D678&amp;"-"&amp;E678&amp;"-"&amp;G678&amp;H678</f>
        <v>Robinia-B2-P2-C4-E2</v>
      </c>
      <c r="L678" s="15" t="s">
        <v>21</v>
      </c>
      <c r="M678" s="15" t="s">
        <v>44</v>
      </c>
      <c r="N678" s="15" t="str">
        <f>J678&amp;"_"&amp;L678&amp;"_"&amp;M678</f>
        <v>Control_Yellow_Yes</v>
      </c>
      <c r="O678" s="24" t="str">
        <f>J678&amp;"_"&amp;M678</f>
        <v>Control_Yes</v>
      </c>
      <c r="P678" s="1" t="str">
        <f>J678&amp;"_"&amp;M678</f>
        <v>Control_Yes</v>
      </c>
      <c r="Q678" s="1" t="str">
        <f>L678&amp;"_"&amp;M678</f>
        <v>Yellow_Yes</v>
      </c>
      <c r="R678" s="23" t="s">
        <v>2071</v>
      </c>
    </row>
    <row r="679" spans="1:20" ht="15.75" customHeight="1" x14ac:dyDescent="0.2">
      <c r="A679" s="13">
        <v>702</v>
      </c>
      <c r="B679" s="15" t="s">
        <v>11</v>
      </c>
      <c r="C679" s="15" t="s">
        <v>234</v>
      </c>
      <c r="D679" s="15" t="s">
        <v>62</v>
      </c>
      <c r="E679" s="15" t="s">
        <v>53</v>
      </c>
      <c r="F679" s="15" t="str">
        <f>C679&amp;"-"&amp;D679&amp;"-"&amp;E679</f>
        <v>B2-P2-C4</v>
      </c>
      <c r="G679" s="15" t="s">
        <v>620</v>
      </c>
      <c r="H679" s="15">
        <v>2</v>
      </c>
      <c r="I679" s="15" t="str">
        <f>C679&amp;"_"&amp;D679&amp;"_"&amp;E679&amp;"_"&amp;G679&amp;H679</f>
        <v>B2_P2_C4_F2</v>
      </c>
      <c r="J679" s="15" t="s">
        <v>133</v>
      </c>
      <c r="K679" s="13" t="str">
        <f>B679&amp;"-"&amp;C679&amp;"-"&amp;D679&amp;"-"&amp;E679&amp;"-"&amp;G679&amp;H679</f>
        <v>Robinia-B2-P2-C4-F2</v>
      </c>
      <c r="L679" s="15" t="s">
        <v>21</v>
      </c>
      <c r="M679" s="15" t="s">
        <v>44</v>
      </c>
      <c r="N679" s="15" t="str">
        <f>J679&amp;"_"&amp;L679&amp;"_"&amp;M679</f>
        <v>Control_Yellow_Yes</v>
      </c>
      <c r="O679" s="24" t="str">
        <f>J679&amp;"_"&amp;M679</f>
        <v>Control_Yes</v>
      </c>
      <c r="P679" s="1" t="str">
        <f>J679&amp;"_"&amp;M679</f>
        <v>Control_Yes</v>
      </c>
      <c r="Q679" s="1" t="str">
        <f>L679&amp;"_"&amp;M679</f>
        <v>Yellow_Yes</v>
      </c>
      <c r="R679" s="23" t="s">
        <v>2071</v>
      </c>
    </row>
    <row r="680" spans="1:20" s="10" customFormat="1" ht="15.75" customHeight="1" x14ac:dyDescent="0.2">
      <c r="A680" s="21">
        <v>703</v>
      </c>
      <c r="B680" s="22" t="s">
        <v>11</v>
      </c>
      <c r="C680" s="22" t="s">
        <v>234</v>
      </c>
      <c r="D680" s="22" t="s">
        <v>98</v>
      </c>
      <c r="E680" s="22" t="s">
        <v>32</v>
      </c>
      <c r="F680" s="18" t="str">
        <f>C680&amp;"-"&amp;D680&amp;"-"&amp;E680</f>
        <v>B2-P3-C2</v>
      </c>
      <c r="G680" s="22" t="s">
        <v>618</v>
      </c>
      <c r="H680" s="22">
        <v>1</v>
      </c>
      <c r="I680" s="22" t="str">
        <f>C680&amp;"_"&amp;D680&amp;"_"&amp;E680&amp;"_"&amp;G680&amp;H680</f>
        <v>B2_P3_C2_D1</v>
      </c>
      <c r="J680" s="22" t="s">
        <v>133</v>
      </c>
      <c r="K680" s="21" t="str">
        <f>B680&amp;"-"&amp;C680&amp;"-"&amp;D680&amp;"-"&amp;E680&amp;"-"&amp;G680&amp;H680</f>
        <v>Robinia-B2-P3-C2-D1</v>
      </c>
      <c r="L680" s="22" t="s">
        <v>64</v>
      </c>
      <c r="M680" s="22" t="s">
        <v>44</v>
      </c>
      <c r="N680" s="22" t="str">
        <f>J680&amp;"_"&amp;L680&amp;"_"&amp;M680</f>
        <v>Control_Grey_Yes</v>
      </c>
      <c r="O680" s="27" t="str">
        <f>J680&amp;"_"&amp;M680</f>
        <v>Control_Yes</v>
      </c>
      <c r="P680" s="2" t="str">
        <f>J680&amp;"_"&amp;M680</f>
        <v>Control_Yes</v>
      </c>
      <c r="Q680" s="2" t="str">
        <f>L680&amp;"_"&amp;M680</f>
        <v>Grey_Yes</v>
      </c>
      <c r="R680" s="18" t="s">
        <v>2072</v>
      </c>
      <c r="S680" s="2"/>
      <c r="T680" s="2"/>
    </row>
    <row r="681" spans="1:20" s="10" customFormat="1" ht="15.75" customHeight="1" x14ac:dyDescent="0.2">
      <c r="A681" s="21">
        <v>704</v>
      </c>
      <c r="B681" s="22" t="s">
        <v>11</v>
      </c>
      <c r="C681" s="22" t="s">
        <v>234</v>
      </c>
      <c r="D681" s="22" t="s">
        <v>98</v>
      </c>
      <c r="E681" s="22" t="s">
        <v>32</v>
      </c>
      <c r="F681" s="18" t="str">
        <f>C681&amp;"-"&amp;D681&amp;"-"&amp;E681</f>
        <v>B2-P3-C2</v>
      </c>
      <c r="G681" s="22" t="s">
        <v>619</v>
      </c>
      <c r="H681" s="22">
        <v>1</v>
      </c>
      <c r="I681" s="22" t="str">
        <f>C681&amp;"_"&amp;D681&amp;"_"&amp;E681&amp;"_"&amp;G681&amp;H681</f>
        <v>B2_P3_C2_E1</v>
      </c>
      <c r="J681" s="22" t="s">
        <v>133</v>
      </c>
      <c r="K681" s="21" t="str">
        <f>B681&amp;"-"&amp;C681&amp;"-"&amp;D681&amp;"-"&amp;E681&amp;"-"&amp;G681&amp;H681</f>
        <v>Robinia-B2-P3-C2-E1</v>
      </c>
      <c r="L681" s="22" t="s">
        <v>64</v>
      </c>
      <c r="M681" s="22" t="s">
        <v>44</v>
      </c>
      <c r="N681" s="22" t="str">
        <f>J681&amp;"_"&amp;L681&amp;"_"&amp;M681</f>
        <v>Control_Grey_Yes</v>
      </c>
      <c r="O681" s="27" t="str">
        <f>J681&amp;"_"&amp;M681</f>
        <v>Control_Yes</v>
      </c>
      <c r="P681" s="2" t="str">
        <f>J681&amp;"_"&amp;M681</f>
        <v>Control_Yes</v>
      </c>
      <c r="Q681" s="2" t="str">
        <f>L681&amp;"_"&amp;M681</f>
        <v>Grey_Yes</v>
      </c>
      <c r="R681" s="18" t="s">
        <v>2072</v>
      </c>
      <c r="S681" s="2"/>
      <c r="T681" s="2"/>
    </row>
    <row r="682" spans="1:20" s="10" customFormat="1" ht="15.75" customHeight="1" x14ac:dyDescent="0.2">
      <c r="A682" s="21">
        <v>705</v>
      </c>
      <c r="B682" s="22" t="s">
        <v>11</v>
      </c>
      <c r="C682" s="22" t="s">
        <v>234</v>
      </c>
      <c r="D682" s="22" t="s">
        <v>98</v>
      </c>
      <c r="E682" s="22" t="s">
        <v>32</v>
      </c>
      <c r="F682" s="18" t="str">
        <f>C682&amp;"-"&amp;D682&amp;"-"&amp;E682</f>
        <v>B2-P3-C2</v>
      </c>
      <c r="G682" s="22" t="s">
        <v>620</v>
      </c>
      <c r="H682" s="22">
        <v>1</v>
      </c>
      <c r="I682" s="22" t="str">
        <f>C682&amp;"_"&amp;D682&amp;"_"&amp;E682&amp;"_"&amp;G682&amp;H682</f>
        <v>B2_P3_C2_F1</v>
      </c>
      <c r="J682" s="22" t="s">
        <v>133</v>
      </c>
      <c r="K682" s="21" t="str">
        <f>B682&amp;"-"&amp;C682&amp;"-"&amp;D682&amp;"-"&amp;E682&amp;"-"&amp;G682&amp;H682</f>
        <v>Robinia-B2-P3-C2-F1</v>
      </c>
      <c r="L682" s="22" t="s">
        <v>64</v>
      </c>
      <c r="M682" s="22" t="s">
        <v>44</v>
      </c>
      <c r="N682" s="22" t="str">
        <f>J682&amp;"_"&amp;L682&amp;"_"&amp;M682</f>
        <v>Control_Grey_Yes</v>
      </c>
      <c r="O682" s="27" t="str">
        <f>J682&amp;"_"&amp;M682</f>
        <v>Control_Yes</v>
      </c>
      <c r="P682" s="2" t="str">
        <f>J682&amp;"_"&amp;M682</f>
        <v>Control_Yes</v>
      </c>
      <c r="Q682" s="2" t="str">
        <f>L682&amp;"_"&amp;M682</f>
        <v>Grey_Yes</v>
      </c>
      <c r="R682" s="18" t="s">
        <v>2072</v>
      </c>
      <c r="S682" s="2"/>
      <c r="T682" s="2"/>
    </row>
    <row r="683" spans="1:20" s="10" customFormat="1" ht="15.75" customHeight="1" x14ac:dyDescent="0.2">
      <c r="A683" s="21">
        <v>706</v>
      </c>
      <c r="B683" s="22" t="s">
        <v>11</v>
      </c>
      <c r="C683" s="22" t="s">
        <v>234</v>
      </c>
      <c r="D683" s="22" t="s">
        <v>98</v>
      </c>
      <c r="E683" s="22" t="s">
        <v>32</v>
      </c>
      <c r="F683" s="18" t="str">
        <f>C683&amp;"-"&amp;D683&amp;"-"&amp;E683</f>
        <v>B2-P3-C2</v>
      </c>
      <c r="G683" s="22" t="s">
        <v>618</v>
      </c>
      <c r="H683" s="22">
        <v>2</v>
      </c>
      <c r="I683" s="22" t="str">
        <f>C683&amp;"_"&amp;D683&amp;"_"&amp;E683&amp;"_"&amp;G683&amp;H683</f>
        <v>B2_P3_C2_D2</v>
      </c>
      <c r="J683" s="22" t="s">
        <v>133</v>
      </c>
      <c r="K683" s="21" t="str">
        <f>B683&amp;"-"&amp;C683&amp;"-"&amp;D683&amp;"-"&amp;E683&amp;"-"&amp;G683&amp;H683</f>
        <v>Robinia-B2-P3-C2-D2</v>
      </c>
      <c r="L683" s="22" t="s">
        <v>64</v>
      </c>
      <c r="M683" s="22" t="s">
        <v>44</v>
      </c>
      <c r="N683" s="22" t="str">
        <f>J683&amp;"_"&amp;L683&amp;"_"&amp;M683</f>
        <v>Control_Grey_Yes</v>
      </c>
      <c r="O683" s="27" t="str">
        <f>J683&amp;"_"&amp;M683</f>
        <v>Control_Yes</v>
      </c>
      <c r="P683" s="2" t="str">
        <f>J683&amp;"_"&amp;M683</f>
        <v>Control_Yes</v>
      </c>
      <c r="Q683" s="2" t="str">
        <f>L683&amp;"_"&amp;M683</f>
        <v>Grey_Yes</v>
      </c>
      <c r="R683" s="18" t="s">
        <v>2072</v>
      </c>
      <c r="S683" s="2"/>
      <c r="T683" s="2"/>
    </row>
    <row r="684" spans="1:20" s="10" customFormat="1" ht="15.75" customHeight="1" x14ac:dyDescent="0.2">
      <c r="A684" s="21">
        <v>707</v>
      </c>
      <c r="B684" s="22" t="s">
        <v>11</v>
      </c>
      <c r="C684" s="22" t="s">
        <v>234</v>
      </c>
      <c r="D684" s="22" t="s">
        <v>98</v>
      </c>
      <c r="E684" s="22" t="s">
        <v>32</v>
      </c>
      <c r="F684" s="18" t="str">
        <f>C684&amp;"-"&amp;D684&amp;"-"&amp;E684</f>
        <v>B2-P3-C2</v>
      </c>
      <c r="G684" s="22" t="s">
        <v>619</v>
      </c>
      <c r="H684" s="22">
        <v>2</v>
      </c>
      <c r="I684" s="22" t="str">
        <f>C684&amp;"_"&amp;D684&amp;"_"&amp;E684&amp;"_"&amp;G684&amp;H684</f>
        <v>B2_P3_C2_E2</v>
      </c>
      <c r="J684" s="22" t="s">
        <v>133</v>
      </c>
      <c r="K684" s="21" t="str">
        <f>B684&amp;"-"&amp;C684&amp;"-"&amp;D684&amp;"-"&amp;E684&amp;"-"&amp;G684&amp;H684</f>
        <v>Robinia-B2-P3-C2-E2</v>
      </c>
      <c r="L684" s="22" t="s">
        <v>64</v>
      </c>
      <c r="M684" s="22" t="s">
        <v>44</v>
      </c>
      <c r="N684" s="22" t="str">
        <f>J684&amp;"_"&amp;L684&amp;"_"&amp;M684</f>
        <v>Control_Grey_Yes</v>
      </c>
      <c r="O684" s="27" t="str">
        <f>J684&amp;"_"&amp;M684</f>
        <v>Control_Yes</v>
      </c>
      <c r="P684" s="2" t="str">
        <f>J684&amp;"_"&amp;M684</f>
        <v>Control_Yes</v>
      </c>
      <c r="Q684" s="2" t="str">
        <f>L684&amp;"_"&amp;M684</f>
        <v>Grey_Yes</v>
      </c>
      <c r="R684" s="18" t="s">
        <v>2072</v>
      </c>
      <c r="S684" s="2"/>
      <c r="T684" s="2"/>
    </row>
    <row r="685" spans="1:20" s="10" customFormat="1" ht="15.75" customHeight="1" x14ac:dyDescent="0.2">
      <c r="A685" s="21">
        <v>708</v>
      </c>
      <c r="B685" s="22" t="s">
        <v>11</v>
      </c>
      <c r="C685" s="22" t="s">
        <v>234</v>
      </c>
      <c r="D685" s="22" t="s">
        <v>98</v>
      </c>
      <c r="E685" s="22" t="s">
        <v>32</v>
      </c>
      <c r="F685" s="18" t="str">
        <f>C685&amp;"-"&amp;D685&amp;"-"&amp;E685</f>
        <v>B2-P3-C2</v>
      </c>
      <c r="G685" s="22" t="s">
        <v>620</v>
      </c>
      <c r="H685" s="22">
        <v>2</v>
      </c>
      <c r="I685" s="22" t="str">
        <f>C685&amp;"_"&amp;D685&amp;"_"&amp;E685&amp;"_"&amp;G685&amp;H685</f>
        <v>B2_P3_C2_F2</v>
      </c>
      <c r="J685" s="22" t="s">
        <v>133</v>
      </c>
      <c r="K685" s="21" t="str">
        <f>B685&amp;"-"&amp;C685&amp;"-"&amp;D685&amp;"-"&amp;E685&amp;"-"&amp;G685&amp;H685</f>
        <v>Robinia-B2-P3-C2-F2</v>
      </c>
      <c r="L685" s="22" t="s">
        <v>64</v>
      </c>
      <c r="M685" s="22" t="s">
        <v>44</v>
      </c>
      <c r="N685" s="22" t="str">
        <f>J685&amp;"_"&amp;L685&amp;"_"&amp;M685</f>
        <v>Control_Grey_Yes</v>
      </c>
      <c r="O685" s="27" t="str">
        <f>J685&amp;"_"&amp;M685</f>
        <v>Control_Yes</v>
      </c>
      <c r="P685" s="2" t="str">
        <f>J685&amp;"_"&amp;M685</f>
        <v>Control_Yes</v>
      </c>
      <c r="Q685" s="2" t="str">
        <f>L685&amp;"_"&amp;M685</f>
        <v>Grey_Yes</v>
      </c>
      <c r="R685" s="18" t="s">
        <v>2072</v>
      </c>
      <c r="S685" s="2"/>
      <c r="T685" s="2"/>
    </row>
    <row r="686" spans="1:20" ht="15.75" customHeight="1" x14ac:dyDescent="0.2">
      <c r="A686" s="13">
        <v>709</v>
      </c>
      <c r="B686" s="15" t="s">
        <v>11</v>
      </c>
      <c r="C686" s="15" t="s">
        <v>234</v>
      </c>
      <c r="D686" s="15" t="s">
        <v>131</v>
      </c>
      <c r="E686" s="15" t="s">
        <v>16</v>
      </c>
      <c r="F686" s="15" t="str">
        <f>C686&amp;"-"&amp;D686&amp;"-"&amp;E686</f>
        <v>B2-P4-C1</v>
      </c>
      <c r="G686" s="15" t="s">
        <v>618</v>
      </c>
      <c r="H686" s="15">
        <v>1</v>
      </c>
      <c r="I686" s="15" t="str">
        <f>C686&amp;"_"&amp;D686&amp;"_"&amp;E686&amp;"_"&amp;G686&amp;H686</f>
        <v>B2_P4_C1_D1</v>
      </c>
      <c r="J686" s="15" t="s">
        <v>20</v>
      </c>
      <c r="K686" s="13" t="str">
        <f>B686&amp;"-"&amp;C686&amp;"-"&amp;D686&amp;"-"&amp;E686&amp;"-"&amp;G686&amp;H686</f>
        <v>Robinia-B2-P4-C1-D1</v>
      </c>
      <c r="L686" s="15" t="s">
        <v>64</v>
      </c>
      <c r="M686" s="15" t="s">
        <v>44</v>
      </c>
      <c r="N686" s="15" t="str">
        <f>J686&amp;"_"&amp;L686&amp;"_"&amp;M686</f>
        <v>Drought_Grey_Yes</v>
      </c>
      <c r="O686" s="24" t="str">
        <f>J686&amp;"_"&amp;M686</f>
        <v>Drought_Yes</v>
      </c>
      <c r="P686" s="1" t="str">
        <f>J686&amp;"_"&amp;M686</f>
        <v>Drought_Yes</v>
      </c>
      <c r="Q686" s="1" t="str">
        <f>L686&amp;"_"&amp;M686</f>
        <v>Grey_Yes</v>
      </c>
      <c r="R686" s="18" t="s">
        <v>2072</v>
      </c>
      <c r="S686" s="2"/>
      <c r="T686" s="2"/>
    </row>
    <row r="687" spans="1:20" ht="15.75" customHeight="1" x14ac:dyDescent="0.2">
      <c r="A687" s="13">
        <v>710</v>
      </c>
      <c r="B687" s="15" t="s">
        <v>11</v>
      </c>
      <c r="C687" s="15" t="s">
        <v>234</v>
      </c>
      <c r="D687" s="15" t="s">
        <v>131</v>
      </c>
      <c r="E687" s="15" t="s">
        <v>16</v>
      </c>
      <c r="F687" s="15" t="str">
        <f>C687&amp;"-"&amp;D687&amp;"-"&amp;E687</f>
        <v>B2-P4-C1</v>
      </c>
      <c r="G687" s="15" t="s">
        <v>619</v>
      </c>
      <c r="H687" s="15">
        <v>1</v>
      </c>
      <c r="I687" s="15" t="str">
        <f>C687&amp;"_"&amp;D687&amp;"_"&amp;E687&amp;"_"&amp;G687&amp;H687</f>
        <v>B2_P4_C1_E1</v>
      </c>
      <c r="J687" s="15" t="s">
        <v>20</v>
      </c>
      <c r="K687" s="13" t="str">
        <f>B687&amp;"-"&amp;C687&amp;"-"&amp;D687&amp;"-"&amp;E687&amp;"-"&amp;G687&amp;H687</f>
        <v>Robinia-B2-P4-C1-E1</v>
      </c>
      <c r="L687" s="15" t="s">
        <v>64</v>
      </c>
      <c r="M687" s="15" t="s">
        <v>44</v>
      </c>
      <c r="N687" s="15" t="str">
        <f>J687&amp;"_"&amp;L687&amp;"_"&amp;M687</f>
        <v>Drought_Grey_Yes</v>
      </c>
      <c r="O687" s="24" t="str">
        <f>J687&amp;"_"&amp;M687</f>
        <v>Drought_Yes</v>
      </c>
      <c r="P687" s="1" t="str">
        <f>J687&amp;"_"&amp;M687</f>
        <v>Drought_Yes</v>
      </c>
      <c r="Q687" s="1" t="str">
        <f>L687&amp;"_"&amp;M687</f>
        <v>Grey_Yes</v>
      </c>
      <c r="R687" s="18" t="s">
        <v>2072</v>
      </c>
      <c r="S687" s="2"/>
      <c r="T687" s="2"/>
    </row>
    <row r="688" spans="1:20" ht="15.75" customHeight="1" x14ac:dyDescent="0.2">
      <c r="A688" s="13">
        <v>711</v>
      </c>
      <c r="B688" s="15" t="s">
        <v>11</v>
      </c>
      <c r="C688" s="15" t="s">
        <v>234</v>
      </c>
      <c r="D688" s="15" t="s">
        <v>131</v>
      </c>
      <c r="E688" s="15" t="s">
        <v>16</v>
      </c>
      <c r="F688" s="15" t="str">
        <f>C688&amp;"-"&amp;D688&amp;"-"&amp;E688</f>
        <v>B2-P4-C1</v>
      </c>
      <c r="G688" s="15" t="s">
        <v>620</v>
      </c>
      <c r="H688" s="15">
        <v>1</v>
      </c>
      <c r="I688" s="15" t="str">
        <f>C688&amp;"_"&amp;D688&amp;"_"&amp;E688&amp;"_"&amp;G688&amp;H688</f>
        <v>B2_P4_C1_F1</v>
      </c>
      <c r="J688" s="15" t="s">
        <v>20</v>
      </c>
      <c r="K688" s="13" t="str">
        <f>B688&amp;"-"&amp;C688&amp;"-"&amp;D688&amp;"-"&amp;E688&amp;"-"&amp;G688&amp;H688</f>
        <v>Robinia-B2-P4-C1-F1</v>
      </c>
      <c r="L688" s="15" t="s">
        <v>64</v>
      </c>
      <c r="M688" s="15" t="s">
        <v>44</v>
      </c>
      <c r="N688" s="15" t="str">
        <f>J688&amp;"_"&amp;L688&amp;"_"&amp;M688</f>
        <v>Drought_Grey_Yes</v>
      </c>
      <c r="O688" s="24" t="str">
        <f>J688&amp;"_"&amp;M688</f>
        <v>Drought_Yes</v>
      </c>
      <c r="P688" s="1" t="str">
        <f>J688&amp;"_"&amp;M688</f>
        <v>Drought_Yes</v>
      </c>
      <c r="Q688" s="1" t="str">
        <f>L688&amp;"_"&amp;M688</f>
        <v>Grey_Yes</v>
      </c>
      <c r="R688" s="18" t="s">
        <v>2072</v>
      </c>
      <c r="S688" s="23"/>
      <c r="T688" s="23"/>
    </row>
    <row r="689" spans="1:20" ht="15.75" customHeight="1" x14ac:dyDescent="0.2">
      <c r="A689" s="13">
        <v>712</v>
      </c>
      <c r="B689" s="15" t="s">
        <v>11</v>
      </c>
      <c r="C689" s="15" t="s">
        <v>234</v>
      </c>
      <c r="D689" s="15" t="s">
        <v>131</v>
      </c>
      <c r="E689" s="15" t="s">
        <v>16</v>
      </c>
      <c r="F689" s="15" t="str">
        <f>C689&amp;"-"&amp;D689&amp;"-"&amp;E689</f>
        <v>B2-P4-C1</v>
      </c>
      <c r="G689" s="15" t="s">
        <v>618</v>
      </c>
      <c r="H689" s="15">
        <v>2</v>
      </c>
      <c r="I689" s="15" t="str">
        <f>C689&amp;"_"&amp;D689&amp;"_"&amp;E689&amp;"_"&amp;G689&amp;H689</f>
        <v>B2_P4_C1_D2</v>
      </c>
      <c r="J689" s="15" t="s">
        <v>20</v>
      </c>
      <c r="K689" s="13" t="str">
        <f>B689&amp;"-"&amp;C689&amp;"-"&amp;D689&amp;"-"&amp;E689&amp;"-"&amp;G689&amp;H689</f>
        <v>Robinia-B2-P4-C1-D2</v>
      </c>
      <c r="L689" s="15" t="s">
        <v>64</v>
      </c>
      <c r="M689" s="15" t="s">
        <v>44</v>
      </c>
      <c r="N689" s="15" t="str">
        <f>J689&amp;"_"&amp;L689&amp;"_"&amp;M689</f>
        <v>Drought_Grey_Yes</v>
      </c>
      <c r="O689" s="24" t="str">
        <f>J689&amp;"_"&amp;M689</f>
        <v>Drought_Yes</v>
      </c>
      <c r="P689" s="1" t="str">
        <f>J689&amp;"_"&amp;M689</f>
        <v>Drought_Yes</v>
      </c>
      <c r="Q689" s="1" t="str">
        <f>L689&amp;"_"&amp;M689</f>
        <v>Grey_Yes</v>
      </c>
      <c r="R689" s="18" t="s">
        <v>2072</v>
      </c>
      <c r="S689" s="23"/>
      <c r="T689" s="23"/>
    </row>
    <row r="690" spans="1:20" ht="15.75" customHeight="1" x14ac:dyDescent="0.2">
      <c r="A690" s="13">
        <v>713</v>
      </c>
      <c r="B690" s="15" t="s">
        <v>11</v>
      </c>
      <c r="C690" s="15" t="s">
        <v>234</v>
      </c>
      <c r="D690" s="15" t="s">
        <v>131</v>
      </c>
      <c r="E690" s="15" t="s">
        <v>16</v>
      </c>
      <c r="F690" s="15" t="str">
        <f>C690&amp;"-"&amp;D690&amp;"-"&amp;E690</f>
        <v>B2-P4-C1</v>
      </c>
      <c r="G690" s="15" t="s">
        <v>619</v>
      </c>
      <c r="H690" s="15">
        <v>2</v>
      </c>
      <c r="I690" s="15" t="str">
        <f>C690&amp;"_"&amp;D690&amp;"_"&amp;E690&amp;"_"&amp;G690&amp;H690</f>
        <v>B2_P4_C1_E2</v>
      </c>
      <c r="J690" s="15" t="s">
        <v>20</v>
      </c>
      <c r="K690" s="13" t="str">
        <f>B690&amp;"-"&amp;C690&amp;"-"&amp;D690&amp;"-"&amp;E690&amp;"-"&amp;G690&amp;H690</f>
        <v>Robinia-B2-P4-C1-E2</v>
      </c>
      <c r="L690" s="15" t="s">
        <v>64</v>
      </c>
      <c r="M690" s="15" t="s">
        <v>44</v>
      </c>
      <c r="N690" s="15" t="str">
        <f>J690&amp;"_"&amp;L690&amp;"_"&amp;M690</f>
        <v>Drought_Grey_Yes</v>
      </c>
      <c r="O690" s="24" t="str">
        <f>J690&amp;"_"&amp;M690</f>
        <v>Drought_Yes</v>
      </c>
      <c r="P690" s="1" t="str">
        <f>J690&amp;"_"&amp;M690</f>
        <v>Drought_Yes</v>
      </c>
      <c r="Q690" s="1" t="str">
        <f>L690&amp;"_"&amp;M690</f>
        <v>Grey_Yes</v>
      </c>
      <c r="R690" s="18" t="s">
        <v>2072</v>
      </c>
      <c r="S690" s="23"/>
      <c r="T690" s="23"/>
    </row>
    <row r="691" spans="1:20" ht="15.75" customHeight="1" x14ac:dyDescent="0.2">
      <c r="A691" s="13">
        <v>714</v>
      </c>
      <c r="B691" s="15" t="s">
        <v>11</v>
      </c>
      <c r="C691" s="15" t="s">
        <v>234</v>
      </c>
      <c r="D691" s="15" t="s">
        <v>131</v>
      </c>
      <c r="E691" s="15" t="s">
        <v>16</v>
      </c>
      <c r="F691" s="15" t="str">
        <f>C691&amp;"-"&amp;D691&amp;"-"&amp;E691</f>
        <v>B2-P4-C1</v>
      </c>
      <c r="G691" s="15" t="s">
        <v>620</v>
      </c>
      <c r="H691" s="15">
        <v>2</v>
      </c>
      <c r="I691" s="15" t="str">
        <f>C691&amp;"_"&amp;D691&amp;"_"&amp;E691&amp;"_"&amp;G691&amp;H691</f>
        <v>B2_P4_C1_F2</v>
      </c>
      <c r="J691" s="15" t="s">
        <v>20</v>
      </c>
      <c r="K691" s="13" t="str">
        <f>B691&amp;"-"&amp;C691&amp;"-"&amp;D691&amp;"-"&amp;E691&amp;"-"&amp;G691&amp;H691</f>
        <v>Robinia-B2-P4-C1-F2</v>
      </c>
      <c r="L691" s="15" t="s">
        <v>64</v>
      </c>
      <c r="M691" s="15" t="s">
        <v>44</v>
      </c>
      <c r="N691" s="15" t="str">
        <f>J691&amp;"_"&amp;L691&amp;"_"&amp;M691</f>
        <v>Drought_Grey_Yes</v>
      </c>
      <c r="O691" s="24" t="str">
        <f>J691&amp;"_"&amp;M691</f>
        <v>Drought_Yes</v>
      </c>
      <c r="P691" s="1" t="str">
        <f>J691&amp;"_"&amp;M691</f>
        <v>Drought_Yes</v>
      </c>
      <c r="Q691" s="1" t="str">
        <f>L691&amp;"_"&amp;M691</f>
        <v>Grey_Yes</v>
      </c>
      <c r="R691" s="18" t="s">
        <v>2072</v>
      </c>
      <c r="S691" s="23"/>
      <c r="T691" s="23"/>
    </row>
    <row r="692" spans="1:20" s="10" customFormat="1" ht="15.75" customHeight="1" x14ac:dyDescent="0.2">
      <c r="A692" s="21">
        <v>715</v>
      </c>
      <c r="B692" s="22" t="s">
        <v>11</v>
      </c>
      <c r="C692" s="22" t="s">
        <v>234</v>
      </c>
      <c r="D692" s="22" t="s">
        <v>131</v>
      </c>
      <c r="E692" s="22" t="s">
        <v>32</v>
      </c>
      <c r="F692" s="18" t="str">
        <f>C692&amp;"-"&amp;D692&amp;"-"&amp;E692</f>
        <v>B2-P4-C2</v>
      </c>
      <c r="G692" s="22" t="s">
        <v>618</v>
      </c>
      <c r="H692" s="22">
        <v>1</v>
      </c>
      <c r="I692" s="22" t="str">
        <f>C692&amp;"_"&amp;D692&amp;"_"&amp;E692&amp;"_"&amp;G692&amp;H692</f>
        <v>B2_P4_C2_D1</v>
      </c>
      <c r="J692" s="22" t="s">
        <v>20</v>
      </c>
      <c r="K692" s="21" t="str">
        <f>B692&amp;"-"&amp;C692&amp;"-"&amp;D692&amp;"-"&amp;E692&amp;"-"&amp;G692&amp;H692</f>
        <v>Robinia-B2-P4-C2-D1</v>
      </c>
      <c r="L692" s="22" t="s">
        <v>64</v>
      </c>
      <c r="M692" s="22" t="s">
        <v>44</v>
      </c>
      <c r="N692" s="22" t="str">
        <f>J692&amp;"_"&amp;L692&amp;"_"&amp;M692</f>
        <v>Drought_Grey_Yes</v>
      </c>
      <c r="O692" s="27" t="str">
        <f>J692&amp;"_"&amp;M692</f>
        <v>Drought_Yes</v>
      </c>
      <c r="P692" s="2" t="str">
        <f>J692&amp;"_"&amp;M692</f>
        <v>Drought_Yes</v>
      </c>
      <c r="Q692" s="2" t="str">
        <f>L692&amp;"_"&amp;M692</f>
        <v>Grey_Yes</v>
      </c>
      <c r="R692" s="18" t="s">
        <v>2072</v>
      </c>
      <c r="S692" s="23"/>
      <c r="T692" s="23"/>
    </row>
    <row r="693" spans="1:20" s="10" customFormat="1" ht="15.75" customHeight="1" x14ac:dyDescent="0.2">
      <c r="A693" s="21">
        <v>716</v>
      </c>
      <c r="B693" s="22" t="s">
        <v>11</v>
      </c>
      <c r="C693" s="22" t="s">
        <v>234</v>
      </c>
      <c r="D693" s="22" t="s">
        <v>131</v>
      </c>
      <c r="E693" s="22" t="s">
        <v>32</v>
      </c>
      <c r="F693" s="18" t="str">
        <f>C693&amp;"-"&amp;D693&amp;"-"&amp;E693</f>
        <v>B2-P4-C2</v>
      </c>
      <c r="G693" s="22" t="s">
        <v>619</v>
      </c>
      <c r="H693" s="22">
        <v>1</v>
      </c>
      <c r="I693" s="22" t="str">
        <f>C693&amp;"_"&amp;D693&amp;"_"&amp;E693&amp;"_"&amp;G693&amp;H693</f>
        <v>B2_P4_C2_E1</v>
      </c>
      <c r="J693" s="22" t="s">
        <v>20</v>
      </c>
      <c r="K693" s="21" t="str">
        <f>B693&amp;"-"&amp;C693&amp;"-"&amp;D693&amp;"-"&amp;E693&amp;"-"&amp;G693&amp;H693</f>
        <v>Robinia-B2-P4-C2-E1</v>
      </c>
      <c r="L693" s="22" t="s">
        <v>64</v>
      </c>
      <c r="M693" s="22" t="s">
        <v>44</v>
      </c>
      <c r="N693" s="22" t="str">
        <f>J693&amp;"_"&amp;L693&amp;"_"&amp;M693</f>
        <v>Drought_Grey_Yes</v>
      </c>
      <c r="O693" s="27" t="str">
        <f>J693&amp;"_"&amp;M693</f>
        <v>Drought_Yes</v>
      </c>
      <c r="P693" s="2" t="str">
        <f>J693&amp;"_"&amp;M693</f>
        <v>Drought_Yes</v>
      </c>
      <c r="Q693" s="2" t="str">
        <f>L693&amp;"_"&amp;M693</f>
        <v>Grey_Yes</v>
      </c>
      <c r="R693" s="18" t="s">
        <v>2072</v>
      </c>
      <c r="S693" s="23"/>
      <c r="T693" s="23"/>
    </row>
    <row r="694" spans="1:20" s="10" customFormat="1" ht="15.75" customHeight="1" x14ac:dyDescent="0.2">
      <c r="A694" s="21">
        <v>717</v>
      </c>
      <c r="B694" s="22" t="s">
        <v>11</v>
      </c>
      <c r="C694" s="22" t="s">
        <v>234</v>
      </c>
      <c r="D694" s="22" t="s">
        <v>131</v>
      </c>
      <c r="E694" s="22" t="s">
        <v>32</v>
      </c>
      <c r="F694" s="18" t="str">
        <f>C694&amp;"-"&amp;D694&amp;"-"&amp;E694</f>
        <v>B2-P4-C2</v>
      </c>
      <c r="G694" s="22" t="s">
        <v>620</v>
      </c>
      <c r="H694" s="22">
        <v>1</v>
      </c>
      <c r="I694" s="22" t="str">
        <f>C694&amp;"_"&amp;D694&amp;"_"&amp;E694&amp;"_"&amp;G694&amp;H694</f>
        <v>B2_P4_C2_F1</v>
      </c>
      <c r="J694" s="22" t="s">
        <v>20</v>
      </c>
      <c r="K694" s="21" t="str">
        <f>B694&amp;"-"&amp;C694&amp;"-"&amp;D694&amp;"-"&amp;E694&amp;"-"&amp;G694&amp;H694</f>
        <v>Robinia-B2-P4-C2-F1</v>
      </c>
      <c r="L694" s="22" t="s">
        <v>64</v>
      </c>
      <c r="M694" s="22" t="s">
        <v>44</v>
      </c>
      <c r="N694" s="22" t="str">
        <f>J694&amp;"_"&amp;L694&amp;"_"&amp;M694</f>
        <v>Drought_Grey_Yes</v>
      </c>
      <c r="O694" s="27" t="str">
        <f>J694&amp;"_"&amp;M694</f>
        <v>Drought_Yes</v>
      </c>
      <c r="P694" s="2" t="str">
        <f>J694&amp;"_"&amp;M694</f>
        <v>Drought_Yes</v>
      </c>
      <c r="Q694" s="2" t="str">
        <f>L694&amp;"_"&amp;M694</f>
        <v>Grey_Yes</v>
      </c>
      <c r="R694" s="18" t="s">
        <v>2072</v>
      </c>
      <c r="S694" s="23"/>
      <c r="T694" s="23"/>
    </row>
    <row r="695" spans="1:20" s="10" customFormat="1" ht="15.75" customHeight="1" x14ac:dyDescent="0.2">
      <c r="A695" s="21">
        <v>718</v>
      </c>
      <c r="B695" s="22" t="s">
        <v>11</v>
      </c>
      <c r="C695" s="22" t="s">
        <v>234</v>
      </c>
      <c r="D695" s="22" t="s">
        <v>131</v>
      </c>
      <c r="E695" s="22" t="s">
        <v>32</v>
      </c>
      <c r="F695" s="18" t="str">
        <f>C695&amp;"-"&amp;D695&amp;"-"&amp;E695</f>
        <v>B2-P4-C2</v>
      </c>
      <c r="G695" s="22" t="s">
        <v>618</v>
      </c>
      <c r="H695" s="22">
        <v>2</v>
      </c>
      <c r="I695" s="22" t="str">
        <f>C695&amp;"_"&amp;D695&amp;"_"&amp;E695&amp;"_"&amp;G695&amp;H695</f>
        <v>B2_P4_C2_D2</v>
      </c>
      <c r="J695" s="22" t="s">
        <v>20</v>
      </c>
      <c r="K695" s="21" t="str">
        <f>B695&amp;"-"&amp;C695&amp;"-"&amp;D695&amp;"-"&amp;E695&amp;"-"&amp;G695&amp;H695</f>
        <v>Robinia-B2-P4-C2-D2</v>
      </c>
      <c r="L695" s="22" t="s">
        <v>64</v>
      </c>
      <c r="M695" s="22" t="s">
        <v>44</v>
      </c>
      <c r="N695" s="22" t="str">
        <f>J695&amp;"_"&amp;L695&amp;"_"&amp;M695</f>
        <v>Drought_Grey_Yes</v>
      </c>
      <c r="O695" s="27" t="str">
        <f>J695&amp;"_"&amp;M695</f>
        <v>Drought_Yes</v>
      </c>
      <c r="P695" s="2" t="str">
        <f>J695&amp;"_"&amp;M695</f>
        <v>Drought_Yes</v>
      </c>
      <c r="Q695" s="2" t="str">
        <f>L695&amp;"_"&amp;M695</f>
        <v>Grey_Yes</v>
      </c>
      <c r="R695" s="18" t="s">
        <v>2072</v>
      </c>
      <c r="S695" s="23"/>
      <c r="T695" s="23"/>
    </row>
    <row r="696" spans="1:20" s="10" customFormat="1" ht="15.75" customHeight="1" x14ac:dyDescent="0.2">
      <c r="A696" s="21">
        <v>719</v>
      </c>
      <c r="B696" s="22" t="s">
        <v>11</v>
      </c>
      <c r="C696" s="22" t="s">
        <v>234</v>
      </c>
      <c r="D696" s="22" t="s">
        <v>131</v>
      </c>
      <c r="E696" s="22" t="s">
        <v>32</v>
      </c>
      <c r="F696" s="18" t="str">
        <f>C696&amp;"-"&amp;D696&amp;"-"&amp;E696</f>
        <v>B2-P4-C2</v>
      </c>
      <c r="G696" s="22" t="s">
        <v>619</v>
      </c>
      <c r="H696" s="22">
        <v>2</v>
      </c>
      <c r="I696" s="22" t="str">
        <f>C696&amp;"_"&amp;D696&amp;"_"&amp;E696&amp;"_"&amp;G696&amp;H696</f>
        <v>B2_P4_C2_E2</v>
      </c>
      <c r="J696" s="22" t="s">
        <v>20</v>
      </c>
      <c r="K696" s="21" t="str">
        <f>B696&amp;"-"&amp;C696&amp;"-"&amp;D696&amp;"-"&amp;E696&amp;"-"&amp;G696&amp;H696</f>
        <v>Robinia-B2-P4-C2-E2</v>
      </c>
      <c r="L696" s="22" t="s">
        <v>64</v>
      </c>
      <c r="M696" s="22" t="s">
        <v>44</v>
      </c>
      <c r="N696" s="22" t="str">
        <f>J696&amp;"_"&amp;L696&amp;"_"&amp;M696</f>
        <v>Drought_Grey_Yes</v>
      </c>
      <c r="O696" s="27" t="str">
        <f>J696&amp;"_"&amp;M696</f>
        <v>Drought_Yes</v>
      </c>
      <c r="P696" s="2" t="str">
        <f>J696&amp;"_"&amp;M696</f>
        <v>Drought_Yes</v>
      </c>
      <c r="Q696" s="2" t="str">
        <f>L696&amp;"_"&amp;M696</f>
        <v>Grey_Yes</v>
      </c>
      <c r="R696" s="18" t="s">
        <v>2072</v>
      </c>
      <c r="S696" s="2"/>
      <c r="T696" s="2"/>
    </row>
    <row r="697" spans="1:20" s="10" customFormat="1" ht="15.75" customHeight="1" x14ac:dyDescent="0.2">
      <c r="A697" s="21">
        <v>720</v>
      </c>
      <c r="B697" s="22" t="s">
        <v>11</v>
      </c>
      <c r="C697" s="22" t="s">
        <v>234</v>
      </c>
      <c r="D697" s="22" t="s">
        <v>131</v>
      </c>
      <c r="E697" s="22" t="s">
        <v>32</v>
      </c>
      <c r="F697" s="18" t="str">
        <f>C697&amp;"-"&amp;D697&amp;"-"&amp;E697</f>
        <v>B2-P4-C2</v>
      </c>
      <c r="G697" s="22" t="s">
        <v>620</v>
      </c>
      <c r="H697" s="22">
        <v>2</v>
      </c>
      <c r="I697" s="22" t="str">
        <f>C697&amp;"_"&amp;D697&amp;"_"&amp;E697&amp;"_"&amp;G697&amp;H697</f>
        <v>B2_P4_C2_F2</v>
      </c>
      <c r="J697" s="22" t="s">
        <v>20</v>
      </c>
      <c r="K697" s="21" t="str">
        <f>B697&amp;"-"&amp;C697&amp;"-"&amp;D697&amp;"-"&amp;E697&amp;"-"&amp;G697&amp;H697</f>
        <v>Robinia-B2-P4-C2-F2</v>
      </c>
      <c r="L697" s="22" t="s">
        <v>64</v>
      </c>
      <c r="M697" s="22" t="s">
        <v>44</v>
      </c>
      <c r="N697" s="22" t="str">
        <f>J697&amp;"_"&amp;L697&amp;"_"&amp;M697</f>
        <v>Drought_Grey_Yes</v>
      </c>
      <c r="O697" s="27" t="str">
        <f>J697&amp;"_"&amp;M697</f>
        <v>Drought_Yes</v>
      </c>
      <c r="P697" s="2" t="str">
        <f>J697&amp;"_"&amp;M697</f>
        <v>Drought_Yes</v>
      </c>
      <c r="Q697" s="2" t="str">
        <f>L697&amp;"_"&amp;M697</f>
        <v>Grey_Yes</v>
      </c>
      <c r="R697" s="18" t="s">
        <v>2072</v>
      </c>
      <c r="S697" s="2"/>
      <c r="T697" s="2"/>
    </row>
    <row r="698" spans="1:20" ht="15.75" customHeight="1" x14ac:dyDescent="0.2">
      <c r="A698" s="13">
        <v>721</v>
      </c>
      <c r="B698" s="15" t="s">
        <v>11</v>
      </c>
      <c r="C698" s="15" t="s">
        <v>234</v>
      </c>
      <c r="D698" s="15" t="s">
        <v>131</v>
      </c>
      <c r="E698" s="15" t="s">
        <v>53</v>
      </c>
      <c r="F698" s="15" t="str">
        <f>C698&amp;"-"&amp;D698&amp;"-"&amp;E698</f>
        <v>B2-P4-C4</v>
      </c>
      <c r="G698" s="15" t="s">
        <v>618</v>
      </c>
      <c r="H698" s="15">
        <v>1</v>
      </c>
      <c r="I698" s="15" t="str">
        <f>C698&amp;"_"&amp;D698&amp;"_"&amp;E698&amp;"_"&amp;G698&amp;H698</f>
        <v>B2_P4_C4_D1</v>
      </c>
      <c r="J698" s="15" t="s">
        <v>20</v>
      </c>
      <c r="K698" s="13" t="str">
        <f>B698&amp;"-"&amp;C698&amp;"-"&amp;D698&amp;"-"&amp;E698&amp;"-"&amp;G698&amp;H698</f>
        <v>Robinia-B2-P4-C4-D1</v>
      </c>
      <c r="L698" s="15" t="s">
        <v>21</v>
      </c>
      <c r="M698" s="15" t="s">
        <v>44</v>
      </c>
      <c r="N698" s="15" t="str">
        <f>J698&amp;"_"&amp;L698&amp;"_"&amp;M698</f>
        <v>Drought_Yellow_Yes</v>
      </c>
      <c r="O698" s="24" t="str">
        <f>J698&amp;"_"&amp;M698</f>
        <v>Drought_Yes</v>
      </c>
      <c r="P698" s="1" t="str">
        <f>J698&amp;"_"&amp;M698</f>
        <v>Drought_Yes</v>
      </c>
      <c r="Q698" s="1" t="str">
        <f>L698&amp;"_"&amp;M698</f>
        <v>Yellow_Yes</v>
      </c>
      <c r="R698" s="23" t="s">
        <v>2071</v>
      </c>
      <c r="S698" s="2"/>
      <c r="T698" s="2"/>
    </row>
    <row r="699" spans="1:20" ht="15.75" customHeight="1" x14ac:dyDescent="0.2">
      <c r="A699" s="13">
        <v>722</v>
      </c>
      <c r="B699" s="15" t="s">
        <v>11</v>
      </c>
      <c r="C699" s="15" t="s">
        <v>234</v>
      </c>
      <c r="D699" s="15" t="s">
        <v>131</v>
      </c>
      <c r="E699" s="15" t="s">
        <v>53</v>
      </c>
      <c r="F699" s="15" t="str">
        <f>C699&amp;"-"&amp;D699&amp;"-"&amp;E699</f>
        <v>B2-P4-C4</v>
      </c>
      <c r="G699" s="15" t="s">
        <v>619</v>
      </c>
      <c r="H699" s="15">
        <v>1</v>
      </c>
      <c r="I699" s="15" t="str">
        <f>C699&amp;"_"&amp;D699&amp;"_"&amp;E699&amp;"_"&amp;G699&amp;H699</f>
        <v>B2_P4_C4_E1</v>
      </c>
      <c r="J699" s="15" t="s">
        <v>20</v>
      </c>
      <c r="K699" s="13" t="str">
        <f>B699&amp;"-"&amp;C699&amp;"-"&amp;D699&amp;"-"&amp;E699&amp;"-"&amp;G699&amp;H699</f>
        <v>Robinia-B2-P4-C4-E1</v>
      </c>
      <c r="L699" s="15" t="s">
        <v>21</v>
      </c>
      <c r="M699" s="15" t="s">
        <v>44</v>
      </c>
      <c r="N699" s="15" t="str">
        <f>J699&amp;"_"&amp;L699&amp;"_"&amp;M699</f>
        <v>Drought_Yellow_Yes</v>
      </c>
      <c r="O699" s="24" t="str">
        <f>J699&amp;"_"&amp;M699</f>
        <v>Drought_Yes</v>
      </c>
      <c r="P699" s="1" t="str">
        <f>J699&amp;"_"&amp;M699</f>
        <v>Drought_Yes</v>
      </c>
      <c r="Q699" s="1" t="str">
        <f>L699&amp;"_"&amp;M699</f>
        <v>Yellow_Yes</v>
      </c>
      <c r="R699" s="23" t="s">
        <v>2071</v>
      </c>
      <c r="S699" s="2"/>
      <c r="T699" s="2"/>
    </row>
    <row r="700" spans="1:20" ht="15.75" customHeight="1" x14ac:dyDescent="0.2">
      <c r="A700" s="13">
        <v>723</v>
      </c>
      <c r="B700" s="15" t="s">
        <v>11</v>
      </c>
      <c r="C700" s="15" t="s">
        <v>234</v>
      </c>
      <c r="D700" s="15" t="s">
        <v>131</v>
      </c>
      <c r="E700" s="15" t="s">
        <v>53</v>
      </c>
      <c r="F700" s="15" t="str">
        <f>C700&amp;"-"&amp;D700&amp;"-"&amp;E700</f>
        <v>B2-P4-C4</v>
      </c>
      <c r="G700" s="15" t="s">
        <v>620</v>
      </c>
      <c r="H700" s="15">
        <v>1</v>
      </c>
      <c r="I700" s="15" t="str">
        <f>C700&amp;"_"&amp;D700&amp;"_"&amp;E700&amp;"_"&amp;G700&amp;H700</f>
        <v>B2_P4_C4_F1</v>
      </c>
      <c r="J700" s="15" t="s">
        <v>20</v>
      </c>
      <c r="K700" s="13" t="str">
        <f>B700&amp;"-"&amp;C700&amp;"-"&amp;D700&amp;"-"&amp;E700&amp;"-"&amp;G700&amp;H700</f>
        <v>Robinia-B2-P4-C4-F1</v>
      </c>
      <c r="L700" s="15" t="s">
        <v>21</v>
      </c>
      <c r="M700" s="15" t="s">
        <v>44</v>
      </c>
      <c r="N700" s="15" t="str">
        <f>J700&amp;"_"&amp;L700&amp;"_"&amp;M700</f>
        <v>Drought_Yellow_Yes</v>
      </c>
      <c r="O700" s="24" t="str">
        <f>J700&amp;"_"&amp;M700</f>
        <v>Drought_Yes</v>
      </c>
      <c r="P700" s="1" t="str">
        <f>J700&amp;"_"&amp;M700</f>
        <v>Drought_Yes</v>
      </c>
      <c r="Q700" s="1" t="str">
        <f>L700&amp;"_"&amp;M700</f>
        <v>Yellow_Yes</v>
      </c>
      <c r="R700" s="23" t="s">
        <v>2071</v>
      </c>
      <c r="S700" s="2"/>
      <c r="T700" s="2"/>
    </row>
    <row r="701" spans="1:20" ht="15.75" customHeight="1" x14ac:dyDescent="0.2">
      <c r="A701" s="13">
        <v>724</v>
      </c>
      <c r="B701" s="15" t="s">
        <v>11</v>
      </c>
      <c r="C701" s="15" t="s">
        <v>234</v>
      </c>
      <c r="D701" s="15" t="s">
        <v>131</v>
      </c>
      <c r="E701" s="15" t="s">
        <v>53</v>
      </c>
      <c r="F701" s="15" t="str">
        <f>C701&amp;"-"&amp;D701&amp;"-"&amp;E701</f>
        <v>B2-P4-C4</v>
      </c>
      <c r="G701" s="15" t="s">
        <v>618</v>
      </c>
      <c r="H701" s="15">
        <v>2</v>
      </c>
      <c r="I701" s="15" t="str">
        <f>C701&amp;"_"&amp;D701&amp;"_"&amp;E701&amp;"_"&amp;G701&amp;H701</f>
        <v>B2_P4_C4_D2</v>
      </c>
      <c r="J701" s="15" t="s">
        <v>20</v>
      </c>
      <c r="K701" s="13" t="str">
        <f>B701&amp;"-"&amp;C701&amp;"-"&amp;D701&amp;"-"&amp;E701&amp;"-"&amp;G701&amp;H701</f>
        <v>Robinia-B2-P4-C4-D2</v>
      </c>
      <c r="L701" s="15" t="s">
        <v>21</v>
      </c>
      <c r="M701" s="15" t="s">
        <v>44</v>
      </c>
      <c r="N701" s="15" t="str">
        <f>J701&amp;"_"&amp;L701&amp;"_"&amp;M701</f>
        <v>Drought_Yellow_Yes</v>
      </c>
      <c r="O701" s="24" t="str">
        <f>J701&amp;"_"&amp;M701</f>
        <v>Drought_Yes</v>
      </c>
      <c r="P701" s="1" t="str">
        <f>J701&amp;"_"&amp;M701</f>
        <v>Drought_Yes</v>
      </c>
      <c r="Q701" s="1" t="str">
        <f>L701&amp;"_"&amp;M701</f>
        <v>Yellow_Yes</v>
      </c>
      <c r="R701" s="23" t="s">
        <v>2071</v>
      </c>
      <c r="S701" s="2"/>
      <c r="T701" s="2"/>
    </row>
    <row r="702" spans="1:20" ht="15.75" customHeight="1" x14ac:dyDescent="0.2">
      <c r="A702" s="13">
        <v>725</v>
      </c>
      <c r="B702" s="15" t="s">
        <v>11</v>
      </c>
      <c r="C702" s="15" t="s">
        <v>234</v>
      </c>
      <c r="D702" s="15" t="s">
        <v>131</v>
      </c>
      <c r="E702" s="15" t="s">
        <v>53</v>
      </c>
      <c r="F702" s="15" t="str">
        <f>C702&amp;"-"&amp;D702&amp;"-"&amp;E702</f>
        <v>B2-P4-C4</v>
      </c>
      <c r="G702" s="15" t="s">
        <v>619</v>
      </c>
      <c r="H702" s="15">
        <v>2</v>
      </c>
      <c r="I702" s="15" t="str">
        <f>C702&amp;"_"&amp;D702&amp;"_"&amp;E702&amp;"_"&amp;G702&amp;H702</f>
        <v>B2_P4_C4_E2</v>
      </c>
      <c r="J702" s="15" t="s">
        <v>20</v>
      </c>
      <c r="K702" s="13" t="str">
        <f>B702&amp;"-"&amp;C702&amp;"-"&amp;D702&amp;"-"&amp;E702&amp;"-"&amp;G702&amp;H702</f>
        <v>Robinia-B2-P4-C4-E2</v>
      </c>
      <c r="L702" s="15" t="s">
        <v>21</v>
      </c>
      <c r="M702" s="15" t="s">
        <v>44</v>
      </c>
      <c r="N702" s="15" t="str">
        <f>J702&amp;"_"&amp;L702&amp;"_"&amp;M702</f>
        <v>Drought_Yellow_Yes</v>
      </c>
      <c r="O702" s="24" t="str">
        <f>J702&amp;"_"&amp;M702</f>
        <v>Drought_Yes</v>
      </c>
      <c r="P702" s="1" t="str">
        <f>J702&amp;"_"&amp;M702</f>
        <v>Drought_Yes</v>
      </c>
      <c r="Q702" s="1" t="str">
        <f>L702&amp;"_"&amp;M702</f>
        <v>Yellow_Yes</v>
      </c>
      <c r="R702" s="23" t="s">
        <v>2071</v>
      </c>
      <c r="S702" s="2"/>
      <c r="T702" s="2"/>
    </row>
    <row r="703" spans="1:20" ht="15.75" customHeight="1" x14ac:dyDescent="0.2">
      <c r="A703" s="13">
        <v>726</v>
      </c>
      <c r="B703" s="15" t="s">
        <v>11</v>
      </c>
      <c r="C703" s="15" t="s">
        <v>234</v>
      </c>
      <c r="D703" s="15" t="s">
        <v>131</v>
      </c>
      <c r="E703" s="15" t="s">
        <v>53</v>
      </c>
      <c r="F703" s="15" t="str">
        <f>C703&amp;"-"&amp;D703&amp;"-"&amp;E703</f>
        <v>B2-P4-C4</v>
      </c>
      <c r="G703" s="15" t="s">
        <v>620</v>
      </c>
      <c r="H703" s="15">
        <v>2</v>
      </c>
      <c r="I703" s="15" t="str">
        <f>C703&amp;"_"&amp;D703&amp;"_"&amp;E703&amp;"_"&amp;G703&amp;H703</f>
        <v>B2_P4_C4_F2</v>
      </c>
      <c r="J703" s="15" t="s">
        <v>20</v>
      </c>
      <c r="K703" s="13" t="str">
        <f>B703&amp;"-"&amp;C703&amp;"-"&amp;D703&amp;"-"&amp;E703&amp;"-"&amp;G703&amp;H703</f>
        <v>Robinia-B2-P4-C4-F2</v>
      </c>
      <c r="L703" s="15" t="s">
        <v>21</v>
      </c>
      <c r="M703" s="15" t="s">
        <v>44</v>
      </c>
      <c r="N703" s="15" t="str">
        <f>J703&amp;"_"&amp;L703&amp;"_"&amp;M703</f>
        <v>Drought_Yellow_Yes</v>
      </c>
      <c r="O703" s="24" t="str">
        <f>J703&amp;"_"&amp;M703</f>
        <v>Drought_Yes</v>
      </c>
      <c r="P703" s="1" t="str">
        <f>J703&amp;"_"&amp;M703</f>
        <v>Drought_Yes</v>
      </c>
      <c r="Q703" s="1" t="str">
        <f>L703&amp;"_"&amp;M703</f>
        <v>Yellow_Yes</v>
      </c>
      <c r="R703" s="23" t="s">
        <v>2071</v>
      </c>
      <c r="S703" s="2"/>
      <c r="T703" s="2"/>
    </row>
    <row r="704" spans="1:20" s="10" customFormat="1" ht="15.75" customHeight="1" x14ac:dyDescent="0.2">
      <c r="A704" s="21">
        <v>727</v>
      </c>
      <c r="B704" s="22" t="s">
        <v>11</v>
      </c>
      <c r="C704" s="22" t="s">
        <v>234</v>
      </c>
      <c r="D704" s="22" t="s">
        <v>167</v>
      </c>
      <c r="E704" s="22" t="s">
        <v>53</v>
      </c>
      <c r="F704" s="18" t="str">
        <f>C704&amp;"-"&amp;D704&amp;"-"&amp;E704</f>
        <v>B2-P5-C4</v>
      </c>
      <c r="G704" s="22" t="s">
        <v>618</v>
      </c>
      <c r="H704" s="22">
        <v>1</v>
      </c>
      <c r="I704" s="22" t="str">
        <f>C704&amp;"_"&amp;D704&amp;"_"&amp;E704&amp;"_"&amp;G704&amp;H704</f>
        <v>B2_P5_C4_D1</v>
      </c>
      <c r="J704" s="22" t="s">
        <v>20</v>
      </c>
      <c r="K704" s="21" t="str">
        <f>B704&amp;"-"&amp;C704&amp;"-"&amp;D704&amp;"-"&amp;E704&amp;"-"&amp;G704&amp;H704</f>
        <v>Robinia-B2-P5-C4-D1</v>
      </c>
      <c r="L704" s="22" t="s">
        <v>64</v>
      </c>
      <c r="M704" s="22" t="s">
        <v>44</v>
      </c>
      <c r="N704" s="22" t="str">
        <f>J704&amp;"_"&amp;L704&amp;"_"&amp;M704</f>
        <v>Drought_Grey_Yes</v>
      </c>
      <c r="O704" s="27" t="str">
        <f>J704&amp;"_"&amp;M704</f>
        <v>Drought_Yes</v>
      </c>
      <c r="P704" s="2" t="str">
        <f>J704&amp;"_"&amp;M704</f>
        <v>Drought_Yes</v>
      </c>
      <c r="Q704" s="2" t="str">
        <f>L704&amp;"_"&amp;M704</f>
        <v>Grey_Yes</v>
      </c>
      <c r="R704" s="18" t="s">
        <v>2072</v>
      </c>
      <c r="S704" s="2"/>
      <c r="T704" s="2"/>
    </row>
    <row r="705" spans="1:20" s="10" customFormat="1" ht="15.75" customHeight="1" x14ac:dyDescent="0.2">
      <c r="A705" s="21">
        <v>728</v>
      </c>
      <c r="B705" s="22" t="s">
        <v>11</v>
      </c>
      <c r="C705" s="22" t="s">
        <v>234</v>
      </c>
      <c r="D705" s="22" t="s">
        <v>167</v>
      </c>
      <c r="E705" s="22" t="s">
        <v>53</v>
      </c>
      <c r="F705" s="18" t="str">
        <f>C705&amp;"-"&amp;D705&amp;"-"&amp;E705</f>
        <v>B2-P5-C4</v>
      </c>
      <c r="G705" s="22" t="s">
        <v>619</v>
      </c>
      <c r="H705" s="22">
        <v>1</v>
      </c>
      <c r="I705" s="22" t="str">
        <f>C705&amp;"_"&amp;D705&amp;"_"&amp;E705&amp;"_"&amp;G705&amp;H705</f>
        <v>B2_P5_C4_E1</v>
      </c>
      <c r="J705" s="22" t="s">
        <v>20</v>
      </c>
      <c r="K705" s="21" t="str">
        <f>B705&amp;"-"&amp;C705&amp;"-"&amp;D705&amp;"-"&amp;E705&amp;"-"&amp;G705&amp;H705</f>
        <v>Robinia-B2-P5-C4-E1</v>
      </c>
      <c r="L705" s="22" t="s">
        <v>64</v>
      </c>
      <c r="M705" s="22" t="s">
        <v>44</v>
      </c>
      <c r="N705" s="22" t="str">
        <f>J705&amp;"_"&amp;L705&amp;"_"&amp;M705</f>
        <v>Drought_Grey_Yes</v>
      </c>
      <c r="O705" s="27" t="str">
        <f>J705&amp;"_"&amp;M705</f>
        <v>Drought_Yes</v>
      </c>
      <c r="P705" s="2" t="str">
        <f>J705&amp;"_"&amp;M705</f>
        <v>Drought_Yes</v>
      </c>
      <c r="Q705" s="2" t="str">
        <f>L705&amp;"_"&amp;M705</f>
        <v>Grey_Yes</v>
      </c>
      <c r="R705" s="18" t="s">
        <v>2072</v>
      </c>
      <c r="S705" s="2"/>
      <c r="T705" s="2"/>
    </row>
    <row r="706" spans="1:20" s="10" customFormat="1" ht="15.75" customHeight="1" x14ac:dyDescent="0.2">
      <c r="A706" s="21">
        <v>729</v>
      </c>
      <c r="B706" s="22" t="s">
        <v>11</v>
      </c>
      <c r="C706" s="22" t="s">
        <v>234</v>
      </c>
      <c r="D706" s="22" t="s">
        <v>167</v>
      </c>
      <c r="E706" s="22" t="s">
        <v>53</v>
      </c>
      <c r="F706" s="18" t="str">
        <f>C706&amp;"-"&amp;D706&amp;"-"&amp;E706</f>
        <v>B2-P5-C4</v>
      </c>
      <c r="G706" s="22" t="s">
        <v>620</v>
      </c>
      <c r="H706" s="22">
        <v>1</v>
      </c>
      <c r="I706" s="22" t="str">
        <f>C706&amp;"_"&amp;D706&amp;"_"&amp;E706&amp;"_"&amp;G706&amp;H706</f>
        <v>B2_P5_C4_F1</v>
      </c>
      <c r="J706" s="22" t="s">
        <v>20</v>
      </c>
      <c r="K706" s="21" t="str">
        <f>B706&amp;"-"&amp;C706&amp;"-"&amp;D706&amp;"-"&amp;E706&amp;"-"&amp;G706&amp;H706</f>
        <v>Robinia-B2-P5-C4-F1</v>
      </c>
      <c r="L706" s="22" t="s">
        <v>64</v>
      </c>
      <c r="M706" s="22" t="s">
        <v>44</v>
      </c>
      <c r="N706" s="22" t="str">
        <f>J706&amp;"_"&amp;L706&amp;"_"&amp;M706</f>
        <v>Drought_Grey_Yes</v>
      </c>
      <c r="O706" s="27" t="str">
        <f>J706&amp;"_"&amp;M706</f>
        <v>Drought_Yes</v>
      </c>
      <c r="P706" s="2" t="str">
        <f>J706&amp;"_"&amp;M706</f>
        <v>Drought_Yes</v>
      </c>
      <c r="Q706" s="2" t="str">
        <f>L706&amp;"_"&amp;M706</f>
        <v>Grey_Yes</v>
      </c>
      <c r="R706" s="18" t="s">
        <v>2072</v>
      </c>
      <c r="S706" s="2"/>
      <c r="T706" s="2"/>
    </row>
    <row r="707" spans="1:20" s="10" customFormat="1" ht="15.75" customHeight="1" x14ac:dyDescent="0.2">
      <c r="A707" s="21">
        <v>730</v>
      </c>
      <c r="B707" s="22" t="s">
        <v>11</v>
      </c>
      <c r="C707" s="22" t="s">
        <v>234</v>
      </c>
      <c r="D707" s="22" t="s">
        <v>167</v>
      </c>
      <c r="E707" s="22" t="s">
        <v>53</v>
      </c>
      <c r="F707" s="18" t="str">
        <f>C707&amp;"-"&amp;D707&amp;"-"&amp;E707</f>
        <v>B2-P5-C4</v>
      </c>
      <c r="G707" s="22" t="s">
        <v>618</v>
      </c>
      <c r="H707" s="22">
        <v>2</v>
      </c>
      <c r="I707" s="22" t="str">
        <f>C707&amp;"_"&amp;D707&amp;"_"&amp;E707&amp;"_"&amp;G707&amp;H707</f>
        <v>B2_P5_C4_D2</v>
      </c>
      <c r="J707" s="22" t="s">
        <v>20</v>
      </c>
      <c r="K707" s="21" t="str">
        <f>B707&amp;"-"&amp;C707&amp;"-"&amp;D707&amp;"-"&amp;E707&amp;"-"&amp;G707&amp;H707</f>
        <v>Robinia-B2-P5-C4-D2</v>
      </c>
      <c r="L707" s="22" t="s">
        <v>64</v>
      </c>
      <c r="M707" s="22" t="s">
        <v>44</v>
      </c>
      <c r="N707" s="22" t="str">
        <f>J707&amp;"_"&amp;L707&amp;"_"&amp;M707</f>
        <v>Drought_Grey_Yes</v>
      </c>
      <c r="O707" s="27" t="str">
        <f>J707&amp;"_"&amp;M707</f>
        <v>Drought_Yes</v>
      </c>
      <c r="P707" s="2" t="str">
        <f>J707&amp;"_"&amp;M707</f>
        <v>Drought_Yes</v>
      </c>
      <c r="Q707" s="2" t="str">
        <f>L707&amp;"_"&amp;M707</f>
        <v>Grey_Yes</v>
      </c>
      <c r="R707" s="18" t="s">
        <v>2072</v>
      </c>
      <c r="S707" s="2"/>
      <c r="T707" s="2"/>
    </row>
    <row r="708" spans="1:20" s="10" customFormat="1" ht="15.75" customHeight="1" x14ac:dyDescent="0.2">
      <c r="A708" s="21">
        <v>731</v>
      </c>
      <c r="B708" s="22" t="s">
        <v>11</v>
      </c>
      <c r="C708" s="22" t="s">
        <v>234</v>
      </c>
      <c r="D708" s="22" t="s">
        <v>167</v>
      </c>
      <c r="E708" s="22" t="s">
        <v>53</v>
      </c>
      <c r="F708" s="18" t="str">
        <f>C708&amp;"-"&amp;D708&amp;"-"&amp;E708</f>
        <v>B2-P5-C4</v>
      </c>
      <c r="G708" s="22" t="s">
        <v>619</v>
      </c>
      <c r="H708" s="22">
        <v>2</v>
      </c>
      <c r="I708" s="22" t="str">
        <f>C708&amp;"_"&amp;D708&amp;"_"&amp;E708&amp;"_"&amp;G708&amp;H708</f>
        <v>B2_P5_C4_E2</v>
      </c>
      <c r="J708" s="22" t="s">
        <v>20</v>
      </c>
      <c r="K708" s="21" t="str">
        <f>B708&amp;"-"&amp;C708&amp;"-"&amp;D708&amp;"-"&amp;E708&amp;"-"&amp;G708&amp;H708</f>
        <v>Robinia-B2-P5-C4-E2</v>
      </c>
      <c r="L708" s="22" t="s">
        <v>64</v>
      </c>
      <c r="M708" s="22" t="s">
        <v>44</v>
      </c>
      <c r="N708" s="22" t="str">
        <f>J708&amp;"_"&amp;L708&amp;"_"&amp;M708</f>
        <v>Drought_Grey_Yes</v>
      </c>
      <c r="O708" s="27" t="str">
        <f>J708&amp;"_"&amp;M708</f>
        <v>Drought_Yes</v>
      </c>
      <c r="P708" s="2" t="str">
        <f>J708&amp;"_"&amp;M708</f>
        <v>Drought_Yes</v>
      </c>
      <c r="Q708" s="2" t="str">
        <f>L708&amp;"_"&amp;M708</f>
        <v>Grey_Yes</v>
      </c>
      <c r="R708" s="18" t="s">
        <v>2072</v>
      </c>
      <c r="S708" s="2"/>
      <c r="T708" s="2"/>
    </row>
    <row r="709" spans="1:20" s="10" customFormat="1" ht="15.75" customHeight="1" x14ac:dyDescent="0.2">
      <c r="A709" s="21">
        <v>732</v>
      </c>
      <c r="B709" s="22" t="s">
        <v>11</v>
      </c>
      <c r="C709" s="22" t="s">
        <v>234</v>
      </c>
      <c r="D709" s="22" t="s">
        <v>167</v>
      </c>
      <c r="E709" s="22" t="s">
        <v>53</v>
      </c>
      <c r="F709" s="18" t="str">
        <f>C709&amp;"-"&amp;D709&amp;"-"&amp;E709</f>
        <v>B2-P5-C4</v>
      </c>
      <c r="G709" s="22" t="s">
        <v>620</v>
      </c>
      <c r="H709" s="22">
        <v>2</v>
      </c>
      <c r="I709" s="22" t="str">
        <f>C709&amp;"_"&amp;D709&amp;"_"&amp;E709&amp;"_"&amp;G709&amp;H709</f>
        <v>B2_P5_C4_F2</v>
      </c>
      <c r="J709" s="22" t="s">
        <v>20</v>
      </c>
      <c r="K709" s="21" t="str">
        <f>B709&amp;"-"&amp;C709&amp;"-"&amp;D709&amp;"-"&amp;E709&amp;"-"&amp;G709&amp;H709</f>
        <v>Robinia-B2-P5-C4-F2</v>
      </c>
      <c r="L709" s="22" t="s">
        <v>64</v>
      </c>
      <c r="M709" s="22" t="s">
        <v>44</v>
      </c>
      <c r="N709" s="22" t="str">
        <f>J709&amp;"_"&amp;L709&amp;"_"&amp;M709</f>
        <v>Drought_Grey_Yes</v>
      </c>
      <c r="O709" s="27" t="str">
        <f>J709&amp;"_"&amp;M709</f>
        <v>Drought_Yes</v>
      </c>
      <c r="P709" s="2" t="str">
        <f>J709&amp;"_"&amp;M709</f>
        <v>Drought_Yes</v>
      </c>
      <c r="Q709" s="2" t="str">
        <f>L709&amp;"_"&amp;M709</f>
        <v>Grey_Yes</v>
      </c>
      <c r="R709" s="18" t="s">
        <v>2072</v>
      </c>
      <c r="S709" s="2"/>
      <c r="T709" s="2"/>
    </row>
    <row r="710" spans="1:20" ht="15.75" customHeight="1" x14ac:dyDescent="0.2">
      <c r="A710" s="13">
        <v>733</v>
      </c>
      <c r="B710" s="15" t="s">
        <v>11</v>
      </c>
      <c r="C710" s="15" t="s">
        <v>234</v>
      </c>
      <c r="D710" s="15" t="s">
        <v>200</v>
      </c>
      <c r="E710" s="15" t="s">
        <v>16</v>
      </c>
      <c r="F710" s="15" t="str">
        <f>C710&amp;"-"&amp;D710&amp;"-"&amp;E710</f>
        <v>B2-P6-C1</v>
      </c>
      <c r="G710" s="15" t="s">
        <v>618</v>
      </c>
      <c r="H710" s="15">
        <v>1</v>
      </c>
      <c r="I710" s="15" t="str">
        <f>C710&amp;"_"&amp;D710&amp;"_"&amp;E710&amp;"_"&amp;G710&amp;H710</f>
        <v>B2_P6_C1_D1</v>
      </c>
      <c r="J710" s="15" t="s">
        <v>20</v>
      </c>
      <c r="K710" s="13" t="str">
        <f>B710&amp;"-"&amp;C710&amp;"-"&amp;D710&amp;"-"&amp;E710&amp;"-"&amp;G710&amp;H710</f>
        <v>Robinia-B2-P6-C1-D1</v>
      </c>
      <c r="L710" s="15" t="s">
        <v>21</v>
      </c>
      <c r="M710" s="15" t="s">
        <v>44</v>
      </c>
      <c r="N710" s="15" t="str">
        <f>J710&amp;"_"&amp;L710&amp;"_"&amp;M710</f>
        <v>Drought_Yellow_Yes</v>
      </c>
      <c r="O710" s="24" t="str">
        <f>J710&amp;"_"&amp;M710</f>
        <v>Drought_Yes</v>
      </c>
      <c r="P710" s="1" t="str">
        <f>J710&amp;"_"&amp;M710</f>
        <v>Drought_Yes</v>
      </c>
      <c r="Q710" s="1" t="str">
        <f>L710&amp;"_"&amp;M710</f>
        <v>Yellow_Yes</v>
      </c>
      <c r="R710" s="23" t="s">
        <v>2071</v>
      </c>
    </row>
    <row r="711" spans="1:20" ht="15.75" customHeight="1" x14ac:dyDescent="0.2">
      <c r="A711" s="13">
        <v>734</v>
      </c>
      <c r="B711" s="15" t="s">
        <v>11</v>
      </c>
      <c r="C711" s="15" t="s">
        <v>234</v>
      </c>
      <c r="D711" s="15" t="s">
        <v>200</v>
      </c>
      <c r="E711" s="15" t="s">
        <v>16</v>
      </c>
      <c r="F711" s="15" t="str">
        <f>C711&amp;"-"&amp;D711&amp;"-"&amp;E711</f>
        <v>B2-P6-C1</v>
      </c>
      <c r="G711" s="15" t="s">
        <v>619</v>
      </c>
      <c r="H711" s="15">
        <v>1</v>
      </c>
      <c r="I711" s="15" t="str">
        <f>C711&amp;"_"&amp;D711&amp;"_"&amp;E711&amp;"_"&amp;G711&amp;H711</f>
        <v>B2_P6_C1_E1</v>
      </c>
      <c r="J711" s="15" t="s">
        <v>20</v>
      </c>
      <c r="K711" s="13" t="str">
        <f>B711&amp;"-"&amp;C711&amp;"-"&amp;D711&amp;"-"&amp;E711&amp;"-"&amp;G711&amp;H711</f>
        <v>Robinia-B2-P6-C1-E1</v>
      </c>
      <c r="L711" s="15" t="s">
        <v>21</v>
      </c>
      <c r="M711" s="15" t="s">
        <v>44</v>
      </c>
      <c r="N711" s="15" t="str">
        <f>J711&amp;"_"&amp;L711&amp;"_"&amp;M711</f>
        <v>Drought_Yellow_Yes</v>
      </c>
      <c r="O711" s="24" t="str">
        <f>J711&amp;"_"&amp;M711</f>
        <v>Drought_Yes</v>
      </c>
      <c r="P711" s="1" t="str">
        <f>J711&amp;"_"&amp;M711</f>
        <v>Drought_Yes</v>
      </c>
      <c r="Q711" s="1" t="str">
        <f>L711&amp;"_"&amp;M711</f>
        <v>Yellow_Yes</v>
      </c>
      <c r="R711" s="23" t="s">
        <v>2071</v>
      </c>
    </row>
    <row r="712" spans="1:20" ht="15.75" customHeight="1" x14ac:dyDescent="0.2">
      <c r="A712" s="13">
        <v>735</v>
      </c>
      <c r="B712" s="15" t="s">
        <v>11</v>
      </c>
      <c r="C712" s="15" t="s">
        <v>234</v>
      </c>
      <c r="D712" s="15" t="s">
        <v>200</v>
      </c>
      <c r="E712" s="15" t="s">
        <v>16</v>
      </c>
      <c r="F712" s="15" t="str">
        <f>C712&amp;"-"&amp;D712&amp;"-"&amp;E712</f>
        <v>B2-P6-C1</v>
      </c>
      <c r="G712" s="15" t="s">
        <v>620</v>
      </c>
      <c r="H712" s="15">
        <v>1</v>
      </c>
      <c r="I712" s="15" t="str">
        <f>C712&amp;"_"&amp;D712&amp;"_"&amp;E712&amp;"_"&amp;G712&amp;H712</f>
        <v>B2_P6_C1_F1</v>
      </c>
      <c r="J712" s="15" t="s">
        <v>20</v>
      </c>
      <c r="K712" s="13" t="str">
        <f>B712&amp;"-"&amp;C712&amp;"-"&amp;D712&amp;"-"&amp;E712&amp;"-"&amp;G712&amp;H712</f>
        <v>Robinia-B2-P6-C1-F1</v>
      </c>
      <c r="L712" s="15" t="s">
        <v>21</v>
      </c>
      <c r="M712" s="15" t="s">
        <v>44</v>
      </c>
      <c r="N712" s="15" t="str">
        <f>J712&amp;"_"&amp;L712&amp;"_"&amp;M712</f>
        <v>Drought_Yellow_Yes</v>
      </c>
      <c r="O712" s="24" t="str">
        <f>J712&amp;"_"&amp;M712</f>
        <v>Drought_Yes</v>
      </c>
      <c r="P712" s="1" t="str">
        <f>J712&amp;"_"&amp;M712</f>
        <v>Drought_Yes</v>
      </c>
      <c r="Q712" s="1" t="str">
        <f>L712&amp;"_"&amp;M712</f>
        <v>Yellow_Yes</v>
      </c>
      <c r="R712" s="23" t="s">
        <v>2071</v>
      </c>
    </row>
    <row r="713" spans="1:20" ht="15.75" customHeight="1" x14ac:dyDescent="0.2">
      <c r="A713" s="13">
        <v>736</v>
      </c>
      <c r="B713" s="15" t="s">
        <v>11</v>
      </c>
      <c r="C713" s="15" t="s">
        <v>234</v>
      </c>
      <c r="D713" s="15" t="s">
        <v>200</v>
      </c>
      <c r="E713" s="15" t="s">
        <v>16</v>
      </c>
      <c r="F713" s="15" t="str">
        <f>C713&amp;"-"&amp;D713&amp;"-"&amp;E713</f>
        <v>B2-P6-C1</v>
      </c>
      <c r="G713" s="15" t="s">
        <v>618</v>
      </c>
      <c r="H713" s="15">
        <v>2</v>
      </c>
      <c r="I713" s="15" t="str">
        <f>C713&amp;"_"&amp;D713&amp;"_"&amp;E713&amp;"_"&amp;G713&amp;H713</f>
        <v>B2_P6_C1_D2</v>
      </c>
      <c r="J713" s="15" t="s">
        <v>20</v>
      </c>
      <c r="K713" s="13" t="str">
        <f>B713&amp;"-"&amp;C713&amp;"-"&amp;D713&amp;"-"&amp;E713&amp;"-"&amp;G713&amp;H713</f>
        <v>Robinia-B2-P6-C1-D2</v>
      </c>
      <c r="L713" s="15" t="s">
        <v>21</v>
      </c>
      <c r="M713" s="15" t="s">
        <v>44</v>
      </c>
      <c r="N713" s="15" t="str">
        <f>J713&amp;"_"&amp;L713&amp;"_"&amp;M713</f>
        <v>Drought_Yellow_Yes</v>
      </c>
      <c r="O713" s="24" t="str">
        <f>J713&amp;"_"&amp;M713</f>
        <v>Drought_Yes</v>
      </c>
      <c r="P713" s="1" t="str">
        <f>J713&amp;"_"&amp;M713</f>
        <v>Drought_Yes</v>
      </c>
      <c r="Q713" s="1" t="str">
        <f>L713&amp;"_"&amp;M713</f>
        <v>Yellow_Yes</v>
      </c>
      <c r="R713" s="23" t="s">
        <v>2071</v>
      </c>
    </row>
    <row r="714" spans="1:20" ht="15.75" customHeight="1" x14ac:dyDescent="0.2">
      <c r="A714" s="13">
        <v>737</v>
      </c>
      <c r="B714" s="15" t="s">
        <v>11</v>
      </c>
      <c r="C714" s="15" t="s">
        <v>234</v>
      </c>
      <c r="D714" s="15" t="s">
        <v>200</v>
      </c>
      <c r="E714" s="15" t="s">
        <v>16</v>
      </c>
      <c r="F714" s="15" t="str">
        <f>C714&amp;"-"&amp;D714&amp;"-"&amp;E714</f>
        <v>B2-P6-C1</v>
      </c>
      <c r="G714" s="15" t="s">
        <v>619</v>
      </c>
      <c r="H714" s="15">
        <v>2</v>
      </c>
      <c r="I714" s="15" t="str">
        <f>C714&amp;"_"&amp;D714&amp;"_"&amp;E714&amp;"_"&amp;G714&amp;H714</f>
        <v>B2_P6_C1_E2</v>
      </c>
      <c r="J714" s="15" t="s">
        <v>20</v>
      </c>
      <c r="K714" s="13" t="str">
        <f>B714&amp;"-"&amp;C714&amp;"-"&amp;D714&amp;"-"&amp;E714&amp;"-"&amp;G714&amp;H714</f>
        <v>Robinia-B2-P6-C1-E2</v>
      </c>
      <c r="L714" s="15" t="s">
        <v>21</v>
      </c>
      <c r="M714" s="15" t="s">
        <v>44</v>
      </c>
      <c r="N714" s="15" t="str">
        <f>J714&amp;"_"&amp;L714&amp;"_"&amp;M714</f>
        <v>Drought_Yellow_Yes</v>
      </c>
      <c r="O714" s="24" t="str">
        <f>J714&amp;"_"&amp;M714</f>
        <v>Drought_Yes</v>
      </c>
      <c r="P714" s="1" t="str">
        <f>J714&amp;"_"&amp;M714</f>
        <v>Drought_Yes</v>
      </c>
      <c r="Q714" s="1" t="str">
        <f>L714&amp;"_"&amp;M714</f>
        <v>Yellow_Yes</v>
      </c>
      <c r="R714" s="23" t="s">
        <v>2071</v>
      </c>
    </row>
    <row r="715" spans="1:20" ht="15.75" customHeight="1" x14ac:dyDescent="0.2">
      <c r="A715" s="13">
        <v>738</v>
      </c>
      <c r="B715" s="15" t="s">
        <v>11</v>
      </c>
      <c r="C715" s="15" t="s">
        <v>234</v>
      </c>
      <c r="D715" s="15" t="s">
        <v>200</v>
      </c>
      <c r="E715" s="15" t="s">
        <v>16</v>
      </c>
      <c r="F715" s="15" t="str">
        <f>C715&amp;"-"&amp;D715&amp;"-"&amp;E715</f>
        <v>B2-P6-C1</v>
      </c>
      <c r="G715" s="15" t="s">
        <v>620</v>
      </c>
      <c r="H715" s="15">
        <v>2</v>
      </c>
      <c r="I715" s="15" t="str">
        <f>C715&amp;"_"&amp;D715&amp;"_"&amp;E715&amp;"_"&amp;G715&amp;H715</f>
        <v>B2_P6_C1_F2</v>
      </c>
      <c r="J715" s="15" t="s">
        <v>20</v>
      </c>
      <c r="K715" s="13" t="str">
        <f>B715&amp;"-"&amp;C715&amp;"-"&amp;D715&amp;"-"&amp;E715&amp;"-"&amp;G715&amp;H715</f>
        <v>Robinia-B2-P6-C1-F2</v>
      </c>
      <c r="L715" s="15" t="s">
        <v>21</v>
      </c>
      <c r="M715" s="15" t="s">
        <v>44</v>
      </c>
      <c r="N715" s="15" t="str">
        <f>J715&amp;"_"&amp;L715&amp;"_"&amp;M715</f>
        <v>Drought_Yellow_Yes</v>
      </c>
      <c r="O715" s="24" t="str">
        <f>J715&amp;"_"&amp;M715</f>
        <v>Drought_Yes</v>
      </c>
      <c r="P715" s="1" t="str">
        <f>J715&amp;"_"&amp;M715</f>
        <v>Drought_Yes</v>
      </c>
      <c r="Q715" s="1" t="str">
        <f>L715&amp;"_"&amp;M715</f>
        <v>Yellow_Yes</v>
      </c>
      <c r="R715" s="23" t="s">
        <v>2071</v>
      </c>
    </row>
    <row r="716" spans="1:20" s="10" customFormat="1" ht="15.75" customHeight="1" x14ac:dyDescent="0.2">
      <c r="A716" s="21">
        <v>739</v>
      </c>
      <c r="B716" s="22" t="s">
        <v>11</v>
      </c>
      <c r="C716" s="22" t="s">
        <v>234</v>
      </c>
      <c r="D716" s="22" t="s">
        <v>200</v>
      </c>
      <c r="E716" s="22" t="s">
        <v>42</v>
      </c>
      <c r="F716" s="18" t="str">
        <f>C716&amp;"-"&amp;D716&amp;"-"&amp;E716</f>
        <v>B2-P6-C3</v>
      </c>
      <c r="G716" s="22" t="s">
        <v>618</v>
      </c>
      <c r="H716" s="22">
        <v>1</v>
      </c>
      <c r="I716" s="22" t="str">
        <f>C716&amp;"_"&amp;D716&amp;"_"&amp;E716&amp;"_"&amp;G716&amp;H716</f>
        <v>B2_P6_C3_D1</v>
      </c>
      <c r="J716" s="22" t="s">
        <v>20</v>
      </c>
      <c r="K716" s="21" t="str">
        <f>B716&amp;"-"&amp;C716&amp;"-"&amp;D716&amp;"-"&amp;E716&amp;"-"&amp;G716&amp;H716</f>
        <v>Robinia-B2-P6-C3-D1</v>
      </c>
      <c r="L716" s="22" t="s">
        <v>21</v>
      </c>
      <c r="M716" s="22" t="s">
        <v>44</v>
      </c>
      <c r="N716" s="22" t="str">
        <f>J716&amp;"_"&amp;L716&amp;"_"&amp;M716</f>
        <v>Drought_Yellow_Yes</v>
      </c>
      <c r="O716" s="27" t="str">
        <f>J716&amp;"_"&amp;M716</f>
        <v>Drought_Yes</v>
      </c>
      <c r="P716" s="2" t="str">
        <f>J716&amp;"_"&amp;M716</f>
        <v>Drought_Yes</v>
      </c>
      <c r="Q716" s="2" t="str">
        <f>L716&amp;"_"&amp;M716</f>
        <v>Yellow_Yes</v>
      </c>
      <c r="R716" s="23" t="s">
        <v>2071</v>
      </c>
      <c r="S716" s="2"/>
      <c r="T716" s="2"/>
    </row>
    <row r="717" spans="1:20" s="10" customFormat="1" ht="15.75" customHeight="1" x14ac:dyDescent="0.2">
      <c r="A717" s="21">
        <v>740</v>
      </c>
      <c r="B717" s="22" t="s">
        <v>11</v>
      </c>
      <c r="C717" s="22" t="s">
        <v>234</v>
      </c>
      <c r="D717" s="22" t="s">
        <v>200</v>
      </c>
      <c r="E717" s="22" t="s">
        <v>42</v>
      </c>
      <c r="F717" s="18" t="str">
        <f>C717&amp;"-"&amp;D717&amp;"-"&amp;E717</f>
        <v>B2-P6-C3</v>
      </c>
      <c r="G717" s="22" t="s">
        <v>619</v>
      </c>
      <c r="H717" s="22">
        <v>1</v>
      </c>
      <c r="I717" s="22" t="str">
        <f>C717&amp;"_"&amp;D717&amp;"_"&amp;E717&amp;"_"&amp;G717&amp;H717</f>
        <v>B2_P6_C3_E1</v>
      </c>
      <c r="J717" s="22" t="s">
        <v>20</v>
      </c>
      <c r="K717" s="21" t="str">
        <f>B717&amp;"-"&amp;C717&amp;"-"&amp;D717&amp;"-"&amp;E717&amp;"-"&amp;G717&amp;H717</f>
        <v>Robinia-B2-P6-C3-E1</v>
      </c>
      <c r="L717" s="22" t="s">
        <v>21</v>
      </c>
      <c r="M717" s="22" t="s">
        <v>44</v>
      </c>
      <c r="N717" s="22" t="str">
        <f>J717&amp;"_"&amp;L717&amp;"_"&amp;M717</f>
        <v>Drought_Yellow_Yes</v>
      </c>
      <c r="O717" s="27" t="str">
        <f>J717&amp;"_"&amp;M717</f>
        <v>Drought_Yes</v>
      </c>
      <c r="P717" s="2" t="str">
        <f>J717&amp;"_"&amp;M717</f>
        <v>Drought_Yes</v>
      </c>
      <c r="Q717" s="2" t="str">
        <f>L717&amp;"_"&amp;M717</f>
        <v>Yellow_Yes</v>
      </c>
      <c r="R717" s="23" t="s">
        <v>2071</v>
      </c>
      <c r="S717" s="2"/>
      <c r="T717" s="2"/>
    </row>
    <row r="718" spans="1:20" s="10" customFormat="1" ht="15.75" customHeight="1" x14ac:dyDescent="0.2">
      <c r="A718" s="21">
        <v>741</v>
      </c>
      <c r="B718" s="22" t="s">
        <v>11</v>
      </c>
      <c r="C718" s="22" t="s">
        <v>234</v>
      </c>
      <c r="D718" s="22" t="s">
        <v>200</v>
      </c>
      <c r="E718" s="22" t="s">
        <v>42</v>
      </c>
      <c r="F718" s="18" t="str">
        <f>C718&amp;"-"&amp;D718&amp;"-"&amp;E718</f>
        <v>B2-P6-C3</v>
      </c>
      <c r="G718" s="22" t="s">
        <v>620</v>
      </c>
      <c r="H718" s="22">
        <v>1</v>
      </c>
      <c r="I718" s="22" t="str">
        <f>C718&amp;"_"&amp;D718&amp;"_"&amp;E718&amp;"_"&amp;G718&amp;H718</f>
        <v>B2_P6_C3_F1</v>
      </c>
      <c r="J718" s="22" t="s">
        <v>20</v>
      </c>
      <c r="K718" s="21" t="str">
        <f>B718&amp;"-"&amp;C718&amp;"-"&amp;D718&amp;"-"&amp;E718&amp;"-"&amp;G718&amp;H718</f>
        <v>Robinia-B2-P6-C3-F1</v>
      </c>
      <c r="L718" s="22" t="s">
        <v>21</v>
      </c>
      <c r="M718" s="22" t="s">
        <v>44</v>
      </c>
      <c r="N718" s="22" t="str">
        <f>J718&amp;"_"&amp;L718&amp;"_"&amp;M718</f>
        <v>Drought_Yellow_Yes</v>
      </c>
      <c r="O718" s="27" t="str">
        <f>J718&amp;"_"&amp;M718</f>
        <v>Drought_Yes</v>
      </c>
      <c r="P718" s="2" t="str">
        <f>J718&amp;"_"&amp;M718</f>
        <v>Drought_Yes</v>
      </c>
      <c r="Q718" s="2" t="str">
        <f>L718&amp;"_"&amp;M718</f>
        <v>Yellow_Yes</v>
      </c>
      <c r="R718" s="23" t="s">
        <v>2071</v>
      </c>
      <c r="S718" s="2"/>
      <c r="T718" s="2"/>
    </row>
    <row r="719" spans="1:20" s="10" customFormat="1" ht="15.75" customHeight="1" x14ac:dyDescent="0.2">
      <c r="A719" s="21">
        <v>742</v>
      </c>
      <c r="B719" s="22" t="s">
        <v>11</v>
      </c>
      <c r="C719" s="22" t="s">
        <v>234</v>
      </c>
      <c r="D719" s="22" t="s">
        <v>200</v>
      </c>
      <c r="E719" s="22" t="s">
        <v>42</v>
      </c>
      <c r="F719" s="18" t="str">
        <f>C719&amp;"-"&amp;D719&amp;"-"&amp;E719</f>
        <v>B2-P6-C3</v>
      </c>
      <c r="G719" s="22" t="s">
        <v>618</v>
      </c>
      <c r="H719" s="22">
        <v>2</v>
      </c>
      <c r="I719" s="22" t="str">
        <f>C719&amp;"_"&amp;D719&amp;"_"&amp;E719&amp;"_"&amp;G719&amp;H719</f>
        <v>B2_P6_C3_D2</v>
      </c>
      <c r="J719" s="22" t="s">
        <v>20</v>
      </c>
      <c r="K719" s="21" t="str">
        <f>B719&amp;"-"&amp;C719&amp;"-"&amp;D719&amp;"-"&amp;E719&amp;"-"&amp;G719&amp;H719</f>
        <v>Robinia-B2-P6-C3-D2</v>
      </c>
      <c r="L719" s="22" t="s">
        <v>21</v>
      </c>
      <c r="M719" s="22" t="s">
        <v>44</v>
      </c>
      <c r="N719" s="22" t="str">
        <f>J719&amp;"_"&amp;L719&amp;"_"&amp;M719</f>
        <v>Drought_Yellow_Yes</v>
      </c>
      <c r="O719" s="27" t="str">
        <f>J719&amp;"_"&amp;M719</f>
        <v>Drought_Yes</v>
      </c>
      <c r="P719" s="2" t="str">
        <f>J719&amp;"_"&amp;M719</f>
        <v>Drought_Yes</v>
      </c>
      <c r="Q719" s="2" t="str">
        <f>L719&amp;"_"&amp;M719</f>
        <v>Yellow_Yes</v>
      </c>
      <c r="R719" s="23" t="s">
        <v>2071</v>
      </c>
      <c r="S719" s="2"/>
      <c r="T719" s="2"/>
    </row>
    <row r="720" spans="1:20" s="10" customFormat="1" ht="15.75" customHeight="1" x14ac:dyDescent="0.2">
      <c r="A720" s="21">
        <v>743</v>
      </c>
      <c r="B720" s="22" t="s">
        <v>11</v>
      </c>
      <c r="C720" s="22" t="s">
        <v>234</v>
      </c>
      <c r="D720" s="22" t="s">
        <v>200</v>
      </c>
      <c r="E720" s="22" t="s">
        <v>42</v>
      </c>
      <c r="F720" s="18" t="str">
        <f>C720&amp;"-"&amp;D720&amp;"-"&amp;E720</f>
        <v>B2-P6-C3</v>
      </c>
      <c r="G720" s="22" t="s">
        <v>619</v>
      </c>
      <c r="H720" s="22">
        <v>2</v>
      </c>
      <c r="I720" s="22" t="str">
        <f>C720&amp;"_"&amp;D720&amp;"_"&amp;E720&amp;"_"&amp;G720&amp;H720</f>
        <v>B2_P6_C3_E2</v>
      </c>
      <c r="J720" s="22" t="s">
        <v>20</v>
      </c>
      <c r="K720" s="21" t="str">
        <f>B720&amp;"-"&amp;C720&amp;"-"&amp;D720&amp;"-"&amp;E720&amp;"-"&amp;G720&amp;H720</f>
        <v>Robinia-B2-P6-C3-E2</v>
      </c>
      <c r="L720" s="22" t="s">
        <v>21</v>
      </c>
      <c r="M720" s="22" t="s">
        <v>44</v>
      </c>
      <c r="N720" s="22" t="str">
        <f>J720&amp;"_"&amp;L720&amp;"_"&amp;M720</f>
        <v>Drought_Yellow_Yes</v>
      </c>
      <c r="O720" s="27" t="str">
        <f>J720&amp;"_"&amp;M720</f>
        <v>Drought_Yes</v>
      </c>
      <c r="P720" s="2" t="str">
        <f>J720&amp;"_"&amp;M720</f>
        <v>Drought_Yes</v>
      </c>
      <c r="Q720" s="2" t="str">
        <f>L720&amp;"_"&amp;M720</f>
        <v>Yellow_Yes</v>
      </c>
      <c r="R720" s="23" t="s">
        <v>2071</v>
      </c>
      <c r="S720" s="2"/>
      <c r="T720" s="2"/>
    </row>
    <row r="721" spans="1:20" s="10" customFormat="1" ht="15.75" customHeight="1" x14ac:dyDescent="0.2">
      <c r="A721" s="21">
        <v>744</v>
      </c>
      <c r="B721" s="22" t="s">
        <v>11</v>
      </c>
      <c r="C721" s="22" t="s">
        <v>234</v>
      </c>
      <c r="D721" s="22" t="s">
        <v>200</v>
      </c>
      <c r="E721" s="22" t="s">
        <v>42</v>
      </c>
      <c r="F721" s="18" t="str">
        <f>C721&amp;"-"&amp;D721&amp;"-"&amp;E721</f>
        <v>B2-P6-C3</v>
      </c>
      <c r="G721" s="22" t="s">
        <v>620</v>
      </c>
      <c r="H721" s="22">
        <v>2</v>
      </c>
      <c r="I721" s="22" t="str">
        <f>C721&amp;"_"&amp;D721&amp;"_"&amp;E721&amp;"_"&amp;G721&amp;H721</f>
        <v>B2_P6_C3_F2</v>
      </c>
      <c r="J721" s="22" t="s">
        <v>20</v>
      </c>
      <c r="K721" s="21" t="str">
        <f>B721&amp;"-"&amp;C721&amp;"-"&amp;D721&amp;"-"&amp;E721&amp;"-"&amp;G721&amp;H721</f>
        <v>Robinia-B2-P6-C3-F2</v>
      </c>
      <c r="L721" s="22" t="s">
        <v>21</v>
      </c>
      <c r="M721" s="22" t="s">
        <v>44</v>
      </c>
      <c r="N721" s="22" t="str">
        <f>J721&amp;"_"&amp;L721&amp;"_"&amp;M721</f>
        <v>Drought_Yellow_Yes</v>
      </c>
      <c r="O721" s="27" t="str">
        <f>J721&amp;"_"&amp;M721</f>
        <v>Drought_Yes</v>
      </c>
      <c r="P721" s="2" t="str">
        <f>J721&amp;"_"&amp;M721</f>
        <v>Drought_Yes</v>
      </c>
      <c r="Q721" s="2" t="str">
        <f>L721&amp;"_"&amp;M721</f>
        <v>Yellow_Yes</v>
      </c>
      <c r="R721" s="23" t="s">
        <v>2071</v>
      </c>
      <c r="S721" s="2"/>
      <c r="T721" s="2"/>
    </row>
    <row r="722" spans="1:20" ht="15.75" customHeight="1" x14ac:dyDescent="0.2">
      <c r="A722" s="13">
        <v>745</v>
      </c>
      <c r="B722" s="15" t="s">
        <v>11</v>
      </c>
      <c r="C722" s="15" t="s">
        <v>426</v>
      </c>
      <c r="D722" s="15" t="s">
        <v>15</v>
      </c>
      <c r="E722" s="15" t="s">
        <v>16</v>
      </c>
      <c r="F722" s="15" t="str">
        <f>C722&amp;"-"&amp;D722&amp;"-"&amp;E722</f>
        <v>B3-P1-C1</v>
      </c>
      <c r="G722" s="15" t="s">
        <v>618</v>
      </c>
      <c r="H722" s="15">
        <v>1</v>
      </c>
      <c r="I722" s="15" t="str">
        <f>C722&amp;"_"&amp;D722&amp;"_"&amp;E722&amp;"_"&amp;G722&amp;H722</f>
        <v>B3_P1_C1_D1</v>
      </c>
      <c r="J722" s="15" t="s">
        <v>20</v>
      </c>
      <c r="K722" s="13" t="str">
        <f>B722&amp;"-"&amp;C722&amp;"-"&amp;D722&amp;"-"&amp;E722&amp;"-"&amp;G722&amp;H722</f>
        <v>Robinia-B3-P1-C1-D1</v>
      </c>
      <c r="L722" s="15" t="s">
        <v>64</v>
      </c>
      <c r="M722" s="15" t="s">
        <v>44</v>
      </c>
      <c r="N722" s="15" t="str">
        <f>J722&amp;"_"&amp;L722&amp;"_"&amp;M722</f>
        <v>Drought_Grey_Yes</v>
      </c>
      <c r="O722" s="24" t="str">
        <f>J722&amp;"_"&amp;M722</f>
        <v>Drought_Yes</v>
      </c>
      <c r="P722" s="1" t="str">
        <f>J722&amp;"_"&amp;M722</f>
        <v>Drought_Yes</v>
      </c>
      <c r="Q722" s="1" t="str">
        <f>L722&amp;"_"&amp;M722</f>
        <v>Grey_Yes</v>
      </c>
      <c r="R722" s="18" t="s">
        <v>2072</v>
      </c>
      <c r="S722" s="23"/>
      <c r="T722" s="23"/>
    </row>
    <row r="723" spans="1:20" ht="15.75" customHeight="1" x14ac:dyDescent="0.2">
      <c r="A723" s="13">
        <v>746</v>
      </c>
      <c r="B723" s="15" t="s">
        <v>11</v>
      </c>
      <c r="C723" s="15" t="s">
        <v>426</v>
      </c>
      <c r="D723" s="15" t="s">
        <v>15</v>
      </c>
      <c r="E723" s="15" t="s">
        <v>16</v>
      </c>
      <c r="F723" s="15" t="str">
        <f>C723&amp;"-"&amp;D723&amp;"-"&amp;E723</f>
        <v>B3-P1-C1</v>
      </c>
      <c r="G723" s="15" t="s">
        <v>619</v>
      </c>
      <c r="H723" s="15">
        <v>1</v>
      </c>
      <c r="I723" s="15" t="str">
        <f>C723&amp;"_"&amp;D723&amp;"_"&amp;E723&amp;"_"&amp;G723&amp;H723</f>
        <v>B3_P1_C1_E1</v>
      </c>
      <c r="J723" s="15" t="s">
        <v>20</v>
      </c>
      <c r="K723" s="13" t="str">
        <f>B723&amp;"-"&amp;C723&amp;"-"&amp;D723&amp;"-"&amp;E723&amp;"-"&amp;G723&amp;H723</f>
        <v>Robinia-B3-P1-C1-E1</v>
      </c>
      <c r="L723" s="15" t="s">
        <v>64</v>
      </c>
      <c r="M723" s="15" t="s">
        <v>44</v>
      </c>
      <c r="N723" s="15" t="str">
        <f>J723&amp;"_"&amp;L723&amp;"_"&amp;M723</f>
        <v>Drought_Grey_Yes</v>
      </c>
      <c r="O723" s="24" t="str">
        <f>J723&amp;"_"&amp;M723</f>
        <v>Drought_Yes</v>
      </c>
      <c r="P723" s="1" t="str">
        <f>J723&amp;"_"&amp;M723</f>
        <v>Drought_Yes</v>
      </c>
      <c r="Q723" s="1" t="str">
        <f>L723&amp;"_"&amp;M723</f>
        <v>Grey_Yes</v>
      </c>
      <c r="R723" s="18" t="s">
        <v>2072</v>
      </c>
      <c r="S723" s="23"/>
      <c r="T723" s="23"/>
    </row>
    <row r="724" spans="1:20" ht="15.75" customHeight="1" x14ac:dyDescent="0.2">
      <c r="A724" s="13">
        <v>747</v>
      </c>
      <c r="B724" s="15" t="s">
        <v>11</v>
      </c>
      <c r="C724" s="15" t="s">
        <v>426</v>
      </c>
      <c r="D724" s="15" t="s">
        <v>15</v>
      </c>
      <c r="E724" s="15" t="s">
        <v>16</v>
      </c>
      <c r="F724" s="15" t="str">
        <f>C724&amp;"-"&amp;D724&amp;"-"&amp;E724</f>
        <v>B3-P1-C1</v>
      </c>
      <c r="G724" s="15" t="s">
        <v>620</v>
      </c>
      <c r="H724" s="15">
        <v>1</v>
      </c>
      <c r="I724" s="15" t="str">
        <f>C724&amp;"_"&amp;D724&amp;"_"&amp;E724&amp;"_"&amp;G724&amp;H724</f>
        <v>B3_P1_C1_F1</v>
      </c>
      <c r="J724" s="15" t="s">
        <v>20</v>
      </c>
      <c r="K724" s="13" t="str">
        <f>B724&amp;"-"&amp;C724&amp;"-"&amp;D724&amp;"-"&amp;E724&amp;"-"&amp;G724&amp;H724</f>
        <v>Robinia-B3-P1-C1-F1</v>
      </c>
      <c r="L724" s="15" t="s">
        <v>64</v>
      </c>
      <c r="M724" s="15" t="s">
        <v>44</v>
      </c>
      <c r="N724" s="15" t="str">
        <f>J724&amp;"_"&amp;L724&amp;"_"&amp;M724</f>
        <v>Drought_Grey_Yes</v>
      </c>
      <c r="O724" s="24" t="str">
        <f>J724&amp;"_"&amp;M724</f>
        <v>Drought_Yes</v>
      </c>
      <c r="P724" s="1" t="str">
        <f>J724&amp;"_"&amp;M724</f>
        <v>Drought_Yes</v>
      </c>
      <c r="Q724" s="1" t="str">
        <f>L724&amp;"_"&amp;M724</f>
        <v>Grey_Yes</v>
      </c>
      <c r="R724" s="18" t="s">
        <v>2072</v>
      </c>
      <c r="S724" s="23"/>
      <c r="T724" s="23"/>
    </row>
    <row r="725" spans="1:20" ht="15.75" customHeight="1" x14ac:dyDescent="0.2">
      <c r="A725" s="13">
        <v>748</v>
      </c>
      <c r="B725" s="15" t="s">
        <v>11</v>
      </c>
      <c r="C725" s="15" t="s">
        <v>426</v>
      </c>
      <c r="D725" s="15" t="s">
        <v>15</v>
      </c>
      <c r="E725" s="15" t="s">
        <v>16</v>
      </c>
      <c r="F725" s="15" t="str">
        <f>C725&amp;"-"&amp;D725&amp;"-"&amp;E725</f>
        <v>B3-P1-C1</v>
      </c>
      <c r="G725" s="15" t="s">
        <v>618</v>
      </c>
      <c r="H725" s="15">
        <v>2</v>
      </c>
      <c r="I725" s="15" t="str">
        <f>C725&amp;"_"&amp;D725&amp;"_"&amp;E725&amp;"_"&amp;G725&amp;H725</f>
        <v>B3_P1_C1_D2</v>
      </c>
      <c r="J725" s="15" t="s">
        <v>20</v>
      </c>
      <c r="K725" s="13" t="str">
        <f>B725&amp;"-"&amp;C725&amp;"-"&amp;D725&amp;"-"&amp;E725&amp;"-"&amp;G725&amp;H725</f>
        <v>Robinia-B3-P1-C1-D2</v>
      </c>
      <c r="L725" s="15" t="s">
        <v>64</v>
      </c>
      <c r="M725" s="15" t="s">
        <v>44</v>
      </c>
      <c r="N725" s="15" t="str">
        <f>J725&amp;"_"&amp;L725&amp;"_"&amp;M725</f>
        <v>Drought_Grey_Yes</v>
      </c>
      <c r="O725" s="24" t="str">
        <f>J725&amp;"_"&amp;M725</f>
        <v>Drought_Yes</v>
      </c>
      <c r="P725" s="1" t="str">
        <f>J725&amp;"_"&amp;M725</f>
        <v>Drought_Yes</v>
      </c>
      <c r="Q725" s="1" t="str">
        <f>L725&amp;"_"&amp;M725</f>
        <v>Grey_Yes</v>
      </c>
      <c r="R725" s="18" t="s">
        <v>2072</v>
      </c>
      <c r="S725" s="23"/>
      <c r="T725" s="23"/>
    </row>
    <row r="726" spans="1:20" ht="15.75" customHeight="1" x14ac:dyDescent="0.2">
      <c r="A726" s="13">
        <v>749</v>
      </c>
      <c r="B726" s="15" t="s">
        <v>11</v>
      </c>
      <c r="C726" s="15" t="s">
        <v>426</v>
      </c>
      <c r="D726" s="15" t="s">
        <v>15</v>
      </c>
      <c r="E726" s="15" t="s">
        <v>16</v>
      </c>
      <c r="F726" s="15" t="str">
        <f>C726&amp;"-"&amp;D726&amp;"-"&amp;E726</f>
        <v>B3-P1-C1</v>
      </c>
      <c r="G726" s="15" t="s">
        <v>619</v>
      </c>
      <c r="H726" s="15">
        <v>2</v>
      </c>
      <c r="I726" s="15" t="str">
        <f>C726&amp;"_"&amp;D726&amp;"_"&amp;E726&amp;"_"&amp;G726&amp;H726</f>
        <v>B3_P1_C1_E2</v>
      </c>
      <c r="J726" s="15" t="s">
        <v>20</v>
      </c>
      <c r="K726" s="13" t="str">
        <f>B726&amp;"-"&amp;C726&amp;"-"&amp;D726&amp;"-"&amp;E726&amp;"-"&amp;G726&amp;H726</f>
        <v>Robinia-B3-P1-C1-E2</v>
      </c>
      <c r="L726" s="15" t="s">
        <v>64</v>
      </c>
      <c r="M726" s="15" t="s">
        <v>44</v>
      </c>
      <c r="N726" s="15" t="str">
        <f>J726&amp;"_"&amp;L726&amp;"_"&amp;M726</f>
        <v>Drought_Grey_Yes</v>
      </c>
      <c r="O726" s="24" t="str">
        <f>J726&amp;"_"&amp;M726</f>
        <v>Drought_Yes</v>
      </c>
      <c r="P726" s="1" t="str">
        <f>J726&amp;"_"&amp;M726</f>
        <v>Drought_Yes</v>
      </c>
      <c r="Q726" s="1" t="str">
        <f>L726&amp;"_"&amp;M726</f>
        <v>Grey_Yes</v>
      </c>
      <c r="R726" s="18" t="s">
        <v>2072</v>
      </c>
      <c r="S726" s="23"/>
      <c r="T726" s="23"/>
    </row>
    <row r="727" spans="1:20" ht="15.75" customHeight="1" x14ac:dyDescent="0.2">
      <c r="A727" s="13">
        <v>750</v>
      </c>
      <c r="B727" s="15" t="s">
        <v>11</v>
      </c>
      <c r="C727" s="15" t="s">
        <v>426</v>
      </c>
      <c r="D727" s="15" t="s">
        <v>15</v>
      </c>
      <c r="E727" s="15" t="s">
        <v>16</v>
      </c>
      <c r="F727" s="15" t="str">
        <f>C727&amp;"-"&amp;D727&amp;"-"&amp;E727</f>
        <v>B3-P1-C1</v>
      </c>
      <c r="G727" s="15" t="s">
        <v>620</v>
      </c>
      <c r="H727" s="15">
        <v>2</v>
      </c>
      <c r="I727" s="15" t="str">
        <f>C727&amp;"_"&amp;D727&amp;"_"&amp;E727&amp;"_"&amp;G727&amp;H727</f>
        <v>B3_P1_C1_F2</v>
      </c>
      <c r="J727" s="15" t="s">
        <v>20</v>
      </c>
      <c r="K727" s="13" t="str">
        <f>B727&amp;"-"&amp;C727&amp;"-"&amp;D727&amp;"-"&amp;E727&amp;"-"&amp;G727&amp;H727</f>
        <v>Robinia-B3-P1-C1-F2</v>
      </c>
      <c r="L727" s="15" t="s">
        <v>64</v>
      </c>
      <c r="M727" s="15" t="s">
        <v>44</v>
      </c>
      <c r="N727" s="15" t="str">
        <f>J727&amp;"_"&amp;L727&amp;"_"&amp;M727</f>
        <v>Drought_Grey_Yes</v>
      </c>
      <c r="O727" s="24" t="str">
        <f>J727&amp;"_"&amp;M727</f>
        <v>Drought_Yes</v>
      </c>
      <c r="P727" s="1" t="str">
        <f>J727&amp;"_"&amp;M727</f>
        <v>Drought_Yes</v>
      </c>
      <c r="Q727" s="1" t="str">
        <f>L727&amp;"_"&amp;M727</f>
        <v>Grey_Yes</v>
      </c>
      <c r="R727" s="18" t="s">
        <v>2072</v>
      </c>
      <c r="S727" s="23"/>
      <c r="T727" s="23"/>
    </row>
    <row r="728" spans="1:20" s="10" customFormat="1" ht="15.75" customHeight="1" x14ac:dyDescent="0.2">
      <c r="A728" s="21">
        <v>751</v>
      </c>
      <c r="B728" s="22" t="s">
        <v>11</v>
      </c>
      <c r="C728" s="22" t="s">
        <v>426</v>
      </c>
      <c r="D728" s="22" t="s">
        <v>15</v>
      </c>
      <c r="E728" s="22" t="s">
        <v>32</v>
      </c>
      <c r="F728" s="18" t="str">
        <f>C728&amp;"-"&amp;D728&amp;"-"&amp;E728</f>
        <v>B3-P1-C2</v>
      </c>
      <c r="G728" s="22" t="s">
        <v>618</v>
      </c>
      <c r="H728" s="22">
        <v>1</v>
      </c>
      <c r="I728" s="22" t="str">
        <f>C728&amp;"_"&amp;D728&amp;"_"&amp;E728&amp;"_"&amp;G728&amp;H728</f>
        <v>B3_P1_C2_D1</v>
      </c>
      <c r="J728" s="22" t="s">
        <v>20</v>
      </c>
      <c r="K728" s="21" t="str">
        <f>B728&amp;"-"&amp;C728&amp;"-"&amp;D728&amp;"-"&amp;E728&amp;"-"&amp;G728&amp;H728</f>
        <v>Robinia-B3-P1-C2-D1</v>
      </c>
      <c r="L728" s="22" t="s">
        <v>64</v>
      </c>
      <c r="M728" s="22" t="s">
        <v>44</v>
      </c>
      <c r="N728" s="22" t="str">
        <f>J728&amp;"_"&amp;L728&amp;"_"&amp;M728</f>
        <v>Drought_Grey_Yes</v>
      </c>
      <c r="O728" s="27" t="str">
        <f>J728&amp;"_"&amp;M728</f>
        <v>Drought_Yes</v>
      </c>
      <c r="P728" s="2" t="str">
        <f>J728&amp;"_"&amp;M728</f>
        <v>Drought_Yes</v>
      </c>
      <c r="Q728" s="2" t="str">
        <f>L728&amp;"_"&amp;M728</f>
        <v>Grey_Yes</v>
      </c>
      <c r="R728" s="18" t="s">
        <v>2072</v>
      </c>
      <c r="S728" s="23"/>
      <c r="T728" s="23"/>
    </row>
    <row r="729" spans="1:20" s="10" customFormat="1" ht="15.75" customHeight="1" x14ac:dyDescent="0.2">
      <c r="A729" s="21">
        <v>752</v>
      </c>
      <c r="B729" s="22" t="s">
        <v>11</v>
      </c>
      <c r="C729" s="22" t="s">
        <v>426</v>
      </c>
      <c r="D729" s="22" t="s">
        <v>15</v>
      </c>
      <c r="E729" s="22" t="s">
        <v>32</v>
      </c>
      <c r="F729" s="18" t="str">
        <f>C729&amp;"-"&amp;D729&amp;"-"&amp;E729</f>
        <v>B3-P1-C2</v>
      </c>
      <c r="G729" s="22" t="s">
        <v>619</v>
      </c>
      <c r="H729" s="22">
        <v>1</v>
      </c>
      <c r="I729" s="22" t="str">
        <f>C729&amp;"_"&amp;D729&amp;"_"&amp;E729&amp;"_"&amp;G729&amp;H729</f>
        <v>B3_P1_C2_E1</v>
      </c>
      <c r="J729" s="22" t="s">
        <v>20</v>
      </c>
      <c r="K729" s="21" t="str">
        <f>B729&amp;"-"&amp;C729&amp;"-"&amp;D729&amp;"-"&amp;E729&amp;"-"&amp;G729&amp;H729</f>
        <v>Robinia-B3-P1-C2-E1</v>
      </c>
      <c r="L729" s="22" t="s">
        <v>64</v>
      </c>
      <c r="M729" s="22" t="s">
        <v>44</v>
      </c>
      <c r="N729" s="22" t="str">
        <f>J729&amp;"_"&amp;L729&amp;"_"&amp;M729</f>
        <v>Drought_Grey_Yes</v>
      </c>
      <c r="O729" s="27" t="str">
        <f>J729&amp;"_"&amp;M729</f>
        <v>Drought_Yes</v>
      </c>
      <c r="P729" s="2" t="str">
        <f>J729&amp;"_"&amp;M729</f>
        <v>Drought_Yes</v>
      </c>
      <c r="Q729" s="2" t="str">
        <f>L729&amp;"_"&amp;M729</f>
        <v>Grey_Yes</v>
      </c>
      <c r="R729" s="18" t="s">
        <v>2072</v>
      </c>
      <c r="S729" s="23"/>
      <c r="T729" s="23"/>
    </row>
    <row r="730" spans="1:20" s="10" customFormat="1" ht="15.75" customHeight="1" x14ac:dyDescent="0.2">
      <c r="A730" s="21">
        <v>753</v>
      </c>
      <c r="B730" s="22" t="s">
        <v>11</v>
      </c>
      <c r="C730" s="22" t="s">
        <v>426</v>
      </c>
      <c r="D730" s="22" t="s">
        <v>15</v>
      </c>
      <c r="E730" s="22" t="s">
        <v>32</v>
      </c>
      <c r="F730" s="18" t="str">
        <f>C730&amp;"-"&amp;D730&amp;"-"&amp;E730</f>
        <v>B3-P1-C2</v>
      </c>
      <c r="G730" s="22" t="s">
        <v>620</v>
      </c>
      <c r="H730" s="22">
        <v>1</v>
      </c>
      <c r="I730" s="22" t="str">
        <f>C730&amp;"_"&amp;D730&amp;"_"&amp;E730&amp;"_"&amp;G730&amp;H730</f>
        <v>B3_P1_C2_F1</v>
      </c>
      <c r="J730" s="22" t="s">
        <v>20</v>
      </c>
      <c r="K730" s="21" t="str">
        <f>B730&amp;"-"&amp;C730&amp;"-"&amp;D730&amp;"-"&amp;E730&amp;"-"&amp;G730&amp;H730</f>
        <v>Robinia-B3-P1-C2-F1</v>
      </c>
      <c r="L730" s="22" t="s">
        <v>64</v>
      </c>
      <c r="M730" s="22" t="s">
        <v>44</v>
      </c>
      <c r="N730" s="22" t="str">
        <f>J730&amp;"_"&amp;L730&amp;"_"&amp;M730</f>
        <v>Drought_Grey_Yes</v>
      </c>
      <c r="O730" s="27" t="str">
        <f>J730&amp;"_"&amp;M730</f>
        <v>Drought_Yes</v>
      </c>
      <c r="P730" s="2" t="str">
        <f>J730&amp;"_"&amp;M730</f>
        <v>Drought_Yes</v>
      </c>
      <c r="Q730" s="2" t="str">
        <f>L730&amp;"_"&amp;M730</f>
        <v>Grey_Yes</v>
      </c>
      <c r="R730" s="18" t="s">
        <v>2072</v>
      </c>
      <c r="S730" s="2"/>
      <c r="T730" s="2"/>
    </row>
    <row r="731" spans="1:20" s="10" customFormat="1" ht="15.75" customHeight="1" x14ac:dyDescent="0.2">
      <c r="A731" s="21">
        <v>754</v>
      </c>
      <c r="B731" s="22" t="s">
        <v>11</v>
      </c>
      <c r="C731" s="22" t="s">
        <v>426</v>
      </c>
      <c r="D731" s="22" t="s">
        <v>15</v>
      </c>
      <c r="E731" s="22" t="s">
        <v>32</v>
      </c>
      <c r="F731" s="18" t="str">
        <f>C731&amp;"-"&amp;D731&amp;"-"&amp;E731</f>
        <v>B3-P1-C2</v>
      </c>
      <c r="G731" s="22" t="s">
        <v>618</v>
      </c>
      <c r="H731" s="22">
        <v>2</v>
      </c>
      <c r="I731" s="22" t="str">
        <f>C731&amp;"_"&amp;D731&amp;"_"&amp;E731&amp;"_"&amp;G731&amp;H731</f>
        <v>B3_P1_C2_D2</v>
      </c>
      <c r="J731" s="22" t="s">
        <v>20</v>
      </c>
      <c r="K731" s="21" t="str">
        <f>B731&amp;"-"&amp;C731&amp;"-"&amp;D731&amp;"-"&amp;E731&amp;"-"&amp;G731&amp;H731</f>
        <v>Robinia-B3-P1-C2-D2</v>
      </c>
      <c r="L731" s="22" t="s">
        <v>64</v>
      </c>
      <c r="M731" s="22" t="s">
        <v>44</v>
      </c>
      <c r="N731" s="22" t="str">
        <f>J731&amp;"_"&amp;L731&amp;"_"&amp;M731</f>
        <v>Drought_Grey_Yes</v>
      </c>
      <c r="O731" s="27" t="str">
        <f>J731&amp;"_"&amp;M731</f>
        <v>Drought_Yes</v>
      </c>
      <c r="P731" s="2" t="str">
        <f>J731&amp;"_"&amp;M731</f>
        <v>Drought_Yes</v>
      </c>
      <c r="Q731" s="2" t="str">
        <f>L731&amp;"_"&amp;M731</f>
        <v>Grey_Yes</v>
      </c>
      <c r="R731" s="18" t="s">
        <v>2072</v>
      </c>
      <c r="S731" s="2"/>
      <c r="T731" s="2"/>
    </row>
    <row r="732" spans="1:20" s="10" customFormat="1" ht="15.75" customHeight="1" x14ac:dyDescent="0.2">
      <c r="A732" s="21">
        <v>755</v>
      </c>
      <c r="B732" s="22" t="s">
        <v>11</v>
      </c>
      <c r="C732" s="22" t="s">
        <v>426</v>
      </c>
      <c r="D732" s="22" t="s">
        <v>15</v>
      </c>
      <c r="E732" s="22" t="s">
        <v>32</v>
      </c>
      <c r="F732" s="18" t="str">
        <f>C732&amp;"-"&amp;D732&amp;"-"&amp;E732</f>
        <v>B3-P1-C2</v>
      </c>
      <c r="G732" s="22" t="s">
        <v>619</v>
      </c>
      <c r="H732" s="22">
        <v>2</v>
      </c>
      <c r="I732" s="22" t="str">
        <f>C732&amp;"_"&amp;D732&amp;"_"&amp;E732&amp;"_"&amp;G732&amp;H732</f>
        <v>B3_P1_C2_E2</v>
      </c>
      <c r="J732" s="22" t="s">
        <v>20</v>
      </c>
      <c r="K732" s="21" t="str">
        <f>B732&amp;"-"&amp;C732&amp;"-"&amp;D732&amp;"-"&amp;E732&amp;"-"&amp;G732&amp;H732</f>
        <v>Robinia-B3-P1-C2-E2</v>
      </c>
      <c r="L732" s="22" t="s">
        <v>64</v>
      </c>
      <c r="M732" s="22" t="s">
        <v>44</v>
      </c>
      <c r="N732" s="22" t="str">
        <f>J732&amp;"_"&amp;L732&amp;"_"&amp;M732</f>
        <v>Drought_Grey_Yes</v>
      </c>
      <c r="O732" s="27" t="str">
        <f>J732&amp;"_"&amp;M732</f>
        <v>Drought_Yes</v>
      </c>
      <c r="P732" s="2" t="str">
        <f>J732&amp;"_"&amp;M732</f>
        <v>Drought_Yes</v>
      </c>
      <c r="Q732" s="2" t="str">
        <f>L732&amp;"_"&amp;M732</f>
        <v>Grey_Yes</v>
      </c>
      <c r="R732" s="18" t="s">
        <v>2072</v>
      </c>
      <c r="S732" s="2"/>
      <c r="T732" s="2"/>
    </row>
    <row r="733" spans="1:20" s="10" customFormat="1" ht="15.75" customHeight="1" x14ac:dyDescent="0.2">
      <c r="A733" s="21">
        <v>756</v>
      </c>
      <c r="B733" s="22" t="s">
        <v>11</v>
      </c>
      <c r="C733" s="22" t="s">
        <v>426</v>
      </c>
      <c r="D733" s="22" t="s">
        <v>15</v>
      </c>
      <c r="E733" s="22" t="s">
        <v>32</v>
      </c>
      <c r="F733" s="18" t="str">
        <f>C733&amp;"-"&amp;D733&amp;"-"&amp;E733</f>
        <v>B3-P1-C2</v>
      </c>
      <c r="G733" s="22" t="s">
        <v>620</v>
      </c>
      <c r="H733" s="22">
        <v>2</v>
      </c>
      <c r="I733" s="22" t="str">
        <f>C733&amp;"_"&amp;D733&amp;"_"&amp;E733&amp;"_"&amp;G733&amp;H733</f>
        <v>B3_P1_C2_F2</v>
      </c>
      <c r="J733" s="22" t="s">
        <v>20</v>
      </c>
      <c r="K733" s="21" t="str">
        <f>B733&amp;"-"&amp;C733&amp;"-"&amp;D733&amp;"-"&amp;E733&amp;"-"&amp;G733&amp;H733</f>
        <v>Robinia-B3-P1-C2-F2</v>
      </c>
      <c r="L733" s="22" t="s">
        <v>64</v>
      </c>
      <c r="M733" s="22" t="s">
        <v>44</v>
      </c>
      <c r="N733" s="22" t="str">
        <f>J733&amp;"_"&amp;L733&amp;"_"&amp;M733</f>
        <v>Drought_Grey_Yes</v>
      </c>
      <c r="O733" s="27" t="str">
        <f>J733&amp;"_"&amp;M733</f>
        <v>Drought_Yes</v>
      </c>
      <c r="P733" s="2" t="str">
        <f>J733&amp;"_"&amp;M733</f>
        <v>Drought_Yes</v>
      </c>
      <c r="Q733" s="2" t="str">
        <f>L733&amp;"_"&amp;M733</f>
        <v>Grey_Yes</v>
      </c>
      <c r="R733" s="18" t="s">
        <v>2072</v>
      </c>
      <c r="S733" s="2"/>
      <c r="T733" s="2"/>
    </row>
    <row r="734" spans="1:20" ht="15.75" customHeight="1" x14ac:dyDescent="0.2">
      <c r="A734" s="13">
        <v>757</v>
      </c>
      <c r="B734" s="15" t="s">
        <v>11</v>
      </c>
      <c r="C734" s="15" t="s">
        <v>426</v>
      </c>
      <c r="D734" s="15" t="s">
        <v>15</v>
      </c>
      <c r="E734" s="15" t="s">
        <v>53</v>
      </c>
      <c r="F734" s="15" t="str">
        <f>C734&amp;"-"&amp;D734&amp;"-"&amp;E734</f>
        <v>B3-P1-C4</v>
      </c>
      <c r="G734" s="15" t="s">
        <v>618</v>
      </c>
      <c r="H734" s="15">
        <v>1</v>
      </c>
      <c r="I734" s="15" t="str">
        <f>C734&amp;"_"&amp;D734&amp;"_"&amp;E734&amp;"_"&amp;G734&amp;H734</f>
        <v>B3_P1_C4_D1</v>
      </c>
      <c r="J734" s="15" t="s">
        <v>20</v>
      </c>
      <c r="K734" s="13" t="str">
        <f>B734&amp;"-"&amp;C734&amp;"-"&amp;D734&amp;"-"&amp;E734&amp;"-"&amp;G734&amp;H734</f>
        <v>Robinia-B3-P1-C4-D1</v>
      </c>
      <c r="L734" s="15" t="s">
        <v>64</v>
      </c>
      <c r="M734" s="15" t="s">
        <v>44</v>
      </c>
      <c r="N734" s="15" t="str">
        <f>J734&amp;"_"&amp;L734&amp;"_"&amp;M734</f>
        <v>Drought_Grey_Yes</v>
      </c>
      <c r="O734" s="24" t="str">
        <f>J734&amp;"_"&amp;M734</f>
        <v>Drought_Yes</v>
      </c>
      <c r="P734" s="1" t="str">
        <f>J734&amp;"_"&amp;M734</f>
        <v>Drought_Yes</v>
      </c>
      <c r="Q734" s="1" t="str">
        <f>L734&amp;"_"&amp;M734</f>
        <v>Grey_Yes</v>
      </c>
      <c r="R734" s="18" t="s">
        <v>2072</v>
      </c>
      <c r="S734" s="2"/>
      <c r="T734" s="2"/>
    </row>
    <row r="735" spans="1:20" ht="15.75" customHeight="1" x14ac:dyDescent="0.2">
      <c r="A735" s="13">
        <v>758</v>
      </c>
      <c r="B735" s="15" t="s">
        <v>11</v>
      </c>
      <c r="C735" s="15" t="s">
        <v>426</v>
      </c>
      <c r="D735" s="15" t="s">
        <v>15</v>
      </c>
      <c r="E735" s="15" t="s">
        <v>53</v>
      </c>
      <c r="F735" s="15" t="str">
        <f>C735&amp;"-"&amp;D735&amp;"-"&amp;E735</f>
        <v>B3-P1-C4</v>
      </c>
      <c r="G735" s="15" t="s">
        <v>619</v>
      </c>
      <c r="H735" s="15">
        <v>1</v>
      </c>
      <c r="I735" s="15" t="str">
        <f>C735&amp;"_"&amp;D735&amp;"_"&amp;E735&amp;"_"&amp;G735&amp;H735</f>
        <v>B3_P1_C4_E1</v>
      </c>
      <c r="J735" s="15" t="s">
        <v>20</v>
      </c>
      <c r="K735" s="13" t="str">
        <f>B735&amp;"-"&amp;C735&amp;"-"&amp;D735&amp;"-"&amp;E735&amp;"-"&amp;G735&amp;H735</f>
        <v>Robinia-B3-P1-C4-E1</v>
      </c>
      <c r="L735" s="15" t="s">
        <v>64</v>
      </c>
      <c r="M735" s="15" t="s">
        <v>44</v>
      </c>
      <c r="N735" s="15" t="str">
        <f>J735&amp;"_"&amp;L735&amp;"_"&amp;M735</f>
        <v>Drought_Grey_Yes</v>
      </c>
      <c r="O735" s="24" t="str">
        <f>J735&amp;"_"&amp;M735</f>
        <v>Drought_Yes</v>
      </c>
      <c r="P735" s="1" t="str">
        <f>J735&amp;"_"&amp;M735</f>
        <v>Drought_Yes</v>
      </c>
      <c r="Q735" s="1" t="str">
        <f>L735&amp;"_"&amp;M735</f>
        <v>Grey_Yes</v>
      </c>
      <c r="R735" s="18" t="s">
        <v>2072</v>
      </c>
      <c r="S735" s="2"/>
      <c r="T735" s="2"/>
    </row>
    <row r="736" spans="1:20" ht="15.75" customHeight="1" x14ac:dyDescent="0.2">
      <c r="A736" s="13">
        <v>759</v>
      </c>
      <c r="B736" s="15" t="s">
        <v>11</v>
      </c>
      <c r="C736" s="15" t="s">
        <v>426</v>
      </c>
      <c r="D736" s="15" t="s">
        <v>15</v>
      </c>
      <c r="E736" s="15" t="s">
        <v>53</v>
      </c>
      <c r="F736" s="15" t="str">
        <f>C736&amp;"-"&amp;D736&amp;"-"&amp;E736</f>
        <v>B3-P1-C4</v>
      </c>
      <c r="G736" s="15" t="s">
        <v>620</v>
      </c>
      <c r="H736" s="15">
        <v>1</v>
      </c>
      <c r="I736" s="15" t="str">
        <f>C736&amp;"_"&amp;D736&amp;"_"&amp;E736&amp;"_"&amp;G736&amp;H736</f>
        <v>B3_P1_C4_F1</v>
      </c>
      <c r="J736" s="15" t="s">
        <v>20</v>
      </c>
      <c r="K736" s="13" t="str">
        <f>B736&amp;"-"&amp;C736&amp;"-"&amp;D736&amp;"-"&amp;E736&amp;"-"&amp;G736&amp;H736</f>
        <v>Robinia-B3-P1-C4-F1</v>
      </c>
      <c r="L736" s="15" t="s">
        <v>64</v>
      </c>
      <c r="M736" s="15" t="s">
        <v>44</v>
      </c>
      <c r="N736" s="15" t="str">
        <f>J736&amp;"_"&amp;L736&amp;"_"&amp;M736</f>
        <v>Drought_Grey_Yes</v>
      </c>
      <c r="O736" s="24" t="str">
        <f>J736&amp;"_"&amp;M736</f>
        <v>Drought_Yes</v>
      </c>
      <c r="P736" s="1" t="str">
        <f>J736&amp;"_"&amp;M736</f>
        <v>Drought_Yes</v>
      </c>
      <c r="Q736" s="1" t="str">
        <f>L736&amp;"_"&amp;M736</f>
        <v>Grey_Yes</v>
      </c>
      <c r="R736" s="18" t="s">
        <v>2072</v>
      </c>
      <c r="S736" s="2"/>
      <c r="T736" s="2"/>
    </row>
    <row r="737" spans="1:20" ht="15.75" customHeight="1" x14ac:dyDescent="0.2">
      <c r="A737" s="13">
        <v>760</v>
      </c>
      <c r="B737" s="15" t="s">
        <v>11</v>
      </c>
      <c r="C737" s="15" t="s">
        <v>426</v>
      </c>
      <c r="D737" s="15" t="s">
        <v>15</v>
      </c>
      <c r="E737" s="15" t="s">
        <v>53</v>
      </c>
      <c r="F737" s="15" t="str">
        <f>C737&amp;"-"&amp;D737&amp;"-"&amp;E737</f>
        <v>B3-P1-C4</v>
      </c>
      <c r="G737" s="15" t="s">
        <v>618</v>
      </c>
      <c r="H737" s="15">
        <v>2</v>
      </c>
      <c r="I737" s="15" t="str">
        <f>C737&amp;"_"&amp;D737&amp;"_"&amp;E737&amp;"_"&amp;G737&amp;H737</f>
        <v>B3_P1_C4_D2</v>
      </c>
      <c r="J737" s="15" t="s">
        <v>20</v>
      </c>
      <c r="K737" s="13" t="str">
        <f>B737&amp;"-"&amp;C737&amp;"-"&amp;D737&amp;"-"&amp;E737&amp;"-"&amp;G737&amp;H737</f>
        <v>Robinia-B3-P1-C4-D2</v>
      </c>
      <c r="L737" s="15" t="s">
        <v>64</v>
      </c>
      <c r="M737" s="15" t="s">
        <v>44</v>
      </c>
      <c r="N737" s="15" t="str">
        <f>J737&amp;"_"&amp;L737&amp;"_"&amp;M737</f>
        <v>Drought_Grey_Yes</v>
      </c>
      <c r="O737" s="24" t="str">
        <f>J737&amp;"_"&amp;M737</f>
        <v>Drought_Yes</v>
      </c>
      <c r="P737" s="1" t="str">
        <f>J737&amp;"_"&amp;M737</f>
        <v>Drought_Yes</v>
      </c>
      <c r="Q737" s="1" t="str">
        <f>L737&amp;"_"&amp;M737</f>
        <v>Grey_Yes</v>
      </c>
      <c r="R737" s="18" t="s">
        <v>2072</v>
      </c>
      <c r="S737" s="2"/>
      <c r="T737" s="2"/>
    </row>
    <row r="738" spans="1:20" ht="15.75" customHeight="1" x14ac:dyDescent="0.2">
      <c r="A738" s="13">
        <v>761</v>
      </c>
      <c r="B738" s="15" t="s">
        <v>11</v>
      </c>
      <c r="C738" s="15" t="s">
        <v>426</v>
      </c>
      <c r="D738" s="15" t="s">
        <v>15</v>
      </c>
      <c r="E738" s="15" t="s">
        <v>53</v>
      </c>
      <c r="F738" s="15" t="str">
        <f>C738&amp;"-"&amp;D738&amp;"-"&amp;E738</f>
        <v>B3-P1-C4</v>
      </c>
      <c r="G738" s="15" t="s">
        <v>619</v>
      </c>
      <c r="H738" s="15">
        <v>2</v>
      </c>
      <c r="I738" s="15" t="str">
        <f>C738&amp;"_"&amp;D738&amp;"_"&amp;E738&amp;"_"&amp;G738&amp;H738</f>
        <v>B3_P1_C4_E2</v>
      </c>
      <c r="J738" s="15" t="s">
        <v>20</v>
      </c>
      <c r="K738" s="13" t="str">
        <f>B738&amp;"-"&amp;C738&amp;"-"&amp;D738&amp;"-"&amp;E738&amp;"-"&amp;G738&amp;H738</f>
        <v>Robinia-B3-P1-C4-E2</v>
      </c>
      <c r="L738" s="15" t="s">
        <v>64</v>
      </c>
      <c r="M738" s="15" t="s">
        <v>44</v>
      </c>
      <c r="N738" s="15" t="str">
        <f>J738&amp;"_"&amp;L738&amp;"_"&amp;M738</f>
        <v>Drought_Grey_Yes</v>
      </c>
      <c r="O738" s="24" t="str">
        <f>J738&amp;"_"&amp;M738</f>
        <v>Drought_Yes</v>
      </c>
      <c r="P738" s="1" t="str">
        <f>J738&amp;"_"&amp;M738</f>
        <v>Drought_Yes</v>
      </c>
      <c r="Q738" s="1" t="str">
        <f>L738&amp;"_"&amp;M738</f>
        <v>Grey_Yes</v>
      </c>
      <c r="R738" s="18" t="s">
        <v>2072</v>
      </c>
      <c r="S738" s="23"/>
      <c r="T738" s="23"/>
    </row>
    <row r="739" spans="1:20" ht="15.75" customHeight="1" x14ac:dyDescent="0.2">
      <c r="A739" s="13">
        <v>762</v>
      </c>
      <c r="B739" s="15" t="s">
        <v>11</v>
      </c>
      <c r="C739" s="15" t="s">
        <v>426</v>
      </c>
      <c r="D739" s="15" t="s">
        <v>15</v>
      </c>
      <c r="E739" s="15" t="s">
        <v>53</v>
      </c>
      <c r="F739" s="15" t="str">
        <f>C739&amp;"-"&amp;D739&amp;"-"&amp;E739</f>
        <v>B3-P1-C4</v>
      </c>
      <c r="G739" s="15" t="s">
        <v>620</v>
      </c>
      <c r="H739" s="15">
        <v>2</v>
      </c>
      <c r="I739" s="15" t="str">
        <f>C739&amp;"_"&amp;D739&amp;"_"&amp;E739&amp;"_"&amp;G739&amp;H739</f>
        <v>B3_P1_C4_F2</v>
      </c>
      <c r="J739" s="15" t="s">
        <v>20</v>
      </c>
      <c r="K739" s="13" t="str">
        <f>B739&amp;"-"&amp;C739&amp;"-"&amp;D739&amp;"-"&amp;E739&amp;"-"&amp;G739&amp;H739</f>
        <v>Robinia-B3-P1-C4-F2</v>
      </c>
      <c r="L739" s="15" t="s">
        <v>64</v>
      </c>
      <c r="M739" s="15" t="s">
        <v>44</v>
      </c>
      <c r="N739" s="15" t="str">
        <f>J739&amp;"_"&amp;L739&amp;"_"&amp;M739</f>
        <v>Drought_Grey_Yes</v>
      </c>
      <c r="O739" s="24" t="str">
        <f>J739&amp;"_"&amp;M739</f>
        <v>Drought_Yes</v>
      </c>
      <c r="P739" s="1" t="str">
        <f>J739&amp;"_"&amp;M739</f>
        <v>Drought_Yes</v>
      </c>
      <c r="Q739" s="1" t="str">
        <f>L739&amp;"_"&amp;M739</f>
        <v>Grey_Yes</v>
      </c>
      <c r="R739" s="18" t="s">
        <v>2072</v>
      </c>
      <c r="S739" s="23"/>
      <c r="T739" s="23"/>
    </row>
    <row r="740" spans="1:20" s="10" customFormat="1" ht="15.75" customHeight="1" x14ac:dyDescent="0.2">
      <c r="A740" s="21">
        <v>763</v>
      </c>
      <c r="B740" s="22" t="s">
        <v>11</v>
      </c>
      <c r="C740" s="22" t="s">
        <v>426</v>
      </c>
      <c r="D740" s="22" t="s">
        <v>62</v>
      </c>
      <c r="E740" s="22" t="s">
        <v>32</v>
      </c>
      <c r="F740" s="18" t="str">
        <f>C740&amp;"-"&amp;D740&amp;"-"&amp;E740</f>
        <v>B3-P2-C2</v>
      </c>
      <c r="G740" s="22" t="s">
        <v>618</v>
      </c>
      <c r="H740" s="22">
        <v>1</v>
      </c>
      <c r="I740" s="22" t="str">
        <f>C740&amp;"_"&amp;D740&amp;"_"&amp;E740&amp;"_"&amp;G740&amp;H740</f>
        <v>B3_P2_C2_D1</v>
      </c>
      <c r="J740" s="22" t="s">
        <v>20</v>
      </c>
      <c r="K740" s="21" t="str">
        <f>B740&amp;"-"&amp;C740&amp;"-"&amp;D740&amp;"-"&amp;E740&amp;"-"&amp;G740&amp;H740</f>
        <v>Robinia-B3-P2-C2-D1</v>
      </c>
      <c r="L740" s="22" t="s">
        <v>21</v>
      </c>
      <c r="M740" s="22" t="s">
        <v>44</v>
      </c>
      <c r="N740" s="22" t="str">
        <f>J740&amp;"_"&amp;L740&amp;"_"&amp;M740</f>
        <v>Drought_Yellow_Yes</v>
      </c>
      <c r="O740" s="27" t="str">
        <f>J740&amp;"_"&amp;M740</f>
        <v>Drought_Yes</v>
      </c>
      <c r="P740" s="2" t="str">
        <f>J740&amp;"_"&amp;M740</f>
        <v>Drought_Yes</v>
      </c>
      <c r="Q740" s="2" t="str">
        <f>L740&amp;"_"&amp;M740</f>
        <v>Yellow_Yes</v>
      </c>
      <c r="R740" s="23" t="s">
        <v>2071</v>
      </c>
      <c r="S740" s="1"/>
      <c r="T740" s="1"/>
    </row>
    <row r="741" spans="1:20" s="10" customFormat="1" ht="15.75" customHeight="1" x14ac:dyDescent="0.2">
      <c r="A741" s="21">
        <v>764</v>
      </c>
      <c r="B741" s="22" t="s">
        <v>11</v>
      </c>
      <c r="C741" s="22" t="s">
        <v>426</v>
      </c>
      <c r="D741" s="22" t="s">
        <v>62</v>
      </c>
      <c r="E741" s="22" t="s">
        <v>32</v>
      </c>
      <c r="F741" s="18" t="str">
        <f>C741&amp;"-"&amp;D741&amp;"-"&amp;E741</f>
        <v>B3-P2-C2</v>
      </c>
      <c r="G741" s="22" t="s">
        <v>619</v>
      </c>
      <c r="H741" s="22">
        <v>1</v>
      </c>
      <c r="I741" s="22" t="str">
        <f>C741&amp;"_"&amp;D741&amp;"_"&amp;E741&amp;"_"&amp;G741&amp;H741</f>
        <v>B3_P2_C2_E1</v>
      </c>
      <c r="J741" s="22" t="s">
        <v>20</v>
      </c>
      <c r="K741" s="21" t="str">
        <f>B741&amp;"-"&amp;C741&amp;"-"&amp;D741&amp;"-"&amp;E741&amp;"-"&amp;G741&amp;H741</f>
        <v>Robinia-B3-P2-C2-E1</v>
      </c>
      <c r="L741" s="22" t="s">
        <v>21</v>
      </c>
      <c r="M741" s="22" t="s">
        <v>44</v>
      </c>
      <c r="N741" s="22" t="str">
        <f>J741&amp;"_"&amp;L741&amp;"_"&amp;M741</f>
        <v>Drought_Yellow_Yes</v>
      </c>
      <c r="O741" s="27" t="str">
        <f>J741&amp;"_"&amp;M741</f>
        <v>Drought_Yes</v>
      </c>
      <c r="P741" s="2" t="str">
        <f>J741&amp;"_"&amp;M741</f>
        <v>Drought_Yes</v>
      </c>
      <c r="Q741" s="2" t="str">
        <f>L741&amp;"_"&amp;M741</f>
        <v>Yellow_Yes</v>
      </c>
      <c r="R741" s="23" t="s">
        <v>2071</v>
      </c>
      <c r="S741" s="1"/>
      <c r="T741" s="1"/>
    </row>
    <row r="742" spans="1:20" s="10" customFormat="1" ht="15.75" customHeight="1" x14ac:dyDescent="0.2">
      <c r="A742" s="21">
        <v>765</v>
      </c>
      <c r="B742" s="22" t="s">
        <v>11</v>
      </c>
      <c r="C742" s="22" t="s">
        <v>426</v>
      </c>
      <c r="D742" s="22" t="s">
        <v>62</v>
      </c>
      <c r="E742" s="22" t="s">
        <v>32</v>
      </c>
      <c r="F742" s="18" t="str">
        <f>C742&amp;"-"&amp;D742&amp;"-"&amp;E742</f>
        <v>B3-P2-C2</v>
      </c>
      <c r="G742" s="22" t="s">
        <v>620</v>
      </c>
      <c r="H742" s="22">
        <v>1</v>
      </c>
      <c r="I742" s="22" t="str">
        <f>C742&amp;"_"&amp;D742&amp;"_"&amp;E742&amp;"_"&amp;G742&amp;H742</f>
        <v>B3_P2_C2_F1</v>
      </c>
      <c r="J742" s="22" t="s">
        <v>20</v>
      </c>
      <c r="K742" s="21" t="str">
        <f>B742&amp;"-"&amp;C742&amp;"-"&amp;D742&amp;"-"&amp;E742&amp;"-"&amp;G742&amp;H742</f>
        <v>Robinia-B3-P2-C2-F1</v>
      </c>
      <c r="L742" s="22" t="s">
        <v>21</v>
      </c>
      <c r="M742" s="22" t="s">
        <v>44</v>
      </c>
      <c r="N742" s="22" t="str">
        <f>J742&amp;"_"&amp;L742&amp;"_"&amp;M742</f>
        <v>Drought_Yellow_Yes</v>
      </c>
      <c r="O742" s="27" t="str">
        <f>J742&amp;"_"&amp;M742</f>
        <v>Drought_Yes</v>
      </c>
      <c r="P742" s="2" t="str">
        <f>J742&amp;"_"&amp;M742</f>
        <v>Drought_Yes</v>
      </c>
      <c r="Q742" s="2" t="str">
        <f>L742&amp;"_"&amp;M742</f>
        <v>Yellow_Yes</v>
      </c>
      <c r="R742" s="23" t="s">
        <v>2071</v>
      </c>
      <c r="S742" s="1"/>
      <c r="T742" s="1"/>
    </row>
    <row r="743" spans="1:20" s="10" customFormat="1" ht="15.75" customHeight="1" x14ac:dyDescent="0.2">
      <c r="A743" s="21">
        <v>766</v>
      </c>
      <c r="B743" s="22" t="s">
        <v>11</v>
      </c>
      <c r="C743" s="22" t="s">
        <v>426</v>
      </c>
      <c r="D743" s="22" t="s">
        <v>62</v>
      </c>
      <c r="E743" s="22" t="s">
        <v>32</v>
      </c>
      <c r="F743" s="18" t="str">
        <f>C743&amp;"-"&amp;D743&amp;"-"&amp;E743</f>
        <v>B3-P2-C2</v>
      </c>
      <c r="G743" s="22" t="s">
        <v>618</v>
      </c>
      <c r="H743" s="22">
        <v>2</v>
      </c>
      <c r="I743" s="22" t="str">
        <f>C743&amp;"_"&amp;D743&amp;"_"&amp;E743&amp;"_"&amp;G743&amp;H743</f>
        <v>B3_P2_C2_D2</v>
      </c>
      <c r="J743" s="22" t="s">
        <v>20</v>
      </c>
      <c r="K743" s="21" t="str">
        <f>B743&amp;"-"&amp;C743&amp;"-"&amp;D743&amp;"-"&amp;E743&amp;"-"&amp;G743&amp;H743</f>
        <v>Robinia-B3-P2-C2-D2</v>
      </c>
      <c r="L743" s="22" t="s">
        <v>21</v>
      </c>
      <c r="M743" s="22" t="s">
        <v>44</v>
      </c>
      <c r="N743" s="22" t="str">
        <f>J743&amp;"_"&amp;L743&amp;"_"&amp;M743</f>
        <v>Drought_Yellow_Yes</v>
      </c>
      <c r="O743" s="27" t="str">
        <f>J743&amp;"_"&amp;M743</f>
        <v>Drought_Yes</v>
      </c>
      <c r="P743" s="2" t="str">
        <f>J743&amp;"_"&amp;M743</f>
        <v>Drought_Yes</v>
      </c>
      <c r="Q743" s="2" t="str">
        <f>L743&amp;"_"&amp;M743</f>
        <v>Yellow_Yes</v>
      </c>
      <c r="R743" s="23" t="s">
        <v>2071</v>
      </c>
      <c r="S743" s="1"/>
      <c r="T743" s="1"/>
    </row>
    <row r="744" spans="1:20" s="10" customFormat="1" ht="15.75" customHeight="1" x14ac:dyDescent="0.2">
      <c r="A744" s="21">
        <v>767</v>
      </c>
      <c r="B744" s="22" t="s">
        <v>11</v>
      </c>
      <c r="C744" s="22" t="s">
        <v>426</v>
      </c>
      <c r="D744" s="22" t="s">
        <v>62</v>
      </c>
      <c r="E744" s="22" t="s">
        <v>32</v>
      </c>
      <c r="F744" s="18" t="str">
        <f>C744&amp;"-"&amp;D744&amp;"-"&amp;E744</f>
        <v>B3-P2-C2</v>
      </c>
      <c r="G744" s="22" t="s">
        <v>619</v>
      </c>
      <c r="H744" s="22">
        <v>2</v>
      </c>
      <c r="I744" s="22" t="str">
        <f>C744&amp;"_"&amp;D744&amp;"_"&amp;E744&amp;"_"&amp;G744&amp;H744</f>
        <v>B3_P2_C2_E2</v>
      </c>
      <c r="J744" s="22" t="s">
        <v>20</v>
      </c>
      <c r="K744" s="21" t="str">
        <f>B744&amp;"-"&amp;C744&amp;"-"&amp;D744&amp;"-"&amp;E744&amp;"-"&amp;G744&amp;H744</f>
        <v>Robinia-B3-P2-C2-E2</v>
      </c>
      <c r="L744" s="22" t="s">
        <v>21</v>
      </c>
      <c r="M744" s="22" t="s">
        <v>44</v>
      </c>
      <c r="N744" s="22" t="str">
        <f>J744&amp;"_"&amp;L744&amp;"_"&amp;M744</f>
        <v>Drought_Yellow_Yes</v>
      </c>
      <c r="O744" s="27" t="str">
        <f>J744&amp;"_"&amp;M744</f>
        <v>Drought_Yes</v>
      </c>
      <c r="P744" s="2" t="str">
        <f>J744&amp;"_"&amp;M744</f>
        <v>Drought_Yes</v>
      </c>
      <c r="Q744" s="2" t="str">
        <f>L744&amp;"_"&amp;M744</f>
        <v>Yellow_Yes</v>
      </c>
      <c r="R744" s="23" t="s">
        <v>2071</v>
      </c>
      <c r="S744" s="1"/>
      <c r="T744" s="1"/>
    </row>
    <row r="745" spans="1:20" s="10" customFormat="1" ht="15.75" customHeight="1" x14ac:dyDescent="0.2">
      <c r="A745" s="21">
        <v>768</v>
      </c>
      <c r="B745" s="22" t="s">
        <v>11</v>
      </c>
      <c r="C745" s="22" t="s">
        <v>426</v>
      </c>
      <c r="D745" s="22" t="s">
        <v>62</v>
      </c>
      <c r="E745" s="22" t="s">
        <v>32</v>
      </c>
      <c r="F745" s="18" t="str">
        <f>C745&amp;"-"&amp;D745&amp;"-"&amp;E745</f>
        <v>B3-P2-C2</v>
      </c>
      <c r="G745" s="22" t="s">
        <v>620</v>
      </c>
      <c r="H745" s="22">
        <v>2</v>
      </c>
      <c r="I745" s="22" t="str">
        <f>C745&amp;"_"&amp;D745&amp;"_"&amp;E745&amp;"_"&amp;G745&amp;H745</f>
        <v>B3_P2_C2_F2</v>
      </c>
      <c r="J745" s="22" t="s">
        <v>20</v>
      </c>
      <c r="K745" s="21" t="str">
        <f>B745&amp;"-"&amp;C745&amp;"-"&amp;D745&amp;"-"&amp;E745&amp;"-"&amp;G745&amp;H745</f>
        <v>Robinia-B3-P2-C2-F2</v>
      </c>
      <c r="L745" s="22" t="s">
        <v>21</v>
      </c>
      <c r="M745" s="22" t="s">
        <v>44</v>
      </c>
      <c r="N745" s="22" t="str">
        <f>J745&amp;"_"&amp;L745&amp;"_"&amp;M745</f>
        <v>Drought_Yellow_Yes</v>
      </c>
      <c r="O745" s="27" t="str">
        <f>J745&amp;"_"&amp;M745</f>
        <v>Drought_Yes</v>
      </c>
      <c r="P745" s="2" t="str">
        <f>J745&amp;"_"&amp;M745</f>
        <v>Drought_Yes</v>
      </c>
      <c r="Q745" s="2" t="str">
        <f>L745&amp;"_"&amp;M745</f>
        <v>Yellow_Yes</v>
      </c>
      <c r="R745" s="23" t="s">
        <v>2071</v>
      </c>
      <c r="S745" s="1"/>
      <c r="T745" s="1"/>
    </row>
    <row r="746" spans="1:20" ht="15.75" customHeight="1" x14ac:dyDescent="0.2">
      <c r="A746" s="13">
        <v>769</v>
      </c>
      <c r="B746" s="15" t="s">
        <v>11</v>
      </c>
      <c r="C746" s="15" t="s">
        <v>426</v>
      </c>
      <c r="D746" s="15" t="s">
        <v>62</v>
      </c>
      <c r="E746" s="15" t="s">
        <v>53</v>
      </c>
      <c r="F746" s="15" t="str">
        <f>C746&amp;"-"&amp;D746&amp;"-"&amp;E746</f>
        <v>B3-P2-C4</v>
      </c>
      <c r="G746" s="15" t="s">
        <v>618</v>
      </c>
      <c r="H746" s="15">
        <v>1</v>
      </c>
      <c r="I746" s="15" t="str">
        <f>C746&amp;"_"&amp;D746&amp;"_"&amp;E746&amp;"_"&amp;G746&amp;H746</f>
        <v>B3_P2_C4_D1</v>
      </c>
      <c r="J746" s="15" t="s">
        <v>20</v>
      </c>
      <c r="K746" s="13" t="str">
        <f>B746&amp;"-"&amp;C746&amp;"-"&amp;D746&amp;"-"&amp;E746&amp;"-"&amp;G746&amp;H746</f>
        <v>Robinia-B3-P2-C4-D1</v>
      </c>
      <c r="L746" s="15" t="s">
        <v>21</v>
      </c>
      <c r="M746" s="15" t="s">
        <v>44</v>
      </c>
      <c r="N746" s="15" t="str">
        <f>J746&amp;"_"&amp;L746&amp;"_"&amp;M746</f>
        <v>Drought_Yellow_Yes</v>
      </c>
      <c r="O746" s="24" t="str">
        <f>J746&amp;"_"&amp;M746</f>
        <v>Drought_Yes</v>
      </c>
      <c r="P746" s="1" t="str">
        <f>J746&amp;"_"&amp;M746</f>
        <v>Drought_Yes</v>
      </c>
      <c r="Q746" s="1" t="str">
        <f>L746&amp;"_"&amp;M746</f>
        <v>Yellow_Yes</v>
      </c>
      <c r="R746" s="23" t="s">
        <v>2071</v>
      </c>
      <c r="S746" s="2"/>
      <c r="T746" s="2"/>
    </row>
    <row r="747" spans="1:20" ht="15.75" customHeight="1" x14ac:dyDescent="0.2">
      <c r="A747" s="13">
        <v>770</v>
      </c>
      <c r="B747" s="15" t="s">
        <v>11</v>
      </c>
      <c r="C747" s="15" t="s">
        <v>426</v>
      </c>
      <c r="D747" s="15" t="s">
        <v>62</v>
      </c>
      <c r="E747" s="15" t="s">
        <v>53</v>
      </c>
      <c r="F747" s="15" t="str">
        <f>C747&amp;"-"&amp;D747&amp;"-"&amp;E747</f>
        <v>B3-P2-C4</v>
      </c>
      <c r="G747" s="15" t="s">
        <v>619</v>
      </c>
      <c r="H747" s="15">
        <v>1</v>
      </c>
      <c r="I747" s="15" t="str">
        <f>C747&amp;"_"&amp;D747&amp;"_"&amp;E747&amp;"_"&amp;G747&amp;H747</f>
        <v>B3_P2_C4_E1</v>
      </c>
      <c r="J747" s="15" t="s">
        <v>20</v>
      </c>
      <c r="K747" s="13" t="str">
        <f>B747&amp;"-"&amp;C747&amp;"-"&amp;D747&amp;"-"&amp;E747&amp;"-"&amp;G747&amp;H747</f>
        <v>Robinia-B3-P2-C4-E1</v>
      </c>
      <c r="L747" s="15" t="s">
        <v>21</v>
      </c>
      <c r="M747" s="15" t="s">
        <v>44</v>
      </c>
      <c r="N747" s="15" t="str">
        <f>J747&amp;"_"&amp;L747&amp;"_"&amp;M747</f>
        <v>Drought_Yellow_Yes</v>
      </c>
      <c r="O747" s="24" t="str">
        <f>J747&amp;"_"&amp;M747</f>
        <v>Drought_Yes</v>
      </c>
      <c r="P747" s="1" t="str">
        <f>J747&amp;"_"&amp;M747</f>
        <v>Drought_Yes</v>
      </c>
      <c r="Q747" s="1" t="str">
        <f>L747&amp;"_"&amp;M747</f>
        <v>Yellow_Yes</v>
      </c>
      <c r="R747" s="23" t="s">
        <v>2071</v>
      </c>
      <c r="S747" s="2"/>
      <c r="T747" s="2"/>
    </row>
    <row r="748" spans="1:20" ht="15.75" customHeight="1" x14ac:dyDescent="0.2">
      <c r="A748" s="13">
        <v>771</v>
      </c>
      <c r="B748" s="15" t="s">
        <v>11</v>
      </c>
      <c r="C748" s="15" t="s">
        <v>426</v>
      </c>
      <c r="D748" s="15" t="s">
        <v>62</v>
      </c>
      <c r="E748" s="15" t="s">
        <v>53</v>
      </c>
      <c r="F748" s="15" t="str">
        <f>C748&amp;"-"&amp;D748&amp;"-"&amp;E748</f>
        <v>B3-P2-C4</v>
      </c>
      <c r="G748" s="15" t="s">
        <v>620</v>
      </c>
      <c r="H748" s="15">
        <v>1</v>
      </c>
      <c r="I748" s="15" t="str">
        <f>C748&amp;"_"&amp;D748&amp;"_"&amp;E748&amp;"_"&amp;G748&amp;H748</f>
        <v>B3_P2_C4_F1</v>
      </c>
      <c r="J748" s="15" t="s">
        <v>20</v>
      </c>
      <c r="K748" s="13" t="str">
        <f>B748&amp;"-"&amp;C748&amp;"-"&amp;D748&amp;"-"&amp;E748&amp;"-"&amp;G748&amp;H748</f>
        <v>Robinia-B3-P2-C4-F1</v>
      </c>
      <c r="L748" s="15" t="s">
        <v>21</v>
      </c>
      <c r="M748" s="15" t="s">
        <v>44</v>
      </c>
      <c r="N748" s="15" t="str">
        <f>J748&amp;"_"&amp;L748&amp;"_"&amp;M748</f>
        <v>Drought_Yellow_Yes</v>
      </c>
      <c r="O748" s="24" t="str">
        <f>J748&amp;"_"&amp;M748</f>
        <v>Drought_Yes</v>
      </c>
      <c r="P748" s="1" t="str">
        <f>J748&amp;"_"&amp;M748</f>
        <v>Drought_Yes</v>
      </c>
      <c r="Q748" s="1" t="str">
        <f>L748&amp;"_"&amp;M748</f>
        <v>Yellow_Yes</v>
      </c>
      <c r="R748" s="23" t="s">
        <v>2071</v>
      </c>
      <c r="S748" s="2"/>
      <c r="T748" s="2"/>
    </row>
    <row r="749" spans="1:20" ht="15.75" customHeight="1" x14ac:dyDescent="0.2">
      <c r="A749" s="13">
        <v>772</v>
      </c>
      <c r="B749" s="15" t="s">
        <v>11</v>
      </c>
      <c r="C749" s="15" t="s">
        <v>426</v>
      </c>
      <c r="D749" s="15" t="s">
        <v>62</v>
      </c>
      <c r="E749" s="15" t="s">
        <v>53</v>
      </c>
      <c r="F749" s="15" t="str">
        <f>C749&amp;"-"&amp;D749&amp;"-"&amp;E749</f>
        <v>B3-P2-C4</v>
      </c>
      <c r="G749" s="15" t="s">
        <v>618</v>
      </c>
      <c r="H749" s="15">
        <v>2</v>
      </c>
      <c r="I749" s="15" t="str">
        <f>C749&amp;"_"&amp;D749&amp;"_"&amp;E749&amp;"_"&amp;G749&amp;H749</f>
        <v>B3_P2_C4_D2</v>
      </c>
      <c r="J749" s="15" t="s">
        <v>20</v>
      </c>
      <c r="K749" s="13" t="str">
        <f>B749&amp;"-"&amp;C749&amp;"-"&amp;D749&amp;"-"&amp;E749&amp;"-"&amp;G749&amp;H749</f>
        <v>Robinia-B3-P2-C4-D2</v>
      </c>
      <c r="L749" s="15" t="s">
        <v>21</v>
      </c>
      <c r="M749" s="15" t="s">
        <v>44</v>
      </c>
      <c r="N749" s="15" t="str">
        <f>J749&amp;"_"&amp;L749&amp;"_"&amp;M749</f>
        <v>Drought_Yellow_Yes</v>
      </c>
      <c r="O749" s="24" t="str">
        <f>J749&amp;"_"&amp;M749</f>
        <v>Drought_Yes</v>
      </c>
      <c r="P749" s="1" t="str">
        <f>J749&amp;"_"&amp;M749</f>
        <v>Drought_Yes</v>
      </c>
      <c r="Q749" s="1" t="str">
        <f>L749&amp;"_"&amp;M749</f>
        <v>Yellow_Yes</v>
      </c>
      <c r="R749" s="23" t="s">
        <v>2071</v>
      </c>
      <c r="S749" s="2"/>
      <c r="T749" s="2"/>
    </row>
    <row r="750" spans="1:20" ht="15.75" customHeight="1" x14ac:dyDescent="0.2">
      <c r="A750" s="13">
        <v>773</v>
      </c>
      <c r="B750" s="15" t="s">
        <v>11</v>
      </c>
      <c r="C750" s="15" t="s">
        <v>426</v>
      </c>
      <c r="D750" s="15" t="s">
        <v>62</v>
      </c>
      <c r="E750" s="15" t="s">
        <v>53</v>
      </c>
      <c r="F750" s="15" t="str">
        <f>C750&amp;"-"&amp;D750&amp;"-"&amp;E750</f>
        <v>B3-P2-C4</v>
      </c>
      <c r="G750" s="15" t="s">
        <v>619</v>
      </c>
      <c r="H750" s="15">
        <v>2</v>
      </c>
      <c r="I750" s="15" t="str">
        <f>C750&amp;"_"&amp;D750&amp;"_"&amp;E750&amp;"_"&amp;G750&amp;H750</f>
        <v>B3_P2_C4_E2</v>
      </c>
      <c r="J750" s="15" t="s">
        <v>20</v>
      </c>
      <c r="K750" s="13" t="str">
        <f>B750&amp;"-"&amp;C750&amp;"-"&amp;D750&amp;"-"&amp;E750&amp;"-"&amp;G750&amp;H750</f>
        <v>Robinia-B3-P2-C4-E2</v>
      </c>
      <c r="L750" s="15" t="s">
        <v>21</v>
      </c>
      <c r="M750" s="15" t="s">
        <v>44</v>
      </c>
      <c r="N750" s="15" t="str">
        <f>J750&amp;"_"&amp;L750&amp;"_"&amp;M750</f>
        <v>Drought_Yellow_Yes</v>
      </c>
      <c r="O750" s="24" t="str">
        <f>J750&amp;"_"&amp;M750</f>
        <v>Drought_Yes</v>
      </c>
      <c r="P750" s="1" t="str">
        <f>J750&amp;"_"&amp;M750</f>
        <v>Drought_Yes</v>
      </c>
      <c r="Q750" s="1" t="str">
        <f>L750&amp;"_"&amp;M750</f>
        <v>Yellow_Yes</v>
      </c>
      <c r="R750" s="23" t="s">
        <v>2071</v>
      </c>
      <c r="S750" s="2"/>
      <c r="T750" s="2"/>
    </row>
    <row r="751" spans="1:20" ht="15.75" customHeight="1" x14ac:dyDescent="0.2">
      <c r="A751" s="13">
        <v>774</v>
      </c>
      <c r="B751" s="15" t="s">
        <v>11</v>
      </c>
      <c r="C751" s="15" t="s">
        <v>426</v>
      </c>
      <c r="D751" s="15" t="s">
        <v>62</v>
      </c>
      <c r="E751" s="15" t="s">
        <v>53</v>
      </c>
      <c r="F751" s="15" t="str">
        <f>C751&amp;"-"&amp;D751&amp;"-"&amp;E751</f>
        <v>B3-P2-C4</v>
      </c>
      <c r="G751" s="15" t="s">
        <v>620</v>
      </c>
      <c r="H751" s="15">
        <v>2</v>
      </c>
      <c r="I751" s="15" t="str">
        <f>C751&amp;"_"&amp;D751&amp;"_"&amp;E751&amp;"_"&amp;G751&amp;H751</f>
        <v>B3_P2_C4_F2</v>
      </c>
      <c r="J751" s="15" t="s">
        <v>20</v>
      </c>
      <c r="K751" s="13" t="str">
        <f>B751&amp;"-"&amp;C751&amp;"-"&amp;D751&amp;"-"&amp;E751&amp;"-"&amp;G751&amp;H751</f>
        <v>Robinia-B3-P2-C4-F2</v>
      </c>
      <c r="L751" s="15" t="s">
        <v>21</v>
      </c>
      <c r="M751" s="15" t="s">
        <v>44</v>
      </c>
      <c r="N751" s="15" t="str">
        <f>J751&amp;"_"&amp;L751&amp;"_"&amp;M751</f>
        <v>Drought_Yellow_Yes</v>
      </c>
      <c r="O751" s="24" t="str">
        <f>J751&amp;"_"&amp;M751</f>
        <v>Drought_Yes</v>
      </c>
      <c r="P751" s="1" t="str">
        <f>J751&amp;"_"&amp;M751</f>
        <v>Drought_Yes</v>
      </c>
      <c r="Q751" s="1" t="str">
        <f>L751&amp;"_"&amp;M751</f>
        <v>Yellow_Yes</v>
      </c>
      <c r="R751" s="23" t="s">
        <v>2071</v>
      </c>
      <c r="S751" s="2"/>
      <c r="T751" s="2"/>
    </row>
    <row r="752" spans="1:20" s="10" customFormat="1" ht="15.75" customHeight="1" x14ac:dyDescent="0.2">
      <c r="A752" s="21">
        <v>775</v>
      </c>
      <c r="B752" s="22" t="s">
        <v>11</v>
      </c>
      <c r="C752" s="22" t="s">
        <v>426</v>
      </c>
      <c r="D752" s="22" t="s">
        <v>98</v>
      </c>
      <c r="E752" s="22" t="s">
        <v>53</v>
      </c>
      <c r="F752" s="18" t="str">
        <f>C752&amp;"-"&amp;D752&amp;"-"&amp;E752</f>
        <v>B3-P3-C4</v>
      </c>
      <c r="G752" s="22" t="s">
        <v>618</v>
      </c>
      <c r="H752" s="22">
        <v>1</v>
      </c>
      <c r="I752" s="22" t="str">
        <f>C752&amp;"_"&amp;D752&amp;"_"&amp;E752&amp;"_"&amp;G752&amp;H752</f>
        <v>B3_P3_C4_D1</v>
      </c>
      <c r="J752" s="22" t="s">
        <v>20</v>
      </c>
      <c r="K752" s="21" t="str">
        <f>B752&amp;"-"&amp;C752&amp;"-"&amp;D752&amp;"-"&amp;E752&amp;"-"&amp;G752&amp;H752</f>
        <v>Robinia-B3-P3-C4-D1</v>
      </c>
      <c r="L752" s="22" t="s">
        <v>21</v>
      </c>
      <c r="M752" s="22" t="s">
        <v>44</v>
      </c>
      <c r="N752" s="22" t="str">
        <f>J752&amp;"_"&amp;L752&amp;"_"&amp;M752</f>
        <v>Drought_Yellow_Yes</v>
      </c>
      <c r="O752" s="27" t="str">
        <f>J752&amp;"_"&amp;M752</f>
        <v>Drought_Yes</v>
      </c>
      <c r="P752" s="2" t="str">
        <f>J752&amp;"_"&amp;M752</f>
        <v>Drought_Yes</v>
      </c>
      <c r="Q752" s="2" t="str">
        <f>L752&amp;"_"&amp;M752</f>
        <v>Yellow_Yes</v>
      </c>
      <c r="R752" s="23" t="s">
        <v>2071</v>
      </c>
      <c r="S752" s="1"/>
      <c r="T752" s="1"/>
    </row>
    <row r="753" spans="1:20" s="10" customFormat="1" ht="15.75" customHeight="1" x14ac:dyDescent="0.2">
      <c r="A753" s="21">
        <v>776</v>
      </c>
      <c r="B753" s="22" t="s">
        <v>11</v>
      </c>
      <c r="C753" s="22" t="s">
        <v>426</v>
      </c>
      <c r="D753" s="22" t="s">
        <v>98</v>
      </c>
      <c r="E753" s="22" t="s">
        <v>53</v>
      </c>
      <c r="F753" s="18" t="str">
        <f>C753&amp;"-"&amp;D753&amp;"-"&amp;E753</f>
        <v>B3-P3-C4</v>
      </c>
      <c r="G753" s="22" t="s">
        <v>619</v>
      </c>
      <c r="H753" s="22">
        <v>1</v>
      </c>
      <c r="I753" s="22" t="str">
        <f>C753&amp;"_"&amp;D753&amp;"_"&amp;E753&amp;"_"&amp;G753&amp;H753</f>
        <v>B3_P3_C4_E1</v>
      </c>
      <c r="J753" s="22" t="s">
        <v>20</v>
      </c>
      <c r="K753" s="21" t="str">
        <f>B753&amp;"-"&amp;C753&amp;"-"&amp;D753&amp;"-"&amp;E753&amp;"-"&amp;G753&amp;H753</f>
        <v>Robinia-B3-P3-C4-E1</v>
      </c>
      <c r="L753" s="22" t="s">
        <v>21</v>
      </c>
      <c r="M753" s="22" t="s">
        <v>44</v>
      </c>
      <c r="N753" s="22" t="str">
        <f>J753&amp;"_"&amp;L753&amp;"_"&amp;M753</f>
        <v>Drought_Yellow_Yes</v>
      </c>
      <c r="O753" s="27" t="str">
        <f>J753&amp;"_"&amp;M753</f>
        <v>Drought_Yes</v>
      </c>
      <c r="P753" s="2" t="str">
        <f>J753&amp;"_"&amp;M753</f>
        <v>Drought_Yes</v>
      </c>
      <c r="Q753" s="2" t="str">
        <f>L753&amp;"_"&amp;M753</f>
        <v>Yellow_Yes</v>
      </c>
      <c r="R753" s="23" t="s">
        <v>2071</v>
      </c>
      <c r="S753" s="1"/>
      <c r="T753" s="1"/>
    </row>
    <row r="754" spans="1:20" s="10" customFormat="1" ht="15.75" customHeight="1" x14ac:dyDescent="0.2">
      <c r="A754" s="21">
        <v>777</v>
      </c>
      <c r="B754" s="22" t="s">
        <v>11</v>
      </c>
      <c r="C754" s="22" t="s">
        <v>426</v>
      </c>
      <c r="D754" s="22" t="s">
        <v>98</v>
      </c>
      <c r="E754" s="22" t="s">
        <v>53</v>
      </c>
      <c r="F754" s="18" t="str">
        <f>C754&amp;"-"&amp;D754&amp;"-"&amp;E754</f>
        <v>B3-P3-C4</v>
      </c>
      <c r="G754" s="22" t="s">
        <v>620</v>
      </c>
      <c r="H754" s="22">
        <v>1</v>
      </c>
      <c r="I754" s="22" t="str">
        <f>C754&amp;"_"&amp;D754&amp;"_"&amp;E754&amp;"_"&amp;G754&amp;H754</f>
        <v>B3_P3_C4_F1</v>
      </c>
      <c r="J754" s="22" t="s">
        <v>20</v>
      </c>
      <c r="K754" s="21" t="str">
        <f>B754&amp;"-"&amp;C754&amp;"-"&amp;D754&amp;"-"&amp;E754&amp;"-"&amp;G754&amp;H754</f>
        <v>Robinia-B3-P3-C4-F1</v>
      </c>
      <c r="L754" s="22" t="s">
        <v>21</v>
      </c>
      <c r="M754" s="22" t="s">
        <v>44</v>
      </c>
      <c r="N754" s="22" t="str">
        <f>J754&amp;"_"&amp;L754&amp;"_"&amp;M754</f>
        <v>Drought_Yellow_Yes</v>
      </c>
      <c r="O754" s="27" t="str">
        <f>J754&amp;"_"&amp;M754</f>
        <v>Drought_Yes</v>
      </c>
      <c r="P754" s="2" t="str">
        <f>J754&amp;"_"&amp;M754</f>
        <v>Drought_Yes</v>
      </c>
      <c r="Q754" s="2" t="str">
        <f>L754&amp;"_"&amp;M754</f>
        <v>Yellow_Yes</v>
      </c>
      <c r="R754" s="23" t="s">
        <v>2071</v>
      </c>
      <c r="S754" s="1"/>
      <c r="T754" s="1"/>
    </row>
    <row r="755" spans="1:20" s="10" customFormat="1" ht="15.75" customHeight="1" x14ac:dyDescent="0.2">
      <c r="A755" s="21">
        <v>778</v>
      </c>
      <c r="B755" s="22" t="s">
        <v>11</v>
      </c>
      <c r="C755" s="22" t="s">
        <v>426</v>
      </c>
      <c r="D755" s="22" t="s">
        <v>98</v>
      </c>
      <c r="E755" s="22" t="s">
        <v>53</v>
      </c>
      <c r="F755" s="18" t="str">
        <f>C755&amp;"-"&amp;D755&amp;"-"&amp;E755</f>
        <v>B3-P3-C4</v>
      </c>
      <c r="G755" s="22" t="s">
        <v>618</v>
      </c>
      <c r="H755" s="22">
        <v>2</v>
      </c>
      <c r="I755" s="22" t="str">
        <f>C755&amp;"_"&amp;D755&amp;"_"&amp;E755&amp;"_"&amp;G755&amp;H755</f>
        <v>B3_P3_C4_D2</v>
      </c>
      <c r="J755" s="22" t="s">
        <v>20</v>
      </c>
      <c r="K755" s="21" t="str">
        <f>B755&amp;"-"&amp;C755&amp;"-"&amp;D755&amp;"-"&amp;E755&amp;"-"&amp;G755&amp;H755</f>
        <v>Robinia-B3-P3-C4-D2</v>
      </c>
      <c r="L755" s="22" t="s">
        <v>21</v>
      </c>
      <c r="M755" s="22" t="s">
        <v>44</v>
      </c>
      <c r="N755" s="22" t="str">
        <f>J755&amp;"_"&amp;L755&amp;"_"&amp;M755</f>
        <v>Drought_Yellow_Yes</v>
      </c>
      <c r="O755" s="27" t="str">
        <f>J755&amp;"_"&amp;M755</f>
        <v>Drought_Yes</v>
      </c>
      <c r="P755" s="2" t="str">
        <f>J755&amp;"_"&amp;M755</f>
        <v>Drought_Yes</v>
      </c>
      <c r="Q755" s="2" t="str">
        <f>L755&amp;"_"&amp;M755</f>
        <v>Yellow_Yes</v>
      </c>
      <c r="R755" s="23" t="s">
        <v>2071</v>
      </c>
      <c r="S755" s="1"/>
      <c r="T755" s="1"/>
    </row>
    <row r="756" spans="1:20" s="10" customFormat="1" ht="15.75" customHeight="1" x14ac:dyDescent="0.2">
      <c r="A756" s="21">
        <v>779</v>
      </c>
      <c r="B756" s="22" t="s">
        <v>11</v>
      </c>
      <c r="C756" s="22" t="s">
        <v>426</v>
      </c>
      <c r="D756" s="22" t="s">
        <v>98</v>
      </c>
      <c r="E756" s="22" t="s">
        <v>53</v>
      </c>
      <c r="F756" s="18" t="str">
        <f>C756&amp;"-"&amp;D756&amp;"-"&amp;E756</f>
        <v>B3-P3-C4</v>
      </c>
      <c r="G756" s="22" t="s">
        <v>619</v>
      </c>
      <c r="H756" s="22">
        <v>2</v>
      </c>
      <c r="I756" s="22" t="str">
        <f>C756&amp;"_"&amp;D756&amp;"_"&amp;E756&amp;"_"&amp;G756&amp;H756</f>
        <v>B3_P3_C4_E2</v>
      </c>
      <c r="J756" s="22" t="s">
        <v>20</v>
      </c>
      <c r="K756" s="21" t="str">
        <f>B756&amp;"-"&amp;C756&amp;"-"&amp;D756&amp;"-"&amp;E756&amp;"-"&amp;G756&amp;H756</f>
        <v>Robinia-B3-P3-C4-E2</v>
      </c>
      <c r="L756" s="22" t="s">
        <v>21</v>
      </c>
      <c r="M756" s="22" t="s">
        <v>44</v>
      </c>
      <c r="N756" s="22" t="str">
        <f>J756&amp;"_"&amp;L756&amp;"_"&amp;M756</f>
        <v>Drought_Yellow_Yes</v>
      </c>
      <c r="O756" s="27" t="str">
        <f>J756&amp;"_"&amp;M756</f>
        <v>Drought_Yes</v>
      </c>
      <c r="P756" s="2" t="str">
        <f>J756&amp;"_"&amp;M756</f>
        <v>Drought_Yes</v>
      </c>
      <c r="Q756" s="2" t="str">
        <f>L756&amp;"_"&amp;M756</f>
        <v>Yellow_Yes</v>
      </c>
      <c r="R756" s="23" t="s">
        <v>2071</v>
      </c>
      <c r="S756" s="1"/>
      <c r="T756" s="1"/>
    </row>
    <row r="757" spans="1:20" s="10" customFormat="1" ht="15.75" customHeight="1" x14ac:dyDescent="0.2">
      <c r="A757" s="21">
        <v>780</v>
      </c>
      <c r="B757" s="22" t="s">
        <v>11</v>
      </c>
      <c r="C757" s="22" t="s">
        <v>426</v>
      </c>
      <c r="D757" s="22" t="s">
        <v>98</v>
      </c>
      <c r="E757" s="22" t="s">
        <v>53</v>
      </c>
      <c r="F757" s="18" t="str">
        <f>C757&amp;"-"&amp;D757&amp;"-"&amp;E757</f>
        <v>B3-P3-C4</v>
      </c>
      <c r="G757" s="22" t="s">
        <v>620</v>
      </c>
      <c r="H757" s="22">
        <v>2</v>
      </c>
      <c r="I757" s="22" t="str">
        <f>C757&amp;"_"&amp;D757&amp;"_"&amp;E757&amp;"_"&amp;G757&amp;H757</f>
        <v>B3_P3_C4_F2</v>
      </c>
      <c r="J757" s="22" t="s">
        <v>20</v>
      </c>
      <c r="K757" s="21" t="str">
        <f>B757&amp;"-"&amp;C757&amp;"-"&amp;D757&amp;"-"&amp;E757&amp;"-"&amp;G757&amp;H757</f>
        <v>Robinia-B3-P3-C4-F2</v>
      </c>
      <c r="L757" s="22" t="s">
        <v>21</v>
      </c>
      <c r="M757" s="22" t="s">
        <v>44</v>
      </c>
      <c r="N757" s="22" t="str">
        <f>J757&amp;"_"&amp;L757&amp;"_"&amp;M757</f>
        <v>Drought_Yellow_Yes</v>
      </c>
      <c r="O757" s="27" t="str">
        <f>J757&amp;"_"&amp;M757</f>
        <v>Drought_Yes</v>
      </c>
      <c r="P757" s="2" t="str">
        <f>J757&amp;"_"&amp;M757</f>
        <v>Drought_Yes</v>
      </c>
      <c r="Q757" s="2" t="str">
        <f>L757&amp;"_"&amp;M757</f>
        <v>Yellow_Yes</v>
      </c>
      <c r="R757" s="23" t="s">
        <v>2071</v>
      </c>
      <c r="S757" s="1"/>
      <c r="T757" s="1"/>
    </row>
    <row r="758" spans="1:20" ht="15.75" customHeight="1" x14ac:dyDescent="0.2">
      <c r="A758" s="13">
        <v>781</v>
      </c>
      <c r="B758" s="15" t="s">
        <v>11</v>
      </c>
      <c r="C758" s="15" t="s">
        <v>426</v>
      </c>
      <c r="D758" s="15" t="s">
        <v>131</v>
      </c>
      <c r="E758" s="15" t="s">
        <v>53</v>
      </c>
      <c r="F758" s="15" t="str">
        <f>C758&amp;"-"&amp;D758&amp;"-"&amp;E758</f>
        <v>B3-P4-C4</v>
      </c>
      <c r="G758" s="15" t="s">
        <v>618</v>
      </c>
      <c r="H758" s="15">
        <v>1</v>
      </c>
      <c r="I758" s="15" t="str">
        <f>C758&amp;"_"&amp;D758&amp;"_"&amp;E758&amp;"_"&amp;G758&amp;H758</f>
        <v>B3_P4_C4_D1</v>
      </c>
      <c r="J758" s="15" t="s">
        <v>133</v>
      </c>
      <c r="K758" s="13" t="str">
        <f>B758&amp;"-"&amp;C758&amp;"-"&amp;D758&amp;"-"&amp;E758&amp;"-"&amp;G758&amp;H758</f>
        <v>Robinia-B3-P4-C4-D1</v>
      </c>
      <c r="L758" s="15" t="s">
        <v>64</v>
      </c>
      <c r="M758" s="15" t="s">
        <v>44</v>
      </c>
      <c r="N758" s="15" t="str">
        <f>J758&amp;"_"&amp;L758&amp;"_"&amp;M758</f>
        <v>Control_Grey_Yes</v>
      </c>
      <c r="O758" s="24" t="str">
        <f>J758&amp;"_"&amp;M758</f>
        <v>Control_Yes</v>
      </c>
      <c r="P758" s="1" t="str">
        <f>J758&amp;"_"&amp;M758</f>
        <v>Control_Yes</v>
      </c>
      <c r="Q758" s="1" t="str">
        <f>L758&amp;"_"&amp;M758</f>
        <v>Grey_Yes</v>
      </c>
      <c r="R758" s="18" t="s">
        <v>2072</v>
      </c>
      <c r="S758" s="23"/>
      <c r="T758" s="23"/>
    </row>
    <row r="759" spans="1:20" ht="15.75" customHeight="1" x14ac:dyDescent="0.2">
      <c r="A759" s="13">
        <v>782</v>
      </c>
      <c r="B759" s="15" t="s">
        <v>11</v>
      </c>
      <c r="C759" s="15" t="s">
        <v>426</v>
      </c>
      <c r="D759" s="15" t="s">
        <v>131</v>
      </c>
      <c r="E759" s="15" t="s">
        <v>53</v>
      </c>
      <c r="F759" s="15" t="str">
        <f>C759&amp;"-"&amp;D759&amp;"-"&amp;E759</f>
        <v>B3-P4-C4</v>
      </c>
      <c r="G759" s="15" t="s">
        <v>619</v>
      </c>
      <c r="H759" s="15">
        <v>1</v>
      </c>
      <c r="I759" s="15" t="str">
        <f>C759&amp;"_"&amp;D759&amp;"_"&amp;E759&amp;"_"&amp;G759&amp;H759</f>
        <v>B3_P4_C4_E1</v>
      </c>
      <c r="J759" s="15" t="s">
        <v>133</v>
      </c>
      <c r="K759" s="13" t="str">
        <f>B759&amp;"-"&amp;C759&amp;"-"&amp;D759&amp;"-"&amp;E759&amp;"-"&amp;G759&amp;H759</f>
        <v>Robinia-B3-P4-C4-E1</v>
      </c>
      <c r="L759" s="15" t="s">
        <v>64</v>
      </c>
      <c r="M759" s="15" t="s">
        <v>44</v>
      </c>
      <c r="N759" s="15" t="str">
        <f>J759&amp;"_"&amp;L759&amp;"_"&amp;M759</f>
        <v>Control_Grey_Yes</v>
      </c>
      <c r="O759" s="24" t="str">
        <f>J759&amp;"_"&amp;M759</f>
        <v>Control_Yes</v>
      </c>
      <c r="P759" s="1" t="str">
        <f>J759&amp;"_"&amp;M759</f>
        <v>Control_Yes</v>
      </c>
      <c r="Q759" s="1" t="str">
        <f>L759&amp;"_"&amp;M759</f>
        <v>Grey_Yes</v>
      </c>
      <c r="R759" s="18" t="s">
        <v>2072</v>
      </c>
      <c r="S759" s="23"/>
      <c r="T759" s="23"/>
    </row>
    <row r="760" spans="1:20" ht="15.75" customHeight="1" x14ac:dyDescent="0.2">
      <c r="A760" s="13">
        <v>783</v>
      </c>
      <c r="B760" s="15" t="s">
        <v>11</v>
      </c>
      <c r="C760" s="15" t="s">
        <v>426</v>
      </c>
      <c r="D760" s="15" t="s">
        <v>131</v>
      </c>
      <c r="E760" s="15" t="s">
        <v>53</v>
      </c>
      <c r="F760" s="15" t="str">
        <f>C760&amp;"-"&amp;D760&amp;"-"&amp;E760</f>
        <v>B3-P4-C4</v>
      </c>
      <c r="G760" s="15" t="s">
        <v>620</v>
      </c>
      <c r="H760" s="15">
        <v>1</v>
      </c>
      <c r="I760" s="15" t="str">
        <f>C760&amp;"_"&amp;D760&amp;"_"&amp;E760&amp;"_"&amp;G760&amp;H760</f>
        <v>B3_P4_C4_F1</v>
      </c>
      <c r="J760" s="15" t="s">
        <v>133</v>
      </c>
      <c r="K760" s="13" t="str">
        <f>B760&amp;"-"&amp;C760&amp;"-"&amp;D760&amp;"-"&amp;E760&amp;"-"&amp;G760&amp;H760</f>
        <v>Robinia-B3-P4-C4-F1</v>
      </c>
      <c r="L760" s="15" t="s">
        <v>64</v>
      </c>
      <c r="M760" s="15" t="s">
        <v>44</v>
      </c>
      <c r="N760" s="15" t="str">
        <f>J760&amp;"_"&amp;L760&amp;"_"&amp;M760</f>
        <v>Control_Grey_Yes</v>
      </c>
      <c r="O760" s="24" t="str">
        <f>J760&amp;"_"&amp;M760</f>
        <v>Control_Yes</v>
      </c>
      <c r="P760" s="1" t="str">
        <f>J760&amp;"_"&amp;M760</f>
        <v>Control_Yes</v>
      </c>
      <c r="Q760" s="1" t="str">
        <f>L760&amp;"_"&amp;M760</f>
        <v>Grey_Yes</v>
      </c>
      <c r="R760" s="18" t="s">
        <v>2072</v>
      </c>
      <c r="S760" s="23"/>
      <c r="T760" s="23"/>
    </row>
    <row r="761" spans="1:20" ht="15.75" customHeight="1" x14ac:dyDescent="0.2">
      <c r="A761" s="13">
        <v>784</v>
      </c>
      <c r="B761" s="15" t="s">
        <v>11</v>
      </c>
      <c r="C761" s="15" t="s">
        <v>426</v>
      </c>
      <c r="D761" s="15" t="s">
        <v>131</v>
      </c>
      <c r="E761" s="15" t="s">
        <v>53</v>
      </c>
      <c r="F761" s="15" t="str">
        <f>C761&amp;"-"&amp;D761&amp;"-"&amp;E761</f>
        <v>B3-P4-C4</v>
      </c>
      <c r="G761" s="15" t="s">
        <v>618</v>
      </c>
      <c r="H761" s="15">
        <v>2</v>
      </c>
      <c r="I761" s="15" t="str">
        <f>C761&amp;"_"&amp;D761&amp;"_"&amp;E761&amp;"_"&amp;G761&amp;H761</f>
        <v>B3_P4_C4_D2</v>
      </c>
      <c r="J761" s="15" t="s">
        <v>133</v>
      </c>
      <c r="K761" s="13" t="str">
        <f>B761&amp;"-"&amp;C761&amp;"-"&amp;D761&amp;"-"&amp;E761&amp;"-"&amp;G761&amp;H761</f>
        <v>Robinia-B3-P4-C4-D2</v>
      </c>
      <c r="L761" s="15" t="s">
        <v>64</v>
      </c>
      <c r="M761" s="15" t="s">
        <v>44</v>
      </c>
      <c r="N761" s="15" t="str">
        <f>J761&amp;"_"&amp;L761&amp;"_"&amp;M761</f>
        <v>Control_Grey_Yes</v>
      </c>
      <c r="O761" s="24" t="str">
        <f>J761&amp;"_"&amp;M761</f>
        <v>Control_Yes</v>
      </c>
      <c r="P761" s="1" t="str">
        <f>J761&amp;"_"&amp;M761</f>
        <v>Control_Yes</v>
      </c>
      <c r="Q761" s="1" t="str">
        <f>L761&amp;"_"&amp;M761</f>
        <v>Grey_Yes</v>
      </c>
      <c r="R761" s="18" t="s">
        <v>2072</v>
      </c>
      <c r="S761" s="23"/>
      <c r="T761" s="23"/>
    </row>
    <row r="762" spans="1:20" ht="15.75" customHeight="1" x14ac:dyDescent="0.2">
      <c r="A762" s="13">
        <v>785</v>
      </c>
      <c r="B762" s="15" t="s">
        <v>11</v>
      </c>
      <c r="C762" s="15" t="s">
        <v>426</v>
      </c>
      <c r="D762" s="15" t="s">
        <v>131</v>
      </c>
      <c r="E762" s="15" t="s">
        <v>53</v>
      </c>
      <c r="F762" s="15" t="str">
        <f>C762&amp;"-"&amp;D762&amp;"-"&amp;E762</f>
        <v>B3-P4-C4</v>
      </c>
      <c r="G762" s="15" t="s">
        <v>619</v>
      </c>
      <c r="H762" s="15">
        <v>2</v>
      </c>
      <c r="I762" s="15" t="str">
        <f>C762&amp;"_"&amp;D762&amp;"_"&amp;E762&amp;"_"&amp;G762&amp;H762</f>
        <v>B3_P4_C4_E2</v>
      </c>
      <c r="J762" s="15" t="s">
        <v>133</v>
      </c>
      <c r="K762" s="13" t="str">
        <f>B762&amp;"-"&amp;C762&amp;"-"&amp;D762&amp;"-"&amp;E762&amp;"-"&amp;G762&amp;H762</f>
        <v>Robinia-B3-P4-C4-E2</v>
      </c>
      <c r="L762" s="15" t="s">
        <v>64</v>
      </c>
      <c r="M762" s="15" t="s">
        <v>44</v>
      </c>
      <c r="N762" s="15" t="str">
        <f>J762&amp;"_"&amp;L762&amp;"_"&amp;M762</f>
        <v>Control_Grey_Yes</v>
      </c>
      <c r="O762" s="24" t="str">
        <f>J762&amp;"_"&amp;M762</f>
        <v>Control_Yes</v>
      </c>
      <c r="P762" s="1" t="str">
        <f>J762&amp;"_"&amp;M762</f>
        <v>Control_Yes</v>
      </c>
      <c r="Q762" s="1" t="str">
        <f>L762&amp;"_"&amp;M762</f>
        <v>Grey_Yes</v>
      </c>
      <c r="R762" s="18" t="s">
        <v>2072</v>
      </c>
      <c r="S762" s="23"/>
      <c r="T762" s="23"/>
    </row>
    <row r="763" spans="1:20" ht="15.75" customHeight="1" x14ac:dyDescent="0.2">
      <c r="A763" s="13">
        <v>786</v>
      </c>
      <c r="B763" s="15" t="s">
        <v>11</v>
      </c>
      <c r="C763" s="15" t="s">
        <v>426</v>
      </c>
      <c r="D763" s="15" t="s">
        <v>131</v>
      </c>
      <c r="E763" s="15" t="s">
        <v>53</v>
      </c>
      <c r="F763" s="15" t="str">
        <f>C763&amp;"-"&amp;D763&amp;"-"&amp;E763</f>
        <v>B3-P4-C4</v>
      </c>
      <c r="G763" s="15" t="s">
        <v>620</v>
      </c>
      <c r="H763" s="15">
        <v>2</v>
      </c>
      <c r="I763" s="15" t="str">
        <f>C763&amp;"_"&amp;D763&amp;"_"&amp;E763&amp;"_"&amp;G763&amp;H763</f>
        <v>B3_P4_C4_F2</v>
      </c>
      <c r="J763" s="15" t="s">
        <v>133</v>
      </c>
      <c r="K763" s="13" t="str">
        <f>B763&amp;"-"&amp;C763&amp;"-"&amp;D763&amp;"-"&amp;E763&amp;"-"&amp;G763&amp;H763</f>
        <v>Robinia-B3-P4-C4-F2</v>
      </c>
      <c r="L763" s="15" t="s">
        <v>64</v>
      </c>
      <c r="M763" s="15" t="s">
        <v>44</v>
      </c>
      <c r="N763" s="15" t="str">
        <f>J763&amp;"_"&amp;L763&amp;"_"&amp;M763</f>
        <v>Control_Grey_Yes</v>
      </c>
      <c r="O763" s="24" t="str">
        <f>J763&amp;"_"&amp;M763</f>
        <v>Control_Yes</v>
      </c>
      <c r="P763" s="1" t="str">
        <f>J763&amp;"_"&amp;M763</f>
        <v>Control_Yes</v>
      </c>
      <c r="Q763" s="1" t="str">
        <f>L763&amp;"_"&amp;M763</f>
        <v>Grey_Yes</v>
      </c>
      <c r="R763" s="18" t="s">
        <v>2072</v>
      </c>
      <c r="S763" s="23"/>
      <c r="T763" s="23"/>
    </row>
    <row r="764" spans="1:20" s="10" customFormat="1" ht="15.75" customHeight="1" x14ac:dyDescent="0.2">
      <c r="A764" s="21">
        <v>787</v>
      </c>
      <c r="B764" s="22" t="s">
        <v>11</v>
      </c>
      <c r="C764" s="22" t="s">
        <v>426</v>
      </c>
      <c r="D764" s="22" t="s">
        <v>167</v>
      </c>
      <c r="E764" s="22" t="s">
        <v>16</v>
      </c>
      <c r="F764" s="18" t="str">
        <f>C764&amp;"-"&amp;D764&amp;"-"&amp;E764</f>
        <v>B3-P5-C1</v>
      </c>
      <c r="G764" s="22" t="s">
        <v>618</v>
      </c>
      <c r="H764" s="22">
        <v>1</v>
      </c>
      <c r="I764" s="22" t="str">
        <f>C764&amp;"_"&amp;D764&amp;"_"&amp;E764&amp;"_"&amp;G764&amp;H764</f>
        <v>B3_P5_C1_D1</v>
      </c>
      <c r="J764" s="22" t="s">
        <v>133</v>
      </c>
      <c r="K764" s="21" t="str">
        <f>B764&amp;"-"&amp;C764&amp;"-"&amp;D764&amp;"-"&amp;E764&amp;"-"&amp;G764&amp;H764</f>
        <v>Robinia-B3-P5-C1-D1</v>
      </c>
      <c r="L764" s="22" t="s">
        <v>64</v>
      </c>
      <c r="M764" s="22" t="s">
        <v>44</v>
      </c>
      <c r="N764" s="22" t="str">
        <f>J764&amp;"_"&amp;L764&amp;"_"&amp;M764</f>
        <v>Control_Grey_Yes</v>
      </c>
      <c r="O764" s="27" t="str">
        <f>J764&amp;"_"&amp;M764</f>
        <v>Control_Yes</v>
      </c>
      <c r="P764" s="2" t="str">
        <f>J764&amp;"_"&amp;M764</f>
        <v>Control_Yes</v>
      </c>
      <c r="Q764" s="2" t="str">
        <f>L764&amp;"_"&amp;M764</f>
        <v>Grey_Yes</v>
      </c>
      <c r="R764" s="18" t="s">
        <v>2072</v>
      </c>
      <c r="S764" s="2"/>
      <c r="T764" s="2"/>
    </row>
    <row r="765" spans="1:20" s="10" customFormat="1" ht="15.75" customHeight="1" x14ac:dyDescent="0.2">
      <c r="A765" s="21">
        <v>788</v>
      </c>
      <c r="B765" s="22" t="s">
        <v>11</v>
      </c>
      <c r="C765" s="22" t="s">
        <v>426</v>
      </c>
      <c r="D765" s="22" t="s">
        <v>167</v>
      </c>
      <c r="E765" s="22" t="s">
        <v>16</v>
      </c>
      <c r="F765" s="18" t="str">
        <f>C765&amp;"-"&amp;D765&amp;"-"&amp;E765</f>
        <v>B3-P5-C1</v>
      </c>
      <c r="G765" s="22" t="s">
        <v>619</v>
      </c>
      <c r="H765" s="22">
        <v>1</v>
      </c>
      <c r="I765" s="22" t="str">
        <f>C765&amp;"_"&amp;D765&amp;"_"&amp;E765&amp;"_"&amp;G765&amp;H765</f>
        <v>B3_P5_C1_E1</v>
      </c>
      <c r="J765" s="22" t="s">
        <v>133</v>
      </c>
      <c r="K765" s="21" t="str">
        <f>B765&amp;"-"&amp;C765&amp;"-"&amp;D765&amp;"-"&amp;E765&amp;"-"&amp;G765&amp;H765</f>
        <v>Robinia-B3-P5-C1-E1</v>
      </c>
      <c r="L765" s="22" t="s">
        <v>64</v>
      </c>
      <c r="M765" s="22" t="s">
        <v>44</v>
      </c>
      <c r="N765" s="22" t="str">
        <f>J765&amp;"_"&amp;L765&amp;"_"&amp;M765</f>
        <v>Control_Grey_Yes</v>
      </c>
      <c r="O765" s="27" t="str">
        <f>J765&amp;"_"&amp;M765</f>
        <v>Control_Yes</v>
      </c>
      <c r="P765" s="2" t="str">
        <f>J765&amp;"_"&amp;M765</f>
        <v>Control_Yes</v>
      </c>
      <c r="Q765" s="2" t="str">
        <f>L765&amp;"_"&amp;M765</f>
        <v>Grey_Yes</v>
      </c>
      <c r="R765" s="18" t="s">
        <v>2072</v>
      </c>
      <c r="S765" s="2"/>
      <c r="T765" s="2"/>
    </row>
    <row r="766" spans="1:20" s="10" customFormat="1" ht="15.75" customHeight="1" x14ac:dyDescent="0.2">
      <c r="A766" s="21">
        <v>789</v>
      </c>
      <c r="B766" s="22" t="s">
        <v>11</v>
      </c>
      <c r="C766" s="22" t="s">
        <v>426</v>
      </c>
      <c r="D766" s="22" t="s">
        <v>167</v>
      </c>
      <c r="E766" s="22" t="s">
        <v>16</v>
      </c>
      <c r="F766" s="18" t="str">
        <f>C766&amp;"-"&amp;D766&amp;"-"&amp;E766</f>
        <v>B3-P5-C1</v>
      </c>
      <c r="G766" s="22" t="s">
        <v>620</v>
      </c>
      <c r="H766" s="22">
        <v>1</v>
      </c>
      <c r="I766" s="22" t="str">
        <f>C766&amp;"_"&amp;D766&amp;"_"&amp;E766&amp;"_"&amp;G766&amp;H766</f>
        <v>B3_P5_C1_F1</v>
      </c>
      <c r="J766" s="22" t="s">
        <v>133</v>
      </c>
      <c r="K766" s="21" t="str">
        <f>B766&amp;"-"&amp;C766&amp;"-"&amp;D766&amp;"-"&amp;E766&amp;"-"&amp;G766&amp;H766</f>
        <v>Robinia-B3-P5-C1-F1</v>
      </c>
      <c r="L766" s="22" t="s">
        <v>64</v>
      </c>
      <c r="M766" s="22" t="s">
        <v>44</v>
      </c>
      <c r="N766" s="22" t="str">
        <f>J766&amp;"_"&amp;L766&amp;"_"&amp;M766</f>
        <v>Control_Grey_Yes</v>
      </c>
      <c r="O766" s="27" t="str">
        <f>J766&amp;"_"&amp;M766</f>
        <v>Control_Yes</v>
      </c>
      <c r="P766" s="2" t="str">
        <f>J766&amp;"_"&amp;M766</f>
        <v>Control_Yes</v>
      </c>
      <c r="Q766" s="2" t="str">
        <f>L766&amp;"_"&amp;M766</f>
        <v>Grey_Yes</v>
      </c>
      <c r="R766" s="18" t="s">
        <v>2072</v>
      </c>
      <c r="S766" s="2"/>
      <c r="T766" s="2"/>
    </row>
    <row r="767" spans="1:20" s="10" customFormat="1" ht="15.75" customHeight="1" x14ac:dyDescent="0.2">
      <c r="A767" s="21">
        <v>790</v>
      </c>
      <c r="B767" s="22" t="s">
        <v>11</v>
      </c>
      <c r="C767" s="22" t="s">
        <v>426</v>
      </c>
      <c r="D767" s="22" t="s">
        <v>167</v>
      </c>
      <c r="E767" s="22" t="s">
        <v>16</v>
      </c>
      <c r="F767" s="18" t="str">
        <f>C767&amp;"-"&amp;D767&amp;"-"&amp;E767</f>
        <v>B3-P5-C1</v>
      </c>
      <c r="G767" s="22" t="s">
        <v>618</v>
      </c>
      <c r="H767" s="22">
        <v>2</v>
      </c>
      <c r="I767" s="22" t="str">
        <f>C767&amp;"_"&amp;D767&amp;"_"&amp;E767&amp;"_"&amp;G767&amp;H767</f>
        <v>B3_P5_C1_D2</v>
      </c>
      <c r="J767" s="22" t="s">
        <v>133</v>
      </c>
      <c r="K767" s="21" t="str">
        <f>B767&amp;"-"&amp;C767&amp;"-"&amp;D767&amp;"-"&amp;E767&amp;"-"&amp;G767&amp;H767</f>
        <v>Robinia-B3-P5-C1-D2</v>
      </c>
      <c r="L767" s="22" t="s">
        <v>64</v>
      </c>
      <c r="M767" s="22" t="s">
        <v>44</v>
      </c>
      <c r="N767" s="22" t="str">
        <f>J767&amp;"_"&amp;L767&amp;"_"&amp;M767</f>
        <v>Control_Grey_Yes</v>
      </c>
      <c r="O767" s="27" t="str">
        <f>J767&amp;"_"&amp;M767</f>
        <v>Control_Yes</v>
      </c>
      <c r="P767" s="2" t="str">
        <f>J767&amp;"_"&amp;M767</f>
        <v>Control_Yes</v>
      </c>
      <c r="Q767" s="2" t="str">
        <f>L767&amp;"_"&amp;M767</f>
        <v>Grey_Yes</v>
      </c>
      <c r="R767" s="18" t="s">
        <v>2072</v>
      </c>
      <c r="S767" s="2"/>
      <c r="T767" s="2"/>
    </row>
    <row r="768" spans="1:20" s="10" customFormat="1" ht="15.75" customHeight="1" x14ac:dyDescent="0.2">
      <c r="A768" s="21">
        <v>791</v>
      </c>
      <c r="B768" s="22" t="s">
        <v>11</v>
      </c>
      <c r="C768" s="22" t="s">
        <v>426</v>
      </c>
      <c r="D768" s="22" t="s">
        <v>167</v>
      </c>
      <c r="E768" s="22" t="s">
        <v>16</v>
      </c>
      <c r="F768" s="18" t="str">
        <f>C768&amp;"-"&amp;D768&amp;"-"&amp;E768</f>
        <v>B3-P5-C1</v>
      </c>
      <c r="G768" s="22" t="s">
        <v>619</v>
      </c>
      <c r="H768" s="22">
        <v>2</v>
      </c>
      <c r="I768" s="22" t="str">
        <f>C768&amp;"_"&amp;D768&amp;"_"&amp;E768&amp;"_"&amp;G768&amp;H768</f>
        <v>B3_P5_C1_E2</v>
      </c>
      <c r="J768" s="22" t="s">
        <v>133</v>
      </c>
      <c r="K768" s="21" t="str">
        <f>B768&amp;"-"&amp;C768&amp;"-"&amp;D768&amp;"-"&amp;E768&amp;"-"&amp;G768&amp;H768</f>
        <v>Robinia-B3-P5-C1-E2</v>
      </c>
      <c r="L768" s="22" t="s">
        <v>64</v>
      </c>
      <c r="M768" s="22" t="s">
        <v>44</v>
      </c>
      <c r="N768" s="22" t="str">
        <f>J768&amp;"_"&amp;L768&amp;"_"&amp;M768</f>
        <v>Control_Grey_Yes</v>
      </c>
      <c r="O768" s="27" t="str">
        <f>J768&amp;"_"&amp;M768</f>
        <v>Control_Yes</v>
      </c>
      <c r="P768" s="2" t="str">
        <f>J768&amp;"_"&amp;M768</f>
        <v>Control_Yes</v>
      </c>
      <c r="Q768" s="2" t="str">
        <f>L768&amp;"_"&amp;M768</f>
        <v>Grey_Yes</v>
      </c>
      <c r="R768" s="18" t="s">
        <v>2072</v>
      </c>
      <c r="S768" s="2"/>
      <c r="T768" s="2"/>
    </row>
    <row r="769" spans="1:20" s="10" customFormat="1" ht="15.75" customHeight="1" x14ac:dyDescent="0.2">
      <c r="A769" s="21">
        <v>792</v>
      </c>
      <c r="B769" s="22" t="s">
        <v>11</v>
      </c>
      <c r="C769" s="22" t="s">
        <v>426</v>
      </c>
      <c r="D769" s="22" t="s">
        <v>167</v>
      </c>
      <c r="E769" s="22" t="s">
        <v>16</v>
      </c>
      <c r="F769" s="18" t="str">
        <f>C769&amp;"-"&amp;D769&amp;"-"&amp;E769</f>
        <v>B3-P5-C1</v>
      </c>
      <c r="G769" s="22" t="s">
        <v>620</v>
      </c>
      <c r="H769" s="22">
        <v>2</v>
      </c>
      <c r="I769" s="22" t="str">
        <f>C769&amp;"_"&amp;D769&amp;"_"&amp;E769&amp;"_"&amp;G769&amp;H769</f>
        <v>B3_P5_C1_F2</v>
      </c>
      <c r="J769" s="22" t="s">
        <v>133</v>
      </c>
      <c r="K769" s="21" t="str">
        <f>B769&amp;"-"&amp;C769&amp;"-"&amp;D769&amp;"-"&amp;E769&amp;"-"&amp;G769&amp;H769</f>
        <v>Robinia-B3-P5-C1-F2</v>
      </c>
      <c r="L769" s="22" t="s">
        <v>64</v>
      </c>
      <c r="M769" s="22" t="s">
        <v>44</v>
      </c>
      <c r="N769" s="22" t="str">
        <f>J769&amp;"_"&amp;L769&amp;"_"&amp;M769</f>
        <v>Control_Grey_Yes</v>
      </c>
      <c r="O769" s="27" t="str">
        <f>J769&amp;"_"&amp;M769</f>
        <v>Control_Yes</v>
      </c>
      <c r="P769" s="2" t="str">
        <f>J769&amp;"_"&amp;M769</f>
        <v>Control_Yes</v>
      </c>
      <c r="Q769" s="2" t="str">
        <f>L769&amp;"_"&amp;M769</f>
        <v>Grey_Yes</v>
      </c>
      <c r="R769" s="18" t="s">
        <v>2072</v>
      </c>
      <c r="S769" s="2"/>
      <c r="T769" s="2"/>
    </row>
    <row r="770" spans="1:20" ht="15.75" customHeight="1" x14ac:dyDescent="0.2">
      <c r="A770" s="13">
        <v>793</v>
      </c>
      <c r="B770" s="15" t="s">
        <v>11</v>
      </c>
      <c r="C770" s="15" t="s">
        <v>426</v>
      </c>
      <c r="D770" s="15" t="s">
        <v>167</v>
      </c>
      <c r="E770" s="15" t="s">
        <v>32</v>
      </c>
      <c r="F770" s="15" t="str">
        <f>C770&amp;"-"&amp;D770&amp;"-"&amp;E770</f>
        <v>B3-P5-C2</v>
      </c>
      <c r="G770" s="15" t="s">
        <v>618</v>
      </c>
      <c r="H770" s="15">
        <v>1</v>
      </c>
      <c r="I770" s="15" t="str">
        <f>C770&amp;"_"&amp;D770&amp;"_"&amp;E770&amp;"_"&amp;G770&amp;H770</f>
        <v>B3_P5_C2_D1</v>
      </c>
      <c r="J770" s="15" t="s">
        <v>133</v>
      </c>
      <c r="K770" s="13" t="str">
        <f>B770&amp;"-"&amp;C770&amp;"-"&amp;D770&amp;"-"&amp;E770&amp;"-"&amp;G770&amp;H770</f>
        <v>Robinia-B3-P5-C2-D1</v>
      </c>
      <c r="L770" s="15" t="s">
        <v>64</v>
      </c>
      <c r="M770" s="15" t="s">
        <v>44</v>
      </c>
      <c r="N770" s="15" t="str">
        <f>J770&amp;"_"&amp;L770&amp;"_"&amp;M770</f>
        <v>Control_Grey_Yes</v>
      </c>
      <c r="O770" s="24" t="str">
        <f>J770&amp;"_"&amp;M770</f>
        <v>Control_Yes</v>
      </c>
      <c r="P770" s="1" t="str">
        <f>J770&amp;"_"&amp;M770</f>
        <v>Control_Yes</v>
      </c>
      <c r="Q770" s="1" t="str">
        <f>L770&amp;"_"&amp;M770</f>
        <v>Grey_Yes</v>
      </c>
      <c r="R770" s="18" t="s">
        <v>2072</v>
      </c>
      <c r="S770" s="2"/>
      <c r="T770" s="2"/>
    </row>
    <row r="771" spans="1:20" ht="15.75" customHeight="1" x14ac:dyDescent="0.2">
      <c r="A771" s="13">
        <v>794</v>
      </c>
      <c r="B771" s="15" t="s">
        <v>11</v>
      </c>
      <c r="C771" s="15" t="s">
        <v>426</v>
      </c>
      <c r="D771" s="15" t="s">
        <v>167</v>
      </c>
      <c r="E771" s="15" t="s">
        <v>32</v>
      </c>
      <c r="F771" s="15" t="str">
        <f>C771&amp;"-"&amp;D771&amp;"-"&amp;E771</f>
        <v>B3-P5-C2</v>
      </c>
      <c r="G771" s="15" t="s">
        <v>619</v>
      </c>
      <c r="H771" s="15">
        <v>1</v>
      </c>
      <c r="I771" s="15" t="str">
        <f>C771&amp;"_"&amp;D771&amp;"_"&amp;E771&amp;"_"&amp;G771&amp;H771</f>
        <v>B3_P5_C2_E1</v>
      </c>
      <c r="J771" s="15" t="s">
        <v>133</v>
      </c>
      <c r="K771" s="13" t="str">
        <f>B771&amp;"-"&amp;C771&amp;"-"&amp;D771&amp;"-"&amp;E771&amp;"-"&amp;G771&amp;H771</f>
        <v>Robinia-B3-P5-C2-E1</v>
      </c>
      <c r="L771" s="15" t="s">
        <v>64</v>
      </c>
      <c r="M771" s="15" t="s">
        <v>44</v>
      </c>
      <c r="N771" s="15" t="str">
        <f>J771&amp;"_"&amp;L771&amp;"_"&amp;M771</f>
        <v>Control_Grey_Yes</v>
      </c>
      <c r="O771" s="24" t="str">
        <f>J771&amp;"_"&amp;M771</f>
        <v>Control_Yes</v>
      </c>
      <c r="P771" s="1" t="str">
        <f>J771&amp;"_"&amp;M771</f>
        <v>Control_Yes</v>
      </c>
      <c r="Q771" s="1" t="str">
        <f>L771&amp;"_"&amp;M771</f>
        <v>Grey_Yes</v>
      </c>
      <c r="R771" s="18" t="s">
        <v>2072</v>
      </c>
      <c r="S771" s="2"/>
      <c r="T771" s="2"/>
    </row>
    <row r="772" spans="1:20" ht="15.75" customHeight="1" x14ac:dyDescent="0.2">
      <c r="A772" s="13">
        <v>795</v>
      </c>
      <c r="B772" s="15" t="s">
        <v>11</v>
      </c>
      <c r="C772" s="15" t="s">
        <v>426</v>
      </c>
      <c r="D772" s="15" t="s">
        <v>167</v>
      </c>
      <c r="E772" s="15" t="s">
        <v>32</v>
      </c>
      <c r="F772" s="15" t="str">
        <f>C772&amp;"-"&amp;D772&amp;"-"&amp;E772</f>
        <v>B3-P5-C2</v>
      </c>
      <c r="G772" s="15" t="s">
        <v>620</v>
      </c>
      <c r="H772" s="15">
        <v>1</v>
      </c>
      <c r="I772" s="15" t="str">
        <f>C772&amp;"_"&amp;D772&amp;"_"&amp;E772&amp;"_"&amp;G772&amp;H772</f>
        <v>B3_P5_C2_F1</v>
      </c>
      <c r="J772" s="15" t="s">
        <v>133</v>
      </c>
      <c r="K772" s="13" t="str">
        <f>B772&amp;"-"&amp;C772&amp;"-"&amp;D772&amp;"-"&amp;E772&amp;"-"&amp;G772&amp;H772</f>
        <v>Robinia-B3-P5-C2-F1</v>
      </c>
      <c r="L772" s="15" t="s">
        <v>64</v>
      </c>
      <c r="M772" s="15" t="s">
        <v>44</v>
      </c>
      <c r="N772" s="15" t="str">
        <f>J772&amp;"_"&amp;L772&amp;"_"&amp;M772</f>
        <v>Control_Grey_Yes</v>
      </c>
      <c r="O772" s="24" t="str">
        <f>J772&amp;"_"&amp;M772</f>
        <v>Control_Yes</v>
      </c>
      <c r="P772" s="1" t="str">
        <f>J772&amp;"_"&amp;M772</f>
        <v>Control_Yes</v>
      </c>
      <c r="Q772" s="1" t="str">
        <f>L772&amp;"_"&amp;M772</f>
        <v>Grey_Yes</v>
      </c>
      <c r="R772" s="18" t="s">
        <v>2072</v>
      </c>
      <c r="S772" s="23"/>
      <c r="T772" s="23"/>
    </row>
    <row r="773" spans="1:20" ht="15.75" customHeight="1" x14ac:dyDescent="0.2">
      <c r="A773" s="13">
        <v>796</v>
      </c>
      <c r="B773" s="15" t="s">
        <v>11</v>
      </c>
      <c r="C773" s="15" t="s">
        <v>426</v>
      </c>
      <c r="D773" s="15" t="s">
        <v>167</v>
      </c>
      <c r="E773" s="15" t="s">
        <v>32</v>
      </c>
      <c r="F773" s="15" t="str">
        <f>C773&amp;"-"&amp;D773&amp;"-"&amp;E773</f>
        <v>B3-P5-C2</v>
      </c>
      <c r="G773" s="15" t="s">
        <v>618</v>
      </c>
      <c r="H773" s="15">
        <v>2</v>
      </c>
      <c r="I773" s="15" t="str">
        <f>C773&amp;"_"&amp;D773&amp;"_"&amp;E773&amp;"_"&amp;G773&amp;H773</f>
        <v>B3_P5_C2_D2</v>
      </c>
      <c r="J773" s="15" t="s">
        <v>133</v>
      </c>
      <c r="K773" s="13" t="str">
        <f>B773&amp;"-"&amp;C773&amp;"-"&amp;D773&amp;"-"&amp;E773&amp;"-"&amp;G773&amp;H773</f>
        <v>Robinia-B3-P5-C2-D2</v>
      </c>
      <c r="L773" s="15" t="s">
        <v>64</v>
      </c>
      <c r="M773" s="15" t="s">
        <v>44</v>
      </c>
      <c r="N773" s="15" t="str">
        <f>J773&amp;"_"&amp;L773&amp;"_"&amp;M773</f>
        <v>Control_Grey_Yes</v>
      </c>
      <c r="O773" s="24" t="str">
        <f>J773&amp;"_"&amp;M773</f>
        <v>Control_Yes</v>
      </c>
      <c r="P773" s="1" t="str">
        <f>J773&amp;"_"&amp;M773</f>
        <v>Control_Yes</v>
      </c>
      <c r="Q773" s="1" t="str">
        <f>L773&amp;"_"&amp;M773</f>
        <v>Grey_Yes</v>
      </c>
      <c r="R773" s="18" t="s">
        <v>2072</v>
      </c>
      <c r="S773" s="23"/>
      <c r="T773" s="23"/>
    </row>
    <row r="774" spans="1:20" ht="15.75" customHeight="1" x14ac:dyDescent="0.2">
      <c r="A774" s="13">
        <v>797</v>
      </c>
      <c r="B774" s="15" t="s">
        <v>11</v>
      </c>
      <c r="C774" s="15" t="s">
        <v>426</v>
      </c>
      <c r="D774" s="15" t="s">
        <v>167</v>
      </c>
      <c r="E774" s="15" t="s">
        <v>32</v>
      </c>
      <c r="F774" s="15" t="str">
        <f>C774&amp;"-"&amp;D774&amp;"-"&amp;E774</f>
        <v>B3-P5-C2</v>
      </c>
      <c r="G774" s="15" t="s">
        <v>619</v>
      </c>
      <c r="H774" s="15">
        <v>2</v>
      </c>
      <c r="I774" s="15" t="str">
        <f>C774&amp;"_"&amp;D774&amp;"_"&amp;E774&amp;"_"&amp;G774&amp;H774</f>
        <v>B3_P5_C2_E2</v>
      </c>
      <c r="J774" s="15" t="s">
        <v>133</v>
      </c>
      <c r="K774" s="13" t="str">
        <f>B774&amp;"-"&amp;C774&amp;"-"&amp;D774&amp;"-"&amp;E774&amp;"-"&amp;G774&amp;H774</f>
        <v>Robinia-B3-P5-C2-E2</v>
      </c>
      <c r="L774" s="15" t="s">
        <v>64</v>
      </c>
      <c r="M774" s="15" t="s">
        <v>44</v>
      </c>
      <c r="N774" s="15" t="str">
        <f>J774&amp;"_"&amp;L774&amp;"_"&amp;M774</f>
        <v>Control_Grey_Yes</v>
      </c>
      <c r="O774" s="24" t="str">
        <f>J774&amp;"_"&amp;M774</f>
        <v>Control_Yes</v>
      </c>
      <c r="P774" s="1" t="str">
        <f>J774&amp;"_"&amp;M774</f>
        <v>Control_Yes</v>
      </c>
      <c r="Q774" s="1" t="str">
        <f>L774&amp;"_"&amp;M774</f>
        <v>Grey_Yes</v>
      </c>
      <c r="R774" s="18" t="s">
        <v>2072</v>
      </c>
      <c r="S774" s="23"/>
      <c r="T774" s="23"/>
    </row>
    <row r="775" spans="1:20" ht="15.75" customHeight="1" x14ac:dyDescent="0.2">
      <c r="A775" s="13">
        <v>798</v>
      </c>
      <c r="B775" s="15" t="s">
        <v>11</v>
      </c>
      <c r="C775" s="15" t="s">
        <v>426</v>
      </c>
      <c r="D775" s="15" t="s">
        <v>167</v>
      </c>
      <c r="E775" s="15" t="s">
        <v>32</v>
      </c>
      <c r="F775" s="15" t="str">
        <f>C775&amp;"-"&amp;D775&amp;"-"&amp;E775</f>
        <v>B3-P5-C2</v>
      </c>
      <c r="G775" s="15" t="s">
        <v>620</v>
      </c>
      <c r="H775" s="15">
        <v>2</v>
      </c>
      <c r="I775" s="15" t="str">
        <f>C775&amp;"_"&amp;D775&amp;"_"&amp;E775&amp;"_"&amp;G775&amp;H775</f>
        <v>B3_P5_C2_F2</v>
      </c>
      <c r="J775" s="15" t="s">
        <v>133</v>
      </c>
      <c r="K775" s="13" t="str">
        <f>B775&amp;"-"&amp;C775&amp;"-"&amp;D775&amp;"-"&amp;E775&amp;"-"&amp;G775&amp;H775</f>
        <v>Robinia-B3-P5-C2-F2</v>
      </c>
      <c r="L775" s="15" t="s">
        <v>64</v>
      </c>
      <c r="M775" s="15" t="s">
        <v>44</v>
      </c>
      <c r="N775" s="15" t="str">
        <f>J775&amp;"_"&amp;L775&amp;"_"&amp;M775</f>
        <v>Control_Grey_Yes</v>
      </c>
      <c r="O775" s="24" t="str">
        <f>J775&amp;"_"&amp;M775</f>
        <v>Control_Yes</v>
      </c>
      <c r="P775" s="1" t="str">
        <f>J775&amp;"_"&amp;M775</f>
        <v>Control_Yes</v>
      </c>
      <c r="Q775" s="1" t="str">
        <f>L775&amp;"_"&amp;M775</f>
        <v>Grey_Yes</v>
      </c>
      <c r="R775" s="18" t="s">
        <v>2072</v>
      </c>
      <c r="S775" s="23"/>
      <c r="T775" s="23"/>
    </row>
    <row r="776" spans="1:20" s="10" customFormat="1" ht="15.75" customHeight="1" x14ac:dyDescent="0.2">
      <c r="A776" s="21">
        <v>799</v>
      </c>
      <c r="B776" s="22" t="s">
        <v>11</v>
      </c>
      <c r="C776" s="22" t="s">
        <v>426</v>
      </c>
      <c r="D776" s="22" t="s">
        <v>167</v>
      </c>
      <c r="E776" s="22" t="s">
        <v>42</v>
      </c>
      <c r="F776" s="18" t="str">
        <f>C776&amp;"-"&amp;D776&amp;"-"&amp;E776</f>
        <v>B3-P5-C3</v>
      </c>
      <c r="G776" s="22" t="s">
        <v>618</v>
      </c>
      <c r="H776" s="22">
        <v>1</v>
      </c>
      <c r="I776" s="22" t="str">
        <f>C776&amp;"_"&amp;D776&amp;"_"&amp;E776&amp;"_"&amp;G776&amp;H776</f>
        <v>B3_P5_C3_D1</v>
      </c>
      <c r="J776" s="22" t="s">
        <v>133</v>
      </c>
      <c r="K776" s="21" t="str">
        <f>B776&amp;"-"&amp;C776&amp;"-"&amp;D776&amp;"-"&amp;E776&amp;"-"&amp;G776&amp;H776</f>
        <v>Robinia-B3-P5-C3-D1</v>
      </c>
      <c r="L776" s="22" t="s">
        <v>21</v>
      </c>
      <c r="M776" s="22" t="s">
        <v>44</v>
      </c>
      <c r="N776" s="22" t="str">
        <f>J776&amp;"_"&amp;L776&amp;"_"&amp;M776</f>
        <v>Control_Yellow_Yes</v>
      </c>
      <c r="O776" s="27" t="str">
        <f>J776&amp;"_"&amp;M776</f>
        <v>Control_Yes</v>
      </c>
      <c r="P776" s="2" t="str">
        <f>J776&amp;"_"&amp;M776</f>
        <v>Control_Yes</v>
      </c>
      <c r="Q776" s="2" t="str">
        <f>L776&amp;"_"&amp;M776</f>
        <v>Yellow_Yes</v>
      </c>
      <c r="R776" s="23" t="s">
        <v>2071</v>
      </c>
      <c r="S776" s="2"/>
      <c r="T776" s="2"/>
    </row>
    <row r="777" spans="1:20" s="10" customFormat="1" ht="15.75" customHeight="1" x14ac:dyDescent="0.2">
      <c r="A777" s="21">
        <v>800</v>
      </c>
      <c r="B777" s="22" t="s">
        <v>11</v>
      </c>
      <c r="C777" s="22" t="s">
        <v>426</v>
      </c>
      <c r="D777" s="22" t="s">
        <v>167</v>
      </c>
      <c r="E777" s="22" t="s">
        <v>42</v>
      </c>
      <c r="F777" s="18" t="str">
        <f>C777&amp;"-"&amp;D777&amp;"-"&amp;E777</f>
        <v>B3-P5-C3</v>
      </c>
      <c r="G777" s="22" t="s">
        <v>619</v>
      </c>
      <c r="H777" s="22">
        <v>1</v>
      </c>
      <c r="I777" s="22" t="str">
        <f>C777&amp;"_"&amp;D777&amp;"_"&amp;E777&amp;"_"&amp;G777&amp;H777</f>
        <v>B3_P5_C3_E1</v>
      </c>
      <c r="J777" s="22" t="s">
        <v>133</v>
      </c>
      <c r="K777" s="21" t="str">
        <f>B777&amp;"-"&amp;C777&amp;"-"&amp;D777&amp;"-"&amp;E777&amp;"-"&amp;G777&amp;H777</f>
        <v>Robinia-B3-P5-C3-E1</v>
      </c>
      <c r="L777" s="22" t="s">
        <v>21</v>
      </c>
      <c r="M777" s="22" t="s">
        <v>44</v>
      </c>
      <c r="N777" s="22" t="str">
        <f>J777&amp;"_"&amp;L777&amp;"_"&amp;M777</f>
        <v>Control_Yellow_Yes</v>
      </c>
      <c r="O777" s="27" t="str">
        <f>J777&amp;"_"&amp;M777</f>
        <v>Control_Yes</v>
      </c>
      <c r="P777" s="2" t="str">
        <f>J777&amp;"_"&amp;M777</f>
        <v>Control_Yes</v>
      </c>
      <c r="Q777" s="2" t="str">
        <f>L777&amp;"_"&amp;M777</f>
        <v>Yellow_Yes</v>
      </c>
      <c r="R777" s="23" t="s">
        <v>2071</v>
      </c>
      <c r="S777" s="2"/>
      <c r="T777" s="2"/>
    </row>
    <row r="778" spans="1:20" s="10" customFormat="1" ht="15.75" customHeight="1" x14ac:dyDescent="0.2">
      <c r="A778" s="21">
        <v>801</v>
      </c>
      <c r="B778" s="22" t="s">
        <v>11</v>
      </c>
      <c r="C778" s="22" t="s">
        <v>426</v>
      </c>
      <c r="D778" s="22" t="s">
        <v>167</v>
      </c>
      <c r="E778" s="22" t="s">
        <v>42</v>
      </c>
      <c r="F778" s="18" t="str">
        <f>C778&amp;"-"&amp;D778&amp;"-"&amp;E778</f>
        <v>B3-P5-C3</v>
      </c>
      <c r="G778" s="22" t="s">
        <v>620</v>
      </c>
      <c r="H778" s="22">
        <v>1</v>
      </c>
      <c r="I778" s="22" t="str">
        <f>C778&amp;"_"&amp;D778&amp;"_"&amp;E778&amp;"_"&amp;G778&amp;H778</f>
        <v>B3_P5_C3_F1</v>
      </c>
      <c r="J778" s="22" t="s">
        <v>133</v>
      </c>
      <c r="K778" s="21" t="str">
        <f>B778&amp;"-"&amp;C778&amp;"-"&amp;D778&amp;"-"&amp;E778&amp;"-"&amp;G778&amp;H778</f>
        <v>Robinia-B3-P5-C3-F1</v>
      </c>
      <c r="L778" s="22" t="s">
        <v>21</v>
      </c>
      <c r="M778" s="22" t="s">
        <v>44</v>
      </c>
      <c r="N778" s="22" t="str">
        <f>J778&amp;"_"&amp;L778&amp;"_"&amp;M778</f>
        <v>Control_Yellow_Yes</v>
      </c>
      <c r="O778" s="27" t="str">
        <f>J778&amp;"_"&amp;M778</f>
        <v>Control_Yes</v>
      </c>
      <c r="P778" s="2" t="str">
        <f>J778&amp;"_"&amp;M778</f>
        <v>Control_Yes</v>
      </c>
      <c r="Q778" s="2" t="str">
        <f>L778&amp;"_"&amp;M778</f>
        <v>Yellow_Yes</v>
      </c>
      <c r="R778" s="23" t="s">
        <v>2071</v>
      </c>
      <c r="S778" s="2"/>
      <c r="T778" s="2"/>
    </row>
    <row r="779" spans="1:20" s="10" customFormat="1" ht="15.75" customHeight="1" x14ac:dyDescent="0.2">
      <c r="A779" s="21">
        <v>802</v>
      </c>
      <c r="B779" s="22" t="s">
        <v>11</v>
      </c>
      <c r="C779" s="22" t="s">
        <v>426</v>
      </c>
      <c r="D779" s="22" t="s">
        <v>167</v>
      </c>
      <c r="E779" s="22" t="s">
        <v>42</v>
      </c>
      <c r="F779" s="18" t="str">
        <f>C779&amp;"-"&amp;D779&amp;"-"&amp;E779</f>
        <v>B3-P5-C3</v>
      </c>
      <c r="G779" s="22" t="s">
        <v>618</v>
      </c>
      <c r="H779" s="22">
        <v>2</v>
      </c>
      <c r="I779" s="22" t="str">
        <f>C779&amp;"_"&amp;D779&amp;"_"&amp;E779&amp;"_"&amp;G779&amp;H779</f>
        <v>B3_P5_C3_D2</v>
      </c>
      <c r="J779" s="22" t="s">
        <v>133</v>
      </c>
      <c r="K779" s="21" t="str">
        <f>B779&amp;"-"&amp;C779&amp;"-"&amp;D779&amp;"-"&amp;E779&amp;"-"&amp;G779&amp;H779</f>
        <v>Robinia-B3-P5-C3-D2</v>
      </c>
      <c r="L779" s="22" t="s">
        <v>21</v>
      </c>
      <c r="M779" s="22" t="s">
        <v>44</v>
      </c>
      <c r="N779" s="22" t="str">
        <f>J779&amp;"_"&amp;L779&amp;"_"&amp;M779</f>
        <v>Control_Yellow_Yes</v>
      </c>
      <c r="O779" s="27" t="str">
        <f>J779&amp;"_"&amp;M779</f>
        <v>Control_Yes</v>
      </c>
      <c r="P779" s="2" t="str">
        <f>J779&amp;"_"&amp;M779</f>
        <v>Control_Yes</v>
      </c>
      <c r="Q779" s="2" t="str">
        <f>L779&amp;"_"&amp;M779</f>
        <v>Yellow_Yes</v>
      </c>
      <c r="R779" s="23" t="s">
        <v>2071</v>
      </c>
      <c r="S779" s="2"/>
      <c r="T779" s="2"/>
    </row>
    <row r="780" spans="1:20" s="10" customFormat="1" ht="15.75" customHeight="1" x14ac:dyDescent="0.2">
      <c r="A780" s="21">
        <v>803</v>
      </c>
      <c r="B780" s="22" t="s">
        <v>11</v>
      </c>
      <c r="C780" s="22" t="s">
        <v>426</v>
      </c>
      <c r="D780" s="22" t="s">
        <v>167</v>
      </c>
      <c r="E780" s="22" t="s">
        <v>42</v>
      </c>
      <c r="F780" s="18" t="str">
        <f>C780&amp;"-"&amp;D780&amp;"-"&amp;E780</f>
        <v>B3-P5-C3</v>
      </c>
      <c r="G780" s="22" t="s">
        <v>619</v>
      </c>
      <c r="H780" s="22">
        <v>2</v>
      </c>
      <c r="I780" s="22" t="str">
        <f>C780&amp;"_"&amp;D780&amp;"_"&amp;E780&amp;"_"&amp;G780&amp;H780</f>
        <v>B3_P5_C3_E2</v>
      </c>
      <c r="J780" s="22" t="s">
        <v>133</v>
      </c>
      <c r="K780" s="21" t="str">
        <f>B780&amp;"-"&amp;C780&amp;"-"&amp;D780&amp;"-"&amp;E780&amp;"-"&amp;G780&amp;H780</f>
        <v>Robinia-B3-P5-C3-E2</v>
      </c>
      <c r="L780" s="22" t="s">
        <v>21</v>
      </c>
      <c r="M780" s="22" t="s">
        <v>44</v>
      </c>
      <c r="N780" s="22" t="str">
        <f>J780&amp;"_"&amp;L780&amp;"_"&amp;M780</f>
        <v>Control_Yellow_Yes</v>
      </c>
      <c r="O780" s="27" t="str">
        <f>J780&amp;"_"&amp;M780</f>
        <v>Control_Yes</v>
      </c>
      <c r="P780" s="2" t="str">
        <f>J780&amp;"_"&amp;M780</f>
        <v>Control_Yes</v>
      </c>
      <c r="Q780" s="2" t="str">
        <f>L780&amp;"_"&amp;M780</f>
        <v>Yellow_Yes</v>
      </c>
      <c r="R780" s="23" t="s">
        <v>2071</v>
      </c>
      <c r="S780" s="2"/>
      <c r="T780" s="2"/>
    </row>
    <row r="781" spans="1:20" s="10" customFormat="1" ht="15.75" customHeight="1" x14ac:dyDescent="0.2">
      <c r="A781" s="21">
        <v>804</v>
      </c>
      <c r="B781" s="22" t="s">
        <v>11</v>
      </c>
      <c r="C781" s="22" t="s">
        <v>426</v>
      </c>
      <c r="D781" s="22" t="s">
        <v>167</v>
      </c>
      <c r="E781" s="22" t="s">
        <v>42</v>
      </c>
      <c r="F781" s="18" t="str">
        <f>C781&amp;"-"&amp;D781&amp;"-"&amp;E781</f>
        <v>B3-P5-C3</v>
      </c>
      <c r="G781" s="22" t="s">
        <v>620</v>
      </c>
      <c r="H781" s="22">
        <v>2</v>
      </c>
      <c r="I781" s="22" t="str">
        <f>C781&amp;"_"&amp;D781&amp;"_"&amp;E781&amp;"_"&amp;G781&amp;H781</f>
        <v>B3_P5_C3_F2</v>
      </c>
      <c r="J781" s="22" t="s">
        <v>133</v>
      </c>
      <c r="K781" s="21" t="str">
        <f>B781&amp;"-"&amp;C781&amp;"-"&amp;D781&amp;"-"&amp;E781&amp;"-"&amp;G781&amp;H781</f>
        <v>Robinia-B3-P5-C3-F2</v>
      </c>
      <c r="L781" s="22" t="s">
        <v>21</v>
      </c>
      <c r="M781" s="22" t="s">
        <v>44</v>
      </c>
      <c r="N781" s="22" t="str">
        <f>J781&amp;"_"&amp;L781&amp;"_"&amp;M781</f>
        <v>Control_Yellow_Yes</v>
      </c>
      <c r="O781" s="27" t="str">
        <f>J781&amp;"_"&amp;M781</f>
        <v>Control_Yes</v>
      </c>
      <c r="P781" s="2" t="str">
        <f>J781&amp;"_"&amp;M781</f>
        <v>Control_Yes</v>
      </c>
      <c r="Q781" s="2" t="str">
        <f>L781&amp;"_"&amp;M781</f>
        <v>Yellow_Yes</v>
      </c>
      <c r="R781" s="23" t="s">
        <v>2071</v>
      </c>
      <c r="S781" s="2"/>
      <c r="T781" s="2"/>
    </row>
    <row r="782" spans="1:20" ht="15.75" customHeight="1" x14ac:dyDescent="0.2">
      <c r="A782" s="13">
        <v>805</v>
      </c>
      <c r="B782" s="15" t="s">
        <v>11</v>
      </c>
      <c r="C782" s="15" t="s">
        <v>426</v>
      </c>
      <c r="D782" s="15" t="s">
        <v>167</v>
      </c>
      <c r="E782" s="15" t="s">
        <v>53</v>
      </c>
      <c r="F782" s="15" t="str">
        <f>C782&amp;"-"&amp;D782&amp;"-"&amp;E782</f>
        <v>B3-P5-C4</v>
      </c>
      <c r="G782" s="15" t="s">
        <v>618</v>
      </c>
      <c r="H782" s="15">
        <v>1</v>
      </c>
      <c r="I782" s="15" t="str">
        <f>C782&amp;"_"&amp;D782&amp;"_"&amp;E782&amp;"_"&amp;G782&amp;H782</f>
        <v>B3_P5_C4_D1</v>
      </c>
      <c r="J782" s="15" t="s">
        <v>133</v>
      </c>
      <c r="K782" s="13" t="str">
        <f>B782&amp;"-"&amp;C782&amp;"-"&amp;D782&amp;"-"&amp;E782&amp;"-"&amp;G782&amp;H782</f>
        <v>Robinia-B3-P5-C4-D1</v>
      </c>
      <c r="L782" s="15" t="s">
        <v>21</v>
      </c>
      <c r="M782" s="15" t="s">
        <v>44</v>
      </c>
      <c r="N782" s="15" t="str">
        <f>J782&amp;"_"&amp;L782&amp;"_"&amp;M782</f>
        <v>Control_Yellow_Yes</v>
      </c>
      <c r="O782" s="24" t="str">
        <f>J782&amp;"_"&amp;M782</f>
        <v>Control_Yes</v>
      </c>
      <c r="P782" s="1" t="str">
        <f>J782&amp;"_"&amp;M782</f>
        <v>Control_Yes</v>
      </c>
      <c r="Q782" s="1" t="str">
        <f>L782&amp;"_"&amp;M782</f>
        <v>Yellow_Yes</v>
      </c>
      <c r="R782" s="23" t="s">
        <v>2071</v>
      </c>
    </row>
    <row r="783" spans="1:20" ht="15.75" customHeight="1" x14ac:dyDescent="0.2">
      <c r="A783" s="13">
        <v>806</v>
      </c>
      <c r="B783" s="15" t="s">
        <v>11</v>
      </c>
      <c r="C783" s="15" t="s">
        <v>426</v>
      </c>
      <c r="D783" s="15" t="s">
        <v>167</v>
      </c>
      <c r="E783" s="15" t="s">
        <v>53</v>
      </c>
      <c r="F783" s="15" t="str">
        <f>C783&amp;"-"&amp;D783&amp;"-"&amp;E783</f>
        <v>B3-P5-C4</v>
      </c>
      <c r="G783" s="15" t="s">
        <v>619</v>
      </c>
      <c r="H783" s="15">
        <v>1</v>
      </c>
      <c r="I783" s="15" t="str">
        <f>C783&amp;"_"&amp;D783&amp;"_"&amp;E783&amp;"_"&amp;G783&amp;H783</f>
        <v>B3_P5_C4_E1</v>
      </c>
      <c r="J783" s="15" t="s">
        <v>133</v>
      </c>
      <c r="K783" s="13" t="str">
        <f>B783&amp;"-"&amp;C783&amp;"-"&amp;D783&amp;"-"&amp;E783&amp;"-"&amp;G783&amp;H783</f>
        <v>Robinia-B3-P5-C4-E1</v>
      </c>
      <c r="L783" s="15" t="s">
        <v>21</v>
      </c>
      <c r="M783" s="15" t="s">
        <v>44</v>
      </c>
      <c r="N783" s="15" t="str">
        <f>J783&amp;"_"&amp;L783&amp;"_"&amp;M783</f>
        <v>Control_Yellow_Yes</v>
      </c>
      <c r="O783" s="24" t="str">
        <f>J783&amp;"_"&amp;M783</f>
        <v>Control_Yes</v>
      </c>
      <c r="P783" s="1" t="str">
        <f>J783&amp;"_"&amp;M783</f>
        <v>Control_Yes</v>
      </c>
      <c r="Q783" s="1" t="str">
        <f>L783&amp;"_"&amp;M783</f>
        <v>Yellow_Yes</v>
      </c>
      <c r="R783" s="23" t="s">
        <v>2071</v>
      </c>
    </row>
    <row r="784" spans="1:20" ht="15.75" customHeight="1" x14ac:dyDescent="0.2">
      <c r="A784" s="13">
        <v>807</v>
      </c>
      <c r="B784" s="15" t="s">
        <v>11</v>
      </c>
      <c r="C784" s="15" t="s">
        <v>426</v>
      </c>
      <c r="D784" s="15" t="s">
        <v>167</v>
      </c>
      <c r="E784" s="15" t="s">
        <v>53</v>
      </c>
      <c r="F784" s="15" t="str">
        <f>C784&amp;"-"&amp;D784&amp;"-"&amp;E784</f>
        <v>B3-P5-C4</v>
      </c>
      <c r="G784" s="15" t="s">
        <v>620</v>
      </c>
      <c r="H784" s="15">
        <v>1</v>
      </c>
      <c r="I784" s="15" t="str">
        <f>C784&amp;"_"&amp;D784&amp;"_"&amp;E784&amp;"_"&amp;G784&amp;H784</f>
        <v>B3_P5_C4_F1</v>
      </c>
      <c r="J784" s="15" t="s">
        <v>133</v>
      </c>
      <c r="K784" s="13" t="str">
        <f>B784&amp;"-"&amp;C784&amp;"-"&amp;D784&amp;"-"&amp;E784&amp;"-"&amp;G784&amp;H784</f>
        <v>Robinia-B3-P5-C4-F1</v>
      </c>
      <c r="L784" s="15" t="s">
        <v>21</v>
      </c>
      <c r="M784" s="15" t="s">
        <v>44</v>
      </c>
      <c r="N784" s="15" t="str">
        <f>J784&amp;"_"&amp;L784&amp;"_"&amp;M784</f>
        <v>Control_Yellow_Yes</v>
      </c>
      <c r="O784" s="24" t="str">
        <f>J784&amp;"_"&amp;M784</f>
        <v>Control_Yes</v>
      </c>
      <c r="P784" s="1" t="str">
        <f>J784&amp;"_"&amp;M784</f>
        <v>Control_Yes</v>
      </c>
      <c r="Q784" s="1" t="str">
        <f>L784&amp;"_"&amp;M784</f>
        <v>Yellow_Yes</v>
      </c>
      <c r="R784" s="23" t="s">
        <v>2071</v>
      </c>
    </row>
    <row r="785" spans="1:20" ht="15.75" customHeight="1" x14ac:dyDescent="0.2">
      <c r="A785" s="13">
        <v>808</v>
      </c>
      <c r="B785" s="15" t="s">
        <v>11</v>
      </c>
      <c r="C785" s="15" t="s">
        <v>426</v>
      </c>
      <c r="D785" s="15" t="s">
        <v>167</v>
      </c>
      <c r="E785" s="15" t="s">
        <v>53</v>
      </c>
      <c r="F785" s="15" t="str">
        <f>C785&amp;"-"&amp;D785&amp;"-"&amp;E785</f>
        <v>B3-P5-C4</v>
      </c>
      <c r="G785" s="15" t="s">
        <v>618</v>
      </c>
      <c r="H785" s="15">
        <v>2</v>
      </c>
      <c r="I785" s="15" t="str">
        <f>C785&amp;"_"&amp;D785&amp;"_"&amp;E785&amp;"_"&amp;G785&amp;H785</f>
        <v>B3_P5_C4_D2</v>
      </c>
      <c r="J785" s="15" t="s">
        <v>133</v>
      </c>
      <c r="K785" s="13" t="str">
        <f>B785&amp;"-"&amp;C785&amp;"-"&amp;D785&amp;"-"&amp;E785&amp;"-"&amp;G785&amp;H785</f>
        <v>Robinia-B3-P5-C4-D2</v>
      </c>
      <c r="L785" s="15" t="s">
        <v>21</v>
      </c>
      <c r="M785" s="15" t="s">
        <v>44</v>
      </c>
      <c r="N785" s="15" t="str">
        <f>J785&amp;"_"&amp;L785&amp;"_"&amp;M785</f>
        <v>Control_Yellow_Yes</v>
      </c>
      <c r="O785" s="24" t="str">
        <f>J785&amp;"_"&amp;M785</f>
        <v>Control_Yes</v>
      </c>
      <c r="P785" s="1" t="str">
        <f>J785&amp;"_"&amp;M785</f>
        <v>Control_Yes</v>
      </c>
      <c r="Q785" s="1" t="str">
        <f>L785&amp;"_"&amp;M785</f>
        <v>Yellow_Yes</v>
      </c>
      <c r="R785" s="23" t="s">
        <v>2071</v>
      </c>
    </row>
    <row r="786" spans="1:20" ht="15.75" customHeight="1" x14ac:dyDescent="0.2">
      <c r="A786" s="13">
        <v>809</v>
      </c>
      <c r="B786" s="15" t="s">
        <v>11</v>
      </c>
      <c r="C786" s="15" t="s">
        <v>426</v>
      </c>
      <c r="D786" s="15" t="s">
        <v>167</v>
      </c>
      <c r="E786" s="15" t="s">
        <v>53</v>
      </c>
      <c r="F786" s="15" t="str">
        <f>C786&amp;"-"&amp;D786&amp;"-"&amp;E786</f>
        <v>B3-P5-C4</v>
      </c>
      <c r="G786" s="15" t="s">
        <v>619</v>
      </c>
      <c r="H786" s="15">
        <v>2</v>
      </c>
      <c r="I786" s="15" t="str">
        <f>C786&amp;"_"&amp;D786&amp;"_"&amp;E786&amp;"_"&amp;G786&amp;H786</f>
        <v>B3_P5_C4_E2</v>
      </c>
      <c r="J786" s="15" t="s">
        <v>133</v>
      </c>
      <c r="K786" s="13" t="str">
        <f>B786&amp;"-"&amp;C786&amp;"-"&amp;D786&amp;"-"&amp;E786&amp;"-"&amp;G786&amp;H786</f>
        <v>Robinia-B3-P5-C4-E2</v>
      </c>
      <c r="L786" s="15" t="s">
        <v>21</v>
      </c>
      <c r="M786" s="15" t="s">
        <v>44</v>
      </c>
      <c r="N786" s="15" t="str">
        <f>J786&amp;"_"&amp;L786&amp;"_"&amp;M786</f>
        <v>Control_Yellow_Yes</v>
      </c>
      <c r="O786" s="24" t="str">
        <f>J786&amp;"_"&amp;M786</f>
        <v>Control_Yes</v>
      </c>
      <c r="P786" s="1" t="str">
        <f>J786&amp;"_"&amp;M786</f>
        <v>Control_Yes</v>
      </c>
      <c r="Q786" s="1" t="str">
        <f>L786&amp;"_"&amp;M786</f>
        <v>Yellow_Yes</v>
      </c>
      <c r="R786" s="23" t="s">
        <v>2071</v>
      </c>
    </row>
    <row r="787" spans="1:20" ht="15.75" customHeight="1" x14ac:dyDescent="0.2">
      <c r="A787" s="13">
        <v>810</v>
      </c>
      <c r="B787" s="15" t="s">
        <v>11</v>
      </c>
      <c r="C787" s="15" t="s">
        <v>426</v>
      </c>
      <c r="D787" s="15" t="s">
        <v>167</v>
      </c>
      <c r="E787" s="15" t="s">
        <v>53</v>
      </c>
      <c r="F787" s="15" t="str">
        <f>C787&amp;"-"&amp;D787&amp;"-"&amp;E787</f>
        <v>B3-P5-C4</v>
      </c>
      <c r="G787" s="15" t="s">
        <v>620</v>
      </c>
      <c r="H787" s="15">
        <v>2</v>
      </c>
      <c r="I787" s="15" t="str">
        <f>C787&amp;"_"&amp;D787&amp;"_"&amp;E787&amp;"_"&amp;G787&amp;H787</f>
        <v>B3_P5_C4_F2</v>
      </c>
      <c r="J787" s="15" t="s">
        <v>133</v>
      </c>
      <c r="K787" s="13" t="str">
        <f>B787&amp;"-"&amp;C787&amp;"-"&amp;D787&amp;"-"&amp;E787&amp;"-"&amp;G787&amp;H787</f>
        <v>Robinia-B3-P5-C4-F2</v>
      </c>
      <c r="L787" s="15" t="s">
        <v>21</v>
      </c>
      <c r="M787" s="15" t="s">
        <v>44</v>
      </c>
      <c r="N787" s="15" t="str">
        <f>J787&amp;"_"&amp;L787&amp;"_"&amp;M787</f>
        <v>Control_Yellow_Yes</v>
      </c>
      <c r="O787" s="24" t="str">
        <f>J787&amp;"_"&amp;M787</f>
        <v>Control_Yes</v>
      </c>
      <c r="P787" s="1" t="str">
        <f>J787&amp;"_"&amp;M787</f>
        <v>Control_Yes</v>
      </c>
      <c r="Q787" s="1" t="str">
        <f>L787&amp;"_"&amp;M787</f>
        <v>Yellow_Yes</v>
      </c>
      <c r="R787" s="23" t="s">
        <v>2071</v>
      </c>
    </row>
    <row r="788" spans="1:20" s="10" customFormat="1" ht="15.75" customHeight="1" x14ac:dyDescent="0.2">
      <c r="A788" s="21">
        <v>811</v>
      </c>
      <c r="B788" s="22" t="s">
        <v>11</v>
      </c>
      <c r="C788" s="22" t="s">
        <v>426</v>
      </c>
      <c r="D788" s="22" t="s">
        <v>200</v>
      </c>
      <c r="E788" s="22" t="s">
        <v>42</v>
      </c>
      <c r="F788" s="18" t="str">
        <f>C788&amp;"-"&amp;D788&amp;"-"&amp;E788</f>
        <v>B3-P6-C3</v>
      </c>
      <c r="G788" s="22" t="s">
        <v>618</v>
      </c>
      <c r="H788" s="22">
        <v>1</v>
      </c>
      <c r="I788" s="22" t="str">
        <f>C788&amp;"_"&amp;D788&amp;"_"&amp;E788&amp;"_"&amp;G788&amp;H788</f>
        <v>B3_P6_C3_D1</v>
      </c>
      <c r="J788" s="22" t="s">
        <v>133</v>
      </c>
      <c r="K788" s="21" t="str">
        <f>B788&amp;"-"&amp;C788&amp;"-"&amp;D788&amp;"-"&amp;E788&amp;"-"&amp;G788&amp;H788</f>
        <v>Robinia-B3-P6-C3-D1</v>
      </c>
      <c r="L788" s="22" t="s">
        <v>21</v>
      </c>
      <c r="M788" s="22" t="s">
        <v>44</v>
      </c>
      <c r="N788" s="22" t="str">
        <f>J788&amp;"_"&amp;L788&amp;"_"&amp;M788</f>
        <v>Control_Yellow_Yes</v>
      </c>
      <c r="O788" s="27" t="str">
        <f>J788&amp;"_"&amp;M788</f>
        <v>Control_Yes</v>
      </c>
      <c r="P788" s="2" t="str">
        <f>J788&amp;"_"&amp;M788</f>
        <v>Control_Yes</v>
      </c>
      <c r="Q788" s="2" t="str">
        <f>L788&amp;"_"&amp;M788</f>
        <v>Yellow_Yes</v>
      </c>
      <c r="R788" s="23" t="s">
        <v>2071</v>
      </c>
      <c r="S788" s="2"/>
      <c r="T788" s="2"/>
    </row>
    <row r="789" spans="1:20" s="10" customFormat="1" ht="15.75" customHeight="1" x14ac:dyDescent="0.2">
      <c r="A789" s="21">
        <v>812</v>
      </c>
      <c r="B789" s="22" t="s">
        <v>11</v>
      </c>
      <c r="C789" s="22" t="s">
        <v>426</v>
      </c>
      <c r="D789" s="22" t="s">
        <v>200</v>
      </c>
      <c r="E789" s="22" t="s">
        <v>42</v>
      </c>
      <c r="F789" s="18" t="str">
        <f>C789&amp;"-"&amp;D789&amp;"-"&amp;E789</f>
        <v>B3-P6-C3</v>
      </c>
      <c r="G789" s="22" t="s">
        <v>619</v>
      </c>
      <c r="H789" s="22">
        <v>1</v>
      </c>
      <c r="I789" s="22" t="str">
        <f>C789&amp;"_"&amp;D789&amp;"_"&amp;E789&amp;"_"&amp;G789&amp;H789</f>
        <v>B3_P6_C3_E1</v>
      </c>
      <c r="J789" s="22" t="s">
        <v>133</v>
      </c>
      <c r="K789" s="21" t="str">
        <f>B789&amp;"-"&amp;C789&amp;"-"&amp;D789&amp;"-"&amp;E789&amp;"-"&amp;G789&amp;H789</f>
        <v>Robinia-B3-P6-C3-E1</v>
      </c>
      <c r="L789" s="22" t="s">
        <v>21</v>
      </c>
      <c r="M789" s="22" t="s">
        <v>44</v>
      </c>
      <c r="N789" s="22" t="str">
        <f>J789&amp;"_"&amp;L789&amp;"_"&amp;M789</f>
        <v>Control_Yellow_Yes</v>
      </c>
      <c r="O789" s="27" t="str">
        <f>J789&amp;"_"&amp;M789</f>
        <v>Control_Yes</v>
      </c>
      <c r="P789" s="2" t="str">
        <f>J789&amp;"_"&amp;M789</f>
        <v>Control_Yes</v>
      </c>
      <c r="Q789" s="2" t="str">
        <f>L789&amp;"_"&amp;M789</f>
        <v>Yellow_Yes</v>
      </c>
      <c r="R789" s="23" t="s">
        <v>2071</v>
      </c>
      <c r="S789" s="2"/>
      <c r="T789" s="2"/>
    </row>
    <row r="790" spans="1:20" s="10" customFormat="1" ht="15.75" customHeight="1" x14ac:dyDescent="0.2">
      <c r="A790" s="21">
        <v>813</v>
      </c>
      <c r="B790" s="22" t="s">
        <v>11</v>
      </c>
      <c r="C790" s="22" t="s">
        <v>426</v>
      </c>
      <c r="D790" s="22" t="s">
        <v>200</v>
      </c>
      <c r="E790" s="22" t="s">
        <v>42</v>
      </c>
      <c r="F790" s="18" t="str">
        <f>C790&amp;"-"&amp;D790&amp;"-"&amp;E790</f>
        <v>B3-P6-C3</v>
      </c>
      <c r="G790" s="22" t="s">
        <v>620</v>
      </c>
      <c r="H790" s="22">
        <v>1</v>
      </c>
      <c r="I790" s="22" t="str">
        <f>C790&amp;"_"&amp;D790&amp;"_"&amp;E790&amp;"_"&amp;G790&amp;H790</f>
        <v>B3_P6_C3_F1</v>
      </c>
      <c r="J790" s="22" t="s">
        <v>133</v>
      </c>
      <c r="K790" s="21" t="str">
        <f>B790&amp;"-"&amp;C790&amp;"-"&amp;D790&amp;"-"&amp;E790&amp;"-"&amp;G790&amp;H790</f>
        <v>Robinia-B3-P6-C3-F1</v>
      </c>
      <c r="L790" s="22" t="s">
        <v>21</v>
      </c>
      <c r="M790" s="22" t="s">
        <v>44</v>
      </c>
      <c r="N790" s="22" t="str">
        <f>J790&amp;"_"&amp;L790&amp;"_"&amp;M790</f>
        <v>Control_Yellow_Yes</v>
      </c>
      <c r="O790" s="27" t="str">
        <f>J790&amp;"_"&amp;M790</f>
        <v>Control_Yes</v>
      </c>
      <c r="P790" s="2" t="str">
        <f>J790&amp;"_"&amp;M790</f>
        <v>Control_Yes</v>
      </c>
      <c r="Q790" s="2" t="str">
        <f>L790&amp;"_"&amp;M790</f>
        <v>Yellow_Yes</v>
      </c>
      <c r="R790" s="23" t="s">
        <v>2071</v>
      </c>
      <c r="S790" s="2"/>
      <c r="T790" s="2"/>
    </row>
    <row r="791" spans="1:20" s="10" customFormat="1" ht="15.75" customHeight="1" x14ac:dyDescent="0.2">
      <c r="A791" s="21">
        <v>814</v>
      </c>
      <c r="B791" s="22" t="s">
        <v>11</v>
      </c>
      <c r="C791" s="22" t="s">
        <v>426</v>
      </c>
      <c r="D791" s="22" t="s">
        <v>200</v>
      </c>
      <c r="E791" s="22" t="s">
        <v>42</v>
      </c>
      <c r="F791" s="18" t="str">
        <f>C791&amp;"-"&amp;D791&amp;"-"&amp;E791</f>
        <v>B3-P6-C3</v>
      </c>
      <c r="G791" s="22" t="s">
        <v>618</v>
      </c>
      <c r="H791" s="22">
        <v>2</v>
      </c>
      <c r="I791" s="22" t="str">
        <f>C791&amp;"_"&amp;D791&amp;"_"&amp;E791&amp;"_"&amp;G791&amp;H791</f>
        <v>B3_P6_C3_D2</v>
      </c>
      <c r="J791" s="22" t="s">
        <v>133</v>
      </c>
      <c r="K791" s="21" t="str">
        <f>B791&amp;"-"&amp;C791&amp;"-"&amp;D791&amp;"-"&amp;E791&amp;"-"&amp;G791&amp;H791</f>
        <v>Robinia-B3-P6-C3-D2</v>
      </c>
      <c r="L791" s="22" t="s">
        <v>21</v>
      </c>
      <c r="M791" s="22" t="s">
        <v>44</v>
      </c>
      <c r="N791" s="22" t="str">
        <f>J791&amp;"_"&amp;L791&amp;"_"&amp;M791</f>
        <v>Control_Yellow_Yes</v>
      </c>
      <c r="O791" s="27" t="str">
        <f>J791&amp;"_"&amp;M791</f>
        <v>Control_Yes</v>
      </c>
      <c r="P791" s="2" t="str">
        <f>J791&amp;"_"&amp;M791</f>
        <v>Control_Yes</v>
      </c>
      <c r="Q791" s="2" t="str">
        <f>L791&amp;"_"&amp;M791</f>
        <v>Yellow_Yes</v>
      </c>
      <c r="R791" s="23" t="s">
        <v>2071</v>
      </c>
      <c r="S791" s="2"/>
      <c r="T791" s="2"/>
    </row>
    <row r="792" spans="1:20" s="10" customFormat="1" ht="15.75" customHeight="1" x14ac:dyDescent="0.2">
      <c r="A792" s="21">
        <v>815</v>
      </c>
      <c r="B792" s="22" t="s">
        <v>11</v>
      </c>
      <c r="C792" s="22" t="s">
        <v>426</v>
      </c>
      <c r="D792" s="22" t="s">
        <v>200</v>
      </c>
      <c r="E792" s="22" t="s">
        <v>42</v>
      </c>
      <c r="F792" s="18" t="str">
        <f>C792&amp;"-"&amp;D792&amp;"-"&amp;E792</f>
        <v>B3-P6-C3</v>
      </c>
      <c r="G792" s="22" t="s">
        <v>619</v>
      </c>
      <c r="H792" s="22">
        <v>2</v>
      </c>
      <c r="I792" s="22" t="str">
        <f>C792&amp;"_"&amp;D792&amp;"_"&amp;E792&amp;"_"&amp;G792&amp;H792</f>
        <v>B3_P6_C3_E2</v>
      </c>
      <c r="J792" s="22" t="s">
        <v>133</v>
      </c>
      <c r="K792" s="21" t="str">
        <f>B792&amp;"-"&amp;C792&amp;"-"&amp;D792&amp;"-"&amp;E792&amp;"-"&amp;G792&amp;H792</f>
        <v>Robinia-B3-P6-C3-E2</v>
      </c>
      <c r="L792" s="22" t="s">
        <v>21</v>
      </c>
      <c r="M792" s="22" t="s">
        <v>44</v>
      </c>
      <c r="N792" s="22" t="str">
        <f>J792&amp;"_"&amp;L792&amp;"_"&amp;M792</f>
        <v>Control_Yellow_Yes</v>
      </c>
      <c r="O792" s="27" t="str">
        <f>J792&amp;"_"&amp;M792</f>
        <v>Control_Yes</v>
      </c>
      <c r="P792" s="2" t="str">
        <f>J792&amp;"_"&amp;M792</f>
        <v>Control_Yes</v>
      </c>
      <c r="Q792" s="2" t="str">
        <f>L792&amp;"_"&amp;M792</f>
        <v>Yellow_Yes</v>
      </c>
      <c r="R792" s="23" t="s">
        <v>2071</v>
      </c>
      <c r="S792" s="2"/>
      <c r="T792" s="2"/>
    </row>
    <row r="793" spans="1:20" s="10" customFormat="1" ht="15.75" customHeight="1" x14ac:dyDescent="0.2">
      <c r="A793" s="21">
        <v>816</v>
      </c>
      <c r="B793" s="22" t="s">
        <v>11</v>
      </c>
      <c r="C793" s="22" t="s">
        <v>426</v>
      </c>
      <c r="D793" s="22" t="s">
        <v>200</v>
      </c>
      <c r="E793" s="22" t="s">
        <v>42</v>
      </c>
      <c r="F793" s="18" t="str">
        <f>C793&amp;"-"&amp;D793&amp;"-"&amp;E793</f>
        <v>B3-P6-C3</v>
      </c>
      <c r="G793" s="22" t="s">
        <v>620</v>
      </c>
      <c r="H793" s="22">
        <v>2</v>
      </c>
      <c r="I793" s="22" t="str">
        <f>C793&amp;"_"&amp;D793&amp;"_"&amp;E793&amp;"_"&amp;G793&amp;H793</f>
        <v>B3_P6_C3_F2</v>
      </c>
      <c r="J793" s="22" t="s">
        <v>133</v>
      </c>
      <c r="K793" s="21" t="str">
        <f>B793&amp;"-"&amp;C793&amp;"-"&amp;D793&amp;"-"&amp;E793&amp;"-"&amp;G793&amp;H793</f>
        <v>Robinia-B3-P6-C3-F2</v>
      </c>
      <c r="L793" s="22" t="s">
        <v>21</v>
      </c>
      <c r="M793" s="22" t="s">
        <v>44</v>
      </c>
      <c r="N793" s="22" t="str">
        <f>J793&amp;"_"&amp;L793&amp;"_"&amp;M793</f>
        <v>Control_Yellow_Yes</v>
      </c>
      <c r="O793" s="27" t="str">
        <f>J793&amp;"_"&amp;M793</f>
        <v>Control_Yes</v>
      </c>
      <c r="P793" s="2" t="str">
        <f>J793&amp;"_"&amp;M793</f>
        <v>Control_Yes</v>
      </c>
      <c r="Q793" s="2" t="str">
        <f>L793&amp;"_"&amp;M793</f>
        <v>Yellow_Yes</v>
      </c>
      <c r="R793" s="23" t="s">
        <v>2071</v>
      </c>
      <c r="S793" s="2"/>
      <c r="T793" s="2"/>
    </row>
    <row r="794" spans="1:20" ht="15.75" customHeight="1" x14ac:dyDescent="0.2">
      <c r="C794"/>
      <c r="D794"/>
      <c r="E794"/>
      <c r="F794"/>
      <c r="G794"/>
      <c r="H794"/>
    </row>
    <row r="795" spans="1:20" ht="15.75" customHeight="1" x14ac:dyDescent="0.2">
      <c r="C795"/>
      <c r="D795"/>
      <c r="E795"/>
      <c r="F795"/>
      <c r="G795"/>
      <c r="H795"/>
    </row>
    <row r="796" spans="1:20" ht="15.75" customHeight="1" x14ac:dyDescent="0.2">
      <c r="C796"/>
      <c r="D796"/>
      <c r="E796"/>
      <c r="F796"/>
      <c r="G796"/>
      <c r="H796"/>
    </row>
    <row r="797" spans="1:20" ht="15.75" customHeight="1" x14ac:dyDescent="0.2">
      <c r="C797"/>
      <c r="D797"/>
      <c r="E797"/>
      <c r="F797"/>
      <c r="G797"/>
      <c r="H797"/>
    </row>
    <row r="798" spans="1:20" ht="15.75" customHeight="1" x14ac:dyDescent="0.2">
      <c r="C798"/>
      <c r="D798"/>
      <c r="E798"/>
      <c r="F798"/>
      <c r="G798"/>
      <c r="H798"/>
    </row>
    <row r="799" spans="1:20" ht="15.75" customHeight="1" x14ac:dyDescent="0.2">
      <c r="C799"/>
      <c r="D799"/>
      <c r="E799"/>
      <c r="F799"/>
      <c r="G799"/>
      <c r="H799"/>
    </row>
    <row r="800" spans="1:20" ht="15.75" customHeight="1" x14ac:dyDescent="0.2">
      <c r="C800"/>
      <c r="D800"/>
      <c r="E800"/>
      <c r="F800"/>
      <c r="G800"/>
      <c r="H800"/>
    </row>
    <row r="801" spans="3:8" ht="15.75" customHeight="1" x14ac:dyDescent="0.2">
      <c r="C801"/>
      <c r="D801"/>
      <c r="E801"/>
      <c r="F801"/>
      <c r="G801"/>
      <c r="H801"/>
    </row>
    <row r="802" spans="3:8" ht="15.75" customHeight="1" x14ac:dyDescent="0.2">
      <c r="C802"/>
      <c r="D802"/>
      <c r="E802"/>
      <c r="F802"/>
      <c r="G802"/>
      <c r="H802"/>
    </row>
    <row r="803" spans="3:8" ht="15.75" customHeight="1" x14ac:dyDescent="0.2">
      <c r="C803"/>
      <c r="D803"/>
      <c r="E803"/>
      <c r="F803"/>
      <c r="G803"/>
      <c r="H803"/>
    </row>
    <row r="804" spans="3:8" ht="15.75" customHeight="1" x14ac:dyDescent="0.2">
      <c r="C804"/>
      <c r="D804"/>
      <c r="E804"/>
      <c r="F804"/>
      <c r="G804"/>
      <c r="H804"/>
    </row>
    <row r="805" spans="3:8" ht="15.75" customHeight="1" x14ac:dyDescent="0.2">
      <c r="C805"/>
      <c r="D805"/>
      <c r="E805"/>
      <c r="F805"/>
      <c r="G805"/>
      <c r="H805"/>
    </row>
    <row r="806" spans="3:8" ht="15.75" customHeight="1" x14ac:dyDescent="0.2">
      <c r="C806"/>
      <c r="D806"/>
      <c r="E806"/>
      <c r="F806"/>
      <c r="G806"/>
      <c r="H806"/>
    </row>
    <row r="807" spans="3:8" ht="15.75" customHeight="1" x14ac:dyDescent="0.2">
      <c r="C807"/>
      <c r="D807"/>
      <c r="E807"/>
      <c r="F807"/>
      <c r="G807"/>
      <c r="H807"/>
    </row>
    <row r="808" spans="3:8" ht="15.75" customHeight="1" x14ac:dyDescent="0.2">
      <c r="C808"/>
      <c r="D808"/>
      <c r="E808"/>
      <c r="F808"/>
      <c r="G808"/>
      <c r="H808"/>
    </row>
  </sheetData>
  <autoFilter ref="A1:T831" xr:uid="{503945EB-ECA0-B24E-9699-2B96A769E2B9}">
    <sortState xmlns:xlrd2="http://schemas.microsoft.com/office/spreadsheetml/2017/richdata2" ref="A2:T831">
      <sortCondition ref="A1:A831"/>
    </sortState>
  </autoFilter>
  <phoneticPr fontId="3" type="noConversion"/>
  <pageMargins left="0.70866141732283472" right="0.70866141732283472" top="0.74803149606299213" bottom="0.74803149606299213" header="0.31496062992125984" footer="0.31496062992125984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55D81-88EA-4D64-BCCD-AC42E61F3988}">
  <dimension ref="A1:L73"/>
  <sheetViews>
    <sheetView tabSelected="1" workbookViewId="0">
      <selection sqref="A1:L73"/>
    </sheetView>
  </sheetViews>
  <sheetFormatPr baseColWidth="10" defaultColWidth="8.83203125" defaultRowHeight="16" x14ac:dyDescent="0.2"/>
  <cols>
    <col min="1" max="1" width="9.33203125" bestFit="1" customWidth="1"/>
    <col min="2" max="2" width="11.5" bestFit="1" customWidth="1"/>
    <col min="3" max="3" width="6.83203125" bestFit="1" customWidth="1"/>
    <col min="4" max="4" width="11.1640625" bestFit="1" customWidth="1"/>
    <col min="5" max="5" width="21" bestFit="1" customWidth="1"/>
    <col min="6" max="6" width="25.83203125" bestFit="1" customWidth="1"/>
    <col min="7" max="7" width="18.33203125" bestFit="1" customWidth="1"/>
    <col min="8" max="8" width="19" bestFit="1" customWidth="1"/>
    <col min="9" max="9" width="14.1640625" bestFit="1" customWidth="1"/>
    <col min="10" max="10" width="15.33203125" bestFit="1" customWidth="1"/>
    <col min="11" max="11" width="7.6640625" bestFit="1" customWidth="1"/>
  </cols>
  <sheetData>
    <row r="1" spans="1:12" s="8" customFormat="1" x14ac:dyDescent="0.2">
      <c r="A1" s="16" t="s">
        <v>2053</v>
      </c>
      <c r="B1" s="16" t="s">
        <v>2060</v>
      </c>
      <c r="C1" s="16" t="s">
        <v>2062</v>
      </c>
      <c r="D1" s="8" t="s">
        <v>2063</v>
      </c>
      <c r="E1" s="8" t="s">
        <v>2073</v>
      </c>
      <c r="F1" s="16" t="s">
        <v>2074</v>
      </c>
      <c r="G1" s="6" t="s">
        <v>2065</v>
      </c>
      <c r="H1" s="24" t="s">
        <v>2064</v>
      </c>
      <c r="I1" s="1" t="s">
        <v>2066</v>
      </c>
      <c r="J1" s="1" t="s">
        <v>2067</v>
      </c>
      <c r="K1" s="16" t="s">
        <v>2068</v>
      </c>
      <c r="L1" s="16" t="s">
        <v>2070</v>
      </c>
    </row>
    <row r="2" spans="1:12" x14ac:dyDescent="0.2">
      <c r="A2" s="1" t="s">
        <v>622</v>
      </c>
      <c r="B2" s="1" t="s">
        <v>20</v>
      </c>
      <c r="C2" s="1" t="s">
        <v>22</v>
      </c>
      <c r="D2" t="s">
        <v>2072</v>
      </c>
      <c r="E2" t="s">
        <v>2075</v>
      </c>
      <c r="F2" s="1" t="s">
        <v>19</v>
      </c>
      <c r="G2" t="str">
        <f>B2&amp;"_"&amp;L2&amp;"_"&amp;C2</f>
        <v>Drought_Yellow_No</v>
      </c>
      <c r="H2" t="str">
        <f>B2&amp;"_"&amp;C2</f>
        <v>Drought_No</v>
      </c>
      <c r="I2" t="str">
        <f>B2&amp;"_"&amp;L2</f>
        <v>Drought_Yellow</v>
      </c>
      <c r="J2" t="str">
        <f>L2&amp;"_"&amp;C2</f>
        <v>Yellow_No</v>
      </c>
      <c r="K2" s="1">
        <v>1</v>
      </c>
      <c r="L2" s="1" t="s">
        <v>21</v>
      </c>
    </row>
    <row r="3" spans="1:12" x14ac:dyDescent="0.2">
      <c r="A3" s="1" t="s">
        <v>623</v>
      </c>
      <c r="B3" s="1" t="s">
        <v>20</v>
      </c>
      <c r="C3" s="1" t="s">
        <v>22</v>
      </c>
      <c r="D3" t="s">
        <v>2072</v>
      </c>
      <c r="E3" t="s">
        <v>2076</v>
      </c>
      <c r="F3" s="1" t="s">
        <v>624</v>
      </c>
      <c r="G3" t="str">
        <f>B3&amp;"_"&amp;L3&amp;"_"&amp;C3</f>
        <v>Drought_Yellow_No</v>
      </c>
      <c r="H3" t="str">
        <f>B3&amp;"_"&amp;C3</f>
        <v>Drought_No</v>
      </c>
      <c r="I3" t="str">
        <f>B3&amp;"_"&amp;L3</f>
        <v>Drought_Yellow</v>
      </c>
      <c r="J3" t="str">
        <f>L3&amp;"_"&amp;C3</f>
        <v>Yellow_No</v>
      </c>
      <c r="K3" s="1">
        <v>1</v>
      </c>
      <c r="L3" s="1" t="s">
        <v>21</v>
      </c>
    </row>
    <row r="4" spans="1:12" x14ac:dyDescent="0.2">
      <c r="A4" s="1" t="s">
        <v>625</v>
      </c>
      <c r="B4" s="1" t="s">
        <v>20</v>
      </c>
      <c r="C4" s="1" t="s">
        <v>44</v>
      </c>
      <c r="D4" t="s">
        <v>2072</v>
      </c>
      <c r="E4" t="s">
        <v>2076</v>
      </c>
      <c r="F4" s="1" t="s">
        <v>626</v>
      </c>
      <c r="G4" t="str">
        <f>B4&amp;"_"&amp;L4&amp;"_"&amp;C4</f>
        <v>Drought_Yellow_Yes</v>
      </c>
      <c r="H4" t="str">
        <f>B4&amp;"_"&amp;C4</f>
        <v>Drought_Yes</v>
      </c>
      <c r="I4" t="str">
        <f>B4&amp;"_"&amp;L4</f>
        <v>Drought_Yellow</v>
      </c>
      <c r="J4" t="str">
        <f>L4&amp;"_"&amp;C4</f>
        <v>Yellow_Yes</v>
      </c>
      <c r="K4" s="1">
        <v>1</v>
      </c>
      <c r="L4" s="1" t="s">
        <v>21</v>
      </c>
    </row>
    <row r="5" spans="1:12" x14ac:dyDescent="0.2">
      <c r="A5" s="1" t="s">
        <v>627</v>
      </c>
      <c r="B5" s="1" t="s">
        <v>20</v>
      </c>
      <c r="C5" s="1" t="s">
        <v>44</v>
      </c>
      <c r="D5" t="s">
        <v>2072</v>
      </c>
      <c r="E5" t="s">
        <v>2075</v>
      </c>
      <c r="F5" s="1" t="s">
        <v>628</v>
      </c>
      <c r="G5" t="str">
        <f>B5&amp;"_"&amp;L5&amp;"_"&amp;C5</f>
        <v>Drought_Yellow_Yes</v>
      </c>
      <c r="H5" t="str">
        <f>B5&amp;"_"&amp;C5</f>
        <v>Drought_Yes</v>
      </c>
      <c r="I5" t="str">
        <f>B5&amp;"_"&amp;L5</f>
        <v>Drought_Yellow</v>
      </c>
      <c r="J5" t="str">
        <f>L5&amp;"_"&amp;C5</f>
        <v>Yellow_Yes</v>
      </c>
      <c r="K5" s="1">
        <v>1</v>
      </c>
      <c r="L5" s="1" t="s">
        <v>21</v>
      </c>
    </row>
    <row r="6" spans="1:12" x14ac:dyDescent="0.2">
      <c r="A6" s="1" t="s">
        <v>629</v>
      </c>
      <c r="B6" s="1" t="s">
        <v>20</v>
      </c>
      <c r="C6" s="1" t="s">
        <v>44</v>
      </c>
      <c r="D6" t="s">
        <v>2071</v>
      </c>
      <c r="E6" t="s">
        <v>2075</v>
      </c>
      <c r="F6" s="1" t="s">
        <v>628</v>
      </c>
      <c r="G6" t="str">
        <f>B6&amp;"_"&amp;L6&amp;"_"&amp;C6</f>
        <v>Drought_Blue_Yes</v>
      </c>
      <c r="H6" t="str">
        <f>B6&amp;"_"&amp;C6</f>
        <v>Drought_Yes</v>
      </c>
      <c r="I6" t="str">
        <f>B6&amp;"_"&amp;L6</f>
        <v>Drought_Blue</v>
      </c>
      <c r="J6" t="str">
        <f>L6&amp;"_"&amp;C6</f>
        <v>Blue_Yes</v>
      </c>
      <c r="K6" s="1">
        <v>2</v>
      </c>
      <c r="L6" s="1" t="s">
        <v>630</v>
      </c>
    </row>
    <row r="7" spans="1:12" x14ac:dyDescent="0.2">
      <c r="A7" s="1" t="s">
        <v>631</v>
      </c>
      <c r="B7" s="1" t="s">
        <v>20</v>
      </c>
      <c r="C7" s="1" t="s">
        <v>22</v>
      </c>
      <c r="D7" t="s">
        <v>2071</v>
      </c>
      <c r="E7" t="s">
        <v>2076</v>
      </c>
      <c r="F7" s="1" t="s">
        <v>624</v>
      </c>
      <c r="G7" t="str">
        <f>B7&amp;"_"&amp;L7&amp;"_"&amp;C7</f>
        <v>Drought_Blue_No</v>
      </c>
      <c r="H7" t="str">
        <f>B7&amp;"_"&amp;C7</f>
        <v>Drought_No</v>
      </c>
      <c r="I7" t="str">
        <f>B7&amp;"_"&amp;L7</f>
        <v>Drought_Blue</v>
      </c>
      <c r="J7" t="str">
        <f>L7&amp;"_"&amp;C7</f>
        <v>Blue_No</v>
      </c>
      <c r="K7" s="1">
        <v>2</v>
      </c>
      <c r="L7" s="1" t="s">
        <v>630</v>
      </c>
    </row>
    <row r="8" spans="1:12" x14ac:dyDescent="0.2">
      <c r="A8" s="1" t="s">
        <v>632</v>
      </c>
      <c r="B8" s="1" t="s">
        <v>20</v>
      </c>
      <c r="C8" s="1" t="s">
        <v>44</v>
      </c>
      <c r="D8" t="s">
        <v>2072</v>
      </c>
      <c r="E8" t="s">
        <v>2075</v>
      </c>
      <c r="F8" s="1" t="s">
        <v>628</v>
      </c>
      <c r="G8" t="str">
        <f>B8&amp;"_"&amp;L8&amp;"_"&amp;C8</f>
        <v>Drought_Yellow_Yes</v>
      </c>
      <c r="H8" t="str">
        <f>B8&amp;"_"&amp;C8</f>
        <v>Drought_Yes</v>
      </c>
      <c r="I8" t="str">
        <f>B8&amp;"_"&amp;L8</f>
        <v>Drought_Yellow</v>
      </c>
      <c r="J8" t="str">
        <f>L8&amp;"_"&amp;C8</f>
        <v>Yellow_Yes</v>
      </c>
      <c r="K8" s="1">
        <v>1</v>
      </c>
      <c r="L8" s="1" t="s">
        <v>21</v>
      </c>
    </row>
    <row r="9" spans="1:12" x14ac:dyDescent="0.2">
      <c r="A9" s="1" t="s">
        <v>633</v>
      </c>
      <c r="B9" s="1" t="s">
        <v>20</v>
      </c>
      <c r="C9" s="1" t="s">
        <v>22</v>
      </c>
      <c r="D9" t="s">
        <v>2072</v>
      </c>
      <c r="E9" t="s">
        <v>2075</v>
      </c>
      <c r="F9" s="1" t="s">
        <v>35</v>
      </c>
      <c r="G9" t="str">
        <f>B9&amp;"_"&amp;L9&amp;"_"&amp;C9</f>
        <v>Drought_Yellow_No</v>
      </c>
      <c r="H9" t="str">
        <f>B9&amp;"_"&amp;C9</f>
        <v>Drought_No</v>
      </c>
      <c r="I9" t="str">
        <f>B9&amp;"_"&amp;L9</f>
        <v>Drought_Yellow</v>
      </c>
      <c r="J9" t="str">
        <f>L9&amp;"_"&amp;C9</f>
        <v>Yellow_No</v>
      </c>
      <c r="K9" s="1">
        <v>1</v>
      </c>
      <c r="L9" s="1" t="s">
        <v>21</v>
      </c>
    </row>
    <row r="10" spans="1:12" x14ac:dyDescent="0.2">
      <c r="A10" s="1" t="s">
        <v>634</v>
      </c>
      <c r="B10" s="1" t="s">
        <v>20</v>
      </c>
      <c r="C10" s="1" t="s">
        <v>22</v>
      </c>
      <c r="D10" t="s">
        <v>2071</v>
      </c>
      <c r="E10" t="s">
        <v>2075</v>
      </c>
      <c r="F10" s="1" t="s">
        <v>19</v>
      </c>
      <c r="G10" t="str">
        <f>B10&amp;"_"&amp;L10&amp;"_"&amp;C10</f>
        <v>Drought_Blue_No</v>
      </c>
      <c r="H10" t="str">
        <f>B10&amp;"_"&amp;C10</f>
        <v>Drought_No</v>
      </c>
      <c r="I10" t="str">
        <f>B10&amp;"_"&amp;L10</f>
        <v>Drought_Blue</v>
      </c>
      <c r="J10" t="str">
        <f>L10&amp;"_"&amp;C10</f>
        <v>Blue_No</v>
      </c>
      <c r="K10" s="1">
        <v>2</v>
      </c>
      <c r="L10" s="1" t="s">
        <v>630</v>
      </c>
    </row>
    <row r="11" spans="1:12" x14ac:dyDescent="0.2">
      <c r="A11" s="1" t="s">
        <v>635</v>
      </c>
      <c r="B11" s="1" t="s">
        <v>20</v>
      </c>
      <c r="C11" s="1" t="s">
        <v>22</v>
      </c>
      <c r="D11" t="s">
        <v>2071</v>
      </c>
      <c r="E11" t="s">
        <v>2075</v>
      </c>
      <c r="F11" s="1" t="s">
        <v>35</v>
      </c>
      <c r="G11" t="str">
        <f>B11&amp;"_"&amp;L11&amp;"_"&amp;C11</f>
        <v>Drought_Blue_No</v>
      </c>
      <c r="H11" t="str">
        <f>B11&amp;"_"&amp;C11</f>
        <v>Drought_No</v>
      </c>
      <c r="I11" t="str">
        <f>B11&amp;"_"&amp;L11</f>
        <v>Drought_Blue</v>
      </c>
      <c r="J11" t="str">
        <f>L11&amp;"_"&amp;C11</f>
        <v>Blue_No</v>
      </c>
      <c r="K11" s="1">
        <v>2</v>
      </c>
      <c r="L11" s="1" t="s">
        <v>630</v>
      </c>
    </row>
    <row r="12" spans="1:12" x14ac:dyDescent="0.2">
      <c r="A12" s="1" t="s">
        <v>636</v>
      </c>
      <c r="B12" s="1" t="s">
        <v>20</v>
      </c>
      <c r="C12" s="1" t="s">
        <v>44</v>
      </c>
      <c r="D12" t="s">
        <v>2071</v>
      </c>
      <c r="E12" t="s">
        <v>2076</v>
      </c>
      <c r="F12" s="1" t="s">
        <v>626</v>
      </c>
      <c r="G12" t="str">
        <f>B12&amp;"_"&amp;L12&amp;"_"&amp;C12</f>
        <v>Drought_Blue_Yes</v>
      </c>
      <c r="H12" t="str">
        <f>B12&amp;"_"&amp;C12</f>
        <v>Drought_Yes</v>
      </c>
      <c r="I12" t="str">
        <f>B12&amp;"_"&amp;L12</f>
        <v>Drought_Blue</v>
      </c>
      <c r="J12" t="str">
        <f>L12&amp;"_"&amp;C12</f>
        <v>Blue_Yes</v>
      </c>
      <c r="K12" s="1">
        <v>2</v>
      </c>
      <c r="L12" s="1" t="s">
        <v>630</v>
      </c>
    </row>
    <row r="13" spans="1:12" x14ac:dyDescent="0.2">
      <c r="A13" s="1" t="s">
        <v>637</v>
      </c>
      <c r="B13" s="1" t="s">
        <v>20</v>
      </c>
      <c r="C13" s="1" t="s">
        <v>44</v>
      </c>
      <c r="D13" t="s">
        <v>2071</v>
      </c>
      <c r="E13" t="s">
        <v>2075</v>
      </c>
      <c r="F13" s="1" t="s">
        <v>628</v>
      </c>
      <c r="G13" t="str">
        <f>B13&amp;"_"&amp;L13&amp;"_"&amp;C13</f>
        <v>Drought_Blue_Yes</v>
      </c>
      <c r="H13" t="str">
        <f>B13&amp;"_"&amp;C13</f>
        <v>Drought_Yes</v>
      </c>
      <c r="I13" t="str">
        <f>B13&amp;"_"&amp;L13</f>
        <v>Drought_Blue</v>
      </c>
      <c r="J13" t="str">
        <f>L13&amp;"_"&amp;C13</f>
        <v>Blue_Yes</v>
      </c>
      <c r="K13" s="1">
        <v>2</v>
      </c>
      <c r="L13" s="1" t="s">
        <v>630</v>
      </c>
    </row>
    <row r="14" spans="1:12" x14ac:dyDescent="0.2">
      <c r="A14" s="1" t="s">
        <v>638</v>
      </c>
      <c r="B14" s="1" t="s">
        <v>133</v>
      </c>
      <c r="C14" s="1" t="s">
        <v>22</v>
      </c>
      <c r="D14" t="s">
        <v>2072</v>
      </c>
      <c r="E14" t="s">
        <v>2076</v>
      </c>
      <c r="F14" s="1" t="s">
        <v>624</v>
      </c>
      <c r="G14" t="str">
        <f>B14&amp;"_"&amp;L14&amp;"_"&amp;C14</f>
        <v>Control_Yellow_No</v>
      </c>
      <c r="H14" t="str">
        <f>B14&amp;"_"&amp;C14</f>
        <v>Control_No</v>
      </c>
      <c r="I14" t="str">
        <f>B14&amp;"_"&amp;L14</f>
        <v>Control_Yellow</v>
      </c>
      <c r="J14" t="str">
        <f>L14&amp;"_"&amp;C14</f>
        <v>Yellow_No</v>
      </c>
      <c r="K14" s="1">
        <v>1</v>
      </c>
      <c r="L14" s="1" t="s">
        <v>21</v>
      </c>
    </row>
    <row r="15" spans="1:12" x14ac:dyDescent="0.2">
      <c r="A15" s="1" t="s">
        <v>639</v>
      </c>
      <c r="B15" s="1" t="s">
        <v>133</v>
      </c>
      <c r="C15" s="1" t="s">
        <v>44</v>
      </c>
      <c r="D15" t="s">
        <v>2072</v>
      </c>
      <c r="E15" t="s">
        <v>2075</v>
      </c>
      <c r="F15" s="1" t="s">
        <v>640</v>
      </c>
      <c r="G15" t="str">
        <f>B15&amp;"_"&amp;L15&amp;"_"&amp;C15</f>
        <v>Control_Yellow_Yes</v>
      </c>
      <c r="H15" t="str">
        <f>B15&amp;"_"&amp;C15</f>
        <v>Control_Yes</v>
      </c>
      <c r="I15" t="str">
        <f>B15&amp;"_"&amp;L15</f>
        <v>Control_Yellow</v>
      </c>
      <c r="J15" t="str">
        <f>L15&amp;"_"&amp;C15</f>
        <v>Yellow_Yes</v>
      </c>
      <c r="K15" s="1">
        <v>1</v>
      </c>
      <c r="L15" s="1" t="s">
        <v>21</v>
      </c>
    </row>
    <row r="16" spans="1:12" x14ac:dyDescent="0.2">
      <c r="A16" s="1" t="s">
        <v>641</v>
      </c>
      <c r="B16" s="1" t="s">
        <v>133</v>
      </c>
      <c r="C16" s="1" t="s">
        <v>44</v>
      </c>
      <c r="D16" t="s">
        <v>2072</v>
      </c>
      <c r="E16" t="s">
        <v>2075</v>
      </c>
      <c r="F16" s="1" t="s">
        <v>628</v>
      </c>
      <c r="G16" t="str">
        <f>B16&amp;"_"&amp;L16&amp;"_"&amp;C16</f>
        <v>Control_Yellow_Yes</v>
      </c>
      <c r="H16" t="str">
        <f>B16&amp;"_"&amp;C16</f>
        <v>Control_Yes</v>
      </c>
      <c r="I16" t="str">
        <f>B16&amp;"_"&amp;L16</f>
        <v>Control_Yellow</v>
      </c>
      <c r="J16" t="str">
        <f>L16&amp;"_"&amp;C16</f>
        <v>Yellow_Yes</v>
      </c>
      <c r="K16" s="1">
        <v>1</v>
      </c>
      <c r="L16" s="1" t="s">
        <v>21</v>
      </c>
    </row>
    <row r="17" spans="1:12" x14ac:dyDescent="0.2">
      <c r="A17" s="1" t="s">
        <v>642</v>
      </c>
      <c r="B17" s="1" t="s">
        <v>133</v>
      </c>
      <c r="C17" s="1" t="s">
        <v>44</v>
      </c>
      <c r="D17" t="s">
        <v>2072</v>
      </c>
      <c r="E17" t="s">
        <v>2076</v>
      </c>
      <c r="F17" s="1" t="s">
        <v>626</v>
      </c>
      <c r="G17" t="str">
        <f>B17&amp;"_"&amp;L17&amp;"_"&amp;C17</f>
        <v>Control_Yellow_Yes</v>
      </c>
      <c r="H17" t="str">
        <f>B17&amp;"_"&amp;C17</f>
        <v>Control_Yes</v>
      </c>
      <c r="I17" t="str">
        <f>B17&amp;"_"&amp;L17</f>
        <v>Control_Yellow</v>
      </c>
      <c r="J17" t="str">
        <f>L17&amp;"_"&amp;C17</f>
        <v>Yellow_Yes</v>
      </c>
      <c r="K17" s="1">
        <v>1</v>
      </c>
      <c r="L17" s="1" t="s">
        <v>21</v>
      </c>
    </row>
    <row r="18" spans="1:12" x14ac:dyDescent="0.2">
      <c r="A18" s="1" t="s">
        <v>643</v>
      </c>
      <c r="B18" s="1" t="s">
        <v>133</v>
      </c>
      <c r="C18" s="1" t="s">
        <v>44</v>
      </c>
      <c r="D18" t="s">
        <v>2071</v>
      </c>
      <c r="E18" t="s">
        <v>2075</v>
      </c>
      <c r="F18" s="1" t="s">
        <v>628</v>
      </c>
      <c r="G18" t="str">
        <f>B18&amp;"_"&amp;L18&amp;"_"&amp;C18</f>
        <v>Control_Blue_Yes</v>
      </c>
      <c r="H18" t="str">
        <f>B18&amp;"_"&amp;C18</f>
        <v>Control_Yes</v>
      </c>
      <c r="I18" t="str">
        <f>B18&amp;"_"&amp;L18</f>
        <v>Control_Blue</v>
      </c>
      <c r="J18" t="str">
        <f>L18&amp;"_"&amp;C18</f>
        <v>Blue_Yes</v>
      </c>
      <c r="K18" s="1">
        <v>2</v>
      </c>
      <c r="L18" s="1" t="s">
        <v>630</v>
      </c>
    </row>
    <row r="19" spans="1:12" x14ac:dyDescent="0.2">
      <c r="A19" s="1" t="s">
        <v>644</v>
      </c>
      <c r="B19" s="1" t="s">
        <v>133</v>
      </c>
      <c r="C19" s="1" t="s">
        <v>44</v>
      </c>
      <c r="D19" t="s">
        <v>2071</v>
      </c>
      <c r="E19" t="s">
        <v>2076</v>
      </c>
      <c r="F19" s="1" t="s">
        <v>626</v>
      </c>
      <c r="G19" t="str">
        <f>B19&amp;"_"&amp;L19&amp;"_"&amp;C19</f>
        <v>Control_Blue_Yes</v>
      </c>
      <c r="H19" t="str">
        <f>B19&amp;"_"&amp;C19</f>
        <v>Control_Yes</v>
      </c>
      <c r="I19" t="str">
        <f>B19&amp;"_"&amp;L19</f>
        <v>Control_Blue</v>
      </c>
      <c r="J19" t="str">
        <f>L19&amp;"_"&amp;C19</f>
        <v>Blue_Yes</v>
      </c>
      <c r="K19" s="1">
        <v>2</v>
      </c>
      <c r="L19" s="1" t="s">
        <v>630</v>
      </c>
    </row>
    <row r="20" spans="1:12" x14ac:dyDescent="0.2">
      <c r="A20" s="1" t="s">
        <v>645</v>
      </c>
      <c r="B20" s="1" t="s">
        <v>133</v>
      </c>
      <c r="C20" s="1" t="s">
        <v>22</v>
      </c>
      <c r="D20" t="s">
        <v>2072</v>
      </c>
      <c r="E20" t="s">
        <v>2075</v>
      </c>
      <c r="F20" s="1" t="s">
        <v>19</v>
      </c>
      <c r="G20" t="str">
        <f>B20&amp;"_"&amp;L20&amp;"_"&amp;C20</f>
        <v>Control_Yellow_No</v>
      </c>
      <c r="H20" t="str">
        <f>B20&amp;"_"&amp;C20</f>
        <v>Control_No</v>
      </c>
      <c r="I20" t="str">
        <f>B20&amp;"_"&amp;L20</f>
        <v>Control_Yellow</v>
      </c>
      <c r="J20" t="str">
        <f>L20&amp;"_"&amp;C20</f>
        <v>Yellow_No</v>
      </c>
      <c r="K20" s="1">
        <v>1</v>
      </c>
      <c r="L20" s="1" t="s">
        <v>21</v>
      </c>
    </row>
    <row r="21" spans="1:12" x14ac:dyDescent="0.2">
      <c r="A21" s="1" t="s">
        <v>646</v>
      </c>
      <c r="B21" s="1" t="s">
        <v>133</v>
      </c>
      <c r="C21" s="1" t="s">
        <v>22</v>
      </c>
      <c r="D21" t="s">
        <v>2072</v>
      </c>
      <c r="E21" t="s">
        <v>2075</v>
      </c>
      <c r="F21" s="1" t="s">
        <v>35</v>
      </c>
      <c r="G21" t="str">
        <f>B21&amp;"_"&amp;L21&amp;"_"&amp;C21</f>
        <v>Control_Yellow_No</v>
      </c>
      <c r="H21" t="str">
        <f>B21&amp;"_"&amp;C21</f>
        <v>Control_No</v>
      </c>
      <c r="I21" t="str">
        <f>B21&amp;"_"&amp;L21</f>
        <v>Control_Yellow</v>
      </c>
      <c r="J21" t="str">
        <f>L21&amp;"_"&amp;C21</f>
        <v>Yellow_No</v>
      </c>
      <c r="K21" s="1">
        <v>1</v>
      </c>
      <c r="L21" s="1" t="s">
        <v>21</v>
      </c>
    </row>
    <row r="22" spans="1:12" x14ac:dyDescent="0.2">
      <c r="A22" s="1" t="s">
        <v>647</v>
      </c>
      <c r="B22" s="1" t="s">
        <v>133</v>
      </c>
      <c r="C22" s="1" t="s">
        <v>22</v>
      </c>
      <c r="D22" t="s">
        <v>2071</v>
      </c>
      <c r="E22" t="s">
        <v>2075</v>
      </c>
      <c r="F22" s="1" t="s">
        <v>19</v>
      </c>
      <c r="G22" t="str">
        <f>B22&amp;"_"&amp;L22&amp;"_"&amp;C22</f>
        <v>Control_Blue_No</v>
      </c>
      <c r="H22" t="str">
        <f>B22&amp;"_"&amp;C22</f>
        <v>Control_No</v>
      </c>
      <c r="I22" t="str">
        <f>B22&amp;"_"&amp;L22</f>
        <v>Control_Blue</v>
      </c>
      <c r="J22" t="str">
        <f>L22&amp;"_"&amp;C22</f>
        <v>Blue_No</v>
      </c>
      <c r="K22" s="1">
        <v>2</v>
      </c>
      <c r="L22" s="1" t="s">
        <v>630</v>
      </c>
    </row>
    <row r="23" spans="1:12" x14ac:dyDescent="0.2">
      <c r="A23" s="1" t="s">
        <v>648</v>
      </c>
      <c r="B23" s="1" t="s">
        <v>133</v>
      </c>
      <c r="C23" s="1" t="s">
        <v>22</v>
      </c>
      <c r="D23" t="s">
        <v>2071</v>
      </c>
      <c r="E23" t="s">
        <v>2075</v>
      </c>
      <c r="F23" s="1" t="s">
        <v>35</v>
      </c>
      <c r="G23" t="str">
        <f>B23&amp;"_"&amp;L23&amp;"_"&amp;C23</f>
        <v>Control_Blue_No</v>
      </c>
      <c r="H23" t="str">
        <f>B23&amp;"_"&amp;C23</f>
        <v>Control_No</v>
      </c>
      <c r="I23" t="str">
        <f>B23&amp;"_"&amp;L23</f>
        <v>Control_Blue</v>
      </c>
      <c r="J23" t="str">
        <f>L23&amp;"_"&amp;C23</f>
        <v>Blue_No</v>
      </c>
      <c r="K23" s="1">
        <v>2</v>
      </c>
      <c r="L23" s="1" t="s">
        <v>630</v>
      </c>
    </row>
    <row r="24" spans="1:12" x14ac:dyDescent="0.2">
      <c r="A24" s="1" t="s">
        <v>649</v>
      </c>
      <c r="B24" s="1" t="s">
        <v>133</v>
      </c>
      <c r="C24" s="1" t="s">
        <v>22</v>
      </c>
      <c r="D24" t="s">
        <v>2071</v>
      </c>
      <c r="E24" t="s">
        <v>2076</v>
      </c>
      <c r="F24" s="1" t="s">
        <v>624</v>
      </c>
      <c r="G24" t="str">
        <f>B24&amp;"_"&amp;L24&amp;"_"&amp;C24</f>
        <v>Control_Blue_No</v>
      </c>
      <c r="H24" t="str">
        <f>B24&amp;"_"&amp;C24</f>
        <v>Control_No</v>
      </c>
      <c r="I24" t="str">
        <f>B24&amp;"_"&amp;L24</f>
        <v>Control_Blue</v>
      </c>
      <c r="J24" t="str">
        <f>L24&amp;"_"&amp;C24</f>
        <v>Blue_No</v>
      </c>
      <c r="K24" s="1">
        <v>2</v>
      </c>
      <c r="L24" s="1" t="s">
        <v>630</v>
      </c>
    </row>
    <row r="25" spans="1:12" x14ac:dyDescent="0.2">
      <c r="A25" s="1" t="s">
        <v>650</v>
      </c>
      <c r="B25" s="1" t="s">
        <v>133</v>
      </c>
      <c r="C25" s="1" t="s">
        <v>44</v>
      </c>
      <c r="D25" t="s">
        <v>2071</v>
      </c>
      <c r="E25" t="s">
        <v>2075</v>
      </c>
      <c r="F25" s="1" t="s">
        <v>628</v>
      </c>
      <c r="G25" t="str">
        <f>B25&amp;"_"&amp;L25&amp;"_"&amp;C25</f>
        <v>Control_Blue_Yes</v>
      </c>
      <c r="H25" t="str">
        <f>B25&amp;"_"&amp;C25</f>
        <v>Control_Yes</v>
      </c>
      <c r="I25" t="str">
        <f>B25&amp;"_"&amp;L25</f>
        <v>Control_Blue</v>
      </c>
      <c r="J25" t="str">
        <f>L25&amp;"_"&amp;C25</f>
        <v>Blue_Yes</v>
      </c>
      <c r="K25" s="1">
        <v>2</v>
      </c>
      <c r="L25" s="1" t="s">
        <v>630</v>
      </c>
    </row>
    <row r="26" spans="1:12" x14ac:dyDescent="0.2">
      <c r="A26" s="1" t="s">
        <v>651</v>
      </c>
      <c r="B26" s="1" t="s">
        <v>133</v>
      </c>
      <c r="C26" s="1" t="s">
        <v>44</v>
      </c>
      <c r="D26" t="s">
        <v>2071</v>
      </c>
      <c r="E26" t="s">
        <v>2075</v>
      </c>
      <c r="F26" s="1" t="s">
        <v>640</v>
      </c>
      <c r="G26" t="str">
        <f>B26&amp;"_"&amp;L26&amp;"_"&amp;C26</f>
        <v>Control_Blue_Yes</v>
      </c>
      <c r="H26" t="str">
        <f>B26&amp;"_"&amp;C26</f>
        <v>Control_Yes</v>
      </c>
      <c r="I26" t="str">
        <f>B26&amp;"_"&amp;L26</f>
        <v>Control_Blue</v>
      </c>
      <c r="J26" t="str">
        <f>L26&amp;"_"&amp;C26</f>
        <v>Blue_Yes</v>
      </c>
      <c r="K26" s="1">
        <v>2</v>
      </c>
      <c r="L26" s="1" t="s">
        <v>630</v>
      </c>
    </row>
    <row r="27" spans="1:12" x14ac:dyDescent="0.2">
      <c r="A27" s="1" t="s">
        <v>652</v>
      </c>
      <c r="B27" s="1" t="s">
        <v>133</v>
      </c>
      <c r="C27" s="1" t="s">
        <v>22</v>
      </c>
      <c r="D27" t="s">
        <v>2071</v>
      </c>
      <c r="E27" t="s">
        <v>2075</v>
      </c>
      <c r="F27" s="1" t="s">
        <v>19</v>
      </c>
      <c r="G27" t="str">
        <f>B27&amp;"_"&amp;L27&amp;"_"&amp;C27</f>
        <v>Control_Blue_No</v>
      </c>
      <c r="H27" t="str">
        <f>B27&amp;"_"&amp;C27</f>
        <v>Control_No</v>
      </c>
      <c r="I27" t="str">
        <f>B27&amp;"_"&amp;L27</f>
        <v>Control_Blue</v>
      </c>
      <c r="J27" t="str">
        <f>L27&amp;"_"&amp;C27</f>
        <v>Blue_No</v>
      </c>
      <c r="K27" s="1">
        <v>2</v>
      </c>
      <c r="L27" s="1" t="s">
        <v>630</v>
      </c>
    </row>
    <row r="28" spans="1:12" x14ac:dyDescent="0.2">
      <c r="A28" s="1" t="s">
        <v>653</v>
      </c>
      <c r="B28" s="1" t="s">
        <v>133</v>
      </c>
      <c r="C28" s="1" t="s">
        <v>44</v>
      </c>
      <c r="D28" t="s">
        <v>2071</v>
      </c>
      <c r="E28" t="s">
        <v>2076</v>
      </c>
      <c r="F28" s="1" t="s">
        <v>626</v>
      </c>
      <c r="G28" t="str">
        <f>B28&amp;"_"&amp;L28&amp;"_"&amp;C28</f>
        <v>Control_Blue_Yes</v>
      </c>
      <c r="H28" t="str">
        <f>B28&amp;"_"&amp;C28</f>
        <v>Control_Yes</v>
      </c>
      <c r="I28" t="str">
        <f>B28&amp;"_"&amp;L28</f>
        <v>Control_Blue</v>
      </c>
      <c r="J28" t="str">
        <f>L28&amp;"_"&amp;C28</f>
        <v>Blue_Yes</v>
      </c>
      <c r="K28" s="1">
        <v>2</v>
      </c>
      <c r="L28" s="1" t="s">
        <v>630</v>
      </c>
    </row>
    <row r="29" spans="1:12" x14ac:dyDescent="0.2">
      <c r="A29" s="1" t="s">
        <v>654</v>
      </c>
      <c r="B29" s="1" t="s">
        <v>133</v>
      </c>
      <c r="C29" s="1" t="s">
        <v>22</v>
      </c>
      <c r="D29" t="s">
        <v>2071</v>
      </c>
      <c r="E29" t="s">
        <v>2076</v>
      </c>
      <c r="F29" s="1" t="s">
        <v>624</v>
      </c>
      <c r="G29" t="str">
        <f>B29&amp;"_"&amp;L29&amp;"_"&amp;C29</f>
        <v>Control_Blue_No</v>
      </c>
      <c r="H29" t="str">
        <f>B29&amp;"_"&amp;C29</f>
        <v>Control_No</v>
      </c>
      <c r="I29" t="str">
        <f>B29&amp;"_"&amp;L29</f>
        <v>Control_Blue</v>
      </c>
      <c r="J29" t="str">
        <f>L29&amp;"_"&amp;C29</f>
        <v>Blue_No</v>
      </c>
      <c r="K29" s="1">
        <v>2</v>
      </c>
      <c r="L29" s="1" t="s">
        <v>630</v>
      </c>
    </row>
    <row r="30" spans="1:12" x14ac:dyDescent="0.2">
      <c r="A30" s="1" t="s">
        <v>655</v>
      </c>
      <c r="B30" s="1" t="s">
        <v>133</v>
      </c>
      <c r="C30" s="1" t="s">
        <v>44</v>
      </c>
      <c r="D30" t="s">
        <v>2072</v>
      </c>
      <c r="E30" t="s">
        <v>2075</v>
      </c>
      <c r="F30" s="1" t="s">
        <v>640</v>
      </c>
      <c r="G30" t="str">
        <f>B30&amp;"_"&amp;L30&amp;"_"&amp;C30</f>
        <v>Control_Yellow_Yes</v>
      </c>
      <c r="H30" t="str">
        <f>B30&amp;"_"&amp;C30</f>
        <v>Control_Yes</v>
      </c>
      <c r="I30" t="str">
        <f>B30&amp;"_"&amp;L30</f>
        <v>Control_Yellow</v>
      </c>
      <c r="J30" t="str">
        <f>L30&amp;"_"&amp;C30</f>
        <v>Yellow_Yes</v>
      </c>
      <c r="K30" s="1">
        <v>1</v>
      </c>
      <c r="L30" s="1" t="s">
        <v>21</v>
      </c>
    </row>
    <row r="31" spans="1:12" x14ac:dyDescent="0.2">
      <c r="A31" s="1" t="s">
        <v>656</v>
      </c>
      <c r="B31" s="1" t="s">
        <v>133</v>
      </c>
      <c r="C31" s="1" t="s">
        <v>44</v>
      </c>
      <c r="D31" t="s">
        <v>2072</v>
      </c>
      <c r="E31" t="s">
        <v>2076</v>
      </c>
      <c r="F31" s="1" t="s">
        <v>626</v>
      </c>
      <c r="G31" t="str">
        <f>B31&amp;"_"&amp;L31&amp;"_"&amp;C31</f>
        <v>Control_Yellow_Yes</v>
      </c>
      <c r="H31" t="str">
        <f>B31&amp;"_"&amp;C31</f>
        <v>Control_Yes</v>
      </c>
      <c r="I31" t="str">
        <f>B31&amp;"_"&amp;L31</f>
        <v>Control_Yellow</v>
      </c>
      <c r="J31" t="str">
        <f>L31&amp;"_"&amp;C31</f>
        <v>Yellow_Yes</v>
      </c>
      <c r="K31" s="1">
        <v>1</v>
      </c>
      <c r="L31" s="1" t="s">
        <v>21</v>
      </c>
    </row>
    <row r="32" spans="1:12" x14ac:dyDescent="0.2">
      <c r="A32" s="1" t="s">
        <v>657</v>
      </c>
      <c r="B32" s="1" t="s">
        <v>133</v>
      </c>
      <c r="C32" s="1" t="s">
        <v>22</v>
      </c>
      <c r="D32" t="s">
        <v>2072</v>
      </c>
      <c r="E32" t="s">
        <v>2076</v>
      </c>
      <c r="F32" s="1" t="s">
        <v>624</v>
      </c>
      <c r="G32" t="str">
        <f>B32&amp;"_"&amp;L32&amp;"_"&amp;C32</f>
        <v>Control_Yellow_No</v>
      </c>
      <c r="H32" t="str">
        <f>B32&amp;"_"&amp;C32</f>
        <v>Control_No</v>
      </c>
      <c r="I32" t="str">
        <f>B32&amp;"_"&amp;L32</f>
        <v>Control_Yellow</v>
      </c>
      <c r="J32" t="str">
        <f>L32&amp;"_"&amp;C32</f>
        <v>Yellow_No</v>
      </c>
      <c r="K32" s="1">
        <v>1</v>
      </c>
      <c r="L32" s="1" t="s">
        <v>21</v>
      </c>
    </row>
    <row r="33" spans="1:12" x14ac:dyDescent="0.2">
      <c r="A33" s="1" t="s">
        <v>658</v>
      </c>
      <c r="B33" s="1" t="s">
        <v>133</v>
      </c>
      <c r="C33" s="1" t="s">
        <v>44</v>
      </c>
      <c r="D33" t="s">
        <v>2072</v>
      </c>
      <c r="E33" t="s">
        <v>2075</v>
      </c>
      <c r="F33" s="1" t="s">
        <v>628</v>
      </c>
      <c r="G33" t="str">
        <f>B33&amp;"_"&amp;L33&amp;"_"&amp;C33</f>
        <v>Control_Yellow_Yes</v>
      </c>
      <c r="H33" t="str">
        <f>B33&amp;"_"&amp;C33</f>
        <v>Control_Yes</v>
      </c>
      <c r="I33" t="str">
        <f>B33&amp;"_"&amp;L33</f>
        <v>Control_Yellow</v>
      </c>
      <c r="J33" t="str">
        <f>L33&amp;"_"&amp;C33</f>
        <v>Yellow_Yes</v>
      </c>
      <c r="K33" s="1">
        <v>1</v>
      </c>
      <c r="L33" s="1" t="s">
        <v>21</v>
      </c>
    </row>
    <row r="34" spans="1:12" x14ac:dyDescent="0.2">
      <c r="A34" s="1" t="s">
        <v>659</v>
      </c>
      <c r="B34" s="1" t="s">
        <v>133</v>
      </c>
      <c r="C34" s="1" t="s">
        <v>22</v>
      </c>
      <c r="D34" t="s">
        <v>2071</v>
      </c>
      <c r="E34" t="s">
        <v>2075</v>
      </c>
      <c r="F34" s="1" t="s">
        <v>35</v>
      </c>
      <c r="G34" t="str">
        <f>B34&amp;"_"&amp;L34&amp;"_"&amp;C34</f>
        <v>Control_Blue_No</v>
      </c>
      <c r="H34" t="str">
        <f>B34&amp;"_"&amp;C34</f>
        <v>Control_No</v>
      </c>
      <c r="I34" t="str">
        <f>B34&amp;"_"&amp;L34</f>
        <v>Control_Blue</v>
      </c>
      <c r="J34" t="str">
        <f>L34&amp;"_"&amp;C34</f>
        <v>Blue_No</v>
      </c>
      <c r="K34" s="1">
        <v>2</v>
      </c>
      <c r="L34" s="1" t="s">
        <v>630</v>
      </c>
    </row>
    <row r="35" spans="1:12" x14ac:dyDescent="0.2">
      <c r="A35" s="1" t="s">
        <v>660</v>
      </c>
      <c r="B35" s="1" t="s">
        <v>133</v>
      </c>
      <c r="C35" s="1" t="s">
        <v>44</v>
      </c>
      <c r="D35" t="s">
        <v>2071</v>
      </c>
      <c r="E35" t="s">
        <v>2075</v>
      </c>
      <c r="F35" s="1" t="s">
        <v>628</v>
      </c>
      <c r="G35" t="str">
        <f>B35&amp;"_"&amp;L35&amp;"_"&amp;C35</f>
        <v>Control_Blue_Yes</v>
      </c>
      <c r="H35" t="str">
        <f>B35&amp;"_"&amp;C35</f>
        <v>Control_Yes</v>
      </c>
      <c r="I35" t="str">
        <f>B35&amp;"_"&amp;L35</f>
        <v>Control_Blue</v>
      </c>
      <c r="J35" t="str">
        <f>L35&amp;"_"&amp;C35</f>
        <v>Blue_Yes</v>
      </c>
      <c r="K35" s="1">
        <v>2</v>
      </c>
      <c r="L35" s="1" t="s">
        <v>630</v>
      </c>
    </row>
    <row r="36" spans="1:12" x14ac:dyDescent="0.2">
      <c r="A36" s="1" t="s">
        <v>661</v>
      </c>
      <c r="B36" s="1" t="s">
        <v>133</v>
      </c>
      <c r="C36" s="1" t="s">
        <v>22</v>
      </c>
      <c r="D36" t="s">
        <v>2072</v>
      </c>
      <c r="E36" t="s">
        <v>2075</v>
      </c>
      <c r="F36" s="1" t="s">
        <v>19</v>
      </c>
      <c r="G36" t="str">
        <f>B36&amp;"_"&amp;L36&amp;"_"&amp;C36</f>
        <v>Control_Yellow_No</v>
      </c>
      <c r="H36" t="str">
        <f>B36&amp;"_"&amp;C36</f>
        <v>Control_No</v>
      </c>
      <c r="I36" t="str">
        <f>B36&amp;"_"&amp;L36</f>
        <v>Control_Yellow</v>
      </c>
      <c r="J36" t="str">
        <f>L36&amp;"_"&amp;C36</f>
        <v>Yellow_No</v>
      </c>
      <c r="K36" s="1">
        <v>1</v>
      </c>
      <c r="L36" s="1" t="s">
        <v>21</v>
      </c>
    </row>
    <row r="37" spans="1:12" x14ac:dyDescent="0.2">
      <c r="A37" s="1" t="s">
        <v>662</v>
      </c>
      <c r="B37" s="1" t="s">
        <v>133</v>
      </c>
      <c r="C37" s="1" t="s">
        <v>22</v>
      </c>
      <c r="D37" t="s">
        <v>2072</v>
      </c>
      <c r="E37" t="s">
        <v>2075</v>
      </c>
      <c r="F37" s="1" t="s">
        <v>35</v>
      </c>
      <c r="G37" t="str">
        <f>B37&amp;"_"&amp;L37&amp;"_"&amp;C37</f>
        <v>Control_Yellow_No</v>
      </c>
      <c r="H37" t="str">
        <f>B37&amp;"_"&amp;C37</f>
        <v>Control_No</v>
      </c>
      <c r="I37" t="str">
        <f>B37&amp;"_"&amp;L37</f>
        <v>Control_Yellow</v>
      </c>
      <c r="J37" t="str">
        <f>L37&amp;"_"&amp;C37</f>
        <v>Yellow_No</v>
      </c>
      <c r="K37" s="1">
        <v>1</v>
      </c>
      <c r="L37" s="1" t="s">
        <v>21</v>
      </c>
    </row>
    <row r="38" spans="1:12" x14ac:dyDescent="0.2">
      <c r="A38" s="1" t="s">
        <v>663</v>
      </c>
      <c r="B38" s="1" t="s">
        <v>20</v>
      </c>
      <c r="C38" s="1" t="s">
        <v>44</v>
      </c>
      <c r="D38" t="s">
        <v>2071</v>
      </c>
      <c r="E38" t="s">
        <v>2075</v>
      </c>
      <c r="F38" s="1" t="s">
        <v>628</v>
      </c>
      <c r="G38" t="str">
        <f>B38&amp;"_"&amp;L38&amp;"_"&amp;C38</f>
        <v>Drought_Blue_Yes</v>
      </c>
      <c r="H38" t="str">
        <f>B38&amp;"_"&amp;C38</f>
        <v>Drought_Yes</v>
      </c>
      <c r="I38" t="str">
        <f>B38&amp;"_"&amp;L38</f>
        <v>Drought_Blue</v>
      </c>
      <c r="J38" t="str">
        <f>L38&amp;"_"&amp;C38</f>
        <v>Blue_Yes</v>
      </c>
      <c r="K38" s="1">
        <v>2</v>
      </c>
      <c r="L38" s="1" t="s">
        <v>630</v>
      </c>
    </row>
    <row r="39" spans="1:12" x14ac:dyDescent="0.2">
      <c r="A39" s="1" t="s">
        <v>664</v>
      </c>
      <c r="B39" s="1" t="s">
        <v>20</v>
      </c>
      <c r="C39" s="1" t="s">
        <v>44</v>
      </c>
      <c r="D39" t="s">
        <v>2071</v>
      </c>
      <c r="E39" t="s">
        <v>2076</v>
      </c>
      <c r="F39" s="1" t="s">
        <v>626</v>
      </c>
      <c r="G39" t="str">
        <f>B39&amp;"_"&amp;L39&amp;"_"&amp;C39</f>
        <v>Drought_Blue_Yes</v>
      </c>
      <c r="H39" t="str">
        <f>B39&amp;"_"&amp;C39</f>
        <v>Drought_Yes</v>
      </c>
      <c r="I39" t="str">
        <f>B39&amp;"_"&amp;L39</f>
        <v>Drought_Blue</v>
      </c>
      <c r="J39" t="str">
        <f>L39&amp;"_"&amp;C39</f>
        <v>Blue_Yes</v>
      </c>
      <c r="K39" s="1">
        <v>2</v>
      </c>
      <c r="L39" s="1" t="s">
        <v>630</v>
      </c>
    </row>
    <row r="40" spans="1:12" x14ac:dyDescent="0.2">
      <c r="A40" s="1" t="s">
        <v>665</v>
      </c>
      <c r="B40" s="1" t="s">
        <v>20</v>
      </c>
      <c r="C40" s="1" t="s">
        <v>22</v>
      </c>
      <c r="D40" t="s">
        <v>2072</v>
      </c>
      <c r="E40" t="s">
        <v>2075</v>
      </c>
      <c r="F40" s="1" t="s">
        <v>19</v>
      </c>
      <c r="G40" t="str">
        <f>B40&amp;"_"&amp;L40&amp;"_"&amp;C40</f>
        <v>Drought_Yellow_No</v>
      </c>
      <c r="H40" t="str">
        <f>B40&amp;"_"&amp;C40</f>
        <v>Drought_No</v>
      </c>
      <c r="I40" t="str">
        <f>B40&amp;"_"&amp;L40</f>
        <v>Drought_Yellow</v>
      </c>
      <c r="J40" t="str">
        <f>L40&amp;"_"&amp;C40</f>
        <v>Yellow_No</v>
      </c>
      <c r="K40" s="1">
        <v>1</v>
      </c>
      <c r="L40" s="1" t="s">
        <v>21</v>
      </c>
    </row>
    <row r="41" spans="1:12" x14ac:dyDescent="0.2">
      <c r="A41" s="1" t="s">
        <v>666</v>
      </c>
      <c r="B41" s="1" t="s">
        <v>20</v>
      </c>
      <c r="C41" s="1" t="s">
        <v>44</v>
      </c>
      <c r="D41" t="s">
        <v>2072</v>
      </c>
      <c r="E41" t="s">
        <v>2075</v>
      </c>
      <c r="F41" s="1" t="s">
        <v>628</v>
      </c>
      <c r="G41" t="str">
        <f>B41&amp;"_"&amp;L41&amp;"_"&amp;C41</f>
        <v>Drought_Yellow_Yes</v>
      </c>
      <c r="H41" t="str">
        <f>B41&amp;"_"&amp;C41</f>
        <v>Drought_Yes</v>
      </c>
      <c r="I41" t="str">
        <f>B41&amp;"_"&amp;L41</f>
        <v>Drought_Yellow</v>
      </c>
      <c r="J41" t="str">
        <f>L41&amp;"_"&amp;C41</f>
        <v>Yellow_Yes</v>
      </c>
      <c r="K41" s="1">
        <v>1</v>
      </c>
      <c r="L41" s="1" t="s">
        <v>21</v>
      </c>
    </row>
    <row r="42" spans="1:12" x14ac:dyDescent="0.2">
      <c r="A42" s="1" t="s">
        <v>667</v>
      </c>
      <c r="B42" s="1" t="s">
        <v>20</v>
      </c>
      <c r="C42" s="1" t="s">
        <v>22</v>
      </c>
      <c r="D42" t="s">
        <v>2071</v>
      </c>
      <c r="E42" t="s">
        <v>2075</v>
      </c>
      <c r="F42" s="1" t="s">
        <v>19</v>
      </c>
      <c r="G42" t="str">
        <f>B42&amp;"_"&amp;L42&amp;"_"&amp;C42</f>
        <v>Drought_Blue_No</v>
      </c>
      <c r="H42" t="str">
        <f>B42&amp;"_"&amp;C42</f>
        <v>Drought_No</v>
      </c>
      <c r="I42" t="str">
        <f>B42&amp;"_"&amp;L42</f>
        <v>Drought_Blue</v>
      </c>
      <c r="J42" t="str">
        <f>L42&amp;"_"&amp;C42</f>
        <v>Blue_No</v>
      </c>
      <c r="K42" s="1">
        <v>2</v>
      </c>
      <c r="L42" s="1" t="s">
        <v>630</v>
      </c>
    </row>
    <row r="43" spans="1:12" x14ac:dyDescent="0.2">
      <c r="A43" s="1" t="s">
        <v>668</v>
      </c>
      <c r="B43" s="1" t="s">
        <v>20</v>
      </c>
      <c r="C43" s="1" t="s">
        <v>22</v>
      </c>
      <c r="D43" t="s">
        <v>2071</v>
      </c>
      <c r="E43" t="s">
        <v>2075</v>
      </c>
      <c r="F43" s="1" t="s">
        <v>35</v>
      </c>
      <c r="G43" t="str">
        <f>B43&amp;"_"&amp;L43&amp;"_"&amp;C43</f>
        <v>Drought_Blue_No</v>
      </c>
      <c r="H43" t="str">
        <f>B43&amp;"_"&amp;C43</f>
        <v>Drought_No</v>
      </c>
      <c r="I43" t="str">
        <f>B43&amp;"_"&amp;L43</f>
        <v>Drought_Blue</v>
      </c>
      <c r="J43" t="str">
        <f>L43&amp;"_"&amp;C43</f>
        <v>Blue_No</v>
      </c>
      <c r="K43" s="1">
        <v>2</v>
      </c>
      <c r="L43" s="1" t="s">
        <v>630</v>
      </c>
    </row>
    <row r="44" spans="1:12" x14ac:dyDescent="0.2">
      <c r="A44" s="1" t="s">
        <v>669</v>
      </c>
      <c r="B44" s="1" t="s">
        <v>20</v>
      </c>
      <c r="C44" s="1" t="s">
        <v>22</v>
      </c>
      <c r="D44" t="s">
        <v>2071</v>
      </c>
      <c r="E44" t="s">
        <v>2076</v>
      </c>
      <c r="F44" s="1" t="s">
        <v>624</v>
      </c>
      <c r="G44" t="str">
        <f>B44&amp;"_"&amp;L44&amp;"_"&amp;C44</f>
        <v>Drought_Blue_No</v>
      </c>
      <c r="H44" t="str">
        <f>B44&amp;"_"&amp;C44</f>
        <v>Drought_No</v>
      </c>
      <c r="I44" t="str">
        <f>B44&amp;"_"&amp;L44</f>
        <v>Drought_Blue</v>
      </c>
      <c r="J44" t="str">
        <f>L44&amp;"_"&amp;C44</f>
        <v>Blue_No</v>
      </c>
      <c r="K44" s="1">
        <v>2</v>
      </c>
      <c r="L44" s="1" t="s">
        <v>630</v>
      </c>
    </row>
    <row r="45" spans="1:12" x14ac:dyDescent="0.2">
      <c r="A45" s="1" t="s">
        <v>670</v>
      </c>
      <c r="B45" s="1" t="s">
        <v>20</v>
      </c>
      <c r="C45" s="1" t="s">
        <v>44</v>
      </c>
      <c r="D45" t="s">
        <v>2071</v>
      </c>
      <c r="E45" t="s">
        <v>2075</v>
      </c>
      <c r="F45" s="1" t="s">
        <v>640</v>
      </c>
      <c r="G45" t="str">
        <f>B45&amp;"_"&amp;L45&amp;"_"&amp;C45</f>
        <v>Drought_Blue_Yes</v>
      </c>
      <c r="H45" t="str">
        <f>B45&amp;"_"&amp;C45</f>
        <v>Drought_Yes</v>
      </c>
      <c r="I45" t="str">
        <f>B45&amp;"_"&amp;L45</f>
        <v>Drought_Blue</v>
      </c>
      <c r="J45" t="str">
        <f>L45&amp;"_"&amp;C45</f>
        <v>Blue_Yes</v>
      </c>
      <c r="K45" s="1">
        <v>2</v>
      </c>
      <c r="L45" s="1" t="s">
        <v>630</v>
      </c>
    </row>
    <row r="46" spans="1:12" x14ac:dyDescent="0.2">
      <c r="A46" s="1" t="s">
        <v>671</v>
      </c>
      <c r="B46" s="1" t="s">
        <v>20</v>
      </c>
      <c r="C46" s="1" t="s">
        <v>44</v>
      </c>
      <c r="D46" t="s">
        <v>2072</v>
      </c>
      <c r="E46" t="s">
        <v>2075</v>
      </c>
      <c r="F46" s="1" t="s">
        <v>640</v>
      </c>
      <c r="G46" t="str">
        <f>B46&amp;"_"&amp;L46&amp;"_"&amp;C46</f>
        <v>Drought_Yellow_Yes</v>
      </c>
      <c r="H46" t="str">
        <f>B46&amp;"_"&amp;C46</f>
        <v>Drought_Yes</v>
      </c>
      <c r="I46" t="str">
        <f>B46&amp;"_"&amp;L46</f>
        <v>Drought_Yellow</v>
      </c>
      <c r="J46" t="str">
        <f>L46&amp;"_"&amp;C46</f>
        <v>Yellow_Yes</v>
      </c>
      <c r="K46" s="1">
        <v>1</v>
      </c>
      <c r="L46" s="1" t="s">
        <v>21</v>
      </c>
    </row>
    <row r="47" spans="1:12" x14ac:dyDescent="0.2">
      <c r="A47" s="1" t="s">
        <v>672</v>
      </c>
      <c r="B47" s="1" t="s">
        <v>20</v>
      </c>
      <c r="C47" s="1" t="s">
        <v>22</v>
      </c>
      <c r="D47" t="s">
        <v>2072</v>
      </c>
      <c r="E47" t="s">
        <v>2076</v>
      </c>
      <c r="F47" s="1" t="s">
        <v>624</v>
      </c>
      <c r="G47" t="str">
        <f>B47&amp;"_"&amp;L47&amp;"_"&amp;C47</f>
        <v>Drought_Yellow_No</v>
      </c>
      <c r="H47" t="str">
        <f>B47&amp;"_"&amp;C47</f>
        <v>Drought_No</v>
      </c>
      <c r="I47" t="str">
        <f>B47&amp;"_"&amp;L47</f>
        <v>Drought_Yellow</v>
      </c>
      <c r="J47" t="str">
        <f>L47&amp;"_"&amp;C47</f>
        <v>Yellow_No</v>
      </c>
      <c r="K47" s="1">
        <v>1</v>
      </c>
      <c r="L47" s="1" t="s">
        <v>21</v>
      </c>
    </row>
    <row r="48" spans="1:12" x14ac:dyDescent="0.2">
      <c r="A48" s="1" t="s">
        <v>673</v>
      </c>
      <c r="B48" s="1" t="s">
        <v>20</v>
      </c>
      <c r="C48" s="1" t="s">
        <v>44</v>
      </c>
      <c r="D48" t="s">
        <v>2072</v>
      </c>
      <c r="E48" t="s">
        <v>2076</v>
      </c>
      <c r="F48" s="1" t="s">
        <v>626</v>
      </c>
      <c r="G48" t="str">
        <f>B48&amp;"_"&amp;L48&amp;"_"&amp;C48</f>
        <v>Drought_Yellow_Yes</v>
      </c>
      <c r="H48" t="str">
        <f>B48&amp;"_"&amp;C48</f>
        <v>Drought_Yes</v>
      </c>
      <c r="I48" t="str">
        <f>B48&amp;"_"&amp;L48</f>
        <v>Drought_Yellow</v>
      </c>
      <c r="J48" t="str">
        <f>L48&amp;"_"&amp;C48</f>
        <v>Yellow_Yes</v>
      </c>
      <c r="K48" s="1">
        <v>1</v>
      </c>
      <c r="L48" s="1" t="s">
        <v>21</v>
      </c>
    </row>
    <row r="49" spans="1:12" x14ac:dyDescent="0.2">
      <c r="A49" s="1" t="s">
        <v>674</v>
      </c>
      <c r="B49" s="1" t="s">
        <v>20</v>
      </c>
      <c r="C49" s="1" t="s">
        <v>22</v>
      </c>
      <c r="D49" t="s">
        <v>2072</v>
      </c>
      <c r="E49" t="s">
        <v>2075</v>
      </c>
      <c r="F49" s="1" t="s">
        <v>35</v>
      </c>
      <c r="G49" t="str">
        <f>B49&amp;"_"&amp;L49&amp;"_"&amp;C49</f>
        <v>Drought_Yellow_No</v>
      </c>
      <c r="H49" t="str">
        <f>B49&amp;"_"&amp;C49</f>
        <v>Drought_No</v>
      </c>
      <c r="I49" t="str">
        <f>B49&amp;"_"&amp;L49</f>
        <v>Drought_Yellow</v>
      </c>
      <c r="J49" t="str">
        <f>L49&amp;"_"&amp;C49</f>
        <v>Yellow_No</v>
      </c>
      <c r="K49" s="1">
        <v>1</v>
      </c>
      <c r="L49" s="1" t="s">
        <v>21</v>
      </c>
    </row>
    <row r="50" spans="1:12" x14ac:dyDescent="0.2">
      <c r="A50" s="1" t="s">
        <v>675</v>
      </c>
      <c r="B50" s="1" t="s">
        <v>20</v>
      </c>
      <c r="C50" s="1" t="s">
        <v>44</v>
      </c>
      <c r="D50" t="s">
        <v>2071</v>
      </c>
      <c r="E50" t="s">
        <v>2075</v>
      </c>
      <c r="F50" s="1" t="s">
        <v>640</v>
      </c>
      <c r="G50" t="str">
        <f>B50&amp;"_"&amp;L50&amp;"_"&amp;C50</f>
        <v>Drought_Blue_Yes</v>
      </c>
      <c r="H50" t="str">
        <f>B50&amp;"_"&amp;C50</f>
        <v>Drought_Yes</v>
      </c>
      <c r="I50" t="str">
        <f>B50&amp;"_"&amp;L50</f>
        <v>Drought_Blue</v>
      </c>
      <c r="J50" t="str">
        <f>L50&amp;"_"&amp;C50</f>
        <v>Blue_Yes</v>
      </c>
      <c r="K50" s="1">
        <v>2</v>
      </c>
      <c r="L50" s="1" t="s">
        <v>630</v>
      </c>
    </row>
    <row r="51" spans="1:12" x14ac:dyDescent="0.2">
      <c r="A51" s="1" t="s">
        <v>676</v>
      </c>
      <c r="B51" s="1" t="s">
        <v>20</v>
      </c>
      <c r="C51" s="1" t="s">
        <v>44</v>
      </c>
      <c r="D51" t="s">
        <v>2071</v>
      </c>
      <c r="E51" t="s">
        <v>2075</v>
      </c>
      <c r="F51" s="1" t="s">
        <v>628</v>
      </c>
      <c r="G51" t="str">
        <f>B51&amp;"_"&amp;L51&amp;"_"&amp;C51</f>
        <v>Drought_Blue_Yes</v>
      </c>
      <c r="H51" t="str">
        <f>B51&amp;"_"&amp;C51</f>
        <v>Drought_Yes</v>
      </c>
      <c r="I51" t="str">
        <f>B51&amp;"_"&amp;L51</f>
        <v>Drought_Blue</v>
      </c>
      <c r="J51" t="str">
        <f>L51&amp;"_"&amp;C51</f>
        <v>Blue_Yes</v>
      </c>
      <c r="K51" s="1">
        <v>2</v>
      </c>
      <c r="L51" s="1" t="s">
        <v>630</v>
      </c>
    </row>
    <row r="52" spans="1:12" x14ac:dyDescent="0.2">
      <c r="A52" s="1" t="s">
        <v>677</v>
      </c>
      <c r="B52" s="1" t="s">
        <v>20</v>
      </c>
      <c r="C52" s="1" t="s">
        <v>22</v>
      </c>
      <c r="D52" t="s">
        <v>2071</v>
      </c>
      <c r="E52" t="s">
        <v>2076</v>
      </c>
      <c r="F52" s="1" t="s">
        <v>624</v>
      </c>
      <c r="G52" t="str">
        <f>B52&amp;"_"&amp;L52&amp;"_"&amp;C52</f>
        <v>Drought_Blue_No</v>
      </c>
      <c r="H52" t="str">
        <f>B52&amp;"_"&amp;C52</f>
        <v>Drought_No</v>
      </c>
      <c r="I52" t="str">
        <f>B52&amp;"_"&amp;L52</f>
        <v>Drought_Blue</v>
      </c>
      <c r="J52" t="str">
        <f>L52&amp;"_"&amp;C52</f>
        <v>Blue_No</v>
      </c>
      <c r="K52" s="1">
        <v>2</v>
      </c>
      <c r="L52" s="1" t="s">
        <v>630</v>
      </c>
    </row>
    <row r="53" spans="1:12" x14ac:dyDescent="0.2">
      <c r="A53" s="1" t="s">
        <v>678</v>
      </c>
      <c r="B53" s="1" t="s">
        <v>20</v>
      </c>
      <c r="C53" s="1" t="s">
        <v>44</v>
      </c>
      <c r="D53" t="s">
        <v>2071</v>
      </c>
      <c r="E53" t="s">
        <v>2076</v>
      </c>
      <c r="F53" s="1" t="s">
        <v>626</v>
      </c>
      <c r="G53" t="str">
        <f>B53&amp;"_"&amp;L53&amp;"_"&amp;C53</f>
        <v>Drought_Blue_Yes</v>
      </c>
      <c r="H53" t="str">
        <f>B53&amp;"_"&amp;C53</f>
        <v>Drought_Yes</v>
      </c>
      <c r="I53" t="str">
        <f>B53&amp;"_"&amp;L53</f>
        <v>Drought_Blue</v>
      </c>
      <c r="J53" t="str">
        <f>L53&amp;"_"&amp;C53</f>
        <v>Blue_Yes</v>
      </c>
      <c r="K53" s="1">
        <v>2</v>
      </c>
      <c r="L53" s="1" t="s">
        <v>630</v>
      </c>
    </row>
    <row r="54" spans="1:12" x14ac:dyDescent="0.2">
      <c r="A54" s="1" t="s">
        <v>679</v>
      </c>
      <c r="B54" s="1" t="s">
        <v>20</v>
      </c>
      <c r="C54" s="1" t="s">
        <v>22</v>
      </c>
      <c r="D54" t="s">
        <v>2072</v>
      </c>
      <c r="E54" t="s">
        <v>2075</v>
      </c>
      <c r="F54" s="1" t="s">
        <v>19</v>
      </c>
      <c r="G54" t="str">
        <f>B54&amp;"_"&amp;L54&amp;"_"&amp;C54</f>
        <v>Drought_Yellow_No</v>
      </c>
      <c r="H54" t="str">
        <f>B54&amp;"_"&amp;C54</f>
        <v>Drought_No</v>
      </c>
      <c r="I54" t="str">
        <f>B54&amp;"_"&amp;L54</f>
        <v>Drought_Yellow</v>
      </c>
      <c r="J54" t="str">
        <f>L54&amp;"_"&amp;C54</f>
        <v>Yellow_No</v>
      </c>
      <c r="K54" s="1">
        <v>1</v>
      </c>
      <c r="L54" s="1" t="s">
        <v>21</v>
      </c>
    </row>
    <row r="55" spans="1:12" x14ac:dyDescent="0.2">
      <c r="A55" s="1" t="s">
        <v>680</v>
      </c>
      <c r="B55" s="1" t="s">
        <v>20</v>
      </c>
      <c r="C55" s="1" t="s">
        <v>44</v>
      </c>
      <c r="D55" t="s">
        <v>2072</v>
      </c>
      <c r="E55" t="s">
        <v>2076</v>
      </c>
      <c r="F55" s="1" t="s">
        <v>626</v>
      </c>
      <c r="G55" t="str">
        <f>B55&amp;"_"&amp;L55&amp;"_"&amp;C55</f>
        <v>Drought_Yellow_Yes</v>
      </c>
      <c r="H55" t="str">
        <f>B55&amp;"_"&amp;C55</f>
        <v>Drought_Yes</v>
      </c>
      <c r="I55" t="str">
        <f>B55&amp;"_"&amp;L55</f>
        <v>Drought_Yellow</v>
      </c>
      <c r="J55" t="str">
        <f>L55&amp;"_"&amp;C55</f>
        <v>Yellow_Yes</v>
      </c>
      <c r="K55" s="1">
        <v>1</v>
      </c>
      <c r="L55" s="1" t="s">
        <v>21</v>
      </c>
    </row>
    <row r="56" spans="1:12" x14ac:dyDescent="0.2">
      <c r="A56" s="1" t="s">
        <v>681</v>
      </c>
      <c r="B56" s="1" t="s">
        <v>20</v>
      </c>
      <c r="C56" s="1" t="s">
        <v>22</v>
      </c>
      <c r="D56" t="s">
        <v>2072</v>
      </c>
      <c r="E56" t="s">
        <v>2076</v>
      </c>
      <c r="F56" s="1" t="s">
        <v>624</v>
      </c>
      <c r="G56" t="str">
        <f>B56&amp;"_"&amp;L56&amp;"_"&amp;C56</f>
        <v>Drought_Yellow_No</v>
      </c>
      <c r="H56" t="str">
        <f>B56&amp;"_"&amp;C56</f>
        <v>Drought_No</v>
      </c>
      <c r="I56" t="str">
        <f>B56&amp;"_"&amp;L56</f>
        <v>Drought_Yellow</v>
      </c>
      <c r="J56" t="str">
        <f>L56&amp;"_"&amp;C56</f>
        <v>Yellow_No</v>
      </c>
      <c r="K56" s="1">
        <v>1</v>
      </c>
      <c r="L56" s="1" t="s">
        <v>21</v>
      </c>
    </row>
    <row r="57" spans="1:12" x14ac:dyDescent="0.2">
      <c r="A57" s="1" t="s">
        <v>682</v>
      </c>
      <c r="B57" s="1" t="s">
        <v>20</v>
      </c>
      <c r="C57" s="1" t="s">
        <v>44</v>
      </c>
      <c r="D57" t="s">
        <v>2072</v>
      </c>
      <c r="E57" t="s">
        <v>2075</v>
      </c>
      <c r="F57" s="1" t="s">
        <v>628</v>
      </c>
      <c r="G57" t="str">
        <f>B57&amp;"_"&amp;L57&amp;"_"&amp;C57</f>
        <v>Drought_Yellow_Yes</v>
      </c>
      <c r="H57" t="str">
        <f>B57&amp;"_"&amp;C57</f>
        <v>Drought_Yes</v>
      </c>
      <c r="I57" t="str">
        <f>B57&amp;"_"&amp;L57</f>
        <v>Drought_Yellow</v>
      </c>
      <c r="J57" t="str">
        <f>L57&amp;"_"&amp;C57</f>
        <v>Yellow_Yes</v>
      </c>
      <c r="K57" s="1">
        <v>1</v>
      </c>
      <c r="L57" s="1" t="s">
        <v>21</v>
      </c>
    </row>
    <row r="58" spans="1:12" x14ac:dyDescent="0.2">
      <c r="A58" s="1" t="s">
        <v>683</v>
      </c>
      <c r="B58" s="1" t="s">
        <v>20</v>
      </c>
      <c r="C58" s="1" t="s">
        <v>22</v>
      </c>
      <c r="D58" t="s">
        <v>2071</v>
      </c>
      <c r="E58" t="s">
        <v>2075</v>
      </c>
      <c r="F58" s="1" t="s">
        <v>35</v>
      </c>
      <c r="G58" t="str">
        <f>B58&amp;"_"&amp;L58&amp;"_"&amp;C58</f>
        <v>Drought_Blue_No</v>
      </c>
      <c r="H58" t="str">
        <f>B58&amp;"_"&amp;C58</f>
        <v>Drought_No</v>
      </c>
      <c r="I58" t="str">
        <f>B58&amp;"_"&amp;L58</f>
        <v>Drought_Blue</v>
      </c>
      <c r="J58" t="str">
        <f>L58&amp;"_"&amp;C58</f>
        <v>Blue_No</v>
      </c>
      <c r="K58" s="1">
        <v>2</v>
      </c>
      <c r="L58" s="1" t="s">
        <v>630</v>
      </c>
    </row>
    <row r="59" spans="1:12" x14ac:dyDescent="0.2">
      <c r="A59" s="1" t="s">
        <v>684</v>
      </c>
      <c r="B59" s="1" t="s">
        <v>20</v>
      </c>
      <c r="C59" s="1" t="s">
        <v>22</v>
      </c>
      <c r="D59" t="s">
        <v>2071</v>
      </c>
      <c r="E59" t="s">
        <v>2075</v>
      </c>
      <c r="F59" s="1" t="s">
        <v>19</v>
      </c>
      <c r="G59" t="str">
        <f>B59&amp;"_"&amp;L59&amp;"_"&amp;C59</f>
        <v>Drought_Blue_No</v>
      </c>
      <c r="H59" t="str">
        <f>B59&amp;"_"&amp;C59</f>
        <v>Drought_No</v>
      </c>
      <c r="I59" t="str">
        <f>B59&amp;"_"&amp;L59</f>
        <v>Drought_Blue</v>
      </c>
      <c r="J59" t="str">
        <f>L59&amp;"_"&amp;C59</f>
        <v>Blue_No</v>
      </c>
      <c r="K59" s="1">
        <v>2</v>
      </c>
      <c r="L59" s="1" t="s">
        <v>630</v>
      </c>
    </row>
    <row r="60" spans="1:12" x14ac:dyDescent="0.2">
      <c r="A60" s="1" t="s">
        <v>685</v>
      </c>
      <c r="B60" s="1" t="s">
        <v>20</v>
      </c>
      <c r="C60" s="1" t="s">
        <v>22</v>
      </c>
      <c r="D60" t="s">
        <v>2072</v>
      </c>
      <c r="E60" t="s">
        <v>2075</v>
      </c>
      <c r="F60" s="1" t="s">
        <v>35</v>
      </c>
      <c r="G60" t="str">
        <f>B60&amp;"_"&amp;L60&amp;"_"&amp;C60</f>
        <v>Drought_Yellow_No</v>
      </c>
      <c r="H60" t="str">
        <f>B60&amp;"_"&amp;C60</f>
        <v>Drought_No</v>
      </c>
      <c r="I60" t="str">
        <f>B60&amp;"_"&amp;L60</f>
        <v>Drought_Yellow</v>
      </c>
      <c r="J60" t="str">
        <f>L60&amp;"_"&amp;C60</f>
        <v>Yellow_No</v>
      </c>
      <c r="K60" s="1">
        <v>1</v>
      </c>
      <c r="L60" s="1" t="s">
        <v>21</v>
      </c>
    </row>
    <row r="61" spans="1:12" x14ac:dyDescent="0.2">
      <c r="A61" s="1" t="s">
        <v>686</v>
      </c>
      <c r="B61" s="1" t="s">
        <v>20</v>
      </c>
      <c r="C61" s="1" t="s">
        <v>44</v>
      </c>
      <c r="D61" t="s">
        <v>2072</v>
      </c>
      <c r="E61" t="s">
        <v>2075</v>
      </c>
      <c r="F61" s="1" t="s">
        <v>640</v>
      </c>
      <c r="G61" t="str">
        <f>B61&amp;"_"&amp;L61&amp;"_"&amp;C61</f>
        <v>Drought_Yellow_Yes</v>
      </c>
      <c r="H61" t="str">
        <f>B61&amp;"_"&amp;C61</f>
        <v>Drought_Yes</v>
      </c>
      <c r="I61" t="str">
        <f>B61&amp;"_"&amp;L61</f>
        <v>Drought_Yellow</v>
      </c>
      <c r="J61" t="str">
        <f>L61&amp;"_"&amp;C61</f>
        <v>Yellow_Yes</v>
      </c>
      <c r="K61" s="1">
        <v>1</v>
      </c>
      <c r="L61" s="1" t="s">
        <v>21</v>
      </c>
    </row>
    <row r="62" spans="1:12" x14ac:dyDescent="0.2">
      <c r="A62" s="1" t="s">
        <v>687</v>
      </c>
      <c r="B62" s="1" t="s">
        <v>133</v>
      </c>
      <c r="C62" s="1" t="s">
        <v>22</v>
      </c>
      <c r="D62" t="s">
        <v>2071</v>
      </c>
      <c r="E62" t="s">
        <v>2075</v>
      </c>
      <c r="F62" s="1" t="s">
        <v>19</v>
      </c>
      <c r="G62" t="str">
        <f>B62&amp;"_"&amp;L62&amp;"_"&amp;C62</f>
        <v>Control_Blue_No</v>
      </c>
      <c r="H62" t="str">
        <f>B62&amp;"_"&amp;C62</f>
        <v>Control_No</v>
      </c>
      <c r="I62" t="str">
        <f>B62&amp;"_"&amp;L62</f>
        <v>Control_Blue</v>
      </c>
      <c r="J62" t="str">
        <f>L62&amp;"_"&amp;C62</f>
        <v>Blue_No</v>
      </c>
      <c r="K62" s="1">
        <v>2</v>
      </c>
      <c r="L62" s="1" t="s">
        <v>630</v>
      </c>
    </row>
    <row r="63" spans="1:12" x14ac:dyDescent="0.2">
      <c r="A63" s="1" t="s">
        <v>688</v>
      </c>
      <c r="B63" s="1" t="s">
        <v>133</v>
      </c>
      <c r="C63" s="1" t="s">
        <v>22</v>
      </c>
      <c r="D63" t="s">
        <v>2071</v>
      </c>
      <c r="E63" t="s">
        <v>2075</v>
      </c>
      <c r="F63" s="1" t="s">
        <v>35</v>
      </c>
      <c r="G63" t="str">
        <f>B63&amp;"_"&amp;L63&amp;"_"&amp;C63</f>
        <v>Control_Blue_No</v>
      </c>
      <c r="H63" t="str">
        <f>B63&amp;"_"&amp;C63</f>
        <v>Control_No</v>
      </c>
      <c r="I63" t="str">
        <f>B63&amp;"_"&amp;L63</f>
        <v>Control_Blue</v>
      </c>
      <c r="J63" t="str">
        <f>L63&amp;"_"&amp;C63</f>
        <v>Blue_No</v>
      </c>
      <c r="K63" s="1">
        <v>2</v>
      </c>
      <c r="L63" s="1" t="s">
        <v>630</v>
      </c>
    </row>
    <row r="64" spans="1:12" x14ac:dyDescent="0.2">
      <c r="A64" s="1" t="s">
        <v>689</v>
      </c>
      <c r="B64" s="1" t="s">
        <v>133</v>
      </c>
      <c r="C64" s="1" t="s">
        <v>22</v>
      </c>
      <c r="D64" t="s">
        <v>2071</v>
      </c>
      <c r="E64" t="s">
        <v>2076</v>
      </c>
      <c r="F64" s="1" t="s">
        <v>624</v>
      </c>
      <c r="G64" t="str">
        <f>B64&amp;"_"&amp;L64&amp;"_"&amp;C64</f>
        <v>Control_Blue_No</v>
      </c>
      <c r="H64" t="str">
        <f>B64&amp;"_"&amp;C64</f>
        <v>Control_No</v>
      </c>
      <c r="I64" t="str">
        <f>B64&amp;"_"&amp;L64</f>
        <v>Control_Blue</v>
      </c>
      <c r="J64" t="str">
        <f>L64&amp;"_"&amp;C64</f>
        <v>Blue_No</v>
      </c>
      <c r="K64" s="1">
        <v>2</v>
      </c>
      <c r="L64" s="1" t="s">
        <v>630</v>
      </c>
    </row>
    <row r="65" spans="1:12" x14ac:dyDescent="0.2">
      <c r="A65" s="1" t="s">
        <v>690</v>
      </c>
      <c r="B65" s="1" t="s">
        <v>133</v>
      </c>
      <c r="C65" s="1" t="s">
        <v>44</v>
      </c>
      <c r="D65" t="s">
        <v>2071</v>
      </c>
      <c r="E65" t="s">
        <v>2076</v>
      </c>
      <c r="F65" s="1" t="s">
        <v>626</v>
      </c>
      <c r="G65" t="str">
        <f>B65&amp;"_"&amp;L65&amp;"_"&amp;C65</f>
        <v>Control_Blue_Yes</v>
      </c>
      <c r="H65" t="str">
        <f>B65&amp;"_"&amp;C65</f>
        <v>Control_Yes</v>
      </c>
      <c r="I65" t="str">
        <f>B65&amp;"_"&amp;L65</f>
        <v>Control_Blue</v>
      </c>
      <c r="J65" t="str">
        <f>L65&amp;"_"&amp;C65</f>
        <v>Blue_Yes</v>
      </c>
      <c r="K65" s="1">
        <v>2</v>
      </c>
      <c r="L65" s="1" t="s">
        <v>630</v>
      </c>
    </row>
    <row r="66" spans="1:12" x14ac:dyDescent="0.2">
      <c r="A66" s="1" t="s">
        <v>691</v>
      </c>
      <c r="B66" s="1" t="s">
        <v>133</v>
      </c>
      <c r="C66" s="1" t="s">
        <v>44</v>
      </c>
      <c r="D66" t="s">
        <v>2071</v>
      </c>
      <c r="E66" t="s">
        <v>2075</v>
      </c>
      <c r="F66" s="1" t="s">
        <v>628</v>
      </c>
      <c r="G66" t="str">
        <f>B66&amp;"_"&amp;L66&amp;"_"&amp;C66</f>
        <v>Control_Blue_Yes</v>
      </c>
      <c r="H66" t="str">
        <f>B66&amp;"_"&amp;C66</f>
        <v>Control_Yes</v>
      </c>
      <c r="I66" t="str">
        <f>B66&amp;"_"&amp;L66</f>
        <v>Control_Blue</v>
      </c>
      <c r="J66" t="str">
        <f>L66&amp;"_"&amp;C66</f>
        <v>Blue_Yes</v>
      </c>
      <c r="K66" s="1">
        <v>2</v>
      </c>
      <c r="L66" s="1" t="s">
        <v>630</v>
      </c>
    </row>
    <row r="67" spans="1:12" x14ac:dyDescent="0.2">
      <c r="A67" s="1" t="s">
        <v>692</v>
      </c>
      <c r="B67" s="1" t="s">
        <v>133</v>
      </c>
      <c r="C67" s="1" t="s">
        <v>44</v>
      </c>
      <c r="D67" t="s">
        <v>2071</v>
      </c>
      <c r="E67" t="s">
        <v>2075</v>
      </c>
      <c r="F67" s="1" t="s">
        <v>640</v>
      </c>
      <c r="G67" t="str">
        <f>B67&amp;"_"&amp;L67&amp;"_"&amp;C67</f>
        <v>Control_Blue_Yes</v>
      </c>
      <c r="H67" t="str">
        <f>B67&amp;"_"&amp;C67</f>
        <v>Control_Yes</v>
      </c>
      <c r="I67" t="str">
        <f>B67&amp;"_"&amp;L67</f>
        <v>Control_Blue</v>
      </c>
      <c r="J67" t="str">
        <f>L67&amp;"_"&amp;C67</f>
        <v>Blue_Yes</v>
      </c>
      <c r="K67" s="1">
        <v>2</v>
      </c>
      <c r="L67" s="1" t="s">
        <v>630</v>
      </c>
    </row>
    <row r="68" spans="1:12" x14ac:dyDescent="0.2">
      <c r="A68" s="1" t="s">
        <v>693</v>
      </c>
      <c r="B68" s="1" t="s">
        <v>133</v>
      </c>
      <c r="C68" s="1" t="s">
        <v>44</v>
      </c>
      <c r="D68" t="s">
        <v>2072</v>
      </c>
      <c r="E68" t="s">
        <v>2075</v>
      </c>
      <c r="F68" s="1" t="s">
        <v>640</v>
      </c>
      <c r="G68" t="str">
        <f>B68&amp;"_"&amp;L68&amp;"_"&amp;C68</f>
        <v>Control_Yellow_Yes</v>
      </c>
      <c r="H68" t="str">
        <f>B68&amp;"_"&amp;C68</f>
        <v>Control_Yes</v>
      </c>
      <c r="I68" t="str">
        <f>B68&amp;"_"&amp;L68</f>
        <v>Control_Yellow</v>
      </c>
      <c r="J68" t="str">
        <f>L68&amp;"_"&amp;C68</f>
        <v>Yellow_Yes</v>
      </c>
      <c r="K68" s="1">
        <v>1</v>
      </c>
      <c r="L68" s="1" t="s">
        <v>21</v>
      </c>
    </row>
    <row r="69" spans="1:12" x14ac:dyDescent="0.2">
      <c r="A69" s="1" t="s">
        <v>694</v>
      </c>
      <c r="B69" s="1" t="s">
        <v>133</v>
      </c>
      <c r="C69" s="1" t="s">
        <v>44</v>
      </c>
      <c r="D69" t="s">
        <v>2072</v>
      </c>
      <c r="E69" t="s">
        <v>2075</v>
      </c>
      <c r="F69" s="1" t="s">
        <v>628</v>
      </c>
      <c r="G69" t="str">
        <f>B69&amp;"_"&amp;L69&amp;"_"&amp;C69</f>
        <v>Control_Yellow_Yes</v>
      </c>
      <c r="H69" t="str">
        <f>B69&amp;"_"&amp;C69</f>
        <v>Control_Yes</v>
      </c>
      <c r="I69" t="str">
        <f>B69&amp;"_"&amp;L69</f>
        <v>Control_Yellow</v>
      </c>
      <c r="J69" t="str">
        <f>L69&amp;"_"&amp;C69</f>
        <v>Yellow_Yes</v>
      </c>
      <c r="K69" s="1">
        <v>1</v>
      </c>
      <c r="L69" s="1" t="s">
        <v>21</v>
      </c>
    </row>
    <row r="70" spans="1:12" x14ac:dyDescent="0.2">
      <c r="A70" s="1" t="s">
        <v>695</v>
      </c>
      <c r="B70" s="1" t="s">
        <v>133</v>
      </c>
      <c r="C70" s="1" t="s">
        <v>22</v>
      </c>
      <c r="D70" t="s">
        <v>2072</v>
      </c>
      <c r="E70" t="s">
        <v>2076</v>
      </c>
      <c r="F70" s="1" t="s">
        <v>624</v>
      </c>
      <c r="G70" t="str">
        <f>B70&amp;"_"&amp;L70&amp;"_"&amp;C70</f>
        <v>Control_Yellow_No</v>
      </c>
      <c r="H70" t="str">
        <f>B70&amp;"_"&amp;C70</f>
        <v>Control_No</v>
      </c>
      <c r="I70" t="str">
        <f>B70&amp;"_"&amp;L70</f>
        <v>Control_Yellow</v>
      </c>
      <c r="J70" t="str">
        <f>L70&amp;"_"&amp;C70</f>
        <v>Yellow_No</v>
      </c>
      <c r="K70" s="1">
        <v>1</v>
      </c>
      <c r="L70" s="1" t="s">
        <v>21</v>
      </c>
    </row>
    <row r="71" spans="1:12" x14ac:dyDescent="0.2">
      <c r="A71" s="1" t="s">
        <v>696</v>
      </c>
      <c r="B71" s="1" t="s">
        <v>133</v>
      </c>
      <c r="C71" s="1" t="s">
        <v>22</v>
      </c>
      <c r="D71" t="s">
        <v>2072</v>
      </c>
      <c r="E71" t="s">
        <v>2075</v>
      </c>
      <c r="F71" s="1" t="s">
        <v>19</v>
      </c>
      <c r="G71" t="str">
        <f>B71&amp;"_"&amp;L71&amp;"_"&amp;C71</f>
        <v>Control_Yellow_No</v>
      </c>
      <c r="H71" t="str">
        <f>B71&amp;"_"&amp;C71</f>
        <v>Control_No</v>
      </c>
      <c r="I71" t="str">
        <f>B71&amp;"_"&amp;L71</f>
        <v>Control_Yellow</v>
      </c>
      <c r="J71" t="str">
        <f>L71&amp;"_"&amp;C71</f>
        <v>Yellow_No</v>
      </c>
      <c r="K71" s="1">
        <v>1</v>
      </c>
      <c r="L71" s="1" t="s">
        <v>21</v>
      </c>
    </row>
    <row r="72" spans="1:12" x14ac:dyDescent="0.2">
      <c r="A72" s="1" t="s">
        <v>697</v>
      </c>
      <c r="B72" s="1" t="s">
        <v>133</v>
      </c>
      <c r="C72" s="1" t="s">
        <v>44</v>
      </c>
      <c r="D72" t="s">
        <v>2072</v>
      </c>
      <c r="E72" t="s">
        <v>2076</v>
      </c>
      <c r="F72" s="1" t="s">
        <v>626</v>
      </c>
      <c r="G72" t="str">
        <f>B72&amp;"_"&amp;L72&amp;"_"&amp;C72</f>
        <v>Control_Yellow_Yes</v>
      </c>
      <c r="H72" t="str">
        <f>B72&amp;"_"&amp;C72</f>
        <v>Control_Yes</v>
      </c>
      <c r="I72" t="str">
        <f>B72&amp;"_"&amp;L72</f>
        <v>Control_Yellow</v>
      </c>
      <c r="J72" t="str">
        <f>L72&amp;"_"&amp;C72</f>
        <v>Yellow_Yes</v>
      </c>
      <c r="K72" s="1">
        <v>1</v>
      </c>
      <c r="L72" s="1" t="s">
        <v>21</v>
      </c>
    </row>
    <row r="73" spans="1:12" x14ac:dyDescent="0.2">
      <c r="A73" s="1" t="s">
        <v>698</v>
      </c>
      <c r="B73" s="1" t="s">
        <v>133</v>
      </c>
      <c r="C73" s="1" t="s">
        <v>22</v>
      </c>
      <c r="D73" t="s">
        <v>2072</v>
      </c>
      <c r="E73" t="s">
        <v>2075</v>
      </c>
      <c r="F73" s="1" t="s">
        <v>35</v>
      </c>
      <c r="G73" t="str">
        <f>B73&amp;"_"&amp;L73&amp;"_"&amp;C73</f>
        <v>Control_Yellow_No</v>
      </c>
      <c r="H73" t="str">
        <f>B73&amp;"_"&amp;C73</f>
        <v>Control_No</v>
      </c>
      <c r="I73" t="str">
        <f>B73&amp;"_"&amp;L73</f>
        <v>Control_Yellow</v>
      </c>
      <c r="J73" t="str">
        <f>L73&amp;"_"&amp;C73</f>
        <v>Yellow_No</v>
      </c>
      <c r="K73" s="1">
        <v>1</v>
      </c>
      <c r="L73" s="1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85FAB-8367-BF45-96F0-F991BE323C2B}">
  <dimension ref="A1:AB73"/>
  <sheetViews>
    <sheetView topLeftCell="A3" zoomScaleNormal="100" zoomScalePageLayoutView="110" workbookViewId="0">
      <selection activeCell="K7" sqref="K7"/>
    </sheetView>
  </sheetViews>
  <sheetFormatPr baseColWidth="10" defaultColWidth="11" defaultRowHeight="19" customHeight="1" x14ac:dyDescent="0.2"/>
  <cols>
    <col min="1" max="1" width="4.6640625" bestFit="1" customWidth="1"/>
    <col min="2" max="2" width="4.33203125" bestFit="1" customWidth="1"/>
    <col min="3" max="3" width="4" bestFit="1" customWidth="1"/>
    <col min="4" max="4" width="16.6640625" customWidth="1"/>
    <col min="5" max="5" width="7.6640625" bestFit="1" customWidth="1"/>
    <col min="6" max="6" width="11.33203125" style="5" customWidth="1"/>
    <col min="7" max="8" width="10.5" style="5" bestFit="1" customWidth="1"/>
    <col min="9" max="9" width="10.83203125" customWidth="1"/>
    <col min="10" max="10" width="9.83203125" bestFit="1" customWidth="1"/>
    <col min="11" max="11" width="12.33203125" customWidth="1"/>
    <col min="12" max="12" width="9.83203125" bestFit="1" customWidth="1"/>
    <col min="13" max="15" width="11" style="5"/>
    <col min="16" max="16" width="10.6640625" style="5" customWidth="1"/>
  </cols>
  <sheetData>
    <row r="1" spans="1:28" s="1" customFormat="1" ht="19" customHeight="1" x14ac:dyDescent="0.2">
      <c r="A1" s="1" t="s">
        <v>0</v>
      </c>
      <c r="B1" s="1" t="s">
        <v>1</v>
      </c>
      <c r="C1" s="1" t="s">
        <v>1801</v>
      </c>
      <c r="D1" s="1" t="s">
        <v>621</v>
      </c>
      <c r="E1" s="1" t="s">
        <v>20</v>
      </c>
      <c r="F1" s="3" t="s">
        <v>1802</v>
      </c>
      <c r="G1" s="3" t="s">
        <v>1803</v>
      </c>
      <c r="H1" s="3" t="s">
        <v>1804</v>
      </c>
      <c r="I1" s="11" t="s">
        <v>1879</v>
      </c>
      <c r="J1" s="11" t="s">
        <v>1880</v>
      </c>
      <c r="K1" s="12" t="s">
        <v>1881</v>
      </c>
      <c r="L1" s="11" t="s">
        <v>1882</v>
      </c>
      <c r="M1" s="11" t="s">
        <v>1883</v>
      </c>
      <c r="N1" s="11" t="s">
        <v>1884</v>
      </c>
      <c r="O1" s="11" t="s">
        <v>1885</v>
      </c>
      <c r="P1" s="11" t="s">
        <v>1886</v>
      </c>
      <c r="Q1" s="11" t="s">
        <v>1887</v>
      </c>
      <c r="R1" s="11" t="s">
        <v>1888</v>
      </c>
      <c r="S1" s="11" t="s">
        <v>1889</v>
      </c>
      <c r="T1" s="11" t="s">
        <v>1890</v>
      </c>
      <c r="U1" s="11" t="s">
        <v>1891</v>
      </c>
      <c r="V1" s="11" t="s">
        <v>1892</v>
      </c>
      <c r="W1" s="11" t="s">
        <v>1893</v>
      </c>
      <c r="X1" s="11" t="s">
        <v>1894</v>
      </c>
      <c r="Y1" s="11" t="s">
        <v>1895</v>
      </c>
      <c r="Z1" s="11" t="s">
        <v>1896</v>
      </c>
      <c r="AA1" s="11" t="s">
        <v>1897</v>
      </c>
      <c r="AB1" s="11" t="s">
        <v>1898</v>
      </c>
    </row>
    <row r="2" spans="1:28" s="4" customFormat="1" ht="19" customHeight="1" x14ac:dyDescent="0.2">
      <c r="A2" s="4" t="s">
        <v>14</v>
      </c>
      <c r="B2" s="4" t="s">
        <v>15</v>
      </c>
      <c r="C2" s="4" t="s">
        <v>16</v>
      </c>
      <c r="D2" s="4" t="str">
        <f>A2&amp;"-"&amp;B2&amp;"-"&amp;C2</f>
        <v>B1-P1-C1</v>
      </c>
      <c r="E2" s="4" t="s">
        <v>20</v>
      </c>
      <c r="F2" s="4">
        <v>20.5</v>
      </c>
      <c r="G2" s="4">
        <v>22.1</v>
      </c>
      <c r="H2" s="4">
        <v>21</v>
      </c>
      <c r="I2" s="4">
        <v>24.1</v>
      </c>
      <c r="J2" s="4">
        <v>24.7</v>
      </c>
      <c r="K2" s="4">
        <v>21.8</v>
      </c>
      <c r="L2" s="4">
        <v>11.9</v>
      </c>
      <c r="M2" s="4">
        <v>9.4</v>
      </c>
      <c r="N2" s="4">
        <v>14.9</v>
      </c>
      <c r="O2" s="4">
        <v>11.5</v>
      </c>
      <c r="P2" s="4">
        <v>16.5</v>
      </c>
      <c r="Q2" s="4">
        <v>10.3</v>
      </c>
      <c r="R2" s="4">
        <v>4.5</v>
      </c>
      <c r="S2" s="4">
        <v>2.2999999999999998</v>
      </c>
      <c r="T2" s="4">
        <v>3.8</v>
      </c>
      <c r="U2" s="4">
        <v>6.5</v>
      </c>
      <c r="V2" s="4">
        <v>17.100000000000001</v>
      </c>
      <c r="W2" s="4">
        <v>2.5</v>
      </c>
      <c r="X2" s="4">
        <v>7.4</v>
      </c>
      <c r="Y2" s="4">
        <v>14.5</v>
      </c>
      <c r="Z2" s="4">
        <v>15</v>
      </c>
      <c r="AA2" s="4">
        <v>13.5</v>
      </c>
      <c r="AB2" s="4">
        <v>6.8</v>
      </c>
    </row>
    <row r="3" spans="1:28" s="4" customFormat="1" ht="19" customHeight="1" x14ac:dyDescent="0.2">
      <c r="A3" s="4" t="s">
        <v>14</v>
      </c>
      <c r="B3" s="4" t="s">
        <v>15</v>
      </c>
      <c r="C3" s="4" t="s">
        <v>32</v>
      </c>
      <c r="D3" s="4" t="str">
        <f t="shared" ref="D3:D66" si="0">A3&amp;"-"&amp;B3&amp;"-"&amp;C3</f>
        <v>B1-P1-C2</v>
      </c>
      <c r="E3" s="4" t="s">
        <v>20</v>
      </c>
      <c r="F3" s="4">
        <v>19.7</v>
      </c>
      <c r="G3" s="4">
        <v>22.4</v>
      </c>
      <c r="H3" s="4">
        <v>20</v>
      </c>
      <c r="I3" s="4">
        <v>22.8</v>
      </c>
      <c r="J3" s="4">
        <v>23.9</v>
      </c>
      <c r="K3" s="4">
        <v>19.2</v>
      </c>
      <c r="L3" s="4">
        <v>10</v>
      </c>
      <c r="M3" s="4">
        <v>8.3000000000000007</v>
      </c>
      <c r="N3" s="4">
        <v>14.4</v>
      </c>
      <c r="O3" s="4">
        <v>11.6</v>
      </c>
      <c r="P3" s="4">
        <v>18.7</v>
      </c>
      <c r="Q3" s="4">
        <v>14.1</v>
      </c>
      <c r="R3" s="4">
        <v>4.2</v>
      </c>
      <c r="S3" s="4">
        <v>1.5</v>
      </c>
      <c r="T3" s="4">
        <v>3.8</v>
      </c>
      <c r="U3" s="4">
        <v>6.1</v>
      </c>
      <c r="V3" s="4">
        <v>16.2</v>
      </c>
      <c r="W3" s="4">
        <v>3.1</v>
      </c>
      <c r="X3" s="4">
        <v>6.2</v>
      </c>
      <c r="Y3" s="4">
        <v>15.2</v>
      </c>
      <c r="Z3" s="4">
        <v>14.1</v>
      </c>
      <c r="AA3" s="4">
        <v>13.8</v>
      </c>
      <c r="AB3" s="4">
        <v>8.9</v>
      </c>
    </row>
    <row r="4" spans="1:28" s="4" customFormat="1" ht="19" customHeight="1" x14ac:dyDescent="0.2">
      <c r="A4" s="4" t="s">
        <v>14</v>
      </c>
      <c r="B4" s="4" t="s">
        <v>15</v>
      </c>
      <c r="C4" s="4" t="s">
        <v>42</v>
      </c>
      <c r="D4" s="4" t="str">
        <f t="shared" si="0"/>
        <v>B1-P1-C3</v>
      </c>
      <c r="E4" s="4" t="s">
        <v>20</v>
      </c>
      <c r="F4" s="4">
        <v>20</v>
      </c>
      <c r="G4" s="4">
        <v>22.8</v>
      </c>
      <c r="H4" s="4">
        <v>22.2</v>
      </c>
      <c r="I4" s="4">
        <v>23.2</v>
      </c>
      <c r="J4" s="4">
        <v>25.1</v>
      </c>
      <c r="K4" s="4">
        <v>16.600000000000001</v>
      </c>
      <c r="L4" s="4">
        <v>10.1</v>
      </c>
      <c r="M4" s="4">
        <v>8.9</v>
      </c>
      <c r="N4" s="4">
        <v>14.7</v>
      </c>
      <c r="O4" s="4">
        <v>10.9</v>
      </c>
      <c r="P4" s="4">
        <v>16.899999999999999</v>
      </c>
      <c r="Q4" s="4">
        <v>11.9</v>
      </c>
      <c r="R4" s="4">
        <v>2.9</v>
      </c>
      <c r="S4" s="4">
        <v>1.2</v>
      </c>
      <c r="T4" s="4">
        <v>2.8</v>
      </c>
      <c r="U4" s="4">
        <v>5.7</v>
      </c>
      <c r="V4" s="4">
        <v>13.7</v>
      </c>
      <c r="W4" s="4">
        <v>1.5</v>
      </c>
      <c r="X4" s="4">
        <v>8.1</v>
      </c>
      <c r="Y4" s="4">
        <v>13.3</v>
      </c>
      <c r="Z4" s="4">
        <v>13</v>
      </c>
      <c r="AA4" s="4">
        <v>12.3</v>
      </c>
      <c r="AB4" s="4">
        <v>3.1</v>
      </c>
    </row>
    <row r="5" spans="1:28" s="4" customFormat="1" ht="19" customHeight="1" x14ac:dyDescent="0.2">
      <c r="A5" s="4" t="s">
        <v>14</v>
      </c>
      <c r="B5" s="4" t="s">
        <v>15</v>
      </c>
      <c r="C5" s="4" t="s">
        <v>53</v>
      </c>
      <c r="D5" s="4" t="str">
        <f t="shared" si="0"/>
        <v>B1-P1-C4</v>
      </c>
      <c r="E5" s="4" t="s">
        <v>20</v>
      </c>
      <c r="F5" s="4">
        <v>21.6</v>
      </c>
      <c r="G5" s="4">
        <v>20.7</v>
      </c>
      <c r="H5" s="4">
        <v>19.5</v>
      </c>
      <c r="I5" s="4">
        <v>21.4</v>
      </c>
      <c r="J5" s="4">
        <v>25</v>
      </c>
      <c r="K5" s="4">
        <v>22.8</v>
      </c>
      <c r="L5" s="4">
        <v>13</v>
      </c>
      <c r="M5" s="4">
        <v>8.1999999999999993</v>
      </c>
      <c r="N5" s="4">
        <v>14.4</v>
      </c>
      <c r="O5" s="4">
        <v>10.3</v>
      </c>
      <c r="P5" s="4">
        <v>17.5</v>
      </c>
      <c r="Q5" s="4">
        <v>11</v>
      </c>
      <c r="R5" s="4">
        <v>1.9</v>
      </c>
      <c r="S5" s="4">
        <v>0.6</v>
      </c>
      <c r="T5" s="4">
        <v>2.7</v>
      </c>
      <c r="U5" s="4">
        <v>6.1</v>
      </c>
      <c r="V5" s="4">
        <v>14.1</v>
      </c>
      <c r="W5" s="4">
        <v>1.6</v>
      </c>
      <c r="X5" s="4">
        <v>7.5</v>
      </c>
      <c r="Y5" s="4">
        <v>13.8</v>
      </c>
      <c r="Z5" s="4">
        <v>13.2</v>
      </c>
      <c r="AA5" s="4">
        <v>11</v>
      </c>
      <c r="AB5" s="4">
        <v>3.4</v>
      </c>
    </row>
    <row r="6" spans="1:28" s="3" customFormat="1" ht="19" customHeight="1" x14ac:dyDescent="0.2">
      <c r="A6" s="3" t="s">
        <v>14</v>
      </c>
      <c r="B6" s="3" t="s">
        <v>62</v>
      </c>
      <c r="C6" s="3" t="s">
        <v>16</v>
      </c>
      <c r="D6" s="3" t="str">
        <f t="shared" si="0"/>
        <v>B1-P2-C1</v>
      </c>
      <c r="E6" s="3" t="s">
        <v>20</v>
      </c>
      <c r="F6" s="3">
        <v>13.8</v>
      </c>
      <c r="G6" s="3">
        <v>14.1</v>
      </c>
      <c r="H6" s="3">
        <v>12.6</v>
      </c>
      <c r="I6" s="3">
        <v>18.8</v>
      </c>
      <c r="J6" s="3">
        <v>16.600000000000001</v>
      </c>
      <c r="K6" s="3">
        <v>13.2</v>
      </c>
      <c r="L6" s="3">
        <v>8.3000000000000007</v>
      </c>
      <c r="M6" s="3">
        <v>7.3</v>
      </c>
      <c r="N6" s="3">
        <v>10.6</v>
      </c>
      <c r="O6" s="3">
        <v>4.8</v>
      </c>
      <c r="P6" s="3">
        <v>4.7</v>
      </c>
      <c r="Q6" s="3">
        <v>1.5</v>
      </c>
      <c r="R6" s="3">
        <v>1.2</v>
      </c>
      <c r="S6" s="3">
        <v>0</v>
      </c>
      <c r="T6" s="3">
        <v>1.4</v>
      </c>
      <c r="U6" s="3">
        <v>4</v>
      </c>
      <c r="V6" s="3">
        <v>11.5</v>
      </c>
      <c r="W6" s="3">
        <v>0.8</v>
      </c>
      <c r="X6" s="3">
        <v>5.3</v>
      </c>
      <c r="Y6" s="3">
        <v>8.1999999999999993</v>
      </c>
      <c r="Z6" s="3">
        <v>11.2</v>
      </c>
      <c r="AA6" s="3">
        <v>6.5</v>
      </c>
      <c r="AB6" s="3">
        <v>1.1000000000000001</v>
      </c>
    </row>
    <row r="7" spans="1:28" s="3" customFormat="1" ht="19" customHeight="1" x14ac:dyDescent="0.2">
      <c r="A7" s="3" t="s">
        <v>14</v>
      </c>
      <c r="B7" s="3" t="s">
        <v>62</v>
      </c>
      <c r="C7" s="3" t="s">
        <v>32</v>
      </c>
      <c r="D7" s="3" t="str">
        <f t="shared" si="0"/>
        <v>B1-P2-C2</v>
      </c>
      <c r="E7" s="3" t="s">
        <v>20</v>
      </c>
      <c r="F7" s="3">
        <v>14.6</v>
      </c>
      <c r="G7" s="3">
        <v>17.100000000000001</v>
      </c>
      <c r="H7" s="3">
        <v>16.899999999999999</v>
      </c>
      <c r="I7" s="3">
        <v>19.600000000000001</v>
      </c>
      <c r="J7" s="3">
        <v>19.399999999999999</v>
      </c>
      <c r="K7" s="3">
        <v>15.6</v>
      </c>
      <c r="L7" s="3">
        <v>9.4</v>
      </c>
      <c r="M7" s="3">
        <v>6.7</v>
      </c>
      <c r="N7" s="3">
        <v>12.7</v>
      </c>
      <c r="O7" s="3">
        <v>11.2</v>
      </c>
      <c r="P7" s="3">
        <v>18.5</v>
      </c>
      <c r="Q7" s="3">
        <v>15.6</v>
      </c>
      <c r="R7" s="3">
        <v>6.5</v>
      </c>
      <c r="S7" s="3">
        <v>2.1</v>
      </c>
      <c r="T7" s="3">
        <v>4.0999999999999996</v>
      </c>
      <c r="U7" s="3">
        <v>5.5</v>
      </c>
      <c r="V7" s="3">
        <v>17</v>
      </c>
      <c r="W7" s="3">
        <v>1.9</v>
      </c>
      <c r="X7" s="3">
        <v>7.2</v>
      </c>
      <c r="Y7" s="3">
        <v>11.6</v>
      </c>
      <c r="Z7" s="3">
        <v>13.2</v>
      </c>
      <c r="AA7" s="3">
        <v>11.9</v>
      </c>
      <c r="AB7" s="3">
        <v>3.4</v>
      </c>
    </row>
    <row r="8" spans="1:28" s="3" customFormat="1" ht="19" customHeight="1" x14ac:dyDescent="0.2">
      <c r="A8" s="3" t="s">
        <v>14</v>
      </c>
      <c r="B8" s="3" t="s">
        <v>62</v>
      </c>
      <c r="C8" s="3" t="s">
        <v>42</v>
      </c>
      <c r="D8" s="3" t="str">
        <f t="shared" si="0"/>
        <v>B1-P2-C3</v>
      </c>
      <c r="E8" s="3" t="s">
        <v>20</v>
      </c>
      <c r="F8" s="3">
        <v>18.2</v>
      </c>
      <c r="G8" s="3">
        <v>20.100000000000001</v>
      </c>
      <c r="H8" s="3">
        <v>18.8</v>
      </c>
      <c r="I8" s="3">
        <v>22.6</v>
      </c>
      <c r="J8" s="3">
        <v>25.6</v>
      </c>
      <c r="K8" s="3">
        <v>21.8</v>
      </c>
      <c r="L8" s="3">
        <v>12.5</v>
      </c>
      <c r="M8" s="3">
        <v>9.6999999999999993</v>
      </c>
      <c r="N8" s="3">
        <v>16.5</v>
      </c>
      <c r="O8" s="3">
        <v>10.199999999999999</v>
      </c>
      <c r="P8" s="3">
        <v>13.8</v>
      </c>
      <c r="Q8" s="3">
        <v>4.9000000000000004</v>
      </c>
      <c r="R8" s="3">
        <v>1.1000000000000001</v>
      </c>
      <c r="S8" s="3">
        <v>1.7</v>
      </c>
      <c r="T8" s="3">
        <v>4</v>
      </c>
      <c r="U8" s="3">
        <v>5.0999999999999996</v>
      </c>
      <c r="V8" s="3">
        <v>15.3</v>
      </c>
      <c r="W8" s="3">
        <v>1.4</v>
      </c>
      <c r="X8" s="3">
        <v>7.6</v>
      </c>
      <c r="Y8" s="3">
        <v>12.6</v>
      </c>
      <c r="Z8" s="3">
        <v>10.1</v>
      </c>
      <c r="AA8" s="3">
        <v>7.1</v>
      </c>
      <c r="AB8" s="3">
        <v>2.2000000000000002</v>
      </c>
    </row>
    <row r="9" spans="1:28" s="3" customFormat="1" ht="19" customHeight="1" x14ac:dyDescent="0.2">
      <c r="A9" s="3" t="s">
        <v>14</v>
      </c>
      <c r="B9" s="3" t="s">
        <v>62</v>
      </c>
      <c r="C9" s="3" t="s">
        <v>53</v>
      </c>
      <c r="D9" s="3" t="str">
        <f t="shared" si="0"/>
        <v>B1-P2-C4</v>
      </c>
      <c r="E9" s="3" t="s">
        <v>20</v>
      </c>
      <c r="F9" s="3">
        <v>24.6</v>
      </c>
      <c r="G9" s="3">
        <v>25.7</v>
      </c>
      <c r="H9" s="3">
        <v>22.6</v>
      </c>
      <c r="I9" s="3">
        <v>25.9</v>
      </c>
      <c r="J9" s="3">
        <v>25.6</v>
      </c>
      <c r="K9" s="3">
        <v>24.3</v>
      </c>
      <c r="L9" s="3">
        <v>15.2</v>
      </c>
      <c r="M9" s="3">
        <v>12.7</v>
      </c>
      <c r="N9" s="3">
        <v>18.899999999999999</v>
      </c>
      <c r="O9" s="3">
        <v>17.100000000000001</v>
      </c>
      <c r="P9" s="3">
        <v>23.1</v>
      </c>
      <c r="Q9" s="3">
        <v>21.7</v>
      </c>
      <c r="R9" s="3">
        <v>11.2</v>
      </c>
      <c r="S9" s="3">
        <v>7.8</v>
      </c>
      <c r="T9" s="3">
        <v>8.8000000000000007</v>
      </c>
      <c r="U9" s="3">
        <v>11.1</v>
      </c>
      <c r="V9" s="3">
        <v>21.2</v>
      </c>
      <c r="W9" s="3">
        <v>5.7</v>
      </c>
      <c r="X9" s="3">
        <v>12.5</v>
      </c>
      <c r="Y9" s="3">
        <v>18.899999999999999</v>
      </c>
      <c r="Z9" s="3">
        <v>20.3</v>
      </c>
      <c r="AA9" s="3">
        <v>18.5</v>
      </c>
      <c r="AB9" s="3">
        <v>11.4</v>
      </c>
    </row>
    <row r="10" spans="1:28" s="4" customFormat="1" ht="19" customHeight="1" x14ac:dyDescent="0.2">
      <c r="A10" s="4" t="s">
        <v>14</v>
      </c>
      <c r="B10" s="4" t="s">
        <v>98</v>
      </c>
      <c r="C10" s="4" t="s">
        <v>16</v>
      </c>
      <c r="D10" s="4" t="str">
        <f t="shared" si="0"/>
        <v>B1-P3-C1</v>
      </c>
      <c r="E10" s="4" t="s">
        <v>20</v>
      </c>
      <c r="F10" s="4">
        <v>20.399999999999999</v>
      </c>
      <c r="G10" s="4">
        <v>19.100000000000001</v>
      </c>
      <c r="H10" s="4">
        <v>18.8</v>
      </c>
      <c r="I10" s="4">
        <v>22.4</v>
      </c>
      <c r="J10" s="4">
        <v>20</v>
      </c>
      <c r="K10" s="4">
        <v>20.399999999999999</v>
      </c>
      <c r="L10" s="4">
        <v>10.5</v>
      </c>
      <c r="M10" s="4">
        <v>9</v>
      </c>
      <c r="N10" s="4">
        <v>12.6</v>
      </c>
      <c r="O10" s="4">
        <v>10.5</v>
      </c>
      <c r="P10" s="4">
        <v>16.100000000000001</v>
      </c>
      <c r="Q10" s="4">
        <v>13.3</v>
      </c>
      <c r="R10" s="4">
        <v>8.4</v>
      </c>
      <c r="S10" s="4">
        <v>4.7</v>
      </c>
      <c r="T10" s="4">
        <v>6</v>
      </c>
      <c r="U10" s="4">
        <v>7.6</v>
      </c>
      <c r="V10" s="4">
        <v>17.100000000000001</v>
      </c>
      <c r="W10" s="4">
        <v>4.5999999999999996</v>
      </c>
      <c r="X10" s="4">
        <v>7.4</v>
      </c>
      <c r="Y10" s="4">
        <v>15.4</v>
      </c>
      <c r="Z10" s="4">
        <v>17.3</v>
      </c>
      <c r="AA10" s="4">
        <v>13.9</v>
      </c>
      <c r="AB10" s="4">
        <v>9.4</v>
      </c>
    </row>
    <row r="11" spans="1:28" s="4" customFormat="1" ht="19" customHeight="1" x14ac:dyDescent="0.2">
      <c r="A11" s="4" t="s">
        <v>14</v>
      </c>
      <c r="B11" s="4" t="s">
        <v>98</v>
      </c>
      <c r="C11" s="4" t="s">
        <v>32</v>
      </c>
      <c r="D11" s="4" t="str">
        <f t="shared" si="0"/>
        <v>B1-P3-C2</v>
      </c>
      <c r="E11" s="4" t="s">
        <v>20</v>
      </c>
      <c r="F11" s="4">
        <v>17.3</v>
      </c>
      <c r="G11" s="4">
        <v>17.100000000000001</v>
      </c>
      <c r="H11" s="4">
        <v>17.600000000000001</v>
      </c>
      <c r="I11" s="4">
        <v>20.5</v>
      </c>
      <c r="J11" s="4">
        <v>20</v>
      </c>
      <c r="K11" s="4">
        <v>16.600000000000001</v>
      </c>
      <c r="L11" s="4">
        <v>9.5</v>
      </c>
      <c r="M11" s="4">
        <v>7.3</v>
      </c>
      <c r="N11" s="4">
        <v>12.9</v>
      </c>
      <c r="O11" s="4">
        <v>8.8000000000000007</v>
      </c>
      <c r="P11" s="4">
        <v>14.9</v>
      </c>
      <c r="Q11" s="4">
        <v>10.8</v>
      </c>
      <c r="R11" s="4">
        <v>3.2</v>
      </c>
      <c r="S11" s="4">
        <v>1.4</v>
      </c>
      <c r="T11" s="4">
        <v>3.3</v>
      </c>
      <c r="U11" s="4">
        <v>5.0999999999999996</v>
      </c>
      <c r="V11" s="4">
        <v>14.8</v>
      </c>
      <c r="W11" s="4">
        <v>2</v>
      </c>
      <c r="X11" s="4">
        <v>6.9</v>
      </c>
      <c r="Y11" s="4">
        <v>11.9</v>
      </c>
      <c r="Z11" s="4">
        <v>14.1</v>
      </c>
      <c r="AA11" s="4">
        <v>11.3</v>
      </c>
      <c r="AB11" s="4">
        <v>4.8</v>
      </c>
    </row>
    <row r="12" spans="1:28" s="4" customFormat="1" ht="19" customHeight="1" x14ac:dyDescent="0.2">
      <c r="A12" s="4" t="s">
        <v>14</v>
      </c>
      <c r="B12" s="4" t="s">
        <v>98</v>
      </c>
      <c r="C12" s="4" t="s">
        <v>42</v>
      </c>
      <c r="D12" s="4" t="str">
        <f t="shared" si="0"/>
        <v>B1-P3-C3</v>
      </c>
      <c r="E12" s="4" t="s">
        <v>20</v>
      </c>
      <c r="F12" s="4">
        <v>16.2</v>
      </c>
      <c r="G12" s="4">
        <v>18.2</v>
      </c>
      <c r="H12" s="4">
        <v>15.5</v>
      </c>
      <c r="I12" s="4">
        <v>19.3</v>
      </c>
      <c r="J12" s="4">
        <v>20.3</v>
      </c>
      <c r="K12" s="4">
        <v>16.2</v>
      </c>
      <c r="L12" s="4">
        <v>12.2</v>
      </c>
      <c r="M12" s="4">
        <v>9.9</v>
      </c>
      <c r="N12" s="4">
        <v>13.5</v>
      </c>
      <c r="O12" s="4">
        <v>8.5</v>
      </c>
      <c r="P12" s="4">
        <v>8</v>
      </c>
      <c r="Q12" s="4">
        <v>1.9</v>
      </c>
      <c r="R12" s="4">
        <v>0.9</v>
      </c>
      <c r="S12" s="4">
        <v>0</v>
      </c>
      <c r="T12" s="4">
        <v>3.3</v>
      </c>
      <c r="U12" s="4">
        <v>3.9</v>
      </c>
      <c r="V12" s="4">
        <v>14</v>
      </c>
      <c r="W12" s="4">
        <v>1.3</v>
      </c>
      <c r="X12" s="4">
        <v>8.8000000000000007</v>
      </c>
      <c r="Y12" s="4">
        <v>12.8</v>
      </c>
      <c r="Z12" s="4">
        <v>14.9</v>
      </c>
      <c r="AA12" s="4">
        <v>9.3000000000000007</v>
      </c>
      <c r="AB12" s="4">
        <v>3.2</v>
      </c>
    </row>
    <row r="13" spans="1:28" s="4" customFormat="1" ht="19" customHeight="1" x14ac:dyDescent="0.2">
      <c r="A13" s="4" t="s">
        <v>14</v>
      </c>
      <c r="B13" s="4" t="s">
        <v>98</v>
      </c>
      <c r="C13" s="4" t="s">
        <v>53</v>
      </c>
      <c r="D13" s="4" t="str">
        <f t="shared" si="0"/>
        <v>B1-P3-C4</v>
      </c>
      <c r="E13" s="4" t="s">
        <v>20</v>
      </c>
      <c r="F13" s="4">
        <v>15.1</v>
      </c>
      <c r="G13" s="4">
        <v>14.9</v>
      </c>
      <c r="H13" s="4">
        <v>14</v>
      </c>
      <c r="I13" s="4">
        <v>16.100000000000001</v>
      </c>
      <c r="J13" s="4">
        <v>19.7</v>
      </c>
      <c r="K13" s="4">
        <v>16.600000000000001</v>
      </c>
      <c r="L13" s="4">
        <v>10.6</v>
      </c>
      <c r="M13" s="4">
        <v>9.1999999999999993</v>
      </c>
      <c r="N13" s="4">
        <v>14.5</v>
      </c>
      <c r="O13" s="4">
        <v>7.2</v>
      </c>
      <c r="P13" s="4">
        <v>6.1</v>
      </c>
      <c r="Q13" s="4">
        <v>1.5</v>
      </c>
      <c r="R13" s="4">
        <v>0</v>
      </c>
      <c r="S13" s="4">
        <v>0.5</v>
      </c>
      <c r="T13" s="4">
        <v>2.2000000000000002</v>
      </c>
      <c r="U13" s="4">
        <v>6.6</v>
      </c>
      <c r="V13" s="4">
        <v>14.9</v>
      </c>
      <c r="W13" s="4">
        <v>0.6</v>
      </c>
      <c r="X13" s="4">
        <v>10</v>
      </c>
      <c r="Y13" s="4">
        <v>12</v>
      </c>
      <c r="Z13" s="4">
        <v>15.5</v>
      </c>
      <c r="AA13" s="4">
        <v>7.5</v>
      </c>
      <c r="AB13" s="4">
        <v>1.4</v>
      </c>
    </row>
    <row r="14" spans="1:28" s="3" customFormat="1" ht="19" customHeight="1" x14ac:dyDescent="0.2">
      <c r="A14" s="3" t="s">
        <v>14</v>
      </c>
      <c r="B14" s="3" t="s">
        <v>131</v>
      </c>
      <c r="C14" s="3" t="s">
        <v>16</v>
      </c>
      <c r="D14" s="3" t="str">
        <f t="shared" si="0"/>
        <v>B1-P4-C1</v>
      </c>
      <c r="E14" s="3" t="s">
        <v>133</v>
      </c>
      <c r="F14" s="3">
        <v>22.2</v>
      </c>
      <c r="G14" s="3">
        <v>24.4</v>
      </c>
      <c r="H14" s="3">
        <v>25.1</v>
      </c>
      <c r="I14" s="3">
        <v>24.1</v>
      </c>
      <c r="J14" s="3">
        <v>24.7</v>
      </c>
      <c r="K14" s="3">
        <v>25.6</v>
      </c>
      <c r="L14" s="3">
        <v>19.399999999999999</v>
      </c>
      <c r="M14" s="3">
        <v>12.5</v>
      </c>
      <c r="N14" s="3">
        <v>20</v>
      </c>
      <c r="O14" s="3">
        <v>14.6</v>
      </c>
      <c r="P14" s="3">
        <v>25.8</v>
      </c>
      <c r="Q14" s="3">
        <v>22.5</v>
      </c>
      <c r="R14" s="3">
        <v>9.9</v>
      </c>
      <c r="S14" s="3">
        <v>4.9000000000000004</v>
      </c>
      <c r="T14" s="3">
        <v>7.5</v>
      </c>
      <c r="U14" s="3">
        <v>15.7</v>
      </c>
      <c r="V14" s="3">
        <v>25.8</v>
      </c>
      <c r="W14" s="3">
        <v>7</v>
      </c>
      <c r="X14" s="3">
        <v>17.399999999999999</v>
      </c>
      <c r="Y14" s="3">
        <v>21.4</v>
      </c>
      <c r="Z14" s="3">
        <v>24.2</v>
      </c>
      <c r="AA14" s="3">
        <v>20.3</v>
      </c>
      <c r="AB14" s="3">
        <v>18.3</v>
      </c>
    </row>
    <row r="15" spans="1:28" s="3" customFormat="1" ht="19" customHeight="1" x14ac:dyDescent="0.2">
      <c r="A15" s="3" t="s">
        <v>14</v>
      </c>
      <c r="B15" s="3" t="s">
        <v>131</v>
      </c>
      <c r="C15" s="3" t="s">
        <v>32</v>
      </c>
      <c r="D15" s="3" t="str">
        <f t="shared" si="0"/>
        <v>B1-P4-C2</v>
      </c>
      <c r="E15" s="3" t="s">
        <v>133</v>
      </c>
      <c r="F15" s="3">
        <v>18.8</v>
      </c>
      <c r="G15" s="3">
        <v>22.6</v>
      </c>
      <c r="H15" s="3">
        <v>21.7</v>
      </c>
      <c r="I15" s="3">
        <v>20.5</v>
      </c>
      <c r="J15" s="3">
        <v>22.8</v>
      </c>
      <c r="K15" s="3">
        <v>21.6</v>
      </c>
      <c r="L15" s="3">
        <v>16.7</v>
      </c>
      <c r="M15" s="3">
        <v>11.3</v>
      </c>
      <c r="N15" s="3">
        <v>18</v>
      </c>
      <c r="O15" s="3">
        <v>11.1</v>
      </c>
      <c r="P15" s="3">
        <v>22.2</v>
      </c>
      <c r="Q15" s="3">
        <v>14.9</v>
      </c>
      <c r="R15" s="3">
        <v>1.7</v>
      </c>
      <c r="S15" s="3">
        <v>2.2999999999999998</v>
      </c>
      <c r="T15" s="3">
        <v>6.6</v>
      </c>
      <c r="U15" s="3">
        <v>7.2</v>
      </c>
      <c r="V15" s="3">
        <v>20.5</v>
      </c>
      <c r="W15" s="3">
        <v>1.9</v>
      </c>
      <c r="X15" s="3">
        <v>20</v>
      </c>
      <c r="Y15" s="3">
        <v>18.7</v>
      </c>
      <c r="Z15" s="3">
        <v>21.7</v>
      </c>
      <c r="AA15" s="3">
        <v>17.100000000000001</v>
      </c>
      <c r="AB15" s="3">
        <v>11.3</v>
      </c>
    </row>
    <row r="16" spans="1:28" s="3" customFormat="1" ht="19" customHeight="1" x14ac:dyDescent="0.2">
      <c r="A16" s="3" t="s">
        <v>14</v>
      </c>
      <c r="B16" s="3" t="s">
        <v>131</v>
      </c>
      <c r="C16" s="3" t="s">
        <v>42</v>
      </c>
      <c r="D16" s="3" t="str">
        <f t="shared" si="0"/>
        <v>B1-P4-C3</v>
      </c>
      <c r="E16" s="3" t="s">
        <v>133</v>
      </c>
      <c r="F16" s="3">
        <v>24</v>
      </c>
      <c r="G16" s="3">
        <v>25.9</v>
      </c>
      <c r="H16" s="3">
        <v>24.9</v>
      </c>
      <c r="I16" s="3">
        <v>25.5</v>
      </c>
      <c r="J16" s="3">
        <v>26</v>
      </c>
      <c r="K16" s="3">
        <v>21.4</v>
      </c>
      <c r="L16" s="3">
        <v>19</v>
      </c>
      <c r="M16" s="3">
        <v>12.2</v>
      </c>
      <c r="N16" s="3">
        <v>19.3</v>
      </c>
      <c r="O16" s="3">
        <v>13.8</v>
      </c>
      <c r="P16" s="3">
        <v>25.2</v>
      </c>
      <c r="Q16" s="3">
        <v>22.5</v>
      </c>
      <c r="R16" s="3">
        <v>7.4</v>
      </c>
      <c r="S16" s="3">
        <v>2.5</v>
      </c>
      <c r="T16" s="3">
        <v>7</v>
      </c>
      <c r="U16" s="3">
        <v>8.4</v>
      </c>
      <c r="V16" s="3">
        <v>20.7</v>
      </c>
      <c r="W16" s="3">
        <v>1.6</v>
      </c>
      <c r="X16" s="3">
        <v>20.100000000000001</v>
      </c>
      <c r="Y16" s="3">
        <v>17.8</v>
      </c>
      <c r="Z16" s="3">
        <v>20.100000000000001</v>
      </c>
      <c r="AA16" s="3">
        <v>15.1</v>
      </c>
      <c r="AB16" s="3">
        <v>9.9</v>
      </c>
    </row>
    <row r="17" spans="1:28" s="3" customFormat="1" ht="19" customHeight="1" x14ac:dyDescent="0.2">
      <c r="A17" s="3" t="s">
        <v>14</v>
      </c>
      <c r="B17" s="3" t="s">
        <v>131</v>
      </c>
      <c r="C17" s="3" t="s">
        <v>53</v>
      </c>
      <c r="D17" s="3" t="str">
        <f t="shared" si="0"/>
        <v>B1-P4-C4</v>
      </c>
      <c r="E17" s="3" t="s">
        <v>133</v>
      </c>
      <c r="F17" s="3">
        <v>20.5</v>
      </c>
      <c r="G17" s="3">
        <v>22.5</v>
      </c>
      <c r="H17" s="3">
        <v>22.2</v>
      </c>
      <c r="I17" s="3">
        <v>22.7</v>
      </c>
      <c r="J17" s="3">
        <v>23.1</v>
      </c>
      <c r="K17" s="3">
        <v>23.5</v>
      </c>
      <c r="L17" s="3">
        <v>17.399999999999999</v>
      </c>
      <c r="M17" s="3">
        <v>10.1</v>
      </c>
      <c r="N17" s="3">
        <v>16.399999999999999</v>
      </c>
      <c r="O17" s="3">
        <v>13.6</v>
      </c>
      <c r="P17" s="3">
        <v>22.3</v>
      </c>
      <c r="Q17" s="3">
        <v>16.399999999999999</v>
      </c>
      <c r="R17" s="3">
        <v>1.8</v>
      </c>
      <c r="S17" s="3">
        <v>1.6</v>
      </c>
      <c r="T17" s="3">
        <v>5</v>
      </c>
      <c r="U17" s="3">
        <v>12.3</v>
      </c>
      <c r="V17" s="3">
        <v>19.8</v>
      </c>
      <c r="W17" s="3">
        <v>1.2</v>
      </c>
      <c r="X17" s="3">
        <v>18.7</v>
      </c>
      <c r="Y17" s="3">
        <v>19.5</v>
      </c>
      <c r="Z17" s="3">
        <v>22.5</v>
      </c>
      <c r="AA17" s="3">
        <v>17.7</v>
      </c>
      <c r="AB17" s="3">
        <v>14.1</v>
      </c>
    </row>
    <row r="18" spans="1:28" s="4" customFormat="1" ht="19" customHeight="1" x14ac:dyDescent="0.2">
      <c r="A18" s="4" t="s">
        <v>14</v>
      </c>
      <c r="B18" s="4" t="s">
        <v>167</v>
      </c>
      <c r="C18" s="4" t="s">
        <v>16</v>
      </c>
      <c r="D18" s="4" t="str">
        <f t="shared" si="0"/>
        <v>B1-P5-C1</v>
      </c>
      <c r="E18" s="4" t="s">
        <v>133</v>
      </c>
      <c r="F18" s="4">
        <v>17.2</v>
      </c>
      <c r="G18" s="4">
        <v>17.7</v>
      </c>
      <c r="H18" s="4">
        <v>17</v>
      </c>
      <c r="I18" s="4">
        <v>17.3</v>
      </c>
      <c r="J18" s="4">
        <v>18.5</v>
      </c>
      <c r="K18" s="4">
        <v>17.3</v>
      </c>
      <c r="L18" s="4">
        <v>13.8</v>
      </c>
      <c r="M18" s="4">
        <v>7.4</v>
      </c>
      <c r="N18" s="4">
        <v>15.3</v>
      </c>
      <c r="O18" s="4">
        <v>6.9</v>
      </c>
      <c r="P18" s="4">
        <v>17.899999999999999</v>
      </c>
      <c r="Q18" s="4">
        <v>5.0999999999999996</v>
      </c>
      <c r="R18" s="4">
        <v>1.2</v>
      </c>
      <c r="S18" s="4">
        <v>0</v>
      </c>
      <c r="T18" s="4">
        <v>2.2999999999999998</v>
      </c>
      <c r="U18" s="4">
        <v>7.1</v>
      </c>
      <c r="V18" s="4">
        <v>15.7</v>
      </c>
      <c r="W18" s="4">
        <v>0</v>
      </c>
      <c r="X18" s="4">
        <v>17.3</v>
      </c>
      <c r="Y18" s="4">
        <v>16</v>
      </c>
      <c r="Z18" s="4">
        <v>18</v>
      </c>
      <c r="AA18" s="4">
        <v>13.7</v>
      </c>
      <c r="AB18" s="4">
        <v>8.1999999999999993</v>
      </c>
    </row>
    <row r="19" spans="1:28" s="4" customFormat="1" ht="19" customHeight="1" x14ac:dyDescent="0.2">
      <c r="A19" s="4" t="s">
        <v>14</v>
      </c>
      <c r="B19" s="4" t="s">
        <v>167</v>
      </c>
      <c r="C19" s="4" t="s">
        <v>32</v>
      </c>
      <c r="D19" s="4" t="str">
        <f t="shared" si="0"/>
        <v>B1-P5-C2</v>
      </c>
      <c r="E19" s="4" t="s">
        <v>133</v>
      </c>
      <c r="F19" s="4">
        <v>17.100000000000001</v>
      </c>
      <c r="G19" s="4">
        <v>18.399999999999999</v>
      </c>
      <c r="H19" s="4">
        <v>17.3</v>
      </c>
      <c r="I19" s="4">
        <v>18.399999999999999</v>
      </c>
      <c r="J19" s="4">
        <v>19.399999999999999</v>
      </c>
      <c r="K19" s="4">
        <v>16.399999999999999</v>
      </c>
      <c r="L19" s="4">
        <v>12.6</v>
      </c>
      <c r="M19" s="4">
        <v>10.1</v>
      </c>
      <c r="N19" s="4">
        <v>13</v>
      </c>
      <c r="O19" s="4">
        <v>8.5</v>
      </c>
      <c r="P19" s="4">
        <v>17.5</v>
      </c>
      <c r="Q19" s="4">
        <v>7.2</v>
      </c>
      <c r="R19" s="4">
        <v>0.8</v>
      </c>
      <c r="S19" s="4">
        <v>0</v>
      </c>
      <c r="T19" s="4">
        <v>3.3</v>
      </c>
      <c r="U19" s="4">
        <v>10.199999999999999</v>
      </c>
      <c r="V19" s="4">
        <v>17.8</v>
      </c>
      <c r="W19" s="4">
        <v>0.6</v>
      </c>
      <c r="X19" s="4">
        <v>17.2</v>
      </c>
      <c r="Y19" s="4">
        <v>15.9</v>
      </c>
      <c r="Z19" s="4">
        <v>18.7</v>
      </c>
      <c r="AA19" s="4">
        <v>13.1</v>
      </c>
      <c r="AB19" s="4">
        <v>9.9</v>
      </c>
    </row>
    <row r="20" spans="1:28" s="4" customFormat="1" ht="19" customHeight="1" x14ac:dyDescent="0.2">
      <c r="A20" s="4" t="s">
        <v>14</v>
      </c>
      <c r="B20" s="4" t="s">
        <v>167</v>
      </c>
      <c r="C20" s="4" t="s">
        <v>42</v>
      </c>
      <c r="D20" s="4" t="str">
        <f t="shared" si="0"/>
        <v>B1-P5-C3</v>
      </c>
      <c r="E20" s="4" t="s">
        <v>133</v>
      </c>
      <c r="F20" s="4">
        <v>22.2</v>
      </c>
      <c r="G20" s="4">
        <v>23.1</v>
      </c>
      <c r="H20" s="4">
        <v>21.3</v>
      </c>
      <c r="I20" s="4">
        <v>24.3</v>
      </c>
      <c r="J20" s="4">
        <v>24.6</v>
      </c>
      <c r="K20" s="4">
        <v>23.5</v>
      </c>
      <c r="L20" s="4">
        <v>16.3</v>
      </c>
      <c r="M20" s="4">
        <v>10.4</v>
      </c>
      <c r="N20" s="4">
        <v>16.3</v>
      </c>
      <c r="O20" s="4">
        <v>12.5</v>
      </c>
      <c r="P20" s="4">
        <v>24.3</v>
      </c>
      <c r="Q20" s="4">
        <v>20.6</v>
      </c>
      <c r="R20" s="4">
        <v>8.9</v>
      </c>
      <c r="S20" s="4">
        <v>3.8</v>
      </c>
      <c r="T20" s="4">
        <v>8.6</v>
      </c>
      <c r="U20" s="4">
        <v>11.7</v>
      </c>
      <c r="V20" s="4">
        <v>23.4</v>
      </c>
      <c r="W20" s="4">
        <v>5.9</v>
      </c>
      <c r="X20" s="4">
        <v>14.8</v>
      </c>
      <c r="Y20" s="4">
        <v>19.100000000000001</v>
      </c>
      <c r="Z20" s="4">
        <v>21.6</v>
      </c>
      <c r="AA20" s="4">
        <v>18.899999999999999</v>
      </c>
      <c r="AB20" s="4">
        <v>18.3</v>
      </c>
    </row>
    <row r="21" spans="1:28" s="4" customFormat="1" ht="19" customHeight="1" x14ac:dyDescent="0.2">
      <c r="A21" s="4" t="s">
        <v>14</v>
      </c>
      <c r="B21" s="4" t="s">
        <v>167</v>
      </c>
      <c r="C21" s="4" t="s">
        <v>53</v>
      </c>
      <c r="D21" s="4" t="str">
        <f t="shared" si="0"/>
        <v>B1-P5-C4</v>
      </c>
      <c r="E21" s="4" t="s">
        <v>133</v>
      </c>
      <c r="F21" s="4">
        <v>24.6</v>
      </c>
      <c r="G21" s="4">
        <v>25.3</v>
      </c>
      <c r="H21" s="4">
        <v>25</v>
      </c>
      <c r="I21" s="4">
        <v>25.1</v>
      </c>
      <c r="J21" s="4">
        <v>25.3</v>
      </c>
      <c r="K21" s="4">
        <v>22.3</v>
      </c>
      <c r="L21" s="4">
        <v>16.899999999999999</v>
      </c>
      <c r="M21" s="4">
        <v>10.9</v>
      </c>
      <c r="N21" s="4">
        <v>17.899999999999999</v>
      </c>
      <c r="O21" s="4">
        <v>16.3</v>
      </c>
      <c r="P21" s="4">
        <v>25.6</v>
      </c>
      <c r="Q21" s="4">
        <v>24.5</v>
      </c>
      <c r="R21" s="4">
        <v>14</v>
      </c>
      <c r="S21" s="4">
        <v>10.7</v>
      </c>
      <c r="T21" s="4">
        <v>13.7</v>
      </c>
      <c r="U21" s="4">
        <v>18.399999999999999</v>
      </c>
      <c r="V21" s="4">
        <v>27.3</v>
      </c>
      <c r="W21" s="4">
        <v>13</v>
      </c>
      <c r="X21" s="4">
        <v>20.3</v>
      </c>
      <c r="Y21" s="4">
        <v>24.6</v>
      </c>
      <c r="Z21" s="4">
        <v>28.2</v>
      </c>
      <c r="AA21" s="4">
        <v>25.4</v>
      </c>
      <c r="AB21" s="4">
        <v>21.9</v>
      </c>
    </row>
    <row r="22" spans="1:28" s="3" customFormat="1" ht="19" customHeight="1" x14ac:dyDescent="0.2">
      <c r="A22" s="3" t="s">
        <v>14</v>
      </c>
      <c r="B22" s="3" t="s">
        <v>200</v>
      </c>
      <c r="C22" s="3" t="s">
        <v>16</v>
      </c>
      <c r="D22" s="3" t="str">
        <f t="shared" si="0"/>
        <v>B1-P6-C1</v>
      </c>
      <c r="E22" s="3" t="s">
        <v>133</v>
      </c>
      <c r="F22" s="3">
        <v>17.399999999999999</v>
      </c>
      <c r="G22" s="3">
        <v>17.899999999999999</v>
      </c>
      <c r="H22" s="3">
        <v>18.8</v>
      </c>
      <c r="I22" s="3">
        <v>18.7</v>
      </c>
      <c r="J22" s="3">
        <v>18.899999999999999</v>
      </c>
      <c r="K22" s="3">
        <v>17.899999999999999</v>
      </c>
      <c r="L22" s="3">
        <v>11.6</v>
      </c>
      <c r="M22" s="3">
        <v>7.7</v>
      </c>
      <c r="N22" s="3">
        <v>13.2</v>
      </c>
      <c r="O22" s="3">
        <v>9.8000000000000007</v>
      </c>
      <c r="P22" s="3">
        <v>19.399999999999999</v>
      </c>
      <c r="Q22" s="3">
        <v>15.2</v>
      </c>
      <c r="R22" s="3">
        <v>6.4</v>
      </c>
      <c r="S22" s="3">
        <v>2</v>
      </c>
      <c r="T22" s="3">
        <v>4.8</v>
      </c>
      <c r="U22" s="3">
        <v>11.9</v>
      </c>
      <c r="V22" s="3">
        <v>22.2</v>
      </c>
      <c r="W22" s="3">
        <v>3.8</v>
      </c>
      <c r="X22" s="3">
        <v>13</v>
      </c>
      <c r="Y22" s="3">
        <v>16.399999999999999</v>
      </c>
      <c r="Z22" s="3">
        <v>19.3</v>
      </c>
      <c r="AA22" s="3">
        <v>16.899999999999999</v>
      </c>
      <c r="AB22" s="3">
        <v>10.8</v>
      </c>
    </row>
    <row r="23" spans="1:28" s="3" customFormat="1" ht="19" customHeight="1" x14ac:dyDescent="0.2">
      <c r="A23" s="3" t="s">
        <v>14</v>
      </c>
      <c r="B23" s="3" t="s">
        <v>200</v>
      </c>
      <c r="C23" s="3" t="s">
        <v>32</v>
      </c>
      <c r="D23" s="3" t="str">
        <f t="shared" si="0"/>
        <v>B1-P6-C2</v>
      </c>
      <c r="E23" s="3" t="s">
        <v>133</v>
      </c>
      <c r="F23" s="3">
        <v>19.8</v>
      </c>
      <c r="G23" s="3">
        <v>21.2</v>
      </c>
      <c r="H23" s="3">
        <v>20.8</v>
      </c>
      <c r="I23" s="3">
        <v>21.8</v>
      </c>
      <c r="J23" s="3">
        <v>23.2</v>
      </c>
      <c r="K23" s="3">
        <v>20.399999999999999</v>
      </c>
      <c r="L23" s="3">
        <v>14.6</v>
      </c>
      <c r="M23" s="3">
        <v>10.1</v>
      </c>
      <c r="N23" s="3">
        <v>15.5</v>
      </c>
      <c r="O23" s="3">
        <v>12.9</v>
      </c>
      <c r="P23" s="3">
        <v>22.6</v>
      </c>
      <c r="Q23" s="3">
        <v>19.3</v>
      </c>
      <c r="R23" s="3">
        <v>11.9</v>
      </c>
      <c r="S23" s="3">
        <v>7.8</v>
      </c>
      <c r="T23" s="3">
        <v>10.5</v>
      </c>
      <c r="U23" s="3">
        <v>16.8</v>
      </c>
      <c r="V23" s="3">
        <v>26.4</v>
      </c>
      <c r="W23" s="3">
        <v>9.8000000000000007</v>
      </c>
      <c r="X23" s="3">
        <v>16.7</v>
      </c>
      <c r="Y23" s="3">
        <v>21.1</v>
      </c>
      <c r="Z23" s="3">
        <v>23.3</v>
      </c>
      <c r="AA23" s="3">
        <v>20.9</v>
      </c>
      <c r="AB23" s="3">
        <v>15.8</v>
      </c>
    </row>
    <row r="24" spans="1:28" s="3" customFormat="1" ht="19" customHeight="1" x14ac:dyDescent="0.2">
      <c r="A24" s="3" t="s">
        <v>14</v>
      </c>
      <c r="B24" s="3" t="s">
        <v>200</v>
      </c>
      <c r="C24" s="3" t="s">
        <v>42</v>
      </c>
      <c r="D24" s="3" t="str">
        <f t="shared" si="0"/>
        <v>B1-P6-C3</v>
      </c>
      <c r="E24" s="3" t="s">
        <v>133</v>
      </c>
      <c r="F24" s="3">
        <v>18.399999999999999</v>
      </c>
      <c r="G24" s="3">
        <v>18.399999999999999</v>
      </c>
      <c r="H24" s="3">
        <v>18</v>
      </c>
      <c r="I24" s="3">
        <v>20.3</v>
      </c>
      <c r="J24" s="3">
        <v>18.600000000000001</v>
      </c>
      <c r="K24" s="3">
        <v>18.399999999999999</v>
      </c>
      <c r="L24" s="3">
        <v>10.199999999999999</v>
      </c>
      <c r="M24" s="3">
        <v>8.4</v>
      </c>
      <c r="N24" s="3">
        <v>12.8</v>
      </c>
      <c r="O24" s="3">
        <v>9.9</v>
      </c>
      <c r="P24" s="3">
        <v>20.8</v>
      </c>
      <c r="Q24" s="3">
        <v>17</v>
      </c>
      <c r="R24" s="3">
        <v>8.1999999999999993</v>
      </c>
      <c r="S24" s="3">
        <v>2.9</v>
      </c>
      <c r="T24" s="3">
        <v>5.0999999999999996</v>
      </c>
      <c r="U24" s="3">
        <v>7</v>
      </c>
      <c r="V24" s="3">
        <v>21.1</v>
      </c>
      <c r="W24" s="3">
        <v>3.4</v>
      </c>
      <c r="X24" s="3">
        <v>9.3000000000000007</v>
      </c>
      <c r="Y24" s="3">
        <v>16.600000000000001</v>
      </c>
      <c r="Z24" s="3">
        <v>19.5</v>
      </c>
      <c r="AA24" s="3">
        <v>16</v>
      </c>
      <c r="AB24" s="3">
        <v>9.9</v>
      </c>
    </row>
    <row r="25" spans="1:28" s="3" customFormat="1" ht="19" customHeight="1" x14ac:dyDescent="0.2">
      <c r="A25" s="3" t="s">
        <v>14</v>
      </c>
      <c r="B25" s="3" t="s">
        <v>200</v>
      </c>
      <c r="C25" s="3" t="s">
        <v>53</v>
      </c>
      <c r="D25" s="3" t="str">
        <f t="shared" si="0"/>
        <v>B1-P6-C4</v>
      </c>
      <c r="E25" s="3" t="s">
        <v>133</v>
      </c>
      <c r="F25" s="3">
        <v>17.2</v>
      </c>
      <c r="G25" s="3">
        <v>16.8</v>
      </c>
      <c r="H25" s="3">
        <v>16.7</v>
      </c>
      <c r="I25" s="3">
        <v>19.5</v>
      </c>
      <c r="J25" s="3">
        <v>18.3</v>
      </c>
      <c r="K25" s="3">
        <v>15.6</v>
      </c>
      <c r="L25" s="3">
        <v>11.1</v>
      </c>
      <c r="M25" s="3">
        <v>8.4</v>
      </c>
      <c r="N25" s="3">
        <v>13.2</v>
      </c>
      <c r="O25" s="3">
        <v>7.4</v>
      </c>
      <c r="P25" s="3">
        <v>12.7</v>
      </c>
      <c r="Q25" s="3">
        <v>2.6</v>
      </c>
      <c r="R25" s="3">
        <v>0.5</v>
      </c>
      <c r="S25" s="3">
        <v>1.4</v>
      </c>
      <c r="T25" s="3">
        <v>3</v>
      </c>
      <c r="U25" s="3">
        <v>7.9</v>
      </c>
      <c r="V25" s="3">
        <v>14.8</v>
      </c>
      <c r="W25" s="3">
        <v>0.6</v>
      </c>
      <c r="X25" s="3">
        <v>10.5</v>
      </c>
      <c r="Y25" s="3">
        <v>14.3</v>
      </c>
      <c r="Z25" s="3">
        <v>16.600000000000001</v>
      </c>
      <c r="AA25" s="3">
        <v>12.8</v>
      </c>
      <c r="AB25" s="3">
        <v>7.8</v>
      </c>
    </row>
    <row r="26" spans="1:28" s="4" customFormat="1" ht="19" customHeight="1" x14ac:dyDescent="0.2">
      <c r="A26" s="4" t="s">
        <v>234</v>
      </c>
      <c r="B26" s="4" t="s">
        <v>15</v>
      </c>
      <c r="C26" s="4" t="s">
        <v>16</v>
      </c>
      <c r="D26" s="4" t="str">
        <f t="shared" si="0"/>
        <v>B2-P1-C1</v>
      </c>
      <c r="E26" s="4" t="s">
        <v>133</v>
      </c>
      <c r="F26" s="4">
        <v>12.5</v>
      </c>
      <c r="G26" s="4">
        <v>18.2</v>
      </c>
      <c r="H26" s="4">
        <v>15.7</v>
      </c>
      <c r="I26" s="4">
        <v>20.3</v>
      </c>
      <c r="J26" s="4">
        <v>18.600000000000001</v>
      </c>
      <c r="K26" s="4">
        <v>18.7</v>
      </c>
      <c r="L26" s="4">
        <v>10.1</v>
      </c>
      <c r="M26" s="4">
        <v>7.5</v>
      </c>
      <c r="N26" s="4">
        <v>13</v>
      </c>
      <c r="O26" s="4">
        <v>8.4</v>
      </c>
      <c r="P26" s="4">
        <v>15.3</v>
      </c>
      <c r="Q26" s="4">
        <v>8.6999999999999993</v>
      </c>
      <c r="R26" s="4">
        <v>0</v>
      </c>
      <c r="S26" s="4">
        <v>0</v>
      </c>
      <c r="T26" s="4">
        <v>3.2</v>
      </c>
      <c r="U26" s="4">
        <v>6.6</v>
      </c>
      <c r="V26" s="4">
        <v>14.6</v>
      </c>
      <c r="W26" s="4">
        <v>0</v>
      </c>
      <c r="X26" s="4">
        <v>12.9</v>
      </c>
      <c r="Y26" s="4">
        <v>15.8</v>
      </c>
      <c r="Z26" s="4">
        <v>16.899999999999999</v>
      </c>
      <c r="AA26" s="4">
        <v>15.1</v>
      </c>
      <c r="AB26" s="4">
        <v>8.3000000000000007</v>
      </c>
    </row>
    <row r="27" spans="1:28" s="4" customFormat="1" ht="19" customHeight="1" x14ac:dyDescent="0.2">
      <c r="A27" s="4" t="s">
        <v>234</v>
      </c>
      <c r="B27" s="4" t="s">
        <v>15</v>
      </c>
      <c r="C27" s="4" t="s">
        <v>32</v>
      </c>
      <c r="D27" s="4" t="str">
        <f t="shared" si="0"/>
        <v>B2-P1-C2</v>
      </c>
      <c r="E27" s="4" t="s">
        <v>133</v>
      </c>
      <c r="F27" s="4">
        <v>14.7</v>
      </c>
      <c r="G27" s="4">
        <v>19.100000000000001</v>
      </c>
      <c r="H27" s="4">
        <v>16.899999999999999</v>
      </c>
      <c r="I27" s="4">
        <v>21.9</v>
      </c>
      <c r="J27" s="4">
        <v>18.5</v>
      </c>
      <c r="K27" s="4">
        <v>19.2</v>
      </c>
      <c r="L27" s="4">
        <v>11.1</v>
      </c>
      <c r="M27" s="4">
        <v>9.5</v>
      </c>
      <c r="N27" s="4">
        <v>13.6</v>
      </c>
      <c r="O27" s="4">
        <v>9.1</v>
      </c>
      <c r="P27" s="4">
        <v>22.4</v>
      </c>
      <c r="Q27" s="4">
        <v>18.600000000000001</v>
      </c>
      <c r="R27" s="4">
        <v>7.6</v>
      </c>
      <c r="S27" s="4">
        <v>2.5</v>
      </c>
      <c r="T27" s="4">
        <v>5.0999999999999996</v>
      </c>
      <c r="U27" s="4">
        <v>12.6</v>
      </c>
      <c r="V27" s="4">
        <v>20.7</v>
      </c>
      <c r="W27" s="4">
        <v>3</v>
      </c>
      <c r="X27" s="4">
        <v>13.5</v>
      </c>
      <c r="Y27" s="4">
        <v>15.9</v>
      </c>
      <c r="Z27" s="4">
        <v>17.5</v>
      </c>
      <c r="AA27" s="4">
        <v>16.399999999999999</v>
      </c>
      <c r="AB27" s="4">
        <v>9</v>
      </c>
    </row>
    <row r="28" spans="1:28" s="4" customFormat="1" ht="19" customHeight="1" x14ac:dyDescent="0.2">
      <c r="A28" s="4" t="s">
        <v>234</v>
      </c>
      <c r="B28" s="4" t="s">
        <v>15</v>
      </c>
      <c r="C28" s="4" t="s">
        <v>42</v>
      </c>
      <c r="D28" s="4" t="str">
        <f t="shared" si="0"/>
        <v>B2-P1-C3</v>
      </c>
      <c r="E28" s="4" t="s">
        <v>133</v>
      </c>
      <c r="F28" s="4">
        <v>12.4</v>
      </c>
      <c r="G28" s="4">
        <v>16.3</v>
      </c>
      <c r="H28" s="4">
        <v>14.3</v>
      </c>
      <c r="I28" s="4">
        <v>19.3</v>
      </c>
      <c r="J28" s="4">
        <v>19.600000000000001</v>
      </c>
      <c r="K28" s="4">
        <v>17.2</v>
      </c>
      <c r="L28" s="4">
        <v>11.2</v>
      </c>
      <c r="M28" s="4">
        <v>8.4</v>
      </c>
      <c r="N28" s="4">
        <v>13.1</v>
      </c>
      <c r="O28" s="4">
        <v>7.6</v>
      </c>
      <c r="P28" s="4">
        <v>19.7</v>
      </c>
      <c r="Q28" s="4">
        <v>5.3</v>
      </c>
      <c r="R28" s="4">
        <v>0.5</v>
      </c>
      <c r="S28" s="4">
        <v>1</v>
      </c>
      <c r="T28" s="4">
        <v>2.8</v>
      </c>
      <c r="U28" s="4">
        <v>11.4</v>
      </c>
      <c r="V28" s="4">
        <v>18.5</v>
      </c>
      <c r="W28" s="4">
        <v>0.5</v>
      </c>
      <c r="X28" s="4">
        <v>17.5</v>
      </c>
      <c r="Y28" s="4">
        <v>16.100000000000001</v>
      </c>
      <c r="Z28" s="4">
        <v>18.7</v>
      </c>
      <c r="AA28" s="4">
        <v>14.3</v>
      </c>
      <c r="AB28" s="4">
        <v>10.8</v>
      </c>
    </row>
    <row r="29" spans="1:28" s="4" customFormat="1" ht="19" customHeight="1" x14ac:dyDescent="0.2">
      <c r="A29" s="4" t="s">
        <v>234</v>
      </c>
      <c r="B29" s="4" t="s">
        <v>15</v>
      </c>
      <c r="C29" s="4" t="s">
        <v>53</v>
      </c>
      <c r="D29" s="4" t="str">
        <f t="shared" si="0"/>
        <v>B2-P1-C4</v>
      </c>
      <c r="E29" s="4" t="s">
        <v>133</v>
      </c>
      <c r="F29" s="4">
        <v>17.3</v>
      </c>
      <c r="G29" s="4">
        <v>19.7</v>
      </c>
      <c r="H29" s="4">
        <v>17.7</v>
      </c>
      <c r="I29" s="4">
        <v>23</v>
      </c>
      <c r="J29" s="4">
        <v>20.8</v>
      </c>
      <c r="K29" s="4">
        <v>20.6</v>
      </c>
      <c r="L29" s="4">
        <v>15.9</v>
      </c>
      <c r="M29" s="4">
        <v>10.3</v>
      </c>
      <c r="N29" s="4">
        <v>15.6</v>
      </c>
      <c r="O29" s="4">
        <v>12.2</v>
      </c>
      <c r="P29" s="4">
        <v>23.4</v>
      </c>
      <c r="Q29" s="4">
        <v>17.2</v>
      </c>
      <c r="R29" s="4">
        <v>9.1</v>
      </c>
      <c r="S29" s="4">
        <v>4.3</v>
      </c>
      <c r="T29" s="4">
        <v>6.5</v>
      </c>
      <c r="U29" s="4">
        <v>11.8</v>
      </c>
      <c r="V29" s="4">
        <v>23</v>
      </c>
      <c r="W29" s="4">
        <v>3.1</v>
      </c>
      <c r="X29" s="4">
        <v>9.3000000000000007</v>
      </c>
      <c r="Y29" s="4">
        <v>16.2</v>
      </c>
      <c r="Z29" s="4">
        <v>19.899999999999999</v>
      </c>
      <c r="AA29" s="4">
        <v>18.3</v>
      </c>
      <c r="AB29" s="4">
        <v>7.7</v>
      </c>
    </row>
    <row r="30" spans="1:28" s="3" customFormat="1" ht="19" customHeight="1" x14ac:dyDescent="0.2">
      <c r="A30" s="3" t="s">
        <v>234</v>
      </c>
      <c r="B30" s="3" t="s">
        <v>62</v>
      </c>
      <c r="C30" s="3" t="s">
        <v>16</v>
      </c>
      <c r="D30" s="3" t="str">
        <f t="shared" si="0"/>
        <v>B2-P2-C1</v>
      </c>
      <c r="E30" s="3" t="s">
        <v>133</v>
      </c>
      <c r="F30" s="3">
        <v>19.5</v>
      </c>
      <c r="G30" s="3">
        <v>22.5</v>
      </c>
      <c r="H30" s="3">
        <v>20.6</v>
      </c>
      <c r="I30" s="3">
        <v>25.3</v>
      </c>
      <c r="J30" s="3">
        <v>23</v>
      </c>
      <c r="K30" s="3">
        <v>22.8</v>
      </c>
      <c r="L30" s="3">
        <v>17</v>
      </c>
      <c r="M30" s="3">
        <v>10.8</v>
      </c>
      <c r="N30" s="3">
        <v>17.3</v>
      </c>
      <c r="O30" s="3">
        <v>11.9</v>
      </c>
      <c r="P30" s="3">
        <v>21.9</v>
      </c>
      <c r="Q30" s="3">
        <v>17</v>
      </c>
      <c r="R30" s="3">
        <v>1.8</v>
      </c>
      <c r="S30" s="3">
        <v>1.1000000000000001</v>
      </c>
      <c r="T30" s="3">
        <v>4.5999999999999996</v>
      </c>
      <c r="U30" s="3">
        <v>9.6</v>
      </c>
      <c r="V30" s="3">
        <v>20.6</v>
      </c>
      <c r="W30" s="3">
        <v>2</v>
      </c>
      <c r="X30" s="3">
        <v>16.3</v>
      </c>
      <c r="Y30" s="3">
        <v>19.100000000000001</v>
      </c>
      <c r="Z30" s="3">
        <v>25.3</v>
      </c>
      <c r="AA30" s="3">
        <v>17.8</v>
      </c>
      <c r="AB30" s="3">
        <v>10.5</v>
      </c>
    </row>
    <row r="31" spans="1:28" s="3" customFormat="1" ht="19" customHeight="1" x14ac:dyDescent="0.2">
      <c r="A31" s="3" t="s">
        <v>234</v>
      </c>
      <c r="B31" s="3" t="s">
        <v>62</v>
      </c>
      <c r="C31" s="3" t="s">
        <v>32</v>
      </c>
      <c r="D31" s="3" t="str">
        <f t="shared" si="0"/>
        <v>B2-P2-C2</v>
      </c>
      <c r="E31" s="3" t="s">
        <v>133</v>
      </c>
      <c r="F31" s="3">
        <v>20.100000000000001</v>
      </c>
      <c r="G31" s="3">
        <v>23</v>
      </c>
      <c r="H31" s="3">
        <v>19.3</v>
      </c>
      <c r="I31" s="3">
        <v>22.6</v>
      </c>
      <c r="J31" s="3">
        <v>22.8</v>
      </c>
      <c r="K31" s="3">
        <v>23.6</v>
      </c>
      <c r="L31" s="3">
        <v>17.2</v>
      </c>
      <c r="M31" s="3">
        <v>10.4</v>
      </c>
      <c r="N31" s="3">
        <v>16.399999999999999</v>
      </c>
      <c r="O31" s="3">
        <v>12.6</v>
      </c>
      <c r="P31" s="3">
        <v>21.6</v>
      </c>
      <c r="Q31" s="3">
        <v>13</v>
      </c>
      <c r="R31" s="3">
        <v>2.4</v>
      </c>
      <c r="S31" s="3">
        <v>1</v>
      </c>
      <c r="T31" s="3">
        <v>3</v>
      </c>
      <c r="U31" s="3">
        <v>8.1999999999999993</v>
      </c>
      <c r="V31" s="3">
        <v>18.600000000000001</v>
      </c>
      <c r="W31" s="3">
        <v>1.5</v>
      </c>
      <c r="X31" s="3">
        <v>15.4</v>
      </c>
      <c r="Y31" s="3">
        <v>16.600000000000001</v>
      </c>
      <c r="Z31" s="3">
        <v>21.8</v>
      </c>
      <c r="AA31" s="3">
        <v>15.7</v>
      </c>
      <c r="AB31" s="3">
        <v>8.1999999999999993</v>
      </c>
    </row>
    <row r="32" spans="1:28" s="3" customFormat="1" ht="19" customHeight="1" x14ac:dyDescent="0.2">
      <c r="A32" s="3" t="s">
        <v>234</v>
      </c>
      <c r="B32" s="3" t="s">
        <v>62</v>
      </c>
      <c r="C32" s="3" t="s">
        <v>42</v>
      </c>
      <c r="D32" s="3" t="str">
        <f t="shared" si="0"/>
        <v>B2-P2-C3</v>
      </c>
      <c r="E32" s="3" t="s">
        <v>133</v>
      </c>
      <c r="F32" s="3">
        <v>21.7</v>
      </c>
      <c r="G32" s="3">
        <v>24.8</v>
      </c>
      <c r="H32" s="3">
        <v>22.2</v>
      </c>
      <c r="I32" s="3">
        <v>25</v>
      </c>
      <c r="J32" s="3">
        <v>23.7</v>
      </c>
      <c r="K32" s="3">
        <v>25.5</v>
      </c>
      <c r="L32" s="3">
        <v>17.399999999999999</v>
      </c>
      <c r="M32" s="3">
        <v>11.8</v>
      </c>
      <c r="N32" s="3">
        <v>17.899999999999999</v>
      </c>
      <c r="O32" s="3">
        <v>13.8</v>
      </c>
      <c r="P32" s="3">
        <v>22.5</v>
      </c>
      <c r="Q32" s="3">
        <v>21.2</v>
      </c>
      <c r="R32" s="3">
        <v>10.5</v>
      </c>
      <c r="S32" s="3">
        <v>5.2</v>
      </c>
      <c r="T32" s="3">
        <v>7.3</v>
      </c>
      <c r="U32" s="3">
        <v>10.4</v>
      </c>
      <c r="V32" s="3">
        <v>22.9</v>
      </c>
      <c r="W32" s="3">
        <v>5.6</v>
      </c>
      <c r="X32" s="3">
        <v>12.1</v>
      </c>
      <c r="Y32" s="3">
        <v>18</v>
      </c>
      <c r="Z32" s="3">
        <v>19.399999999999999</v>
      </c>
      <c r="AA32" s="3">
        <v>18.3</v>
      </c>
      <c r="AB32" s="3">
        <v>12.9</v>
      </c>
    </row>
    <row r="33" spans="1:28" s="3" customFormat="1" ht="19" customHeight="1" x14ac:dyDescent="0.2">
      <c r="A33" s="3" t="s">
        <v>234</v>
      </c>
      <c r="B33" s="3" t="s">
        <v>62</v>
      </c>
      <c r="C33" s="3" t="s">
        <v>53</v>
      </c>
      <c r="D33" s="3" t="str">
        <f t="shared" si="0"/>
        <v>B2-P2-C4</v>
      </c>
      <c r="E33" s="3" t="s">
        <v>133</v>
      </c>
      <c r="F33" s="3">
        <v>21.6</v>
      </c>
      <c r="G33" s="3">
        <v>23.4</v>
      </c>
      <c r="H33" s="3">
        <v>20.8</v>
      </c>
      <c r="I33" s="3">
        <v>24.4</v>
      </c>
      <c r="J33" s="3">
        <v>26.1</v>
      </c>
      <c r="K33" s="3">
        <v>26.4</v>
      </c>
      <c r="L33" s="3">
        <v>14.7</v>
      </c>
      <c r="M33" s="3">
        <v>9.5</v>
      </c>
      <c r="N33" s="3">
        <v>18.7</v>
      </c>
      <c r="O33" s="3">
        <v>11.4</v>
      </c>
      <c r="P33" s="3">
        <v>20.100000000000001</v>
      </c>
      <c r="Q33" s="3">
        <v>10.6</v>
      </c>
      <c r="R33" s="3">
        <v>1.4</v>
      </c>
      <c r="S33" s="3">
        <v>0.6</v>
      </c>
      <c r="T33" s="3">
        <v>2.6</v>
      </c>
      <c r="U33" s="3">
        <v>6.7</v>
      </c>
      <c r="V33" s="3">
        <v>17.600000000000001</v>
      </c>
      <c r="W33" s="3">
        <v>1.5</v>
      </c>
      <c r="X33" s="3">
        <v>12.3</v>
      </c>
      <c r="Y33" s="3">
        <v>17.399999999999999</v>
      </c>
      <c r="Z33" s="3">
        <v>19.899999999999999</v>
      </c>
      <c r="AA33" s="3">
        <v>17.7</v>
      </c>
      <c r="AB33" s="3">
        <v>10.199999999999999</v>
      </c>
    </row>
    <row r="34" spans="1:28" s="4" customFormat="1" ht="19" customHeight="1" x14ac:dyDescent="0.2">
      <c r="A34" s="4" t="s">
        <v>234</v>
      </c>
      <c r="B34" s="4" t="s">
        <v>98</v>
      </c>
      <c r="C34" s="4" t="s">
        <v>16</v>
      </c>
      <c r="D34" s="4" t="str">
        <f t="shared" si="0"/>
        <v>B2-P3-C1</v>
      </c>
      <c r="E34" s="4" t="s">
        <v>133</v>
      </c>
      <c r="F34" s="4">
        <v>20.5</v>
      </c>
      <c r="G34" s="4">
        <v>22.7</v>
      </c>
      <c r="H34" s="4">
        <v>18.600000000000001</v>
      </c>
      <c r="I34" s="4">
        <v>23.5</v>
      </c>
      <c r="J34" s="4">
        <v>21.3</v>
      </c>
      <c r="K34" s="4">
        <v>23.9</v>
      </c>
      <c r="L34" s="4">
        <v>14.8</v>
      </c>
      <c r="M34" s="4">
        <v>9.4</v>
      </c>
      <c r="N34" s="4">
        <v>16.5</v>
      </c>
      <c r="O34" s="4">
        <v>12.2</v>
      </c>
      <c r="P34" s="4">
        <v>23.4</v>
      </c>
      <c r="Q34" s="4">
        <v>18.600000000000001</v>
      </c>
      <c r="R34" s="4">
        <v>12</v>
      </c>
      <c r="S34" s="4">
        <v>8</v>
      </c>
      <c r="T34" s="4">
        <v>10.7</v>
      </c>
      <c r="U34" s="4">
        <v>15.8</v>
      </c>
      <c r="V34" s="4">
        <v>23.8</v>
      </c>
      <c r="W34" s="4">
        <v>9.3000000000000007</v>
      </c>
      <c r="X34" s="4">
        <v>20</v>
      </c>
      <c r="Y34" s="4">
        <v>20.6</v>
      </c>
      <c r="Z34" s="4">
        <v>19.3</v>
      </c>
      <c r="AA34" s="4">
        <v>20.3</v>
      </c>
      <c r="AB34" s="4">
        <v>17.2</v>
      </c>
    </row>
    <row r="35" spans="1:28" s="4" customFormat="1" ht="19" customHeight="1" x14ac:dyDescent="0.2">
      <c r="A35" s="4" t="s">
        <v>234</v>
      </c>
      <c r="B35" s="4" t="s">
        <v>98</v>
      </c>
      <c r="C35" s="4" t="s">
        <v>32</v>
      </c>
      <c r="D35" s="4" t="str">
        <f t="shared" si="0"/>
        <v>B2-P3-C2</v>
      </c>
      <c r="E35" s="4" t="s">
        <v>133</v>
      </c>
      <c r="F35" s="4">
        <v>14.8</v>
      </c>
      <c r="G35" s="4">
        <v>18.3</v>
      </c>
      <c r="H35" s="4">
        <v>14.5</v>
      </c>
      <c r="I35" s="4">
        <v>18.399999999999999</v>
      </c>
      <c r="J35" s="4">
        <v>19.2</v>
      </c>
      <c r="K35" s="4">
        <v>17.399999999999999</v>
      </c>
      <c r="L35" s="4">
        <v>12.6</v>
      </c>
      <c r="M35" s="4">
        <v>9.5</v>
      </c>
      <c r="N35" s="4">
        <v>13.5</v>
      </c>
      <c r="O35" s="4">
        <v>6.8</v>
      </c>
      <c r="P35" s="4">
        <v>14.7</v>
      </c>
      <c r="Q35" s="4">
        <v>4.8</v>
      </c>
      <c r="R35" s="4">
        <v>0</v>
      </c>
      <c r="S35" s="4">
        <v>0</v>
      </c>
      <c r="T35" s="4">
        <v>2.1</v>
      </c>
      <c r="U35" s="4">
        <v>7</v>
      </c>
      <c r="V35" s="4">
        <v>14.3</v>
      </c>
      <c r="W35" s="4">
        <v>0</v>
      </c>
      <c r="X35" s="4">
        <v>18.899999999999999</v>
      </c>
      <c r="Y35" s="4">
        <v>14.9</v>
      </c>
      <c r="Z35" s="4">
        <v>19.5</v>
      </c>
      <c r="AA35" s="4">
        <v>13.5</v>
      </c>
      <c r="AB35" s="4">
        <v>8.1</v>
      </c>
    </row>
    <row r="36" spans="1:28" s="4" customFormat="1" ht="19" customHeight="1" x14ac:dyDescent="0.2">
      <c r="A36" s="4" t="s">
        <v>234</v>
      </c>
      <c r="B36" s="4" t="s">
        <v>98</v>
      </c>
      <c r="C36" s="4" t="s">
        <v>42</v>
      </c>
      <c r="D36" s="4" t="str">
        <f t="shared" si="0"/>
        <v>B2-P3-C3</v>
      </c>
      <c r="E36" s="4" t="s">
        <v>133</v>
      </c>
      <c r="F36" s="4">
        <v>19.3</v>
      </c>
      <c r="G36" s="4">
        <v>24</v>
      </c>
      <c r="H36" s="4">
        <v>20.399999999999999</v>
      </c>
      <c r="I36" s="4">
        <v>21.6</v>
      </c>
      <c r="J36" s="4">
        <v>22.9</v>
      </c>
      <c r="K36" s="4">
        <v>19.600000000000001</v>
      </c>
      <c r="L36" s="4">
        <v>15.8</v>
      </c>
      <c r="M36" s="4">
        <v>10.6</v>
      </c>
      <c r="N36" s="4">
        <v>19</v>
      </c>
      <c r="O36" s="4">
        <v>12.5</v>
      </c>
      <c r="P36" s="4">
        <v>22.4</v>
      </c>
      <c r="Q36" s="4">
        <v>20.5</v>
      </c>
      <c r="R36" s="4">
        <v>5.9</v>
      </c>
      <c r="S36" s="4">
        <v>3.4</v>
      </c>
      <c r="T36" s="4">
        <v>7.2</v>
      </c>
      <c r="U36" s="4">
        <v>13.2</v>
      </c>
      <c r="V36" s="4">
        <v>18.600000000000001</v>
      </c>
      <c r="W36" s="4">
        <v>4.7</v>
      </c>
      <c r="X36" s="4">
        <v>19.899999999999999</v>
      </c>
      <c r="Y36" s="4">
        <v>19.8</v>
      </c>
      <c r="Z36" s="4">
        <v>21.4</v>
      </c>
      <c r="AA36" s="4">
        <v>17.100000000000001</v>
      </c>
      <c r="AB36" s="4">
        <v>11.7</v>
      </c>
    </row>
    <row r="37" spans="1:28" s="4" customFormat="1" ht="19" customHeight="1" x14ac:dyDescent="0.2">
      <c r="A37" s="4" t="s">
        <v>234</v>
      </c>
      <c r="B37" s="4" t="s">
        <v>98</v>
      </c>
      <c r="C37" s="4" t="s">
        <v>53</v>
      </c>
      <c r="D37" s="4" t="str">
        <f t="shared" si="0"/>
        <v>B2-P3-C4</v>
      </c>
      <c r="E37" s="4" t="s">
        <v>133</v>
      </c>
      <c r="F37" s="4">
        <v>22.5</v>
      </c>
      <c r="G37" s="4">
        <v>24.8</v>
      </c>
      <c r="H37" s="4">
        <v>23.3</v>
      </c>
      <c r="I37" s="4">
        <v>21.1</v>
      </c>
      <c r="J37" s="4">
        <v>26.2</v>
      </c>
      <c r="K37" s="4">
        <v>23.6</v>
      </c>
      <c r="L37" s="4">
        <v>19</v>
      </c>
      <c r="M37" s="4">
        <v>14.3</v>
      </c>
      <c r="N37" s="4">
        <v>20.7</v>
      </c>
      <c r="O37" s="4">
        <v>15.9</v>
      </c>
      <c r="P37" s="4">
        <v>25.2</v>
      </c>
      <c r="Q37" s="4">
        <v>22.1</v>
      </c>
      <c r="R37" s="4">
        <v>12.2</v>
      </c>
      <c r="S37" s="4">
        <v>10.4</v>
      </c>
      <c r="T37" s="4">
        <v>11.9</v>
      </c>
      <c r="U37" s="4">
        <v>19.3</v>
      </c>
      <c r="V37" s="4">
        <v>27.3</v>
      </c>
      <c r="W37" s="4">
        <v>9.1999999999999993</v>
      </c>
      <c r="X37" s="4">
        <v>23</v>
      </c>
      <c r="Y37" s="4">
        <v>22.2</v>
      </c>
      <c r="Z37" s="4">
        <v>25</v>
      </c>
      <c r="AA37" s="4">
        <v>21</v>
      </c>
      <c r="AB37" s="4">
        <v>17.600000000000001</v>
      </c>
    </row>
    <row r="38" spans="1:28" s="3" customFormat="1" ht="19" customHeight="1" x14ac:dyDescent="0.2">
      <c r="A38" s="3" t="s">
        <v>234</v>
      </c>
      <c r="B38" s="3" t="s">
        <v>131</v>
      </c>
      <c r="C38" s="3" t="s">
        <v>16</v>
      </c>
      <c r="D38" s="3" t="str">
        <f t="shared" si="0"/>
        <v>B2-P4-C1</v>
      </c>
      <c r="E38" s="3" t="s">
        <v>20</v>
      </c>
      <c r="F38" s="3">
        <v>13.9</v>
      </c>
      <c r="G38" s="3">
        <v>17</v>
      </c>
      <c r="H38" s="3">
        <v>14.9</v>
      </c>
      <c r="I38" s="3">
        <v>18.8</v>
      </c>
      <c r="J38" s="3">
        <v>18.5</v>
      </c>
      <c r="K38" s="3">
        <v>18</v>
      </c>
      <c r="L38" s="3">
        <v>9.1999999999999993</v>
      </c>
      <c r="M38" s="3">
        <v>7.4</v>
      </c>
      <c r="N38" s="3">
        <v>10.8</v>
      </c>
      <c r="O38" s="3">
        <v>2.6</v>
      </c>
      <c r="P38" s="3">
        <v>7.3</v>
      </c>
      <c r="Q38" s="3">
        <v>1.8</v>
      </c>
      <c r="R38" s="3">
        <v>0</v>
      </c>
      <c r="S38" s="3">
        <v>0</v>
      </c>
      <c r="T38" s="3">
        <v>1.9</v>
      </c>
      <c r="U38" s="3">
        <v>5.3</v>
      </c>
      <c r="V38" s="3">
        <v>10.1</v>
      </c>
      <c r="W38" s="3">
        <v>0.5</v>
      </c>
      <c r="X38" s="3">
        <v>9</v>
      </c>
      <c r="Y38" s="3">
        <v>14.1</v>
      </c>
      <c r="Z38" s="3">
        <v>16.399999999999999</v>
      </c>
      <c r="AA38" s="3">
        <v>11.5</v>
      </c>
      <c r="AB38" s="3">
        <v>4.3</v>
      </c>
    </row>
    <row r="39" spans="1:28" s="3" customFormat="1" ht="19" customHeight="1" x14ac:dyDescent="0.2">
      <c r="A39" s="3" t="s">
        <v>234</v>
      </c>
      <c r="B39" s="3" t="s">
        <v>131</v>
      </c>
      <c r="C39" s="3" t="s">
        <v>32</v>
      </c>
      <c r="D39" s="3" t="str">
        <f t="shared" si="0"/>
        <v>B2-P4-C2</v>
      </c>
      <c r="E39" s="3" t="s">
        <v>20</v>
      </c>
      <c r="F39" s="3">
        <v>15.8</v>
      </c>
      <c r="G39" s="3">
        <v>17.2</v>
      </c>
      <c r="H39" s="3">
        <v>14.2</v>
      </c>
      <c r="I39" s="3">
        <v>19.899999999999999</v>
      </c>
      <c r="J39" s="3">
        <v>21.5</v>
      </c>
      <c r="K39" s="3">
        <v>16.3</v>
      </c>
      <c r="L39" s="3">
        <v>10.1</v>
      </c>
      <c r="M39" s="3">
        <v>7.3</v>
      </c>
      <c r="N39" s="3">
        <v>11.9</v>
      </c>
      <c r="O39" s="3">
        <v>6.3</v>
      </c>
      <c r="P39" s="3">
        <v>9.5</v>
      </c>
      <c r="Q39" s="3">
        <v>1.8</v>
      </c>
      <c r="R39" s="3">
        <v>0</v>
      </c>
      <c r="S39" s="3">
        <v>0</v>
      </c>
      <c r="T39" s="3">
        <v>2.5</v>
      </c>
      <c r="U39" s="3">
        <v>6</v>
      </c>
      <c r="V39" s="3">
        <v>12.2</v>
      </c>
      <c r="W39" s="3">
        <v>0</v>
      </c>
      <c r="X39" s="3">
        <v>9.8000000000000007</v>
      </c>
      <c r="Y39" s="3">
        <v>13.4</v>
      </c>
      <c r="Z39" s="3">
        <v>17.5</v>
      </c>
      <c r="AA39" s="3">
        <v>11.7</v>
      </c>
      <c r="AB39" s="3">
        <v>7.1</v>
      </c>
    </row>
    <row r="40" spans="1:28" s="3" customFormat="1" ht="19" customHeight="1" x14ac:dyDescent="0.2">
      <c r="A40" s="3" t="s">
        <v>234</v>
      </c>
      <c r="B40" s="3" t="s">
        <v>131</v>
      </c>
      <c r="C40" s="3" t="s">
        <v>42</v>
      </c>
      <c r="D40" s="3" t="str">
        <f t="shared" si="0"/>
        <v>B2-P4-C3</v>
      </c>
      <c r="E40" s="3" t="s">
        <v>20</v>
      </c>
      <c r="F40" s="3">
        <v>15.6</v>
      </c>
      <c r="G40" s="3">
        <v>20.9</v>
      </c>
      <c r="H40" s="3">
        <v>22.1</v>
      </c>
      <c r="I40" s="3">
        <v>25.3</v>
      </c>
      <c r="J40" s="3">
        <v>24.3</v>
      </c>
      <c r="K40" s="3">
        <v>20.9</v>
      </c>
      <c r="L40" s="3">
        <v>14.9</v>
      </c>
      <c r="M40" s="3">
        <v>11</v>
      </c>
      <c r="N40" s="3">
        <v>17.5</v>
      </c>
      <c r="O40" s="3">
        <v>12.6</v>
      </c>
      <c r="P40" s="3">
        <v>18.8</v>
      </c>
      <c r="Q40" s="3">
        <v>16.5</v>
      </c>
      <c r="R40" s="3">
        <v>5.2</v>
      </c>
      <c r="S40" s="3">
        <v>2</v>
      </c>
      <c r="T40" s="3">
        <v>5</v>
      </c>
      <c r="U40" s="3">
        <v>6.7</v>
      </c>
      <c r="V40" s="3">
        <v>19.899999999999999</v>
      </c>
      <c r="W40" s="3">
        <v>3.5</v>
      </c>
      <c r="X40" s="3">
        <v>10.5</v>
      </c>
      <c r="Y40" s="3">
        <v>16.3</v>
      </c>
      <c r="Z40" s="3">
        <v>17.2</v>
      </c>
      <c r="AA40" s="3">
        <v>12.8</v>
      </c>
      <c r="AB40" s="3">
        <v>6.5</v>
      </c>
    </row>
    <row r="41" spans="1:28" s="3" customFormat="1" ht="19" customHeight="1" x14ac:dyDescent="0.2">
      <c r="A41" s="3" t="s">
        <v>234</v>
      </c>
      <c r="B41" s="3" t="s">
        <v>131</v>
      </c>
      <c r="C41" s="3" t="s">
        <v>53</v>
      </c>
      <c r="D41" s="3" t="str">
        <f t="shared" si="0"/>
        <v>B2-P4-C4</v>
      </c>
      <c r="E41" s="3" t="s">
        <v>20</v>
      </c>
      <c r="F41" s="3">
        <v>22</v>
      </c>
      <c r="G41" s="3">
        <v>24.6</v>
      </c>
      <c r="H41" s="3">
        <v>22.1</v>
      </c>
      <c r="I41" s="3">
        <v>25.1</v>
      </c>
      <c r="J41" s="3">
        <v>25.6</v>
      </c>
      <c r="K41" s="3">
        <v>21.5</v>
      </c>
      <c r="L41" s="3">
        <v>11.4</v>
      </c>
      <c r="M41" s="3">
        <v>7.9</v>
      </c>
      <c r="N41" s="3">
        <v>14.1</v>
      </c>
      <c r="O41" s="3">
        <v>13.3</v>
      </c>
      <c r="P41" s="3">
        <v>18.600000000000001</v>
      </c>
      <c r="Q41" s="3">
        <v>10</v>
      </c>
      <c r="R41" s="3">
        <v>2</v>
      </c>
      <c r="S41" s="3">
        <v>0</v>
      </c>
      <c r="T41" s="3">
        <v>1.2</v>
      </c>
      <c r="U41" s="3">
        <v>5.0999999999999996</v>
      </c>
      <c r="V41" s="3">
        <v>14.3</v>
      </c>
      <c r="W41" s="3">
        <v>0</v>
      </c>
      <c r="X41" s="3">
        <v>9.6999999999999993</v>
      </c>
      <c r="Y41" s="3">
        <v>11.5</v>
      </c>
      <c r="Z41" s="3">
        <v>11.5</v>
      </c>
      <c r="AA41" s="3">
        <v>8.5</v>
      </c>
      <c r="AB41" s="3">
        <v>2.1</v>
      </c>
    </row>
    <row r="42" spans="1:28" s="4" customFormat="1" ht="19" customHeight="1" x14ac:dyDescent="0.2">
      <c r="A42" s="4" t="s">
        <v>234</v>
      </c>
      <c r="B42" s="4" t="s">
        <v>167</v>
      </c>
      <c r="C42" s="4" t="s">
        <v>16</v>
      </c>
      <c r="D42" s="4" t="str">
        <f t="shared" si="0"/>
        <v>B2-P5-C1</v>
      </c>
      <c r="E42" s="4" t="s">
        <v>20</v>
      </c>
      <c r="F42" s="4">
        <v>19.600000000000001</v>
      </c>
      <c r="G42" s="4">
        <v>18.2</v>
      </c>
      <c r="H42" s="4">
        <v>20.3</v>
      </c>
      <c r="I42" s="4">
        <v>21.6</v>
      </c>
      <c r="J42" s="4">
        <v>20.6</v>
      </c>
      <c r="K42" s="4">
        <v>18.2</v>
      </c>
      <c r="L42" s="4">
        <v>9.1</v>
      </c>
      <c r="M42" s="4">
        <v>8.1999999999999993</v>
      </c>
      <c r="N42" s="4">
        <v>11.9</v>
      </c>
      <c r="O42" s="4">
        <v>8.3000000000000007</v>
      </c>
      <c r="P42" s="4">
        <v>14.2</v>
      </c>
      <c r="Q42" s="4">
        <v>8.4</v>
      </c>
      <c r="R42" s="4">
        <v>2.1</v>
      </c>
      <c r="S42" s="4">
        <v>0.9</v>
      </c>
      <c r="T42" s="4">
        <v>2.9</v>
      </c>
      <c r="U42" s="4">
        <v>5</v>
      </c>
      <c r="V42" s="4">
        <v>14.9</v>
      </c>
      <c r="W42" s="4">
        <v>1.6</v>
      </c>
      <c r="X42" s="4">
        <v>8.5</v>
      </c>
      <c r="Y42" s="4">
        <v>11.6</v>
      </c>
      <c r="Z42" s="4">
        <v>15.1</v>
      </c>
      <c r="AA42" s="4">
        <v>10.3</v>
      </c>
      <c r="AB42" s="4">
        <v>5.6</v>
      </c>
    </row>
    <row r="43" spans="1:28" s="4" customFormat="1" ht="19" customHeight="1" x14ac:dyDescent="0.2">
      <c r="A43" s="4" t="s">
        <v>234</v>
      </c>
      <c r="B43" s="4" t="s">
        <v>167</v>
      </c>
      <c r="C43" s="4" t="s">
        <v>32</v>
      </c>
      <c r="D43" s="4" t="str">
        <f t="shared" si="0"/>
        <v>B2-P5-C2</v>
      </c>
      <c r="E43" s="4" t="s">
        <v>20</v>
      </c>
      <c r="F43" s="4">
        <v>15.1</v>
      </c>
      <c r="G43" s="4">
        <v>19.8</v>
      </c>
      <c r="H43" s="4">
        <v>20.2</v>
      </c>
      <c r="I43" s="4">
        <v>23.2</v>
      </c>
      <c r="J43" s="4">
        <v>19.5</v>
      </c>
      <c r="K43" s="4">
        <v>18.8</v>
      </c>
      <c r="L43" s="4">
        <v>8.9</v>
      </c>
      <c r="M43" s="4">
        <v>7.3</v>
      </c>
      <c r="N43" s="4">
        <v>13.2</v>
      </c>
      <c r="O43" s="4">
        <v>10.9</v>
      </c>
      <c r="P43" s="4">
        <v>17</v>
      </c>
      <c r="Q43" s="4">
        <v>16.2</v>
      </c>
      <c r="R43" s="4">
        <v>7.2</v>
      </c>
      <c r="S43" s="4">
        <v>5.0999999999999996</v>
      </c>
      <c r="T43" s="4">
        <v>5.4</v>
      </c>
      <c r="U43" s="4">
        <v>8.1999999999999993</v>
      </c>
      <c r="V43" s="4">
        <v>17</v>
      </c>
      <c r="W43" s="4">
        <v>3.8</v>
      </c>
      <c r="X43" s="4">
        <v>11.5</v>
      </c>
      <c r="Y43" s="4">
        <v>13.2</v>
      </c>
      <c r="Z43" s="4">
        <v>18</v>
      </c>
      <c r="AA43" s="4">
        <v>13.4</v>
      </c>
      <c r="AB43" s="4">
        <v>8.3000000000000007</v>
      </c>
    </row>
    <row r="44" spans="1:28" s="4" customFormat="1" ht="19" customHeight="1" x14ac:dyDescent="0.2">
      <c r="A44" s="4" t="s">
        <v>234</v>
      </c>
      <c r="B44" s="4" t="s">
        <v>167</v>
      </c>
      <c r="C44" s="4" t="s">
        <v>42</v>
      </c>
      <c r="D44" s="4" t="str">
        <f t="shared" si="0"/>
        <v>B2-P5-C3</v>
      </c>
      <c r="E44" s="4" t="s">
        <v>20</v>
      </c>
      <c r="F44" s="4">
        <v>15.2</v>
      </c>
      <c r="G44" s="4">
        <v>18.2</v>
      </c>
      <c r="H44" s="4">
        <v>19.5</v>
      </c>
      <c r="I44" s="4">
        <v>20.100000000000001</v>
      </c>
      <c r="J44" s="4">
        <v>19.899999999999999</v>
      </c>
      <c r="K44" s="4">
        <v>17.100000000000001</v>
      </c>
      <c r="L44" s="4">
        <v>11.4</v>
      </c>
      <c r="M44" s="4">
        <v>7.4</v>
      </c>
      <c r="N44" s="4">
        <v>12.8</v>
      </c>
      <c r="O44" s="4">
        <v>8.8000000000000007</v>
      </c>
      <c r="P44" s="4">
        <v>16.2</v>
      </c>
      <c r="Q44" s="4">
        <v>12.9</v>
      </c>
      <c r="R44" s="4">
        <v>3.8</v>
      </c>
      <c r="S44" s="4">
        <v>1.6</v>
      </c>
      <c r="T44" s="4">
        <v>2.9</v>
      </c>
      <c r="U44" s="4">
        <v>5.4</v>
      </c>
      <c r="V44" s="4">
        <v>14.2</v>
      </c>
      <c r="W44" s="4">
        <v>2.1</v>
      </c>
      <c r="X44" s="4">
        <v>9</v>
      </c>
      <c r="Y44" s="4">
        <v>11.6</v>
      </c>
      <c r="Z44" s="4">
        <v>13.9</v>
      </c>
      <c r="AA44" s="4">
        <v>11.5</v>
      </c>
      <c r="AB44" s="4">
        <v>5.9</v>
      </c>
    </row>
    <row r="45" spans="1:28" s="4" customFormat="1" ht="19" customHeight="1" x14ac:dyDescent="0.2">
      <c r="A45" s="4" t="s">
        <v>234</v>
      </c>
      <c r="B45" s="4" t="s">
        <v>167</v>
      </c>
      <c r="C45" s="4" t="s">
        <v>53</v>
      </c>
      <c r="D45" s="4" t="str">
        <f t="shared" si="0"/>
        <v>B2-P5-C4</v>
      </c>
      <c r="E45" s="4" t="s">
        <v>20</v>
      </c>
      <c r="F45" s="4">
        <v>14.9</v>
      </c>
      <c r="G45" s="4">
        <v>21.1</v>
      </c>
      <c r="H45" s="4">
        <v>17.3</v>
      </c>
      <c r="I45" s="4">
        <v>21</v>
      </c>
      <c r="J45" s="4">
        <v>19.7</v>
      </c>
      <c r="K45" s="4">
        <v>17.3</v>
      </c>
      <c r="L45" s="4">
        <v>10.8</v>
      </c>
      <c r="M45" s="4">
        <v>8.3000000000000007</v>
      </c>
      <c r="N45" s="4">
        <v>12.7</v>
      </c>
      <c r="O45" s="4">
        <v>5.7</v>
      </c>
      <c r="P45" s="4">
        <v>9</v>
      </c>
      <c r="Q45" s="4">
        <v>2.5</v>
      </c>
      <c r="R45" s="4">
        <v>0</v>
      </c>
      <c r="S45" s="4">
        <v>0</v>
      </c>
      <c r="T45" s="4">
        <v>2.5</v>
      </c>
      <c r="U45" s="4">
        <v>5</v>
      </c>
      <c r="V45" s="4">
        <v>11.7</v>
      </c>
      <c r="W45" s="4">
        <v>1.3</v>
      </c>
      <c r="X45" s="4">
        <v>8</v>
      </c>
      <c r="Y45" s="4">
        <v>9.8000000000000007</v>
      </c>
      <c r="Z45" s="4">
        <v>12.5</v>
      </c>
      <c r="AA45" s="4">
        <v>6.4</v>
      </c>
      <c r="AB45" s="4">
        <v>0.8</v>
      </c>
    </row>
    <row r="46" spans="1:28" s="3" customFormat="1" ht="19" customHeight="1" x14ac:dyDescent="0.2">
      <c r="A46" s="3" t="s">
        <v>234</v>
      </c>
      <c r="B46" s="3" t="s">
        <v>200</v>
      </c>
      <c r="C46" s="3" t="s">
        <v>16</v>
      </c>
      <c r="D46" s="3" t="str">
        <f t="shared" si="0"/>
        <v>B2-P6-C1</v>
      </c>
      <c r="E46" s="3" t="s">
        <v>20</v>
      </c>
      <c r="F46" s="3">
        <v>15.1</v>
      </c>
      <c r="G46" s="3">
        <v>22.5</v>
      </c>
      <c r="H46" s="3">
        <v>19.7</v>
      </c>
      <c r="I46" s="3">
        <v>23.3</v>
      </c>
      <c r="J46" s="3">
        <v>22.4</v>
      </c>
      <c r="K46" s="3">
        <v>19.5</v>
      </c>
      <c r="L46" s="3">
        <v>11.3</v>
      </c>
      <c r="M46" s="3">
        <v>8.3000000000000007</v>
      </c>
      <c r="N46" s="3">
        <v>14.1</v>
      </c>
      <c r="O46" s="3">
        <v>8.1999999999999993</v>
      </c>
      <c r="P46" s="3">
        <v>13.8</v>
      </c>
      <c r="Q46" s="3">
        <v>4.5999999999999996</v>
      </c>
      <c r="R46" s="3">
        <v>1.1000000000000001</v>
      </c>
      <c r="S46" s="3">
        <v>0</v>
      </c>
      <c r="T46" s="3">
        <v>1.7</v>
      </c>
      <c r="U46" s="3">
        <v>3.8</v>
      </c>
      <c r="V46" s="3">
        <v>12.5</v>
      </c>
      <c r="W46" s="3">
        <v>1.5</v>
      </c>
      <c r="X46" s="3">
        <v>7.8</v>
      </c>
      <c r="Y46" s="3">
        <v>8.6</v>
      </c>
      <c r="Z46" s="3">
        <v>11.5</v>
      </c>
      <c r="AA46" s="3">
        <v>7.5</v>
      </c>
      <c r="AB46" s="3">
        <v>2.1</v>
      </c>
    </row>
    <row r="47" spans="1:28" s="3" customFormat="1" ht="19" customHeight="1" x14ac:dyDescent="0.2">
      <c r="A47" s="3" t="s">
        <v>234</v>
      </c>
      <c r="B47" s="3" t="s">
        <v>200</v>
      </c>
      <c r="C47" s="3" t="s">
        <v>32</v>
      </c>
      <c r="D47" s="3" t="str">
        <f t="shared" si="0"/>
        <v>B2-P6-C2</v>
      </c>
      <c r="E47" s="3" t="s">
        <v>20</v>
      </c>
      <c r="F47" s="3">
        <v>18.7</v>
      </c>
      <c r="G47" s="3">
        <v>26</v>
      </c>
      <c r="H47" s="3">
        <v>22</v>
      </c>
      <c r="I47" s="3">
        <v>25.3</v>
      </c>
      <c r="J47" s="3">
        <v>24.9</v>
      </c>
      <c r="K47" s="3">
        <v>23.4</v>
      </c>
      <c r="L47" s="3">
        <v>13.9</v>
      </c>
      <c r="M47" s="3">
        <v>9.1999999999999993</v>
      </c>
      <c r="N47" s="3">
        <v>13.9</v>
      </c>
      <c r="O47" s="3">
        <v>10.3</v>
      </c>
      <c r="P47" s="3">
        <v>19.7</v>
      </c>
      <c r="Q47" s="3">
        <v>16.100000000000001</v>
      </c>
      <c r="R47" s="3">
        <v>6.1</v>
      </c>
      <c r="S47" s="3">
        <v>3.6</v>
      </c>
      <c r="T47" s="3">
        <v>5.3</v>
      </c>
      <c r="U47" s="3">
        <v>5.5</v>
      </c>
      <c r="V47" s="3">
        <v>17.7</v>
      </c>
      <c r="W47" s="3">
        <v>4.2</v>
      </c>
      <c r="X47" s="3">
        <v>8.9</v>
      </c>
      <c r="Y47" s="3">
        <v>13.8</v>
      </c>
      <c r="Z47" s="3">
        <v>17.7</v>
      </c>
      <c r="AA47" s="3">
        <v>14.3</v>
      </c>
      <c r="AB47" s="3">
        <v>7.4</v>
      </c>
    </row>
    <row r="48" spans="1:28" s="3" customFormat="1" ht="19" customHeight="1" x14ac:dyDescent="0.2">
      <c r="A48" s="3" t="s">
        <v>234</v>
      </c>
      <c r="B48" s="3" t="s">
        <v>200</v>
      </c>
      <c r="C48" s="3" t="s">
        <v>42</v>
      </c>
      <c r="D48" s="3" t="str">
        <f t="shared" si="0"/>
        <v>B2-P6-C3</v>
      </c>
      <c r="E48" s="3" t="s">
        <v>20</v>
      </c>
      <c r="F48" s="3">
        <v>20.9</v>
      </c>
      <c r="G48" s="3">
        <v>26.9</v>
      </c>
      <c r="H48" s="3">
        <v>22.1</v>
      </c>
      <c r="I48" s="3">
        <v>24.4</v>
      </c>
      <c r="J48" s="3">
        <v>24.8</v>
      </c>
      <c r="K48" s="3">
        <v>19.7</v>
      </c>
      <c r="L48" s="3">
        <v>12.1</v>
      </c>
      <c r="M48" s="3">
        <v>8.1</v>
      </c>
      <c r="N48" s="3">
        <v>12.4</v>
      </c>
      <c r="O48" s="3">
        <v>7.7</v>
      </c>
      <c r="P48" s="3">
        <v>13.4</v>
      </c>
      <c r="Q48" s="3">
        <v>5.7</v>
      </c>
      <c r="R48" s="3">
        <v>0.5</v>
      </c>
      <c r="S48" s="3">
        <v>2</v>
      </c>
      <c r="T48" s="3">
        <v>2.9</v>
      </c>
      <c r="U48" s="3">
        <v>4.0999999999999996</v>
      </c>
      <c r="V48" s="3">
        <v>17.8</v>
      </c>
      <c r="W48" s="3">
        <v>1.4</v>
      </c>
      <c r="X48" s="3">
        <v>10.199999999999999</v>
      </c>
      <c r="Y48" s="3">
        <v>13</v>
      </c>
      <c r="Z48" s="3">
        <v>18.5</v>
      </c>
      <c r="AA48" s="3">
        <v>13.5</v>
      </c>
      <c r="AB48" s="3">
        <v>6.8</v>
      </c>
    </row>
    <row r="49" spans="1:28" s="3" customFormat="1" ht="19" customHeight="1" x14ac:dyDescent="0.2">
      <c r="A49" s="3" t="s">
        <v>234</v>
      </c>
      <c r="B49" s="3" t="s">
        <v>200</v>
      </c>
      <c r="C49" s="3" t="s">
        <v>53</v>
      </c>
      <c r="D49" s="3" t="str">
        <f t="shared" si="0"/>
        <v>B2-P6-C4</v>
      </c>
      <c r="E49" s="3" t="s">
        <v>20</v>
      </c>
      <c r="F49" s="3">
        <v>21.2</v>
      </c>
      <c r="G49" s="3">
        <v>27.4</v>
      </c>
      <c r="H49" s="3">
        <v>23.5</v>
      </c>
      <c r="I49" s="3">
        <v>26.9</v>
      </c>
      <c r="J49" s="3">
        <v>25</v>
      </c>
      <c r="K49" s="3">
        <v>24.5</v>
      </c>
      <c r="L49" s="3">
        <v>13.4</v>
      </c>
      <c r="M49" s="3">
        <v>10.4</v>
      </c>
      <c r="N49" s="3">
        <v>15.6</v>
      </c>
      <c r="O49" s="3">
        <v>13.3</v>
      </c>
      <c r="P49" s="3">
        <v>18.600000000000001</v>
      </c>
      <c r="Q49" s="3">
        <v>1.5</v>
      </c>
      <c r="R49" s="3">
        <v>8.1</v>
      </c>
      <c r="S49" s="3">
        <v>4.2</v>
      </c>
      <c r="T49" s="3">
        <v>6.1</v>
      </c>
      <c r="U49" s="3">
        <v>6.7</v>
      </c>
      <c r="V49" s="3">
        <v>18.3</v>
      </c>
      <c r="W49" s="3">
        <v>4.5</v>
      </c>
      <c r="X49" s="3">
        <v>11.5</v>
      </c>
      <c r="Y49" s="3">
        <v>16.100000000000001</v>
      </c>
      <c r="Z49" s="3">
        <v>19</v>
      </c>
      <c r="AA49" s="3">
        <v>13.7</v>
      </c>
      <c r="AB49" s="3">
        <v>8.9</v>
      </c>
    </row>
    <row r="50" spans="1:28" s="4" customFormat="1" ht="19" customHeight="1" x14ac:dyDescent="0.2">
      <c r="A50" s="4" t="s">
        <v>426</v>
      </c>
      <c r="B50" s="4" t="s">
        <v>15</v>
      </c>
      <c r="C50" s="4" t="s">
        <v>16</v>
      </c>
      <c r="D50" s="4" t="str">
        <f t="shared" si="0"/>
        <v>B3-P1-C1</v>
      </c>
      <c r="E50" s="4" t="s">
        <v>20</v>
      </c>
      <c r="F50" s="4">
        <v>12.4</v>
      </c>
      <c r="G50" s="4">
        <v>16.399999999999999</v>
      </c>
      <c r="H50" s="4">
        <v>15.9</v>
      </c>
      <c r="I50" s="4">
        <v>16.399999999999999</v>
      </c>
      <c r="J50" s="4">
        <v>18.5</v>
      </c>
      <c r="K50" s="4">
        <v>15.2</v>
      </c>
      <c r="L50" s="4">
        <v>9.9</v>
      </c>
      <c r="M50" s="4">
        <v>6.7</v>
      </c>
      <c r="N50" s="4">
        <v>10.6</v>
      </c>
      <c r="O50" s="4">
        <v>5.3</v>
      </c>
      <c r="P50" s="4">
        <v>10.8</v>
      </c>
      <c r="Q50" s="4">
        <v>2.1</v>
      </c>
      <c r="R50" s="4">
        <v>0</v>
      </c>
      <c r="S50" s="4">
        <v>0</v>
      </c>
      <c r="T50" s="4">
        <v>3.2</v>
      </c>
      <c r="U50" s="4">
        <v>5</v>
      </c>
      <c r="V50" s="4">
        <v>13.3</v>
      </c>
      <c r="W50" s="4">
        <v>1</v>
      </c>
      <c r="X50" s="4">
        <v>8.8000000000000007</v>
      </c>
      <c r="Y50" s="4">
        <v>8.6</v>
      </c>
      <c r="Z50" s="4">
        <v>10.9</v>
      </c>
      <c r="AA50" s="4">
        <v>6.3</v>
      </c>
      <c r="AB50" s="4">
        <v>0.5</v>
      </c>
    </row>
    <row r="51" spans="1:28" s="4" customFormat="1" ht="19" customHeight="1" x14ac:dyDescent="0.2">
      <c r="A51" s="4" t="s">
        <v>426</v>
      </c>
      <c r="B51" s="4" t="s">
        <v>15</v>
      </c>
      <c r="C51" s="4" t="s">
        <v>32</v>
      </c>
      <c r="D51" s="4" t="str">
        <f t="shared" si="0"/>
        <v>B3-P1-C2</v>
      </c>
      <c r="E51" s="4" t="s">
        <v>20</v>
      </c>
      <c r="F51" s="4">
        <v>14.5</v>
      </c>
      <c r="G51" s="4">
        <v>17.7</v>
      </c>
      <c r="H51" s="4">
        <v>14.4</v>
      </c>
      <c r="I51" s="4">
        <v>17.100000000000001</v>
      </c>
      <c r="J51" s="4">
        <v>18.5</v>
      </c>
      <c r="K51" s="4">
        <v>14.9</v>
      </c>
      <c r="L51" s="4">
        <v>11.4</v>
      </c>
      <c r="M51" s="4">
        <v>6</v>
      </c>
      <c r="N51" s="4">
        <v>11.9</v>
      </c>
      <c r="O51" s="4">
        <v>7.3</v>
      </c>
      <c r="P51" s="4">
        <v>10.8</v>
      </c>
      <c r="Q51" s="4">
        <v>2.5</v>
      </c>
      <c r="R51" s="4">
        <v>0</v>
      </c>
      <c r="S51" s="4">
        <v>0</v>
      </c>
      <c r="T51" s="4">
        <v>1.5</v>
      </c>
      <c r="U51" s="4">
        <v>5.3</v>
      </c>
      <c r="V51" s="4">
        <v>14.1</v>
      </c>
      <c r="W51" s="4">
        <v>0</v>
      </c>
      <c r="X51" s="4">
        <v>11.2</v>
      </c>
      <c r="Y51" s="4">
        <v>13.6</v>
      </c>
      <c r="Z51" s="4">
        <v>16.2</v>
      </c>
      <c r="AA51" s="4">
        <v>12.5</v>
      </c>
      <c r="AB51" s="4">
        <v>4.3</v>
      </c>
    </row>
    <row r="52" spans="1:28" s="4" customFormat="1" ht="19" customHeight="1" x14ac:dyDescent="0.2">
      <c r="A52" s="4" t="s">
        <v>426</v>
      </c>
      <c r="B52" s="4" t="s">
        <v>15</v>
      </c>
      <c r="C52" s="4" t="s">
        <v>42</v>
      </c>
      <c r="D52" s="4" t="str">
        <f t="shared" si="0"/>
        <v>B3-P1-C3</v>
      </c>
      <c r="E52" s="4" t="s">
        <v>20</v>
      </c>
      <c r="F52" s="4">
        <v>14.1</v>
      </c>
      <c r="G52" s="4">
        <v>17.399999999999999</v>
      </c>
      <c r="H52" s="4">
        <v>16.399999999999999</v>
      </c>
      <c r="I52" s="4">
        <v>18.399999999999999</v>
      </c>
      <c r="J52" s="4">
        <v>17.5</v>
      </c>
      <c r="K52" s="4">
        <v>14.8</v>
      </c>
      <c r="L52" s="4">
        <v>8.8000000000000007</v>
      </c>
      <c r="M52" s="4">
        <v>6.6</v>
      </c>
      <c r="N52" s="4">
        <v>11.8</v>
      </c>
      <c r="O52" s="4">
        <v>8.9</v>
      </c>
      <c r="P52" s="4">
        <v>19.7</v>
      </c>
      <c r="Q52" s="4">
        <v>14.2</v>
      </c>
      <c r="R52" s="4">
        <v>5</v>
      </c>
      <c r="S52" s="4">
        <v>1.6</v>
      </c>
      <c r="T52" s="4">
        <v>3.7</v>
      </c>
      <c r="U52" s="4">
        <v>6</v>
      </c>
      <c r="V52" s="4">
        <v>16.100000000000001</v>
      </c>
      <c r="W52" s="4">
        <v>1.6</v>
      </c>
      <c r="X52" s="4">
        <v>10.199999999999999</v>
      </c>
      <c r="Y52" s="4">
        <v>13.1</v>
      </c>
      <c r="Z52" s="4">
        <v>13.2</v>
      </c>
      <c r="AA52" s="4">
        <v>12.3</v>
      </c>
      <c r="AB52" s="4">
        <v>4.5999999999999996</v>
      </c>
    </row>
    <row r="53" spans="1:28" s="4" customFormat="1" ht="19" customHeight="1" x14ac:dyDescent="0.2">
      <c r="A53" s="4" t="s">
        <v>426</v>
      </c>
      <c r="B53" s="4" t="s">
        <v>15</v>
      </c>
      <c r="C53" s="4" t="s">
        <v>53</v>
      </c>
      <c r="D53" s="4" t="str">
        <f t="shared" si="0"/>
        <v>B3-P1-C4</v>
      </c>
      <c r="E53" s="4" t="s">
        <v>20</v>
      </c>
      <c r="F53" s="4">
        <v>14.2</v>
      </c>
      <c r="G53" s="4">
        <v>16.8</v>
      </c>
      <c r="H53" s="4">
        <v>15</v>
      </c>
      <c r="I53" s="4">
        <v>16.5</v>
      </c>
      <c r="J53" s="4">
        <v>18.100000000000001</v>
      </c>
      <c r="K53" s="4">
        <v>15.4</v>
      </c>
      <c r="L53" s="4">
        <v>8.4</v>
      </c>
      <c r="M53" s="4">
        <v>6.8</v>
      </c>
      <c r="N53" s="4">
        <v>11.3</v>
      </c>
      <c r="O53" s="4">
        <v>5.9</v>
      </c>
      <c r="P53" s="4">
        <v>12.3</v>
      </c>
      <c r="Q53" s="4">
        <v>2.6</v>
      </c>
      <c r="R53" s="4">
        <v>0</v>
      </c>
      <c r="S53" s="4">
        <v>0</v>
      </c>
      <c r="T53" s="4">
        <v>1.9</v>
      </c>
      <c r="U53" s="4">
        <v>4.4000000000000004</v>
      </c>
      <c r="V53" s="4">
        <v>13.1</v>
      </c>
      <c r="W53" s="4">
        <v>0</v>
      </c>
      <c r="X53" s="4">
        <v>8.3000000000000007</v>
      </c>
      <c r="Y53" s="4">
        <v>9.8000000000000007</v>
      </c>
      <c r="Z53" s="4">
        <v>12.7</v>
      </c>
      <c r="AA53" s="4">
        <v>7</v>
      </c>
      <c r="AB53" s="4">
        <v>1.6</v>
      </c>
    </row>
    <row r="54" spans="1:28" s="3" customFormat="1" ht="19" customHeight="1" x14ac:dyDescent="0.2">
      <c r="A54" s="3" t="s">
        <v>426</v>
      </c>
      <c r="B54" s="3" t="s">
        <v>62</v>
      </c>
      <c r="C54" s="3" t="s">
        <v>16</v>
      </c>
      <c r="D54" s="3" t="str">
        <f t="shared" si="0"/>
        <v>B3-P2-C1</v>
      </c>
      <c r="E54" s="3" t="s">
        <v>20</v>
      </c>
      <c r="F54" s="3">
        <v>19.5</v>
      </c>
      <c r="G54" s="3">
        <v>20.7</v>
      </c>
      <c r="H54" s="3">
        <v>17.899999999999999</v>
      </c>
      <c r="I54" s="3">
        <v>18.899999999999999</v>
      </c>
      <c r="J54" s="3">
        <v>20.8</v>
      </c>
      <c r="K54" s="3">
        <v>20.2</v>
      </c>
      <c r="L54" s="3">
        <v>11.3</v>
      </c>
      <c r="M54" s="3">
        <v>8.3000000000000007</v>
      </c>
      <c r="N54" s="3">
        <v>14.3</v>
      </c>
      <c r="O54" s="3">
        <v>9</v>
      </c>
      <c r="P54" s="3">
        <v>19</v>
      </c>
      <c r="Q54" s="3">
        <v>10.3</v>
      </c>
      <c r="R54" s="3">
        <v>3.8</v>
      </c>
      <c r="S54" s="3">
        <v>1.9</v>
      </c>
      <c r="T54" s="3">
        <v>3.8</v>
      </c>
      <c r="U54" s="3">
        <v>5.7</v>
      </c>
      <c r="V54" s="3">
        <v>14.7</v>
      </c>
      <c r="W54" s="3">
        <v>2</v>
      </c>
      <c r="X54" s="3">
        <v>11.3</v>
      </c>
      <c r="Y54" s="3">
        <v>13</v>
      </c>
      <c r="Z54" s="3">
        <v>14.9</v>
      </c>
      <c r="AA54" s="3">
        <v>13</v>
      </c>
      <c r="AB54" s="3">
        <v>6.5</v>
      </c>
    </row>
    <row r="55" spans="1:28" s="3" customFormat="1" ht="19" customHeight="1" x14ac:dyDescent="0.2">
      <c r="A55" s="3" t="s">
        <v>426</v>
      </c>
      <c r="B55" s="3" t="s">
        <v>62</v>
      </c>
      <c r="C55" s="3" t="s">
        <v>32</v>
      </c>
      <c r="D55" s="3" t="str">
        <f t="shared" si="0"/>
        <v>B3-P2-C2</v>
      </c>
      <c r="E55" s="3" t="s">
        <v>20</v>
      </c>
      <c r="F55" s="3">
        <v>21.9</v>
      </c>
      <c r="G55" s="3">
        <v>21.6</v>
      </c>
      <c r="H55" s="3">
        <v>22.2</v>
      </c>
      <c r="I55" s="3">
        <v>21.7</v>
      </c>
      <c r="J55" s="3">
        <v>25.6</v>
      </c>
      <c r="K55" s="3">
        <v>20.7</v>
      </c>
      <c r="L55" s="3">
        <v>11.9</v>
      </c>
      <c r="M55" s="3">
        <v>8.3000000000000007</v>
      </c>
      <c r="N55" s="3">
        <v>13.2</v>
      </c>
      <c r="O55" s="3">
        <v>10.6</v>
      </c>
      <c r="P55" s="3">
        <v>18.5</v>
      </c>
      <c r="Q55" s="3">
        <v>7</v>
      </c>
      <c r="R55" s="3">
        <v>1.1000000000000001</v>
      </c>
      <c r="S55" s="3">
        <v>1.1000000000000001</v>
      </c>
      <c r="T55" s="3">
        <v>3.8</v>
      </c>
      <c r="U55" s="3">
        <v>6</v>
      </c>
      <c r="V55" s="3">
        <v>14.8</v>
      </c>
      <c r="W55" s="3">
        <v>1.2</v>
      </c>
      <c r="X55" s="3">
        <v>12.1</v>
      </c>
      <c r="Y55" s="3">
        <v>14.5</v>
      </c>
      <c r="Z55" s="3">
        <v>14.5</v>
      </c>
      <c r="AA55" s="3">
        <v>13.1</v>
      </c>
      <c r="AB55" s="3">
        <v>3.3</v>
      </c>
    </row>
    <row r="56" spans="1:28" s="3" customFormat="1" ht="19" customHeight="1" x14ac:dyDescent="0.2">
      <c r="A56" s="3" t="s">
        <v>426</v>
      </c>
      <c r="B56" s="3" t="s">
        <v>62</v>
      </c>
      <c r="C56" s="3" t="s">
        <v>42</v>
      </c>
      <c r="D56" s="3" t="str">
        <f t="shared" si="0"/>
        <v>B3-P2-C3</v>
      </c>
      <c r="E56" s="3" t="s">
        <v>20</v>
      </c>
      <c r="F56" s="3">
        <v>18.600000000000001</v>
      </c>
      <c r="G56" s="3">
        <v>21.7</v>
      </c>
      <c r="H56" s="3">
        <v>21.6</v>
      </c>
      <c r="I56" s="3">
        <v>19.100000000000001</v>
      </c>
      <c r="J56" s="3">
        <v>23</v>
      </c>
      <c r="K56" s="3">
        <v>20.5</v>
      </c>
      <c r="L56" s="3">
        <v>12.4</v>
      </c>
      <c r="M56" s="3">
        <v>7.7</v>
      </c>
      <c r="N56" s="3">
        <v>16.100000000000001</v>
      </c>
      <c r="O56" s="3">
        <v>10.199999999999999</v>
      </c>
      <c r="P56" s="3">
        <v>20.2</v>
      </c>
      <c r="Q56" s="3">
        <v>15.2</v>
      </c>
      <c r="R56" s="3">
        <v>5.7</v>
      </c>
      <c r="S56" s="3">
        <v>3</v>
      </c>
      <c r="T56" s="3">
        <v>5.3</v>
      </c>
      <c r="U56" s="3">
        <v>6.6</v>
      </c>
      <c r="V56" s="3">
        <v>16.5</v>
      </c>
      <c r="W56" s="3">
        <v>2.2000000000000002</v>
      </c>
      <c r="X56" s="3">
        <v>11.4</v>
      </c>
      <c r="Y56" s="3">
        <v>14.6</v>
      </c>
      <c r="Z56" s="3">
        <v>18.2</v>
      </c>
      <c r="AA56" s="3">
        <v>15.9</v>
      </c>
      <c r="AB56" s="3">
        <v>9.9</v>
      </c>
    </row>
    <row r="57" spans="1:28" s="3" customFormat="1" ht="19" customHeight="1" x14ac:dyDescent="0.2">
      <c r="A57" s="3" t="s">
        <v>426</v>
      </c>
      <c r="B57" s="3" t="s">
        <v>62</v>
      </c>
      <c r="C57" s="3" t="s">
        <v>53</v>
      </c>
      <c r="D57" s="3" t="str">
        <f t="shared" si="0"/>
        <v>B3-P2-C4</v>
      </c>
      <c r="E57" s="3" t="s">
        <v>20</v>
      </c>
      <c r="F57" s="3">
        <v>20.6</v>
      </c>
      <c r="G57" s="3">
        <v>24.9</v>
      </c>
      <c r="H57" s="3">
        <v>20.7</v>
      </c>
      <c r="I57" s="3">
        <v>22.3</v>
      </c>
      <c r="J57" s="3">
        <v>23.3</v>
      </c>
      <c r="K57" s="3">
        <v>21.1</v>
      </c>
      <c r="L57" s="3">
        <v>12.8</v>
      </c>
      <c r="M57" s="3">
        <v>8.6</v>
      </c>
      <c r="N57" s="3">
        <v>14.8</v>
      </c>
      <c r="O57" s="3">
        <v>9</v>
      </c>
      <c r="P57" s="3">
        <v>16.5</v>
      </c>
      <c r="Q57" s="3">
        <v>5.0999999999999996</v>
      </c>
      <c r="R57" s="3">
        <v>0.6</v>
      </c>
      <c r="S57" s="3">
        <v>0.5</v>
      </c>
      <c r="T57" s="3">
        <v>2.1</v>
      </c>
      <c r="U57" s="3">
        <v>5.0999999999999996</v>
      </c>
      <c r="V57" s="3">
        <v>18.5</v>
      </c>
      <c r="W57" s="3">
        <v>1.1000000000000001</v>
      </c>
      <c r="X57" s="3">
        <v>11.6</v>
      </c>
      <c r="Y57" s="3">
        <v>15.5</v>
      </c>
      <c r="Z57" s="3">
        <v>16.600000000000001</v>
      </c>
      <c r="AA57" s="3">
        <v>12.7</v>
      </c>
      <c r="AB57" s="3">
        <v>3.2</v>
      </c>
    </row>
    <row r="58" spans="1:28" s="4" customFormat="1" ht="19" customHeight="1" x14ac:dyDescent="0.2">
      <c r="A58" s="4" t="s">
        <v>426</v>
      </c>
      <c r="B58" s="4" t="s">
        <v>98</v>
      </c>
      <c r="C58" s="4" t="s">
        <v>16</v>
      </c>
      <c r="D58" s="4" t="str">
        <f t="shared" si="0"/>
        <v>B3-P3-C1</v>
      </c>
      <c r="E58" s="4" t="s">
        <v>20</v>
      </c>
      <c r="F58" s="4">
        <v>16.100000000000001</v>
      </c>
      <c r="G58" s="4">
        <v>20.5</v>
      </c>
      <c r="H58" s="4">
        <v>20.7</v>
      </c>
      <c r="I58" s="4">
        <v>20.2</v>
      </c>
      <c r="J58" s="4">
        <v>23.2</v>
      </c>
      <c r="K58" s="4">
        <v>20.3</v>
      </c>
      <c r="L58" s="4">
        <v>12</v>
      </c>
      <c r="M58" s="4">
        <v>8.6</v>
      </c>
      <c r="N58" s="4">
        <v>13.2</v>
      </c>
      <c r="O58" s="4">
        <v>10.3</v>
      </c>
      <c r="P58" s="4">
        <v>20.399999999999999</v>
      </c>
      <c r="Q58" s="4">
        <v>12.5</v>
      </c>
      <c r="R58" s="4">
        <v>4.7</v>
      </c>
      <c r="S58" s="4">
        <v>2</v>
      </c>
      <c r="T58" s="4">
        <v>4.9000000000000004</v>
      </c>
      <c r="U58" s="4">
        <v>5.4</v>
      </c>
      <c r="V58" s="4">
        <v>13</v>
      </c>
      <c r="W58" s="4">
        <v>2.8</v>
      </c>
      <c r="X58" s="4">
        <v>8.1999999999999993</v>
      </c>
      <c r="Y58" s="4">
        <v>13.1</v>
      </c>
      <c r="Z58" s="4">
        <v>15.9</v>
      </c>
      <c r="AA58" s="4">
        <v>12.4</v>
      </c>
      <c r="AB58" s="4">
        <v>5.3</v>
      </c>
    </row>
    <row r="59" spans="1:28" s="4" customFormat="1" ht="19" customHeight="1" x14ac:dyDescent="0.2">
      <c r="A59" s="4" t="s">
        <v>426</v>
      </c>
      <c r="B59" s="4" t="s">
        <v>98</v>
      </c>
      <c r="C59" s="4" t="s">
        <v>32</v>
      </c>
      <c r="D59" s="4" t="str">
        <f t="shared" si="0"/>
        <v>B3-P3-C2</v>
      </c>
      <c r="E59" s="4" t="s">
        <v>20</v>
      </c>
      <c r="F59" s="4">
        <v>13.7</v>
      </c>
      <c r="G59" s="4">
        <v>18.100000000000001</v>
      </c>
      <c r="H59" s="4">
        <v>17.399999999999999</v>
      </c>
      <c r="I59" s="4">
        <v>16.600000000000001</v>
      </c>
      <c r="J59" s="4">
        <v>18.600000000000001</v>
      </c>
      <c r="K59" s="4">
        <v>17.100000000000001</v>
      </c>
      <c r="L59" s="4">
        <v>8.5</v>
      </c>
      <c r="M59" s="4">
        <v>6.7</v>
      </c>
      <c r="N59" s="4">
        <v>12.6</v>
      </c>
      <c r="O59" s="4">
        <v>7.8</v>
      </c>
      <c r="P59" s="4">
        <v>15.5</v>
      </c>
      <c r="Q59" s="4">
        <v>8.5</v>
      </c>
      <c r="R59" s="4">
        <v>2.2999999999999998</v>
      </c>
      <c r="S59" s="4">
        <v>0.9</v>
      </c>
      <c r="T59" s="4">
        <v>2.9</v>
      </c>
      <c r="U59" s="4">
        <v>4.7</v>
      </c>
      <c r="V59" s="4">
        <v>14.3</v>
      </c>
      <c r="W59" s="4">
        <v>1</v>
      </c>
      <c r="X59" s="4">
        <v>7.5</v>
      </c>
      <c r="Y59" s="4">
        <v>12.4</v>
      </c>
      <c r="Z59" s="4">
        <v>16.600000000000001</v>
      </c>
      <c r="AA59" s="4">
        <v>11.8</v>
      </c>
      <c r="AB59" s="4">
        <v>3.5</v>
      </c>
    </row>
    <row r="60" spans="1:28" s="4" customFormat="1" ht="19" customHeight="1" x14ac:dyDescent="0.2">
      <c r="A60" s="4" t="s">
        <v>426</v>
      </c>
      <c r="B60" s="4" t="s">
        <v>98</v>
      </c>
      <c r="C60" s="4" t="s">
        <v>42</v>
      </c>
      <c r="D60" s="4" t="str">
        <f t="shared" si="0"/>
        <v>B3-P3-C3</v>
      </c>
      <c r="E60" s="4" t="s">
        <v>20</v>
      </c>
      <c r="F60" s="4">
        <v>23.3</v>
      </c>
      <c r="G60" s="4">
        <v>27.3</v>
      </c>
      <c r="H60" s="4">
        <v>24.9</v>
      </c>
      <c r="I60" s="4">
        <v>24</v>
      </c>
      <c r="J60" s="4">
        <v>25.3</v>
      </c>
      <c r="K60" s="4">
        <v>21.6</v>
      </c>
      <c r="L60" s="4">
        <v>13.3</v>
      </c>
      <c r="M60" s="4">
        <v>9.6999999999999993</v>
      </c>
      <c r="N60" s="4">
        <v>15.7</v>
      </c>
      <c r="O60" s="4">
        <v>13.6</v>
      </c>
      <c r="P60" s="4">
        <v>27.2</v>
      </c>
      <c r="Q60" s="4">
        <v>21.8</v>
      </c>
      <c r="R60" s="4">
        <v>12.2</v>
      </c>
      <c r="S60" s="4">
        <v>7.5</v>
      </c>
      <c r="T60" s="4">
        <v>10.5</v>
      </c>
      <c r="U60" s="4">
        <v>11.9</v>
      </c>
      <c r="V60" s="4">
        <v>21.9</v>
      </c>
      <c r="W60" s="4">
        <v>7.7</v>
      </c>
      <c r="X60" s="4">
        <v>13.8</v>
      </c>
      <c r="Y60" s="4">
        <v>20.7</v>
      </c>
      <c r="Z60" s="4">
        <v>21.7</v>
      </c>
      <c r="AA60" s="4">
        <v>19.100000000000001</v>
      </c>
      <c r="AB60" s="4">
        <v>13.4</v>
      </c>
    </row>
    <row r="61" spans="1:28" s="4" customFormat="1" ht="19" customHeight="1" x14ac:dyDescent="0.2">
      <c r="A61" s="4" t="s">
        <v>426</v>
      </c>
      <c r="B61" s="4" t="s">
        <v>98</v>
      </c>
      <c r="C61" s="4" t="s">
        <v>53</v>
      </c>
      <c r="D61" s="4" t="str">
        <f t="shared" si="0"/>
        <v>B3-P3-C4</v>
      </c>
      <c r="E61" s="4" t="s">
        <v>20</v>
      </c>
      <c r="F61" s="4">
        <v>16.899999999999999</v>
      </c>
      <c r="G61" s="4">
        <v>22</v>
      </c>
      <c r="H61" s="4">
        <v>19.600000000000001</v>
      </c>
      <c r="I61" s="4">
        <v>21.8</v>
      </c>
      <c r="J61" s="4">
        <v>22.3</v>
      </c>
      <c r="K61" s="4">
        <v>19.399999999999999</v>
      </c>
      <c r="L61" s="4">
        <v>12.3</v>
      </c>
      <c r="M61" s="4">
        <v>7.9</v>
      </c>
      <c r="N61" s="4">
        <v>13.9</v>
      </c>
      <c r="O61" s="4">
        <v>10.199999999999999</v>
      </c>
      <c r="P61" s="4">
        <v>13.5</v>
      </c>
      <c r="Q61" s="4">
        <v>4.3</v>
      </c>
      <c r="R61" s="4">
        <v>1</v>
      </c>
      <c r="S61" s="4">
        <v>1.2</v>
      </c>
      <c r="T61" s="4">
        <v>3</v>
      </c>
      <c r="U61" s="4">
        <v>6.8</v>
      </c>
      <c r="V61" s="4">
        <v>16.899999999999999</v>
      </c>
      <c r="W61" s="4">
        <v>1.2</v>
      </c>
      <c r="X61" s="4">
        <v>10.199999999999999</v>
      </c>
      <c r="Y61" s="4">
        <v>12.7</v>
      </c>
      <c r="Z61" s="4">
        <v>16</v>
      </c>
      <c r="AA61" s="4">
        <v>10.4</v>
      </c>
      <c r="AB61" s="4">
        <v>2</v>
      </c>
    </row>
    <row r="62" spans="1:28" s="3" customFormat="1" ht="19" customHeight="1" x14ac:dyDescent="0.2">
      <c r="A62" s="3" t="s">
        <v>426</v>
      </c>
      <c r="B62" s="3" t="s">
        <v>131</v>
      </c>
      <c r="C62" s="3" t="s">
        <v>16</v>
      </c>
      <c r="D62" s="3" t="str">
        <f t="shared" si="0"/>
        <v>B3-P4-C1</v>
      </c>
      <c r="E62" s="3" t="s">
        <v>133</v>
      </c>
      <c r="F62" s="3">
        <v>13.4</v>
      </c>
      <c r="G62" s="3">
        <v>19.5</v>
      </c>
      <c r="H62" s="3">
        <v>19.5</v>
      </c>
      <c r="I62" s="3">
        <v>18.5</v>
      </c>
      <c r="J62" s="3">
        <v>20</v>
      </c>
      <c r="K62" s="3">
        <v>17.399999999999999</v>
      </c>
      <c r="L62" s="3">
        <v>11.6</v>
      </c>
      <c r="M62" s="3">
        <v>6.4</v>
      </c>
      <c r="N62" s="3">
        <v>12.2</v>
      </c>
      <c r="O62" s="3">
        <v>8.6999999999999993</v>
      </c>
      <c r="P62" s="3">
        <v>21.2</v>
      </c>
      <c r="Q62" s="3">
        <v>13.6</v>
      </c>
      <c r="R62" s="3">
        <v>4.5</v>
      </c>
      <c r="S62" s="3">
        <v>1.4</v>
      </c>
      <c r="T62" s="3">
        <v>3.8</v>
      </c>
      <c r="U62" s="3">
        <v>8.1999999999999993</v>
      </c>
      <c r="V62" s="3">
        <v>17</v>
      </c>
      <c r="W62" s="3">
        <v>2</v>
      </c>
      <c r="X62" s="3">
        <v>12.5</v>
      </c>
      <c r="Y62" s="3">
        <v>14.8</v>
      </c>
      <c r="Z62" s="3">
        <v>20</v>
      </c>
      <c r="AA62" s="3">
        <v>15.5</v>
      </c>
      <c r="AB62" s="3">
        <v>6.8</v>
      </c>
    </row>
    <row r="63" spans="1:28" s="3" customFormat="1" ht="19" customHeight="1" x14ac:dyDescent="0.2">
      <c r="A63" s="3" t="s">
        <v>426</v>
      </c>
      <c r="B63" s="3" t="s">
        <v>131</v>
      </c>
      <c r="C63" s="3" t="s">
        <v>32</v>
      </c>
      <c r="D63" s="3" t="str">
        <f t="shared" si="0"/>
        <v>B3-P4-C2</v>
      </c>
      <c r="E63" s="3" t="s">
        <v>133</v>
      </c>
      <c r="F63" s="3">
        <v>17.899999999999999</v>
      </c>
      <c r="G63" s="3">
        <v>21.8</v>
      </c>
      <c r="H63" s="3">
        <v>22.2</v>
      </c>
      <c r="I63" s="3">
        <v>21.3</v>
      </c>
      <c r="J63" s="3">
        <v>20.7</v>
      </c>
      <c r="K63" s="3">
        <v>18.7</v>
      </c>
      <c r="L63" s="3">
        <v>12.9</v>
      </c>
      <c r="M63" s="3">
        <v>8.9</v>
      </c>
      <c r="N63" s="3">
        <v>12.1</v>
      </c>
      <c r="O63" s="3">
        <v>12.9</v>
      </c>
      <c r="P63" s="3">
        <v>23.5</v>
      </c>
      <c r="Q63" s="3">
        <v>19.399999999999999</v>
      </c>
      <c r="R63" s="3">
        <v>12.4</v>
      </c>
      <c r="S63" s="3">
        <v>8.1</v>
      </c>
      <c r="T63" s="3">
        <v>12.1</v>
      </c>
      <c r="U63" s="3">
        <v>15.7</v>
      </c>
      <c r="V63" s="3">
        <v>23.9</v>
      </c>
      <c r="W63" s="3">
        <v>8.5</v>
      </c>
      <c r="X63" s="3">
        <v>17.2</v>
      </c>
      <c r="Y63" s="3">
        <v>21.7</v>
      </c>
      <c r="Z63" s="3">
        <v>24</v>
      </c>
      <c r="AA63" s="3">
        <v>21.3</v>
      </c>
      <c r="AB63" s="3">
        <v>17.3</v>
      </c>
    </row>
    <row r="64" spans="1:28" s="3" customFormat="1" ht="19" customHeight="1" x14ac:dyDescent="0.2">
      <c r="A64" s="3" t="s">
        <v>426</v>
      </c>
      <c r="B64" s="3" t="s">
        <v>131</v>
      </c>
      <c r="C64" s="3" t="s">
        <v>42</v>
      </c>
      <c r="D64" s="3" t="str">
        <f t="shared" si="0"/>
        <v>B3-P4-C3</v>
      </c>
      <c r="E64" s="3" t="s">
        <v>133</v>
      </c>
      <c r="F64" s="3">
        <v>16.100000000000001</v>
      </c>
      <c r="G64" s="3">
        <v>20.7</v>
      </c>
      <c r="H64" s="3">
        <v>18.8</v>
      </c>
      <c r="I64" s="3">
        <v>22.5</v>
      </c>
      <c r="J64" s="3">
        <v>19.899999999999999</v>
      </c>
      <c r="K64" s="3">
        <v>19.2</v>
      </c>
      <c r="L64" s="3">
        <v>12.8</v>
      </c>
      <c r="M64" s="3">
        <v>9.6</v>
      </c>
      <c r="N64" s="3">
        <v>14.7</v>
      </c>
      <c r="O64" s="3">
        <v>10.1</v>
      </c>
      <c r="P64" s="3">
        <v>22</v>
      </c>
      <c r="Q64" s="3">
        <v>17.3</v>
      </c>
      <c r="R64" s="3">
        <v>10.199999999999999</v>
      </c>
      <c r="S64" s="3">
        <v>3.8</v>
      </c>
      <c r="T64" s="3">
        <v>7.6</v>
      </c>
      <c r="U64" s="3">
        <v>12</v>
      </c>
      <c r="V64" s="3">
        <v>22.1</v>
      </c>
      <c r="W64" s="3">
        <v>4.5</v>
      </c>
      <c r="X64" s="3">
        <v>14.4</v>
      </c>
      <c r="Y64" s="3">
        <v>19.8</v>
      </c>
      <c r="Z64" s="3">
        <v>21.7</v>
      </c>
      <c r="AA64" s="3">
        <v>18.600000000000001</v>
      </c>
      <c r="AB64" s="3">
        <v>13.5</v>
      </c>
    </row>
    <row r="65" spans="1:28" s="3" customFormat="1" ht="19" customHeight="1" x14ac:dyDescent="0.2">
      <c r="A65" s="3" t="s">
        <v>426</v>
      </c>
      <c r="B65" s="3" t="s">
        <v>131</v>
      </c>
      <c r="C65" s="3" t="s">
        <v>53</v>
      </c>
      <c r="D65" s="3" t="str">
        <f t="shared" si="0"/>
        <v>B3-P4-C4</v>
      </c>
      <c r="E65" s="3" t="s">
        <v>133</v>
      </c>
      <c r="F65" s="3">
        <v>11.8</v>
      </c>
      <c r="G65" s="3">
        <v>18</v>
      </c>
      <c r="H65" s="3">
        <v>18</v>
      </c>
      <c r="I65" s="3">
        <v>17.5</v>
      </c>
      <c r="J65" s="3">
        <v>18.7</v>
      </c>
      <c r="K65" s="3">
        <v>16.600000000000001</v>
      </c>
      <c r="L65" s="3">
        <v>10.3</v>
      </c>
      <c r="M65" s="3">
        <v>7.4</v>
      </c>
      <c r="N65" s="3">
        <v>13.1</v>
      </c>
      <c r="O65" s="3">
        <v>6.7</v>
      </c>
      <c r="P65" s="3">
        <v>14.6</v>
      </c>
      <c r="Q65" s="3">
        <v>3.9</v>
      </c>
      <c r="R65" s="3">
        <v>0</v>
      </c>
      <c r="S65" s="3">
        <v>0.9</v>
      </c>
      <c r="T65" s="3">
        <v>2.4</v>
      </c>
      <c r="U65" s="3">
        <v>9.6</v>
      </c>
      <c r="V65" s="3">
        <v>18.3</v>
      </c>
      <c r="W65" s="3">
        <v>0</v>
      </c>
      <c r="X65" s="3">
        <v>16.2</v>
      </c>
      <c r="Y65" s="3">
        <v>17.600000000000001</v>
      </c>
      <c r="Z65" s="3">
        <v>21.4</v>
      </c>
      <c r="AA65" s="3">
        <v>16.600000000000001</v>
      </c>
      <c r="AB65" s="3">
        <v>8.6</v>
      </c>
    </row>
    <row r="66" spans="1:28" s="4" customFormat="1" ht="19" customHeight="1" x14ac:dyDescent="0.2">
      <c r="A66" s="4" t="s">
        <v>426</v>
      </c>
      <c r="B66" s="4" t="s">
        <v>167</v>
      </c>
      <c r="C66" s="4" t="s">
        <v>16</v>
      </c>
      <c r="D66" s="4" t="str">
        <f t="shared" si="0"/>
        <v>B3-P5-C1</v>
      </c>
      <c r="E66" s="4" t="s">
        <v>133</v>
      </c>
      <c r="F66" s="4">
        <v>16.8</v>
      </c>
      <c r="G66" s="4">
        <v>21.1</v>
      </c>
      <c r="H66" s="4">
        <v>20.399999999999999</v>
      </c>
      <c r="I66" s="4">
        <v>21.3</v>
      </c>
      <c r="J66" s="4">
        <v>22</v>
      </c>
      <c r="K66" s="4">
        <v>18.7</v>
      </c>
      <c r="L66" s="4">
        <v>14.8</v>
      </c>
      <c r="M66" s="4">
        <v>10.1</v>
      </c>
      <c r="N66" s="4">
        <v>13.7</v>
      </c>
      <c r="O66" s="4">
        <v>9.9</v>
      </c>
      <c r="P66" s="4">
        <v>19.600000000000001</v>
      </c>
      <c r="Q66" s="4">
        <v>6.5</v>
      </c>
      <c r="R66" s="4">
        <v>1.2</v>
      </c>
      <c r="S66" s="4">
        <v>0</v>
      </c>
      <c r="T66" s="4">
        <v>2.4</v>
      </c>
      <c r="U66" s="4">
        <v>5.9</v>
      </c>
      <c r="V66" s="4">
        <v>14</v>
      </c>
      <c r="W66" s="4">
        <v>0.6</v>
      </c>
      <c r="X66" s="4">
        <v>10.3</v>
      </c>
      <c r="Y66" s="4">
        <v>16.399999999999999</v>
      </c>
      <c r="Z66" s="4">
        <v>20.7</v>
      </c>
      <c r="AA66" s="4">
        <v>16.2</v>
      </c>
      <c r="AB66" s="4">
        <v>9.1</v>
      </c>
    </row>
    <row r="67" spans="1:28" s="4" customFormat="1" ht="19" customHeight="1" x14ac:dyDescent="0.2">
      <c r="A67" s="4" t="s">
        <v>426</v>
      </c>
      <c r="B67" s="4" t="s">
        <v>167</v>
      </c>
      <c r="C67" s="4" t="s">
        <v>32</v>
      </c>
      <c r="D67" s="4" t="str">
        <f t="shared" ref="D67:D73" si="1">A67&amp;"-"&amp;B67&amp;"-"&amp;C67</f>
        <v>B3-P5-C2</v>
      </c>
      <c r="E67" s="4" t="s">
        <v>133</v>
      </c>
      <c r="F67" s="4">
        <v>13.4</v>
      </c>
      <c r="G67" s="4">
        <v>20.2</v>
      </c>
      <c r="H67" s="4">
        <v>19.5</v>
      </c>
      <c r="I67" s="4">
        <v>18.2</v>
      </c>
      <c r="J67" s="4">
        <v>21.9</v>
      </c>
      <c r="K67" s="4">
        <v>18.5</v>
      </c>
      <c r="L67" s="4">
        <v>12.5</v>
      </c>
      <c r="M67" s="4">
        <v>8.1</v>
      </c>
      <c r="N67" s="4">
        <v>14.5</v>
      </c>
      <c r="O67" s="4">
        <v>10.1</v>
      </c>
      <c r="P67" s="4">
        <v>20.399999999999999</v>
      </c>
      <c r="Q67" s="4">
        <v>13.1</v>
      </c>
      <c r="R67" s="4">
        <v>1.5</v>
      </c>
      <c r="S67" s="4">
        <v>0</v>
      </c>
      <c r="T67" s="4">
        <v>3.5</v>
      </c>
      <c r="U67" s="4">
        <v>8.3000000000000007</v>
      </c>
      <c r="V67" s="4">
        <v>18.8</v>
      </c>
      <c r="W67" s="4">
        <v>0</v>
      </c>
      <c r="X67" s="4">
        <v>16.600000000000001</v>
      </c>
      <c r="Y67" s="4">
        <v>19.600000000000001</v>
      </c>
      <c r="Z67" s="4">
        <v>22.5</v>
      </c>
      <c r="AA67" s="4">
        <v>17.100000000000001</v>
      </c>
      <c r="AB67" s="4">
        <v>9.8000000000000007</v>
      </c>
    </row>
    <row r="68" spans="1:28" s="4" customFormat="1" ht="19" customHeight="1" x14ac:dyDescent="0.2">
      <c r="A68" s="4" t="s">
        <v>426</v>
      </c>
      <c r="B68" s="4" t="s">
        <v>167</v>
      </c>
      <c r="C68" s="4" t="s">
        <v>42</v>
      </c>
      <c r="D68" s="4" t="str">
        <f t="shared" si="1"/>
        <v>B3-P5-C3</v>
      </c>
      <c r="E68" s="4" t="s">
        <v>133</v>
      </c>
      <c r="F68" s="4">
        <v>18.899999999999999</v>
      </c>
      <c r="G68" s="4">
        <v>23.8</v>
      </c>
      <c r="H68" s="4">
        <v>23.3</v>
      </c>
      <c r="I68" s="4">
        <v>23.2</v>
      </c>
      <c r="J68" s="4">
        <v>23.6</v>
      </c>
      <c r="K68" s="4">
        <v>19.3</v>
      </c>
      <c r="L68" s="4">
        <v>17.399999999999999</v>
      </c>
      <c r="M68" s="4">
        <v>11</v>
      </c>
      <c r="N68" s="4">
        <v>17.5</v>
      </c>
      <c r="O68" s="4">
        <v>14</v>
      </c>
      <c r="P68" s="4">
        <v>24.1</v>
      </c>
      <c r="Q68" s="4">
        <v>20.3</v>
      </c>
      <c r="R68" s="4">
        <v>5.0999999999999996</v>
      </c>
      <c r="S68" s="4">
        <v>1.3</v>
      </c>
      <c r="T68" s="4">
        <v>3.7</v>
      </c>
      <c r="U68" s="4">
        <v>10.5</v>
      </c>
      <c r="V68" s="4">
        <v>22.6</v>
      </c>
      <c r="W68" s="4">
        <v>1.7</v>
      </c>
      <c r="X68" s="4">
        <v>12.6</v>
      </c>
      <c r="Y68" s="4">
        <v>20.7</v>
      </c>
      <c r="Z68" s="4">
        <v>23.9</v>
      </c>
      <c r="AA68" s="4">
        <v>18.3</v>
      </c>
      <c r="AB68" s="4">
        <v>14.5</v>
      </c>
    </row>
    <row r="69" spans="1:28" s="4" customFormat="1" ht="19" customHeight="1" x14ac:dyDescent="0.2">
      <c r="A69" s="4" t="s">
        <v>426</v>
      </c>
      <c r="B69" s="4" t="s">
        <v>167</v>
      </c>
      <c r="C69" s="4" t="s">
        <v>53</v>
      </c>
      <c r="D69" s="4" t="str">
        <f t="shared" si="1"/>
        <v>B3-P5-C4</v>
      </c>
      <c r="E69" s="4" t="s">
        <v>133</v>
      </c>
      <c r="F69" s="4">
        <v>22.4</v>
      </c>
      <c r="G69" s="4">
        <v>25.4</v>
      </c>
      <c r="H69" s="4">
        <v>23</v>
      </c>
      <c r="I69" s="4">
        <v>25</v>
      </c>
      <c r="J69" s="4">
        <v>26.3</v>
      </c>
      <c r="K69" s="4">
        <v>22.6</v>
      </c>
      <c r="L69" s="4">
        <v>16.100000000000001</v>
      </c>
      <c r="M69" s="4">
        <v>11.3</v>
      </c>
      <c r="N69" s="4">
        <v>18.399999999999999</v>
      </c>
      <c r="O69" s="4">
        <v>11.6</v>
      </c>
      <c r="P69" s="4">
        <v>24.4</v>
      </c>
      <c r="Q69" s="4">
        <v>12.6</v>
      </c>
      <c r="R69" s="4">
        <v>1.6</v>
      </c>
      <c r="S69" s="4">
        <v>1.4</v>
      </c>
      <c r="T69" s="4">
        <v>3</v>
      </c>
      <c r="U69" s="4">
        <v>13.5</v>
      </c>
      <c r="V69" s="4">
        <v>21.6</v>
      </c>
      <c r="W69" s="4">
        <v>1.6</v>
      </c>
      <c r="X69" s="4">
        <v>21.5</v>
      </c>
      <c r="Y69" s="4">
        <v>20.8</v>
      </c>
      <c r="Z69" s="4">
        <v>22.3</v>
      </c>
      <c r="AA69" s="4">
        <v>19.8</v>
      </c>
      <c r="AB69" s="4">
        <v>14.1</v>
      </c>
    </row>
    <row r="70" spans="1:28" s="3" customFormat="1" ht="19" customHeight="1" x14ac:dyDescent="0.2">
      <c r="A70" s="3" t="s">
        <v>426</v>
      </c>
      <c r="B70" s="3" t="s">
        <v>200</v>
      </c>
      <c r="C70" s="3" t="s">
        <v>16</v>
      </c>
      <c r="D70" s="3" t="str">
        <f t="shared" si="1"/>
        <v>B3-P6-C1</v>
      </c>
      <c r="E70" s="3" t="s">
        <v>133</v>
      </c>
      <c r="F70" s="3">
        <v>22.2</v>
      </c>
      <c r="G70" s="3">
        <v>24.9</v>
      </c>
      <c r="H70" s="3">
        <v>25.8</v>
      </c>
      <c r="I70" s="3">
        <v>25.3</v>
      </c>
      <c r="J70" s="3">
        <v>25.6</v>
      </c>
      <c r="K70" s="3">
        <v>20.8</v>
      </c>
      <c r="L70" s="3">
        <v>13.3</v>
      </c>
      <c r="M70" s="3">
        <v>10</v>
      </c>
      <c r="N70" s="3">
        <v>18.7</v>
      </c>
      <c r="O70" s="3">
        <v>12.8</v>
      </c>
      <c r="P70" s="3">
        <v>26.3</v>
      </c>
      <c r="Q70" s="3">
        <v>19.2</v>
      </c>
      <c r="R70" s="3">
        <v>10.199999999999999</v>
      </c>
      <c r="S70" s="3">
        <v>4.5999999999999996</v>
      </c>
      <c r="T70" s="3">
        <v>7.4</v>
      </c>
      <c r="U70" s="3">
        <v>13.2</v>
      </c>
      <c r="V70" s="3">
        <v>23.3</v>
      </c>
      <c r="W70" s="3">
        <v>4.5999999999999996</v>
      </c>
      <c r="X70" s="3">
        <v>21.9</v>
      </c>
      <c r="Y70" s="3">
        <v>21.8</v>
      </c>
      <c r="Z70" s="3">
        <v>24.7</v>
      </c>
      <c r="AA70" s="3">
        <v>21.1</v>
      </c>
      <c r="AB70" s="3">
        <v>14.9</v>
      </c>
    </row>
    <row r="71" spans="1:28" s="3" customFormat="1" ht="19" customHeight="1" x14ac:dyDescent="0.2">
      <c r="A71" s="3" t="s">
        <v>426</v>
      </c>
      <c r="B71" s="3" t="s">
        <v>200</v>
      </c>
      <c r="C71" s="3" t="s">
        <v>32</v>
      </c>
      <c r="D71" s="3" t="str">
        <f t="shared" si="1"/>
        <v>B3-P6-C2</v>
      </c>
      <c r="E71" s="3" t="s">
        <v>133</v>
      </c>
      <c r="F71" s="3">
        <v>18.899999999999999</v>
      </c>
      <c r="G71" s="3">
        <v>24.4</v>
      </c>
      <c r="H71" s="3">
        <v>22.5</v>
      </c>
      <c r="I71" s="3">
        <v>21.8</v>
      </c>
      <c r="J71" s="3">
        <v>21.9</v>
      </c>
      <c r="K71" s="3">
        <v>20.399999999999999</v>
      </c>
      <c r="L71" s="3">
        <v>15.1</v>
      </c>
      <c r="M71" s="3">
        <v>11</v>
      </c>
      <c r="N71" s="3">
        <v>18.399999999999999</v>
      </c>
      <c r="O71" s="3">
        <v>13.4</v>
      </c>
      <c r="P71" s="3">
        <v>25.2</v>
      </c>
      <c r="Q71" s="3">
        <v>19.899999999999999</v>
      </c>
      <c r="R71" s="3">
        <v>10.6</v>
      </c>
      <c r="S71" s="3">
        <v>4.5999999999999996</v>
      </c>
      <c r="T71" s="3">
        <v>7.6</v>
      </c>
      <c r="U71" s="3">
        <v>13.6</v>
      </c>
      <c r="V71" s="3">
        <v>24</v>
      </c>
      <c r="W71" s="3">
        <v>4.9000000000000004</v>
      </c>
      <c r="X71" s="3">
        <v>24</v>
      </c>
      <c r="Y71" s="3">
        <v>21.5</v>
      </c>
      <c r="Z71" s="3">
        <v>24.5</v>
      </c>
      <c r="AA71" s="3">
        <v>23.2</v>
      </c>
      <c r="AB71" s="3">
        <v>14.6</v>
      </c>
    </row>
    <row r="72" spans="1:28" s="3" customFormat="1" ht="19" customHeight="1" x14ac:dyDescent="0.2">
      <c r="A72" s="3" t="s">
        <v>426</v>
      </c>
      <c r="B72" s="3" t="s">
        <v>200</v>
      </c>
      <c r="C72" s="3" t="s">
        <v>42</v>
      </c>
      <c r="D72" s="3" t="str">
        <f t="shared" si="1"/>
        <v>B3-P6-C3</v>
      </c>
      <c r="E72" s="3" t="s">
        <v>133</v>
      </c>
      <c r="F72" s="3">
        <v>18.600000000000001</v>
      </c>
      <c r="G72" s="3">
        <v>22.8</v>
      </c>
      <c r="H72" s="3">
        <v>22.2</v>
      </c>
      <c r="I72" s="3">
        <v>22.9</v>
      </c>
      <c r="J72" s="3">
        <v>24.1</v>
      </c>
      <c r="K72" s="3">
        <v>21.5</v>
      </c>
      <c r="L72" s="3">
        <v>16.399999999999999</v>
      </c>
      <c r="M72" s="3">
        <v>12.3</v>
      </c>
      <c r="N72" s="3">
        <v>16.399999999999999</v>
      </c>
      <c r="O72" s="3">
        <v>12.9</v>
      </c>
      <c r="P72" s="3">
        <v>25.5</v>
      </c>
      <c r="Q72" s="3">
        <v>19.100000000000001</v>
      </c>
      <c r="R72" s="3">
        <v>3.1</v>
      </c>
      <c r="S72" s="3">
        <v>1.1000000000000001</v>
      </c>
      <c r="T72" s="3">
        <v>4.8</v>
      </c>
      <c r="U72" s="3">
        <v>13.6</v>
      </c>
      <c r="V72" s="3">
        <v>22.5</v>
      </c>
      <c r="W72" s="3">
        <v>1.6</v>
      </c>
      <c r="X72" s="3">
        <v>21.2</v>
      </c>
      <c r="Y72" s="3">
        <v>22.8</v>
      </c>
      <c r="Z72" s="3">
        <v>24.9</v>
      </c>
      <c r="AA72" s="3">
        <v>18.3</v>
      </c>
      <c r="AB72" s="3">
        <v>12.1</v>
      </c>
    </row>
    <row r="73" spans="1:28" s="3" customFormat="1" ht="19" customHeight="1" x14ac:dyDescent="0.2">
      <c r="A73" s="3" t="s">
        <v>426</v>
      </c>
      <c r="B73" s="3" t="s">
        <v>200</v>
      </c>
      <c r="C73" s="3" t="s">
        <v>53</v>
      </c>
      <c r="D73" s="3" t="str">
        <f t="shared" si="1"/>
        <v>B3-P6-C4</v>
      </c>
      <c r="E73" s="3" t="s">
        <v>133</v>
      </c>
      <c r="F73" s="3">
        <v>23.5</v>
      </c>
      <c r="G73" s="3">
        <v>26.8</v>
      </c>
      <c r="H73" s="3">
        <v>25.5</v>
      </c>
      <c r="I73" s="3">
        <v>25.7</v>
      </c>
      <c r="J73" s="3">
        <v>23.9</v>
      </c>
      <c r="K73" s="3">
        <v>22.8</v>
      </c>
      <c r="L73" s="3">
        <v>15.7</v>
      </c>
      <c r="M73" s="3">
        <v>11.9</v>
      </c>
      <c r="N73" s="3">
        <v>18.899999999999999</v>
      </c>
      <c r="O73" s="3">
        <v>15.4</v>
      </c>
      <c r="P73" s="3">
        <v>28</v>
      </c>
      <c r="Q73" s="3">
        <v>25</v>
      </c>
      <c r="R73" s="3">
        <v>16.100000000000001</v>
      </c>
      <c r="S73" s="3">
        <v>10.3</v>
      </c>
      <c r="T73" s="3">
        <v>10.3</v>
      </c>
      <c r="U73" s="3">
        <v>22.1</v>
      </c>
      <c r="V73" s="3">
        <v>29.3</v>
      </c>
      <c r="W73" s="3">
        <v>11</v>
      </c>
      <c r="X73" s="3">
        <v>28</v>
      </c>
      <c r="Y73" s="3">
        <v>26.2</v>
      </c>
      <c r="Z73" s="3">
        <v>29</v>
      </c>
      <c r="AA73" s="3">
        <v>24.1</v>
      </c>
      <c r="AB73" s="3">
        <v>21.7</v>
      </c>
    </row>
  </sheetData>
  <phoneticPr fontId="3" type="noConversion"/>
  <pageMargins left="0.41666666666666669" right="0.3888888888888889" top="0.74803149606299213" bottom="1.0416666666666667" header="0.31496062992125984" footer="0.31496062992125984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7E91A-177B-4B9A-B1CA-2E30950A7070}">
  <dimension ref="A1:K37"/>
  <sheetViews>
    <sheetView workbookViewId="0">
      <selection activeCell="G21" sqref="G21"/>
    </sheetView>
  </sheetViews>
  <sheetFormatPr baseColWidth="10" defaultColWidth="8.83203125" defaultRowHeight="16" x14ac:dyDescent="0.2"/>
  <cols>
    <col min="1" max="1" width="11.5" customWidth="1"/>
    <col min="2" max="10" width="20.6640625" customWidth="1"/>
    <col min="11" max="11" width="15.33203125" customWidth="1"/>
    <col min="14" max="14" width="9.1640625" bestFit="1" customWidth="1"/>
    <col min="17" max="17" width="10.83203125" bestFit="1" customWidth="1"/>
    <col min="18" max="33" width="9.1640625" bestFit="1" customWidth="1"/>
  </cols>
  <sheetData>
    <row r="1" spans="1:11" x14ac:dyDescent="0.2">
      <c r="A1" s="1" t="s">
        <v>621</v>
      </c>
      <c r="B1" s="1" t="s">
        <v>2014</v>
      </c>
      <c r="C1" s="1" t="s">
        <v>2015</v>
      </c>
      <c r="D1" s="1" t="s">
        <v>2016</v>
      </c>
      <c r="E1" s="1" t="s">
        <v>2017</v>
      </c>
      <c r="F1" s="1" t="s">
        <v>2018</v>
      </c>
      <c r="G1" s="1" t="s">
        <v>2019</v>
      </c>
      <c r="H1" s="1" t="s">
        <v>2020</v>
      </c>
      <c r="I1" s="1" t="s">
        <v>2021</v>
      </c>
      <c r="J1" s="1" t="s">
        <v>7</v>
      </c>
      <c r="K1" s="1" t="s">
        <v>12</v>
      </c>
    </row>
    <row r="2" spans="1:11" x14ac:dyDescent="0.2">
      <c r="A2" s="1" t="s">
        <v>622</v>
      </c>
      <c r="B2" s="1">
        <v>491.93</v>
      </c>
      <c r="C2" s="1">
        <v>508.56</v>
      </c>
      <c r="D2" s="1">
        <v>540.28</v>
      </c>
      <c r="E2" s="1">
        <v>499.91</v>
      </c>
      <c r="F2" s="1">
        <v>470.7</v>
      </c>
      <c r="G2" s="1">
        <v>510.08</v>
      </c>
      <c r="H2" s="1">
        <v>476.68</v>
      </c>
      <c r="I2" s="1">
        <v>476.35</v>
      </c>
      <c r="J2" s="1" t="s">
        <v>19</v>
      </c>
      <c r="K2" s="1" t="s">
        <v>20</v>
      </c>
    </row>
    <row r="3" spans="1:11" x14ac:dyDescent="0.2">
      <c r="A3" s="1" t="s">
        <v>623</v>
      </c>
      <c r="B3" s="1">
        <v>487.85</v>
      </c>
      <c r="C3" s="1">
        <v>516.57000000000005</v>
      </c>
      <c r="D3" s="1">
        <v>544.29999999999995</v>
      </c>
      <c r="E3" s="1">
        <v>518.23</v>
      </c>
      <c r="F3" s="1">
        <v>465.19</v>
      </c>
      <c r="G3" s="1">
        <v>548.70000000000005</v>
      </c>
      <c r="H3" s="1">
        <v>475.91</v>
      </c>
      <c r="I3" s="1">
        <v>466.67</v>
      </c>
      <c r="J3" s="1" t="s">
        <v>624</v>
      </c>
      <c r="K3" s="1" t="s">
        <v>20</v>
      </c>
    </row>
    <row r="4" spans="1:11" x14ac:dyDescent="0.2">
      <c r="A4" s="1" t="s">
        <v>625</v>
      </c>
      <c r="B4" s="1">
        <v>497.57</v>
      </c>
      <c r="C4" s="1">
        <v>519.53</v>
      </c>
      <c r="D4" s="1">
        <v>531.69000000000005</v>
      </c>
      <c r="E4" s="1">
        <v>515.66</v>
      </c>
      <c r="F4" s="1">
        <v>460.04</v>
      </c>
      <c r="G4" s="1">
        <v>539.25</v>
      </c>
      <c r="H4" s="1">
        <v>484.07</v>
      </c>
      <c r="I4" s="1">
        <v>470.48</v>
      </c>
      <c r="J4" s="1" t="s">
        <v>1819</v>
      </c>
      <c r="K4" s="1" t="s">
        <v>20</v>
      </c>
    </row>
    <row r="5" spans="1:11" x14ac:dyDescent="0.2">
      <c r="A5" s="1" t="s">
        <v>627</v>
      </c>
      <c r="B5" s="1">
        <v>498.26</v>
      </c>
      <c r="C5" s="1">
        <v>529.51</v>
      </c>
      <c r="D5" s="1">
        <v>539.14</v>
      </c>
      <c r="E5" s="1">
        <v>517.16999999999996</v>
      </c>
      <c r="F5" s="1">
        <v>475.32</v>
      </c>
      <c r="G5" s="1">
        <v>548.17999999999995</v>
      </c>
      <c r="H5" s="1">
        <v>482.06</v>
      </c>
      <c r="I5" s="1">
        <v>474.14</v>
      </c>
      <c r="J5" s="1" t="s">
        <v>1820</v>
      </c>
      <c r="K5" s="1" t="s">
        <v>20</v>
      </c>
    </row>
    <row r="6" spans="1:11" x14ac:dyDescent="0.2">
      <c r="A6" s="1" t="s">
        <v>632</v>
      </c>
      <c r="B6" s="1">
        <v>496.14</v>
      </c>
      <c r="C6" s="1">
        <v>499.19</v>
      </c>
      <c r="D6" s="1">
        <v>539.9</v>
      </c>
      <c r="E6" s="1">
        <v>491.39</v>
      </c>
      <c r="F6" s="1">
        <v>475.92</v>
      </c>
      <c r="G6" s="1">
        <v>561.46</v>
      </c>
      <c r="H6" s="1">
        <v>489.05</v>
      </c>
      <c r="I6" s="1">
        <v>483.62</v>
      </c>
      <c r="J6" s="1" t="s">
        <v>1821</v>
      </c>
      <c r="K6" s="1" t="s">
        <v>20</v>
      </c>
    </row>
    <row r="7" spans="1:11" x14ac:dyDescent="0.2">
      <c r="A7" s="1" t="s">
        <v>633</v>
      </c>
      <c r="B7" s="1">
        <v>503.77</v>
      </c>
      <c r="C7" s="1">
        <v>512.4</v>
      </c>
      <c r="D7" s="1">
        <v>581.21</v>
      </c>
      <c r="E7" s="1">
        <v>544.72</v>
      </c>
      <c r="F7" s="1">
        <v>507.15</v>
      </c>
      <c r="G7" s="1">
        <v>572.79</v>
      </c>
      <c r="H7" s="1">
        <v>507.91</v>
      </c>
      <c r="I7" s="1">
        <v>506.79</v>
      </c>
      <c r="J7" s="1" t="s">
        <v>35</v>
      </c>
      <c r="K7" s="1" t="s">
        <v>20</v>
      </c>
    </row>
    <row r="8" spans="1:11" x14ac:dyDescent="0.2">
      <c r="A8" s="1" t="s">
        <v>638</v>
      </c>
      <c r="B8" s="1">
        <v>494.79</v>
      </c>
      <c r="C8" s="1">
        <v>510.97</v>
      </c>
      <c r="D8" s="1">
        <v>604.5</v>
      </c>
      <c r="E8" s="1">
        <v>558.12</v>
      </c>
      <c r="F8" s="1">
        <v>499.19</v>
      </c>
      <c r="G8" s="1">
        <v>524.37</v>
      </c>
      <c r="H8" s="1">
        <v>494.55</v>
      </c>
      <c r="I8" s="1">
        <v>476.48</v>
      </c>
      <c r="J8" s="1" t="s">
        <v>624</v>
      </c>
      <c r="K8" s="1" t="s">
        <v>133</v>
      </c>
    </row>
    <row r="9" spans="1:11" x14ac:dyDescent="0.2">
      <c r="A9" s="1" t="s">
        <v>639</v>
      </c>
      <c r="B9" s="1">
        <v>496.68</v>
      </c>
      <c r="C9" s="1">
        <v>515.14</v>
      </c>
      <c r="D9" s="1">
        <v>575.25</v>
      </c>
      <c r="E9" s="1">
        <v>541.91</v>
      </c>
      <c r="F9" s="1">
        <v>489.66</v>
      </c>
      <c r="G9" s="1">
        <v>605.74</v>
      </c>
      <c r="H9" s="1">
        <v>511.58</v>
      </c>
      <c r="I9" s="1">
        <v>491.71</v>
      </c>
      <c r="J9" s="1" t="s">
        <v>1820</v>
      </c>
      <c r="K9" s="1" t="s">
        <v>133</v>
      </c>
    </row>
    <row r="10" spans="1:11" x14ac:dyDescent="0.2">
      <c r="A10" s="1" t="s">
        <v>641</v>
      </c>
      <c r="B10" s="1">
        <v>497.17</v>
      </c>
      <c r="C10" s="1">
        <v>523.70000000000005</v>
      </c>
      <c r="D10" s="1">
        <v>563.89</v>
      </c>
      <c r="E10" s="1">
        <v>550.55999999999995</v>
      </c>
      <c r="F10" s="1">
        <v>487.04</v>
      </c>
      <c r="G10" s="1">
        <v>592.63</v>
      </c>
      <c r="H10" s="1">
        <v>513.1</v>
      </c>
      <c r="I10" s="1">
        <v>492.66</v>
      </c>
      <c r="J10" s="1" t="s">
        <v>1821</v>
      </c>
      <c r="K10" s="1" t="s">
        <v>133</v>
      </c>
    </row>
    <row r="11" spans="1:11" x14ac:dyDescent="0.2">
      <c r="A11" s="1" t="s">
        <v>642</v>
      </c>
      <c r="B11" s="1">
        <v>501.89</v>
      </c>
      <c r="C11" s="1">
        <v>548.1</v>
      </c>
      <c r="D11" s="1">
        <v>573.72</v>
      </c>
      <c r="E11" s="1">
        <v>535.34</v>
      </c>
      <c r="F11" s="1">
        <v>502.78</v>
      </c>
      <c r="G11" s="1">
        <v>625.80999999999995</v>
      </c>
      <c r="H11" s="1">
        <v>543.54</v>
      </c>
      <c r="I11" s="1">
        <v>503</v>
      </c>
      <c r="J11" s="1" t="s">
        <v>1819</v>
      </c>
      <c r="K11" s="1" t="s">
        <v>133</v>
      </c>
    </row>
    <row r="12" spans="1:11" x14ac:dyDescent="0.2">
      <c r="A12" s="1" t="s">
        <v>645</v>
      </c>
      <c r="B12" s="1">
        <v>503.74</v>
      </c>
      <c r="C12" s="1">
        <v>521.39</v>
      </c>
      <c r="D12" s="1">
        <v>605.42999999999995</v>
      </c>
      <c r="E12" s="1">
        <v>570.27</v>
      </c>
      <c r="F12" s="1">
        <v>487.86</v>
      </c>
      <c r="G12" s="1">
        <v>536.77</v>
      </c>
      <c r="H12" s="1">
        <v>529.14</v>
      </c>
      <c r="I12" s="1">
        <v>496.3</v>
      </c>
      <c r="J12" s="1" t="s">
        <v>19</v>
      </c>
      <c r="K12" s="1" t="s">
        <v>133</v>
      </c>
    </row>
    <row r="13" spans="1:11" x14ac:dyDescent="0.2">
      <c r="A13" s="1" t="s">
        <v>646</v>
      </c>
      <c r="B13" s="1">
        <v>500.65</v>
      </c>
      <c r="C13" s="1">
        <v>515.12</v>
      </c>
      <c r="D13" s="1">
        <v>573.54999999999995</v>
      </c>
      <c r="E13" s="1">
        <v>565.02</v>
      </c>
      <c r="F13" s="1">
        <v>509.43</v>
      </c>
      <c r="G13" s="1">
        <v>615.6</v>
      </c>
      <c r="H13" s="1">
        <v>515.54999999999995</v>
      </c>
      <c r="I13" s="1">
        <v>491.46</v>
      </c>
      <c r="J13" s="1" t="s">
        <v>35</v>
      </c>
      <c r="K13" s="1" t="s">
        <v>133</v>
      </c>
    </row>
    <row r="14" spans="1:11" x14ac:dyDescent="0.2">
      <c r="A14" s="1" t="s">
        <v>655</v>
      </c>
      <c r="B14" s="1">
        <v>494.65</v>
      </c>
      <c r="C14" s="1">
        <v>513.98</v>
      </c>
      <c r="D14" s="1">
        <v>529.71</v>
      </c>
      <c r="E14" s="1">
        <v>526.88</v>
      </c>
      <c r="F14" s="1">
        <v>476.2</v>
      </c>
      <c r="G14" s="1">
        <v>571.12</v>
      </c>
      <c r="H14" s="1">
        <v>510.65</v>
      </c>
      <c r="I14" s="1">
        <v>491.66</v>
      </c>
      <c r="J14" s="1" t="s">
        <v>1820</v>
      </c>
      <c r="K14" s="1" t="s">
        <v>133</v>
      </c>
    </row>
    <row r="15" spans="1:11" x14ac:dyDescent="0.2">
      <c r="A15" s="1" t="s">
        <v>656</v>
      </c>
      <c r="B15" s="1">
        <v>501.73</v>
      </c>
      <c r="C15" s="1">
        <v>525.39</v>
      </c>
      <c r="D15" s="1">
        <v>561.91999999999996</v>
      </c>
      <c r="E15" s="1">
        <v>552.54999999999995</v>
      </c>
      <c r="F15" s="1">
        <v>487.01</v>
      </c>
      <c r="G15" s="1">
        <v>630.69000000000005</v>
      </c>
      <c r="H15" s="1">
        <v>526.05999999999995</v>
      </c>
      <c r="I15" s="1">
        <v>472.5</v>
      </c>
      <c r="J15" s="1" t="s">
        <v>1819</v>
      </c>
      <c r="K15" s="1" t="s">
        <v>133</v>
      </c>
    </row>
    <row r="16" spans="1:11" x14ac:dyDescent="0.2">
      <c r="A16" s="1" t="s">
        <v>657</v>
      </c>
      <c r="B16" s="1">
        <v>503.09</v>
      </c>
      <c r="C16" s="1">
        <v>525.32000000000005</v>
      </c>
      <c r="D16" s="1">
        <v>549.6</v>
      </c>
      <c r="E16" s="1">
        <v>551.39</v>
      </c>
      <c r="F16" s="1">
        <v>487.14</v>
      </c>
      <c r="G16" s="1">
        <v>540.77</v>
      </c>
      <c r="H16" s="1">
        <v>490.03</v>
      </c>
      <c r="I16" s="1">
        <v>487.15</v>
      </c>
      <c r="J16" s="1" t="s">
        <v>624</v>
      </c>
      <c r="K16" s="1" t="s">
        <v>133</v>
      </c>
    </row>
    <row r="17" spans="1:11" x14ac:dyDescent="0.2">
      <c r="A17" s="1" t="s">
        <v>658</v>
      </c>
      <c r="B17" s="1">
        <v>502.13</v>
      </c>
      <c r="C17" s="1">
        <v>528.17999999999995</v>
      </c>
      <c r="D17" s="1">
        <v>539.15</v>
      </c>
      <c r="E17" s="1">
        <v>541.87</v>
      </c>
      <c r="F17" s="1">
        <v>491.04</v>
      </c>
      <c r="G17" s="1">
        <v>591.94000000000005</v>
      </c>
      <c r="H17" s="1">
        <v>504.69</v>
      </c>
      <c r="I17" s="1">
        <v>503.92</v>
      </c>
      <c r="J17" s="1" t="s">
        <v>1821</v>
      </c>
      <c r="K17" s="1" t="s">
        <v>133</v>
      </c>
    </row>
    <row r="18" spans="1:11" x14ac:dyDescent="0.2">
      <c r="A18" s="1" t="s">
        <v>661</v>
      </c>
      <c r="B18" s="1">
        <v>496.26</v>
      </c>
      <c r="C18" s="1">
        <v>518.63</v>
      </c>
      <c r="D18" s="1">
        <v>566.71</v>
      </c>
      <c r="E18" s="1">
        <v>585.77</v>
      </c>
      <c r="F18" s="1">
        <v>492.7</v>
      </c>
      <c r="G18" s="1">
        <v>549.61</v>
      </c>
      <c r="H18" s="1">
        <v>529.62</v>
      </c>
      <c r="I18" s="1">
        <v>487.15</v>
      </c>
      <c r="J18" s="1" t="s">
        <v>19</v>
      </c>
      <c r="K18" s="1" t="s">
        <v>133</v>
      </c>
    </row>
    <row r="19" spans="1:11" x14ac:dyDescent="0.2">
      <c r="A19" s="1" t="s">
        <v>662</v>
      </c>
      <c r="B19" s="1">
        <v>492.04</v>
      </c>
      <c r="C19" s="1">
        <v>517.6</v>
      </c>
      <c r="D19" s="1">
        <v>553.51</v>
      </c>
      <c r="E19" s="1">
        <v>550.04999999999995</v>
      </c>
      <c r="F19" s="1">
        <v>495.29</v>
      </c>
      <c r="G19" s="1">
        <v>533.59</v>
      </c>
      <c r="H19" s="1">
        <v>509.96</v>
      </c>
      <c r="I19" s="1">
        <v>494.68</v>
      </c>
      <c r="J19" s="1" t="s">
        <v>35</v>
      </c>
      <c r="K19" s="1" t="s">
        <v>133</v>
      </c>
    </row>
    <row r="20" spans="1:11" x14ac:dyDescent="0.2">
      <c r="A20" s="1" t="s">
        <v>665</v>
      </c>
      <c r="B20" s="1">
        <v>487.88</v>
      </c>
      <c r="C20" s="1">
        <v>505.81</v>
      </c>
      <c r="D20" s="1">
        <v>522.13</v>
      </c>
      <c r="E20" s="1">
        <v>490.84</v>
      </c>
      <c r="F20" s="1">
        <v>467.13</v>
      </c>
      <c r="G20" s="1">
        <v>507.19</v>
      </c>
      <c r="H20" s="1">
        <v>488.6</v>
      </c>
      <c r="I20" s="1">
        <v>477.95</v>
      </c>
      <c r="J20" s="1" t="s">
        <v>19</v>
      </c>
      <c r="K20" s="1" t="s">
        <v>20</v>
      </c>
    </row>
    <row r="21" spans="1:11" x14ac:dyDescent="0.2">
      <c r="A21" s="1" t="s">
        <v>666</v>
      </c>
      <c r="B21" s="1">
        <v>491.57</v>
      </c>
      <c r="C21" s="1">
        <v>539.03</v>
      </c>
      <c r="D21" s="1">
        <v>570.97</v>
      </c>
      <c r="E21" s="1">
        <v>521.61</v>
      </c>
      <c r="F21" s="1">
        <v>470.57</v>
      </c>
      <c r="G21" s="1">
        <v>568.32000000000005</v>
      </c>
      <c r="H21" s="1">
        <v>498.91</v>
      </c>
      <c r="I21" s="1">
        <v>479.75</v>
      </c>
      <c r="J21" s="1" t="s">
        <v>1821</v>
      </c>
      <c r="K21" s="1" t="s">
        <v>20</v>
      </c>
    </row>
    <row r="22" spans="1:11" x14ac:dyDescent="0.2">
      <c r="A22" s="1" t="s">
        <v>671</v>
      </c>
      <c r="B22" s="1">
        <v>486.79</v>
      </c>
      <c r="C22" s="1">
        <v>504.86</v>
      </c>
      <c r="D22" s="1">
        <v>525.04</v>
      </c>
      <c r="E22" s="1">
        <v>496.19</v>
      </c>
      <c r="F22" s="1">
        <v>473.14</v>
      </c>
      <c r="G22" s="1">
        <v>581.64</v>
      </c>
      <c r="H22" s="1">
        <v>496.84</v>
      </c>
      <c r="I22" s="1">
        <v>486.86</v>
      </c>
      <c r="J22" s="1" t="s">
        <v>1820</v>
      </c>
      <c r="K22" s="1" t="s">
        <v>20</v>
      </c>
    </row>
    <row r="23" spans="1:11" x14ac:dyDescent="0.2">
      <c r="A23" s="1" t="s">
        <v>672</v>
      </c>
      <c r="B23" s="1">
        <v>491.82</v>
      </c>
      <c r="C23" s="1">
        <v>517.11</v>
      </c>
      <c r="D23" s="1">
        <v>547.89</v>
      </c>
      <c r="E23" s="1">
        <v>537.42999999999995</v>
      </c>
      <c r="F23" s="1">
        <v>471.65</v>
      </c>
      <c r="G23" s="1">
        <v>505.62</v>
      </c>
      <c r="H23" s="1">
        <v>474.83</v>
      </c>
      <c r="I23" s="1">
        <v>469.86</v>
      </c>
      <c r="J23" s="1" t="s">
        <v>624</v>
      </c>
      <c r="K23" s="1" t="s">
        <v>20</v>
      </c>
    </row>
    <row r="24" spans="1:11" x14ac:dyDescent="0.2">
      <c r="A24" s="1" t="s">
        <v>673</v>
      </c>
      <c r="B24" s="1">
        <v>490.24</v>
      </c>
      <c r="C24" s="1">
        <v>525.05999999999995</v>
      </c>
      <c r="D24" s="1">
        <v>551.17999999999995</v>
      </c>
      <c r="E24" s="1">
        <v>487.13</v>
      </c>
      <c r="F24" s="1">
        <v>475.73</v>
      </c>
      <c r="G24" s="1">
        <v>557.11</v>
      </c>
      <c r="H24" s="1">
        <v>494.3</v>
      </c>
      <c r="I24" s="1">
        <v>475.35</v>
      </c>
      <c r="J24" s="1" t="s">
        <v>1819</v>
      </c>
      <c r="K24" s="1" t="s">
        <v>20</v>
      </c>
    </row>
    <row r="25" spans="1:11" x14ac:dyDescent="0.2">
      <c r="A25" s="1" t="s">
        <v>674</v>
      </c>
      <c r="B25" s="1">
        <v>493.62</v>
      </c>
      <c r="C25" s="1">
        <v>513.42999999999995</v>
      </c>
      <c r="D25" s="1">
        <v>567.79</v>
      </c>
      <c r="E25" s="1">
        <v>531.58000000000004</v>
      </c>
      <c r="F25" s="1">
        <v>484.31</v>
      </c>
      <c r="G25" s="1">
        <v>550.45000000000005</v>
      </c>
      <c r="H25" s="1">
        <v>505.43</v>
      </c>
      <c r="I25" s="1">
        <v>479.51</v>
      </c>
      <c r="J25" s="1" t="s">
        <v>35</v>
      </c>
      <c r="K25" s="1" t="s">
        <v>20</v>
      </c>
    </row>
    <row r="26" spans="1:11" x14ac:dyDescent="0.2">
      <c r="A26" s="1" t="s">
        <v>679</v>
      </c>
      <c r="B26" s="1">
        <v>484.06</v>
      </c>
      <c r="C26" s="1">
        <v>523.67999999999995</v>
      </c>
      <c r="D26" s="1">
        <v>523.26</v>
      </c>
      <c r="E26" s="1">
        <v>520.38</v>
      </c>
      <c r="F26" s="1">
        <v>495.39</v>
      </c>
      <c r="G26" s="1">
        <v>512.36</v>
      </c>
      <c r="H26" s="1">
        <v>497.88</v>
      </c>
      <c r="I26" s="1">
        <v>473.05</v>
      </c>
      <c r="J26" s="1" t="s">
        <v>19</v>
      </c>
      <c r="K26" s="1" t="s">
        <v>20</v>
      </c>
    </row>
    <row r="27" spans="1:11" x14ac:dyDescent="0.2">
      <c r="A27" s="1" t="s">
        <v>680</v>
      </c>
      <c r="B27" s="1">
        <v>483.11</v>
      </c>
      <c r="C27" s="1">
        <v>509.76</v>
      </c>
      <c r="D27" s="1">
        <v>517.03</v>
      </c>
      <c r="E27" s="1">
        <v>480.1</v>
      </c>
      <c r="F27" s="1">
        <v>488.13</v>
      </c>
      <c r="G27" s="1">
        <v>522.45000000000005</v>
      </c>
      <c r="H27" s="1">
        <v>513.75</v>
      </c>
      <c r="I27" s="1">
        <v>474.09</v>
      </c>
      <c r="J27" s="1" t="s">
        <v>1819</v>
      </c>
      <c r="K27" s="1" t="s">
        <v>20</v>
      </c>
    </row>
    <row r="28" spans="1:11" x14ac:dyDescent="0.2">
      <c r="A28" s="1" t="s">
        <v>681</v>
      </c>
      <c r="B28" s="1">
        <v>504.01</v>
      </c>
      <c r="C28" s="1">
        <v>518.1</v>
      </c>
      <c r="D28" s="1">
        <v>555.37</v>
      </c>
      <c r="E28" s="1">
        <v>521.44000000000005</v>
      </c>
      <c r="F28" s="1">
        <v>472.09</v>
      </c>
      <c r="G28" s="1">
        <v>514.85</v>
      </c>
      <c r="H28" s="1">
        <v>477.22</v>
      </c>
      <c r="I28" s="1">
        <v>474.67</v>
      </c>
      <c r="J28" s="1" t="s">
        <v>624</v>
      </c>
      <c r="K28" s="1" t="s">
        <v>20</v>
      </c>
    </row>
    <row r="29" spans="1:11" x14ac:dyDescent="0.2">
      <c r="A29" s="1" t="s">
        <v>682</v>
      </c>
      <c r="B29" s="1">
        <v>483.27</v>
      </c>
      <c r="C29" s="1">
        <v>522.29</v>
      </c>
      <c r="D29" s="1">
        <v>525.71</v>
      </c>
      <c r="E29" s="1">
        <v>489.74</v>
      </c>
      <c r="F29" s="1">
        <v>471.02</v>
      </c>
      <c r="G29" s="1">
        <v>600.37</v>
      </c>
      <c r="H29" s="1">
        <v>525.23</v>
      </c>
      <c r="I29" s="1">
        <v>480.1</v>
      </c>
      <c r="J29" s="1" t="s">
        <v>1821</v>
      </c>
      <c r="K29" s="1" t="s">
        <v>20</v>
      </c>
    </row>
    <row r="30" spans="1:11" x14ac:dyDescent="0.2">
      <c r="A30" s="1" t="s">
        <v>685</v>
      </c>
      <c r="B30" s="1">
        <v>486.02</v>
      </c>
      <c r="C30" s="1">
        <v>546.33000000000004</v>
      </c>
      <c r="D30" s="1">
        <v>650.15</v>
      </c>
      <c r="E30" s="1">
        <v>557.88</v>
      </c>
      <c r="F30" s="1">
        <v>490.72</v>
      </c>
      <c r="G30" s="1">
        <v>543.02</v>
      </c>
      <c r="H30" s="1">
        <v>496.31</v>
      </c>
      <c r="I30" s="1">
        <v>483.1</v>
      </c>
      <c r="J30" s="1" t="s">
        <v>35</v>
      </c>
      <c r="K30" s="1" t="s">
        <v>20</v>
      </c>
    </row>
    <row r="31" spans="1:11" x14ac:dyDescent="0.2">
      <c r="A31" s="1" t="s">
        <v>686</v>
      </c>
      <c r="B31" s="1">
        <v>479.29</v>
      </c>
      <c r="C31" s="1">
        <v>515.21</v>
      </c>
      <c r="D31" s="1">
        <v>531.23</v>
      </c>
      <c r="E31" s="1">
        <v>465.27</v>
      </c>
      <c r="F31" s="1">
        <v>469.09</v>
      </c>
      <c r="G31" s="1">
        <v>558.88</v>
      </c>
      <c r="H31" s="1">
        <v>499.24</v>
      </c>
      <c r="I31" s="1">
        <v>475.22</v>
      </c>
      <c r="J31" s="1" t="s">
        <v>1820</v>
      </c>
      <c r="K31" s="1" t="s">
        <v>20</v>
      </c>
    </row>
    <row r="32" spans="1:11" x14ac:dyDescent="0.2">
      <c r="A32" s="1" t="s">
        <v>693</v>
      </c>
      <c r="B32" s="1">
        <v>488.5</v>
      </c>
      <c r="C32" s="1">
        <v>521.65</v>
      </c>
      <c r="D32" s="1">
        <v>531.28</v>
      </c>
      <c r="E32" s="1">
        <v>620.54999999999995</v>
      </c>
      <c r="F32" s="1">
        <v>485.38</v>
      </c>
      <c r="G32" s="1">
        <v>587.62</v>
      </c>
      <c r="H32" s="1">
        <v>530.84</v>
      </c>
      <c r="I32" s="1">
        <v>485.88</v>
      </c>
      <c r="J32" s="1" t="s">
        <v>1820</v>
      </c>
      <c r="K32" s="1" t="s">
        <v>133</v>
      </c>
    </row>
    <row r="33" spans="1:11" x14ac:dyDescent="0.2">
      <c r="A33" s="1" t="s">
        <v>694</v>
      </c>
      <c r="B33" s="1">
        <v>490.38</v>
      </c>
      <c r="C33" s="1">
        <v>541.63</v>
      </c>
      <c r="D33" s="1">
        <v>588.94000000000005</v>
      </c>
      <c r="E33" s="1">
        <v>532.30999999999995</v>
      </c>
      <c r="F33" s="1">
        <v>498.55</v>
      </c>
      <c r="G33" s="1">
        <v>597.55999999999995</v>
      </c>
      <c r="H33" s="1">
        <v>537.15</v>
      </c>
      <c r="I33" s="1">
        <v>493.82</v>
      </c>
      <c r="J33" s="1" t="s">
        <v>1821</v>
      </c>
      <c r="K33" s="1" t="s">
        <v>133</v>
      </c>
    </row>
    <row r="34" spans="1:11" x14ac:dyDescent="0.2">
      <c r="A34" s="1" t="s">
        <v>695</v>
      </c>
      <c r="B34" s="1">
        <v>498.5</v>
      </c>
      <c r="C34" s="1">
        <v>545.28</v>
      </c>
      <c r="D34" s="1">
        <v>637.84</v>
      </c>
      <c r="E34" s="1">
        <v>647.36</v>
      </c>
      <c r="F34" s="1">
        <v>570.95000000000005</v>
      </c>
      <c r="G34" s="1">
        <v>619.79999999999995</v>
      </c>
      <c r="H34" s="1">
        <v>588.29</v>
      </c>
      <c r="I34" s="1">
        <v>527.37</v>
      </c>
      <c r="J34" s="1" t="s">
        <v>624</v>
      </c>
      <c r="K34" s="1" t="s">
        <v>133</v>
      </c>
    </row>
    <row r="35" spans="1:11" x14ac:dyDescent="0.2">
      <c r="A35" s="1" t="s">
        <v>696</v>
      </c>
      <c r="B35" s="1">
        <v>492.05</v>
      </c>
      <c r="C35" s="1">
        <v>524.58000000000004</v>
      </c>
      <c r="D35" s="1">
        <v>549.73</v>
      </c>
      <c r="E35" s="1">
        <v>613</v>
      </c>
      <c r="F35" s="1">
        <v>479.61</v>
      </c>
      <c r="G35" s="1">
        <v>556.83000000000004</v>
      </c>
      <c r="H35" s="1">
        <v>506.1</v>
      </c>
      <c r="I35" s="1">
        <v>497.4</v>
      </c>
      <c r="J35" s="1" t="s">
        <v>19</v>
      </c>
      <c r="K35" s="1" t="s">
        <v>133</v>
      </c>
    </row>
    <row r="36" spans="1:11" x14ac:dyDescent="0.2">
      <c r="A36" s="1" t="s">
        <v>697</v>
      </c>
      <c r="B36" s="1">
        <v>510.08</v>
      </c>
      <c r="C36" s="1">
        <v>533.99</v>
      </c>
      <c r="D36" s="1">
        <v>568.55999999999995</v>
      </c>
      <c r="E36" s="1">
        <v>566.23</v>
      </c>
      <c r="F36" s="1">
        <v>495.49</v>
      </c>
      <c r="G36" s="1">
        <v>625.51</v>
      </c>
      <c r="H36" s="1">
        <v>594.62</v>
      </c>
      <c r="I36" s="1">
        <v>516.92999999999995</v>
      </c>
      <c r="J36" s="1" t="s">
        <v>1819</v>
      </c>
      <c r="K36" s="1" t="s">
        <v>133</v>
      </c>
    </row>
    <row r="37" spans="1:11" x14ac:dyDescent="0.2">
      <c r="A37" s="1" t="s">
        <v>698</v>
      </c>
      <c r="B37" s="1">
        <v>487.46</v>
      </c>
      <c r="C37" s="1">
        <v>518.13</v>
      </c>
      <c r="D37" s="1">
        <v>545.45000000000005</v>
      </c>
      <c r="E37" s="1">
        <v>578.14</v>
      </c>
      <c r="F37" s="1">
        <v>501.47</v>
      </c>
      <c r="G37" s="1">
        <v>533.75</v>
      </c>
      <c r="H37" s="1">
        <v>518.58000000000004</v>
      </c>
      <c r="I37" s="1">
        <v>493.87</v>
      </c>
      <c r="J37" s="1" t="s">
        <v>35</v>
      </c>
      <c r="K37" s="1" t="s">
        <v>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C9671-3D7C-42F0-8529-9EB5507082CE}">
  <dimension ref="A1:R74"/>
  <sheetViews>
    <sheetView workbookViewId="0">
      <selection activeCell="L14" sqref="A1:XFD1048576"/>
    </sheetView>
  </sheetViews>
  <sheetFormatPr baseColWidth="10" defaultColWidth="8.83203125" defaultRowHeight="16" x14ac:dyDescent="0.2"/>
  <cols>
    <col min="1" max="1" width="12.6640625" customWidth="1"/>
    <col min="2" max="2" width="12.6640625" style="5" customWidth="1"/>
    <col min="3" max="3" width="11.5" customWidth="1"/>
    <col min="5" max="5" width="12.1640625" customWidth="1"/>
    <col min="8" max="8" width="11" customWidth="1"/>
    <col min="9" max="9" width="13.1640625" customWidth="1"/>
  </cols>
  <sheetData>
    <row r="1" spans="1:18" s="8" customFormat="1" x14ac:dyDescent="0.2">
      <c r="A1" s="45" t="s">
        <v>621</v>
      </c>
      <c r="B1" s="45" t="s">
        <v>2047</v>
      </c>
      <c r="C1" s="46" t="s">
        <v>2049</v>
      </c>
      <c r="D1" s="46" t="s">
        <v>2050</v>
      </c>
      <c r="E1" s="46" t="s">
        <v>2051</v>
      </c>
      <c r="F1" s="46" t="s">
        <v>2052</v>
      </c>
      <c r="G1" s="45" t="s">
        <v>10</v>
      </c>
      <c r="H1" s="45" t="s">
        <v>11</v>
      </c>
      <c r="I1" s="45" t="s">
        <v>1808</v>
      </c>
    </row>
    <row r="2" spans="1:18" x14ac:dyDescent="0.2">
      <c r="A2" s="39" t="s">
        <v>709</v>
      </c>
      <c r="B2" s="42">
        <v>5.0679999999999996</v>
      </c>
      <c r="C2" s="41">
        <v>-25.15952292167956</v>
      </c>
      <c r="D2" s="41">
        <v>6.2373296675421743</v>
      </c>
      <c r="E2" s="41">
        <v>2.4869044712887978</v>
      </c>
      <c r="F2" s="41">
        <v>0.3619175250754324</v>
      </c>
      <c r="G2" s="39" t="s">
        <v>21</v>
      </c>
      <c r="H2" s="39" t="s">
        <v>22</v>
      </c>
      <c r="I2" s="40" t="s">
        <v>20</v>
      </c>
      <c r="O2" s="5"/>
      <c r="P2" s="5"/>
      <c r="Q2" s="5"/>
      <c r="R2" s="5"/>
    </row>
    <row r="3" spans="1:18" x14ac:dyDescent="0.2">
      <c r="A3" s="39" t="s">
        <v>718</v>
      </c>
      <c r="B3" s="42">
        <v>5.0490000000000004</v>
      </c>
      <c r="C3" s="41">
        <v>-23.745780815412818</v>
      </c>
      <c r="D3" s="41">
        <v>5.9731221986779515</v>
      </c>
      <c r="E3" s="41">
        <v>1.8001108629880385</v>
      </c>
      <c r="F3" s="41">
        <v>0.31971379048090115</v>
      </c>
      <c r="G3" s="39" t="s">
        <v>21</v>
      </c>
      <c r="H3" s="39" t="s">
        <v>22</v>
      </c>
      <c r="I3" s="40" t="s">
        <v>20</v>
      </c>
      <c r="O3" s="5"/>
      <c r="P3" s="5"/>
      <c r="Q3" s="5"/>
      <c r="R3" s="5"/>
    </row>
    <row r="4" spans="1:18" x14ac:dyDescent="0.2">
      <c r="A4" s="39" t="s">
        <v>727</v>
      </c>
      <c r="B4" s="42">
        <v>5.0389999999999997</v>
      </c>
      <c r="C4" s="41">
        <v>-25.437282134051877</v>
      </c>
      <c r="D4" s="41">
        <v>6.0606349521885416</v>
      </c>
      <c r="E4" s="41">
        <v>2.5809339659684096</v>
      </c>
      <c r="F4" s="41">
        <v>0.32924691872304762</v>
      </c>
      <c r="G4" s="39" t="s">
        <v>21</v>
      </c>
      <c r="H4" s="39" t="s">
        <v>44</v>
      </c>
      <c r="I4" s="40" t="s">
        <v>20</v>
      </c>
    </row>
    <row r="5" spans="1:18" x14ac:dyDescent="0.2">
      <c r="A5" s="39" t="s">
        <v>736</v>
      </c>
      <c r="B5" s="42">
        <v>4.976</v>
      </c>
      <c r="C5" s="41">
        <v>-24.914498575077349</v>
      </c>
      <c r="D5" s="41">
        <v>7.5941958038899555</v>
      </c>
      <c r="E5" s="41">
        <v>1.9598661793837744</v>
      </c>
      <c r="F5" s="41">
        <v>0.42752490311351371</v>
      </c>
      <c r="G5" s="39" t="s">
        <v>21</v>
      </c>
      <c r="H5" s="39" t="s">
        <v>44</v>
      </c>
      <c r="I5" s="40" t="s">
        <v>20</v>
      </c>
    </row>
    <row r="6" spans="1:18" x14ac:dyDescent="0.2">
      <c r="A6" s="39" t="s">
        <v>745</v>
      </c>
      <c r="B6" s="42">
        <v>4.9219999999999997</v>
      </c>
      <c r="C6" s="41">
        <v>-25.150631803774594</v>
      </c>
      <c r="D6" s="41">
        <v>6.0188536774346053</v>
      </c>
      <c r="E6" s="41">
        <v>-0.28586238164209132</v>
      </c>
      <c r="F6" s="41">
        <v>0.32933776826357675</v>
      </c>
      <c r="G6" s="39" t="s">
        <v>64</v>
      </c>
      <c r="H6" s="39" t="s">
        <v>44</v>
      </c>
      <c r="I6" s="40" t="s">
        <v>20</v>
      </c>
    </row>
    <row r="7" spans="1:18" x14ac:dyDescent="0.2">
      <c r="A7" s="39" t="s">
        <v>754</v>
      </c>
      <c r="B7" s="42">
        <v>4.9690000000000003</v>
      </c>
      <c r="C7" s="41">
        <v>-25.461852920741372</v>
      </c>
      <c r="D7" s="41">
        <v>6.0829281150616366</v>
      </c>
      <c r="E7" s="41">
        <v>-0.61533859523988133</v>
      </c>
      <c r="F7" s="41">
        <v>0.34825160963174434</v>
      </c>
      <c r="G7" s="39" t="s">
        <v>64</v>
      </c>
      <c r="H7" s="39" t="s">
        <v>22</v>
      </c>
      <c r="I7" s="40" t="s">
        <v>20</v>
      </c>
    </row>
    <row r="8" spans="1:18" x14ac:dyDescent="0.2">
      <c r="A8" s="39" t="s">
        <v>763</v>
      </c>
      <c r="B8" s="42">
        <v>4.968</v>
      </c>
      <c r="C8" s="41">
        <v>-24.686869306336256</v>
      </c>
      <c r="D8" s="41">
        <v>6.4639132632250931</v>
      </c>
      <c r="E8" s="41">
        <v>1.5735724845979511</v>
      </c>
      <c r="F8" s="41">
        <v>0.32530442671182547</v>
      </c>
      <c r="G8" s="39" t="s">
        <v>21</v>
      </c>
      <c r="H8" s="39" t="s">
        <v>44</v>
      </c>
      <c r="I8" s="40" t="s">
        <v>20</v>
      </c>
    </row>
    <row r="9" spans="1:18" x14ac:dyDescent="0.2">
      <c r="A9" s="39" t="s">
        <v>772</v>
      </c>
      <c r="B9" s="42">
        <v>4.9889999999999999</v>
      </c>
      <c r="C9" s="41">
        <v>-24.102948903902607</v>
      </c>
      <c r="D9" s="41">
        <v>3.7244943860084527</v>
      </c>
      <c r="E9" s="41">
        <v>1.7749848802540487</v>
      </c>
      <c r="F9" s="41">
        <v>0.22843552771841216</v>
      </c>
      <c r="G9" s="39" t="s">
        <v>21</v>
      </c>
      <c r="H9" s="39" t="s">
        <v>22</v>
      </c>
      <c r="I9" s="40" t="s">
        <v>20</v>
      </c>
    </row>
    <row r="10" spans="1:18" x14ac:dyDescent="0.2">
      <c r="A10" s="39" t="s">
        <v>781</v>
      </c>
      <c r="B10" s="42">
        <v>4.9459999999999997</v>
      </c>
      <c r="C10" s="41">
        <v>-24.441814452056693</v>
      </c>
      <c r="D10" s="41">
        <v>6.0012102560611016</v>
      </c>
      <c r="E10" s="41">
        <v>0.60619164426837779</v>
      </c>
      <c r="F10" s="41">
        <v>0.32312500457488991</v>
      </c>
      <c r="G10" s="39" t="s">
        <v>64</v>
      </c>
      <c r="H10" s="39" t="s">
        <v>22</v>
      </c>
      <c r="I10" s="40" t="s">
        <v>20</v>
      </c>
    </row>
    <row r="11" spans="1:18" x14ac:dyDescent="0.2">
      <c r="A11" s="39" t="s">
        <v>790</v>
      </c>
      <c r="B11" s="42">
        <v>4.9109999999999996</v>
      </c>
      <c r="C11" s="41">
        <v>-23.252603256738666</v>
      </c>
      <c r="D11" s="41">
        <v>5.8377276394045232</v>
      </c>
      <c r="E11" s="41">
        <v>-0.30297590557410514</v>
      </c>
      <c r="F11" s="41">
        <v>0.29993181222898768</v>
      </c>
      <c r="G11" s="39" t="s">
        <v>64</v>
      </c>
      <c r="H11" s="39" t="s">
        <v>22</v>
      </c>
      <c r="I11" s="40" t="s">
        <v>20</v>
      </c>
    </row>
    <row r="12" spans="1:18" x14ac:dyDescent="0.2">
      <c r="A12" s="39" t="s">
        <v>799</v>
      </c>
      <c r="B12" s="42">
        <v>5.0019999999999998</v>
      </c>
      <c r="C12" s="41">
        <v>-25.745784314142949</v>
      </c>
      <c r="D12" s="41">
        <v>6.0401902466198134</v>
      </c>
      <c r="E12" s="41">
        <v>0.36897046645310932</v>
      </c>
      <c r="F12" s="41">
        <v>0.33123604096667714</v>
      </c>
      <c r="G12" s="39" t="s">
        <v>64</v>
      </c>
      <c r="H12" s="39" t="s">
        <v>44</v>
      </c>
      <c r="I12" s="40" t="s">
        <v>20</v>
      </c>
    </row>
    <row r="13" spans="1:18" x14ac:dyDescent="0.2">
      <c r="A13" s="39" t="s">
        <v>808</v>
      </c>
      <c r="B13" s="42">
        <v>4.9580000000000002</v>
      </c>
      <c r="C13" s="41">
        <v>-25.193719969839698</v>
      </c>
      <c r="D13" s="41">
        <v>5.024346322842109</v>
      </c>
      <c r="E13" s="41">
        <v>0.27017893176226682</v>
      </c>
      <c r="F13" s="41">
        <v>0.27669733197150986</v>
      </c>
      <c r="G13" s="39" t="s">
        <v>64</v>
      </c>
      <c r="H13" s="39" t="s">
        <v>44</v>
      </c>
      <c r="I13" s="40" t="s">
        <v>20</v>
      </c>
    </row>
    <row r="14" spans="1:18" x14ac:dyDescent="0.2">
      <c r="A14" s="39" t="s">
        <v>817</v>
      </c>
      <c r="B14" s="42">
        <v>5.0149999999999997</v>
      </c>
      <c r="C14" s="41">
        <v>-23.852012680049381</v>
      </c>
      <c r="D14" s="41">
        <v>6.6442407597663538</v>
      </c>
      <c r="E14" s="41">
        <v>2.3247251376908462</v>
      </c>
      <c r="F14" s="41">
        <v>0.37603879935765905</v>
      </c>
      <c r="G14" s="39" t="s">
        <v>21</v>
      </c>
      <c r="H14" s="39" t="s">
        <v>22</v>
      </c>
      <c r="I14" s="40" t="s">
        <v>133</v>
      </c>
    </row>
    <row r="15" spans="1:18" x14ac:dyDescent="0.2">
      <c r="A15" s="39" t="s">
        <v>826</v>
      </c>
      <c r="B15" s="42">
        <v>4.96</v>
      </c>
      <c r="C15" s="41">
        <v>-24.554298046050366</v>
      </c>
      <c r="D15" s="41">
        <v>6.3678173331651964</v>
      </c>
      <c r="E15" s="41">
        <v>0.26847097530276326</v>
      </c>
      <c r="F15" s="41">
        <v>0.34915839632502482</v>
      </c>
      <c r="G15" s="39" t="s">
        <v>21</v>
      </c>
      <c r="H15" s="39" t="s">
        <v>44</v>
      </c>
      <c r="I15" s="40" t="s">
        <v>133</v>
      </c>
    </row>
    <row r="16" spans="1:18" x14ac:dyDescent="0.2">
      <c r="A16" s="39" t="s">
        <v>835</v>
      </c>
      <c r="B16" s="42">
        <v>4.9370000000000003</v>
      </c>
      <c r="C16" s="41">
        <v>-22.131223253682833</v>
      </c>
      <c r="D16" s="41">
        <v>4.6016086288551268</v>
      </c>
      <c r="E16" s="41">
        <v>0.77355783970511371</v>
      </c>
      <c r="F16" s="41">
        <v>0.24179805997837128</v>
      </c>
      <c r="G16" s="39" t="s">
        <v>21</v>
      </c>
      <c r="H16" s="39" t="s">
        <v>44</v>
      </c>
      <c r="I16" s="40" t="s">
        <v>133</v>
      </c>
    </row>
    <row r="17" spans="1:9" x14ac:dyDescent="0.2">
      <c r="A17" s="39" t="s">
        <v>844</v>
      </c>
      <c r="B17" s="42">
        <v>4.952</v>
      </c>
      <c r="C17" s="41">
        <v>-24.86766422299883</v>
      </c>
      <c r="D17" s="41">
        <v>6.4951667027921216</v>
      </c>
      <c r="E17" s="41">
        <v>2.0130949974510135</v>
      </c>
      <c r="F17" s="41">
        <v>0.36396007626607013</v>
      </c>
      <c r="G17" s="39" t="s">
        <v>21</v>
      </c>
      <c r="H17" s="39" t="s">
        <v>44</v>
      </c>
      <c r="I17" s="40" t="s">
        <v>133</v>
      </c>
    </row>
    <row r="18" spans="1:9" x14ac:dyDescent="0.2">
      <c r="A18" s="39" t="s">
        <v>853</v>
      </c>
      <c r="B18" s="42">
        <v>5.0529999999999999</v>
      </c>
      <c r="C18" s="41">
        <v>-25.045520632901749</v>
      </c>
      <c r="D18" s="41">
        <v>8.6965852302379449</v>
      </c>
      <c r="E18" s="41">
        <v>0.29382709663695161</v>
      </c>
      <c r="F18" s="41">
        <v>0.43616572134686726</v>
      </c>
      <c r="G18" s="39" t="s">
        <v>64</v>
      </c>
      <c r="H18" s="39" t="s">
        <v>44</v>
      </c>
      <c r="I18" s="40" t="s">
        <v>133</v>
      </c>
    </row>
    <row r="19" spans="1:9" x14ac:dyDescent="0.2">
      <c r="A19" s="39" t="s">
        <v>862</v>
      </c>
      <c r="B19" s="42">
        <v>4.9139999999999997</v>
      </c>
      <c r="C19" s="41">
        <v>-25.000480528324324</v>
      </c>
      <c r="D19" s="41">
        <v>5.8522313789598241</v>
      </c>
      <c r="E19" s="41">
        <v>0.22446805558313543</v>
      </c>
      <c r="F19" s="41">
        <v>0.32150590061603584</v>
      </c>
      <c r="G19" s="39" t="s">
        <v>64</v>
      </c>
      <c r="H19" s="39" t="s">
        <v>44</v>
      </c>
      <c r="I19" s="40" t="s">
        <v>133</v>
      </c>
    </row>
    <row r="20" spans="1:9" x14ac:dyDescent="0.2">
      <c r="A20" s="39" t="s">
        <v>871</v>
      </c>
      <c r="B20" s="42">
        <v>4.9909999999999997</v>
      </c>
      <c r="C20" s="41">
        <v>-24.132516629836275</v>
      </c>
      <c r="D20" s="41">
        <v>7.494093593363738</v>
      </c>
      <c r="E20" s="41">
        <v>1.0077903466264715</v>
      </c>
      <c r="F20" s="41">
        <v>0.35075373370873925</v>
      </c>
      <c r="G20" s="39" t="s">
        <v>21</v>
      </c>
      <c r="H20" s="39" t="s">
        <v>22</v>
      </c>
      <c r="I20" s="40" t="s">
        <v>133</v>
      </c>
    </row>
    <row r="21" spans="1:9" x14ac:dyDescent="0.2">
      <c r="A21" s="39" t="s">
        <v>880</v>
      </c>
      <c r="B21" s="42">
        <v>5.01</v>
      </c>
      <c r="C21" s="41">
        <v>-25.352784994732112</v>
      </c>
      <c r="D21" s="41">
        <v>7.0506134249881205</v>
      </c>
      <c r="E21" s="41">
        <v>0.17881689579142818</v>
      </c>
      <c r="F21" s="41">
        <v>0.35658706060437118</v>
      </c>
      <c r="G21" s="39" t="s">
        <v>21</v>
      </c>
      <c r="H21" s="39" t="s">
        <v>22</v>
      </c>
      <c r="I21" s="40" t="s">
        <v>133</v>
      </c>
    </row>
    <row r="22" spans="1:9" x14ac:dyDescent="0.2">
      <c r="A22" s="39" t="s">
        <v>889</v>
      </c>
      <c r="B22" s="42">
        <v>5.0519999999999996</v>
      </c>
      <c r="C22" s="41">
        <v>-24.465578983578407</v>
      </c>
      <c r="D22" s="41">
        <v>6.2161000624445535</v>
      </c>
      <c r="E22" s="41">
        <v>2.0126240432174241</v>
      </c>
      <c r="F22" s="41">
        <v>0.33214427960311849</v>
      </c>
      <c r="G22" s="39" t="s">
        <v>64</v>
      </c>
      <c r="H22" s="39" t="s">
        <v>22</v>
      </c>
      <c r="I22" s="40" t="s">
        <v>133</v>
      </c>
    </row>
    <row r="23" spans="1:9" x14ac:dyDescent="0.2">
      <c r="A23" s="39" t="s">
        <v>898</v>
      </c>
      <c r="B23" s="42">
        <v>4.9720000000000004</v>
      </c>
      <c r="C23" s="41">
        <v>-24.674642848822774</v>
      </c>
      <c r="D23" s="41">
        <v>6.5187190006182352</v>
      </c>
      <c r="E23" s="41">
        <v>0.22145907069881332</v>
      </c>
      <c r="F23" s="41">
        <v>0.33077170777562365</v>
      </c>
      <c r="G23" s="39" t="s">
        <v>64</v>
      </c>
      <c r="H23" s="39" t="s">
        <v>22</v>
      </c>
      <c r="I23" s="40" t="s">
        <v>133</v>
      </c>
    </row>
    <row r="24" spans="1:9" x14ac:dyDescent="0.2">
      <c r="A24" s="39" t="s">
        <v>907</v>
      </c>
      <c r="B24" s="42">
        <v>4.9539999999999997</v>
      </c>
      <c r="C24" s="41">
        <v>-25.361959253383574</v>
      </c>
      <c r="D24" s="41">
        <v>4.8338000740355573</v>
      </c>
      <c r="E24" s="41">
        <v>0.74696607024481576</v>
      </c>
      <c r="F24" s="41">
        <v>0.27065152476457116</v>
      </c>
      <c r="G24" s="39" t="s">
        <v>64</v>
      </c>
      <c r="H24" s="39" t="s">
        <v>22</v>
      </c>
      <c r="I24" s="40" t="s">
        <v>133</v>
      </c>
    </row>
    <row r="25" spans="1:9" x14ac:dyDescent="0.2">
      <c r="A25" s="39" t="s">
        <v>916</v>
      </c>
      <c r="B25" s="42">
        <v>5.0060000000000002</v>
      </c>
      <c r="C25" s="41">
        <v>-25.336171416430204</v>
      </c>
      <c r="D25" s="41">
        <v>7.7731423483272106</v>
      </c>
      <c r="E25" s="41">
        <v>0.78902084362588853</v>
      </c>
      <c r="F25" s="41">
        <v>0.38987291390893836</v>
      </c>
      <c r="G25" s="39" t="s">
        <v>64</v>
      </c>
      <c r="H25" s="39" t="s">
        <v>44</v>
      </c>
      <c r="I25" s="40" t="s">
        <v>133</v>
      </c>
    </row>
    <row r="26" spans="1:9" x14ac:dyDescent="0.2">
      <c r="A26" s="39" t="s">
        <v>925</v>
      </c>
      <c r="B26" s="42">
        <v>4.9560000000000004</v>
      </c>
      <c r="C26" s="41">
        <v>-25.988002980240111</v>
      </c>
      <c r="D26" s="41">
        <v>9.2719741702505676</v>
      </c>
      <c r="E26" s="41">
        <v>1.9471422919081756</v>
      </c>
      <c r="F26" s="41">
        <v>0.57843674817105595</v>
      </c>
      <c r="G26" s="39" t="s">
        <v>64</v>
      </c>
      <c r="H26" s="39" t="s">
        <v>44</v>
      </c>
      <c r="I26" s="40" t="s">
        <v>133</v>
      </c>
    </row>
    <row r="27" spans="1:9" x14ac:dyDescent="0.2">
      <c r="A27" s="39" t="s">
        <v>934</v>
      </c>
      <c r="B27" s="42">
        <v>4.9320000000000004</v>
      </c>
      <c r="C27" s="41">
        <v>-23.822742848612553</v>
      </c>
      <c r="D27" s="41">
        <v>7.7668679236117351</v>
      </c>
      <c r="E27" s="41">
        <v>0.25293294905991076</v>
      </c>
      <c r="F27" s="41">
        <v>0.42060836594046264</v>
      </c>
      <c r="G27" s="39" t="s">
        <v>64</v>
      </c>
      <c r="H27" s="39" t="s">
        <v>22</v>
      </c>
      <c r="I27" s="40" t="s">
        <v>133</v>
      </c>
    </row>
    <row r="28" spans="1:9" x14ac:dyDescent="0.2">
      <c r="A28" s="39" t="s">
        <v>943</v>
      </c>
      <c r="B28" s="42">
        <v>4.9589999999999996</v>
      </c>
      <c r="C28" s="41">
        <v>-24.98099063339809</v>
      </c>
      <c r="D28" s="41">
        <v>6.7933050358644209</v>
      </c>
      <c r="E28" s="41">
        <v>0.43365480468307921</v>
      </c>
      <c r="F28" s="41">
        <v>0.38521364234821448</v>
      </c>
      <c r="G28" s="39" t="s">
        <v>64</v>
      </c>
      <c r="H28" s="39" t="s">
        <v>44</v>
      </c>
      <c r="I28" s="40" t="s">
        <v>133</v>
      </c>
    </row>
    <row r="29" spans="1:9" x14ac:dyDescent="0.2">
      <c r="A29" s="39" t="s">
        <v>952</v>
      </c>
      <c r="B29" s="42">
        <v>4.9240000000000004</v>
      </c>
      <c r="C29" s="41">
        <v>-23.547732296406725</v>
      </c>
      <c r="D29" s="41">
        <v>5.7600133738438162</v>
      </c>
      <c r="E29" s="41">
        <v>0.16606670197200968</v>
      </c>
      <c r="F29" s="41">
        <v>0.30389139578330915</v>
      </c>
      <c r="G29" s="39" t="s">
        <v>64</v>
      </c>
      <c r="H29" s="39" t="s">
        <v>22</v>
      </c>
      <c r="I29" s="40" t="s">
        <v>133</v>
      </c>
    </row>
    <row r="30" spans="1:9" x14ac:dyDescent="0.2">
      <c r="A30" s="39" t="s">
        <v>961</v>
      </c>
      <c r="B30" s="42">
        <v>4.9980000000000002</v>
      </c>
      <c r="C30" s="41">
        <v>-24.493321334634182</v>
      </c>
      <c r="D30" s="41">
        <v>5.9508117630742801</v>
      </c>
      <c r="E30" s="41">
        <v>0.32819499823275966</v>
      </c>
      <c r="F30" s="41">
        <v>0.32898516692499241</v>
      </c>
      <c r="G30" s="39" t="s">
        <v>21</v>
      </c>
      <c r="H30" s="39" t="s">
        <v>44</v>
      </c>
      <c r="I30" s="40" t="s">
        <v>133</v>
      </c>
    </row>
    <row r="31" spans="1:9" x14ac:dyDescent="0.2">
      <c r="A31" s="39" t="s">
        <v>970</v>
      </c>
      <c r="B31" s="42">
        <v>5.032</v>
      </c>
      <c r="C31" s="41">
        <v>-23.509581287877776</v>
      </c>
      <c r="D31" s="41">
        <v>7.1811382952383012</v>
      </c>
      <c r="E31" s="41">
        <v>1.4401438103119633</v>
      </c>
      <c r="F31" s="41">
        <v>0.36368237539166948</v>
      </c>
      <c r="G31" s="39" t="s">
        <v>21</v>
      </c>
      <c r="H31" s="39" t="s">
        <v>44</v>
      </c>
      <c r="I31" s="40" t="s">
        <v>133</v>
      </c>
    </row>
    <row r="32" spans="1:9" x14ac:dyDescent="0.2">
      <c r="A32" s="39" t="s">
        <v>979</v>
      </c>
      <c r="B32" s="42">
        <v>4.9809999999999999</v>
      </c>
      <c r="C32" s="41">
        <v>-24.338157910900996</v>
      </c>
      <c r="D32" s="41">
        <v>5.5634888359062149</v>
      </c>
      <c r="E32" s="41">
        <v>2.3989662212653404</v>
      </c>
      <c r="F32" s="41">
        <v>0.34283904421935019</v>
      </c>
      <c r="G32" s="39" t="s">
        <v>21</v>
      </c>
      <c r="H32" s="39" t="s">
        <v>22</v>
      </c>
      <c r="I32" s="40" t="s">
        <v>133</v>
      </c>
    </row>
    <row r="33" spans="1:9" x14ac:dyDescent="0.2">
      <c r="A33" s="39" t="s">
        <v>988</v>
      </c>
      <c r="B33" s="42">
        <v>4.9779999999999998</v>
      </c>
      <c r="C33" s="41">
        <v>-23.222678458182205</v>
      </c>
      <c r="D33" s="41">
        <v>5.8828777594996344</v>
      </c>
      <c r="E33" s="41">
        <v>0.30288331045243044</v>
      </c>
      <c r="F33" s="41">
        <v>0.31083734358948178</v>
      </c>
      <c r="G33" s="39" t="s">
        <v>21</v>
      </c>
      <c r="H33" s="39" t="s">
        <v>44</v>
      </c>
      <c r="I33" s="40" t="s">
        <v>133</v>
      </c>
    </row>
    <row r="34" spans="1:9" x14ac:dyDescent="0.2">
      <c r="A34" s="39" t="s">
        <v>997</v>
      </c>
      <c r="B34" s="42">
        <v>4.9580000000000002</v>
      </c>
      <c r="C34" s="41">
        <v>-23.805754141366531</v>
      </c>
      <c r="D34" s="41">
        <v>5.0059482354815055</v>
      </c>
      <c r="E34" s="41">
        <v>0.96953278261814524</v>
      </c>
      <c r="F34" s="41">
        <v>0.27774387339314988</v>
      </c>
      <c r="G34" s="39" t="s">
        <v>64</v>
      </c>
      <c r="H34" s="39" t="s">
        <v>22</v>
      </c>
      <c r="I34" s="40" t="s">
        <v>133</v>
      </c>
    </row>
    <row r="35" spans="1:9" x14ac:dyDescent="0.2">
      <c r="A35" s="39" t="s">
        <v>1006</v>
      </c>
      <c r="B35" s="42">
        <v>5.0579999999999998</v>
      </c>
      <c r="C35" s="41">
        <v>-25.154262927993805</v>
      </c>
      <c r="D35" s="41">
        <v>6.0451435934503612</v>
      </c>
      <c r="E35" s="41">
        <v>-0.59243491832300399</v>
      </c>
      <c r="F35" s="41">
        <v>0.33130479351098535</v>
      </c>
      <c r="G35" s="39" t="s">
        <v>64</v>
      </c>
      <c r="H35" s="39" t="s">
        <v>44</v>
      </c>
      <c r="I35" s="40" t="s">
        <v>133</v>
      </c>
    </row>
    <row r="36" spans="1:9" x14ac:dyDescent="0.2">
      <c r="A36" s="39" t="s">
        <v>1015</v>
      </c>
      <c r="B36" s="42">
        <v>5.0090000000000003</v>
      </c>
      <c r="C36" s="41">
        <v>-25.220246261047727</v>
      </c>
      <c r="D36" s="41">
        <v>7.1753965084065463</v>
      </c>
      <c r="E36" s="41">
        <v>-7.0997107823137284E-2</v>
      </c>
      <c r="F36" s="41">
        <v>0.40343677496312152</v>
      </c>
      <c r="G36" s="39" t="s">
        <v>21</v>
      </c>
      <c r="H36" s="39" t="s">
        <v>22</v>
      </c>
      <c r="I36" s="40" t="s">
        <v>133</v>
      </c>
    </row>
    <row r="37" spans="1:9" x14ac:dyDescent="0.2">
      <c r="A37" s="39" t="s">
        <v>1026</v>
      </c>
      <c r="B37" s="42">
        <v>5.0010000000000003</v>
      </c>
      <c r="C37" s="41">
        <v>-23.458033093695128</v>
      </c>
      <c r="D37" s="41">
        <v>4.9088039865063537</v>
      </c>
      <c r="E37" s="41">
        <v>1.4425102130756153</v>
      </c>
      <c r="F37" s="41">
        <v>0.26050886817729013</v>
      </c>
      <c r="G37" s="39" t="s">
        <v>21</v>
      </c>
      <c r="H37" s="39" t="s">
        <v>22</v>
      </c>
      <c r="I37" s="40" t="s">
        <v>133</v>
      </c>
    </row>
    <row r="38" spans="1:9" x14ac:dyDescent="0.2">
      <c r="A38" s="39" t="s">
        <v>1035</v>
      </c>
      <c r="B38" s="42">
        <v>4.9660000000000002</v>
      </c>
      <c r="C38" s="41">
        <v>-23.161694119628034</v>
      </c>
      <c r="D38" s="41">
        <v>4.994389607809528</v>
      </c>
      <c r="E38" s="41">
        <v>-1.9881205004591505</v>
      </c>
      <c r="F38" s="41">
        <v>0.25440996029776486</v>
      </c>
      <c r="G38" s="39" t="s">
        <v>64</v>
      </c>
      <c r="H38" s="39" t="s">
        <v>44</v>
      </c>
      <c r="I38" s="40" t="s">
        <v>20</v>
      </c>
    </row>
    <row r="39" spans="1:9" x14ac:dyDescent="0.2">
      <c r="A39" s="39" t="s">
        <v>1044</v>
      </c>
      <c r="B39" s="42">
        <v>4.9800000000000004</v>
      </c>
      <c r="C39" s="41">
        <v>-24.105377542790592</v>
      </c>
      <c r="D39" s="41">
        <v>5.9126497143096559</v>
      </c>
      <c r="E39" s="41">
        <v>-0.32053169088896782</v>
      </c>
      <c r="F39" s="41">
        <v>0.30077717202129062</v>
      </c>
      <c r="G39" s="39" t="s">
        <v>64</v>
      </c>
      <c r="H39" s="39" t="s">
        <v>44</v>
      </c>
      <c r="I39" s="40" t="s">
        <v>20</v>
      </c>
    </row>
    <row r="40" spans="1:9" x14ac:dyDescent="0.2">
      <c r="A40" s="39" t="s">
        <v>1053</v>
      </c>
      <c r="B40" s="42">
        <v>4.9690000000000003</v>
      </c>
      <c r="C40" s="41">
        <v>-24.237245839368196</v>
      </c>
      <c r="D40" s="41">
        <v>8.6114701204028652</v>
      </c>
      <c r="E40" s="41">
        <v>0.89784077192737111</v>
      </c>
      <c r="F40" s="41">
        <v>0.4074926266349172</v>
      </c>
      <c r="G40" s="39" t="s">
        <v>21</v>
      </c>
      <c r="H40" s="39" t="s">
        <v>22</v>
      </c>
      <c r="I40" s="40" t="s">
        <v>20</v>
      </c>
    </row>
    <row r="41" spans="1:9" x14ac:dyDescent="0.2">
      <c r="A41" s="39" t="s">
        <v>1062</v>
      </c>
      <c r="B41" s="42">
        <v>5.0830000000000002</v>
      </c>
      <c r="C41" s="41">
        <v>-20.974390420099002</v>
      </c>
      <c r="D41" s="41">
        <v>7.2383338091813139</v>
      </c>
      <c r="E41" s="41">
        <v>0.78894865075099185</v>
      </c>
      <c r="F41" s="41">
        <v>0.29516384701020709</v>
      </c>
      <c r="G41" s="39" t="s">
        <v>21</v>
      </c>
      <c r="H41" s="39" t="s">
        <v>44</v>
      </c>
      <c r="I41" s="40" t="s">
        <v>20</v>
      </c>
    </row>
    <row r="42" spans="1:9" x14ac:dyDescent="0.2">
      <c r="A42" s="39" t="s">
        <v>1071</v>
      </c>
      <c r="B42" s="42">
        <v>5.0549999999999997</v>
      </c>
      <c r="C42" s="41">
        <v>-25.01305224096107</v>
      </c>
      <c r="D42" s="41">
        <v>7.7261760575409717</v>
      </c>
      <c r="E42" s="41">
        <v>0.27491441204699263</v>
      </c>
      <c r="F42" s="41">
        <v>0.40674965748744429</v>
      </c>
      <c r="G42" s="39" t="s">
        <v>64</v>
      </c>
      <c r="H42" s="39" t="s">
        <v>22</v>
      </c>
      <c r="I42" s="40" t="s">
        <v>20</v>
      </c>
    </row>
    <row r="43" spans="1:9" x14ac:dyDescent="0.2">
      <c r="A43" s="39" t="s">
        <v>1080</v>
      </c>
      <c r="B43" s="42">
        <v>4.91</v>
      </c>
      <c r="C43" s="41">
        <v>-23.525071390433123</v>
      </c>
      <c r="D43" s="41">
        <v>6.1889920278775348</v>
      </c>
      <c r="E43" s="41">
        <v>0.44973527236109628</v>
      </c>
      <c r="F43" s="41">
        <v>0.34556742753399577</v>
      </c>
      <c r="G43" s="39" t="s">
        <v>64</v>
      </c>
      <c r="H43" s="39" t="s">
        <v>22</v>
      </c>
      <c r="I43" s="40" t="s">
        <v>20</v>
      </c>
    </row>
    <row r="44" spans="1:9" x14ac:dyDescent="0.2">
      <c r="A44" s="39" t="s">
        <v>1090</v>
      </c>
      <c r="B44" s="42">
        <v>4.9279999999999999</v>
      </c>
      <c r="C44" s="41">
        <v>-24.376355605371646</v>
      </c>
      <c r="D44" s="41">
        <v>6.1863957508639578</v>
      </c>
      <c r="E44" s="41">
        <v>0.45935802218176058</v>
      </c>
      <c r="F44" s="41">
        <v>0.33967979712756524</v>
      </c>
      <c r="G44" s="39" t="s">
        <v>64</v>
      </c>
      <c r="H44" s="39" t="s">
        <v>22</v>
      </c>
      <c r="I44" s="40" t="s">
        <v>20</v>
      </c>
    </row>
    <row r="45" spans="1:9" x14ac:dyDescent="0.2">
      <c r="A45" s="39" t="s">
        <v>1099</v>
      </c>
      <c r="B45" s="42">
        <v>5.0129999999999999</v>
      </c>
      <c r="C45" s="41">
        <v>-24.281012046663943</v>
      </c>
      <c r="D45" s="41">
        <v>7.4962962441692556</v>
      </c>
      <c r="E45" s="41">
        <v>1.1792164052414686</v>
      </c>
      <c r="F45" s="41">
        <v>0.31407574492174295</v>
      </c>
      <c r="G45" s="39" t="s">
        <v>64</v>
      </c>
      <c r="H45" s="39" t="s">
        <v>44</v>
      </c>
      <c r="I45" s="40" t="s">
        <v>20</v>
      </c>
    </row>
    <row r="46" spans="1:9" x14ac:dyDescent="0.2">
      <c r="A46" s="39" t="s">
        <v>1108</v>
      </c>
      <c r="B46" s="42">
        <v>4.9130000000000003</v>
      </c>
      <c r="C46" s="41">
        <v>-24.209937391747154</v>
      </c>
      <c r="D46" s="41">
        <v>6.9993798300694348</v>
      </c>
      <c r="E46" s="41">
        <v>0.43645404495270762</v>
      </c>
      <c r="F46" s="41">
        <v>0.35188427449059939</v>
      </c>
      <c r="G46" s="39" t="s">
        <v>21</v>
      </c>
      <c r="H46" s="39" t="s">
        <v>44</v>
      </c>
      <c r="I46" s="40" t="s">
        <v>20</v>
      </c>
    </row>
    <row r="47" spans="1:9" x14ac:dyDescent="0.2">
      <c r="A47" s="39" t="s">
        <v>1117</v>
      </c>
      <c r="B47" s="42">
        <v>4.97</v>
      </c>
      <c r="C47" s="41">
        <v>-23.663181969972094</v>
      </c>
      <c r="D47" s="41">
        <v>7.2353539168654368</v>
      </c>
      <c r="E47" s="41">
        <v>0.95720681567647103</v>
      </c>
      <c r="F47" s="41">
        <v>0.38173098170877418</v>
      </c>
      <c r="G47" s="39" t="s">
        <v>21</v>
      </c>
      <c r="H47" s="39" t="s">
        <v>22</v>
      </c>
      <c r="I47" s="40" t="s">
        <v>20</v>
      </c>
    </row>
    <row r="48" spans="1:9" x14ac:dyDescent="0.2">
      <c r="A48" s="39" t="s">
        <v>1126</v>
      </c>
      <c r="B48" s="42">
        <v>5.0579999999999998</v>
      </c>
      <c r="C48" s="41">
        <v>-25.132695817298963</v>
      </c>
      <c r="D48" s="41">
        <v>6.0890944589362812</v>
      </c>
      <c r="E48" s="41">
        <v>2.4460669571421114</v>
      </c>
      <c r="F48" s="41">
        <v>0.36391259995051745</v>
      </c>
      <c r="G48" s="39" t="s">
        <v>21</v>
      </c>
      <c r="H48" s="39" t="s">
        <v>44</v>
      </c>
      <c r="I48" s="40" t="s">
        <v>20</v>
      </c>
    </row>
    <row r="49" spans="1:9" x14ac:dyDescent="0.2">
      <c r="A49" s="39" t="s">
        <v>1135</v>
      </c>
      <c r="B49" s="42">
        <v>5.0060000000000002</v>
      </c>
      <c r="C49" s="41">
        <v>-24.414249050790133</v>
      </c>
      <c r="D49" s="41">
        <v>8.0549127175643456</v>
      </c>
      <c r="E49" s="41">
        <v>1.2092818965600518</v>
      </c>
      <c r="F49" s="41">
        <v>0.38977891659401309</v>
      </c>
      <c r="G49" s="39" t="s">
        <v>21</v>
      </c>
      <c r="H49" s="39" t="s">
        <v>22</v>
      </c>
      <c r="I49" s="40" t="s">
        <v>20</v>
      </c>
    </row>
    <row r="50" spans="1:9" x14ac:dyDescent="0.2">
      <c r="A50" s="39" t="s">
        <v>1144</v>
      </c>
      <c r="B50" s="42">
        <v>4.9939999999999998</v>
      </c>
      <c r="C50" s="41">
        <v>-23.72304644521239</v>
      </c>
      <c r="D50" s="41">
        <v>6.5623437255246841</v>
      </c>
      <c r="E50" s="41">
        <v>7.5051330980200059E-2</v>
      </c>
      <c r="F50" s="41">
        <v>0.33746974592997625</v>
      </c>
      <c r="G50" s="39" t="s">
        <v>64</v>
      </c>
      <c r="H50" s="39" t="s">
        <v>44</v>
      </c>
      <c r="I50" s="40" t="s">
        <v>20</v>
      </c>
    </row>
    <row r="51" spans="1:9" x14ac:dyDescent="0.2">
      <c r="A51" s="39" t="s">
        <v>1153</v>
      </c>
      <c r="B51" s="42">
        <v>5.0229999999999997</v>
      </c>
      <c r="C51" s="41">
        <v>-23.415980989293089</v>
      </c>
      <c r="D51" s="41">
        <v>5.0836947965025194</v>
      </c>
      <c r="E51" s="41">
        <v>1.4880034337653094</v>
      </c>
      <c r="F51" s="41">
        <v>0.27933452724817021</v>
      </c>
      <c r="G51" s="39" t="s">
        <v>64</v>
      </c>
      <c r="H51" s="39" t="s">
        <v>44</v>
      </c>
      <c r="I51" s="40" t="s">
        <v>20</v>
      </c>
    </row>
    <row r="52" spans="1:9" x14ac:dyDescent="0.2">
      <c r="A52" s="39" t="s">
        <v>1162</v>
      </c>
      <c r="B52" s="42">
        <v>4.9729999999999999</v>
      </c>
      <c r="C52" s="41">
        <v>-23.96238635201831</v>
      </c>
      <c r="D52" s="41">
        <v>5.8948392375748044</v>
      </c>
      <c r="E52" s="41">
        <v>0.13759413950279392</v>
      </c>
      <c r="F52" s="41">
        <v>0.32850881025085404</v>
      </c>
      <c r="G52" s="39" t="s">
        <v>64</v>
      </c>
      <c r="H52" s="39" t="s">
        <v>22</v>
      </c>
      <c r="I52" s="40" t="s">
        <v>20</v>
      </c>
    </row>
    <row r="53" spans="1:9" x14ac:dyDescent="0.2">
      <c r="A53" s="39" t="s">
        <v>1171</v>
      </c>
      <c r="B53" s="42">
        <v>4.9710000000000001</v>
      </c>
      <c r="C53" s="41">
        <v>-24.411941533637208</v>
      </c>
      <c r="D53" s="41">
        <v>6.0985557195231435</v>
      </c>
      <c r="E53" s="41">
        <v>0.2721037774066703</v>
      </c>
      <c r="F53" s="41">
        <v>0.33899074749158137</v>
      </c>
      <c r="G53" s="39" t="s">
        <v>64</v>
      </c>
      <c r="H53" s="39" t="s">
        <v>44</v>
      </c>
      <c r="I53" s="40" t="s">
        <v>20</v>
      </c>
    </row>
    <row r="54" spans="1:9" x14ac:dyDescent="0.2">
      <c r="A54" s="39" t="s">
        <v>1180</v>
      </c>
      <c r="B54" s="42">
        <v>4.9770000000000003</v>
      </c>
      <c r="C54" s="41">
        <v>-23.99840178296833</v>
      </c>
      <c r="D54" s="41">
        <v>4.6233959254984223</v>
      </c>
      <c r="E54" s="41">
        <v>1.0440660697024009</v>
      </c>
      <c r="F54" s="41">
        <v>0.28333808710693403</v>
      </c>
      <c r="G54" s="39" t="s">
        <v>21</v>
      </c>
      <c r="H54" s="39" t="s">
        <v>22</v>
      </c>
      <c r="I54" s="40" t="s">
        <v>20</v>
      </c>
    </row>
    <row r="55" spans="1:9" x14ac:dyDescent="0.2">
      <c r="A55" s="39" t="s">
        <v>1189</v>
      </c>
      <c r="B55" s="42">
        <v>4.9939999999999998</v>
      </c>
      <c r="C55" s="41">
        <v>-24.422729869539133</v>
      </c>
      <c r="D55" s="41">
        <v>4.9949835138101459</v>
      </c>
      <c r="E55" s="41">
        <v>2.5160519804073536</v>
      </c>
      <c r="F55" s="41">
        <v>0.31477106824364004</v>
      </c>
      <c r="G55" s="39" t="s">
        <v>21</v>
      </c>
      <c r="H55" s="39" t="s">
        <v>44</v>
      </c>
      <c r="I55" s="40" t="s">
        <v>20</v>
      </c>
    </row>
    <row r="56" spans="1:9" x14ac:dyDescent="0.2">
      <c r="A56" s="39" t="s">
        <v>1198</v>
      </c>
      <c r="B56" s="42">
        <v>4.93</v>
      </c>
      <c r="C56" s="41">
        <v>-25.015188363012019</v>
      </c>
      <c r="D56" s="41">
        <v>7.7258758856849727</v>
      </c>
      <c r="E56" s="41">
        <v>1.3831072454795328</v>
      </c>
      <c r="F56" s="41">
        <v>0.40072249850234698</v>
      </c>
      <c r="G56" s="39" t="s">
        <v>21</v>
      </c>
      <c r="H56" s="39" t="s">
        <v>22</v>
      </c>
      <c r="I56" s="40" t="s">
        <v>20</v>
      </c>
    </row>
    <row r="57" spans="1:9" x14ac:dyDescent="0.2">
      <c r="A57" s="39" t="s">
        <v>1207</v>
      </c>
      <c r="B57" s="42">
        <v>4.9779999999999998</v>
      </c>
      <c r="C57" s="41">
        <v>-24.921272841720722</v>
      </c>
      <c r="D57" s="41">
        <v>6.2197669657670103</v>
      </c>
      <c r="E57" s="41">
        <v>1.7809642607008307</v>
      </c>
      <c r="F57" s="41">
        <v>0.36856742809837939</v>
      </c>
      <c r="G57" s="39" t="s">
        <v>21</v>
      </c>
      <c r="H57" s="39" t="s">
        <v>44</v>
      </c>
      <c r="I57" s="40" t="s">
        <v>20</v>
      </c>
    </row>
    <row r="58" spans="1:9" x14ac:dyDescent="0.2">
      <c r="A58" s="39" t="s">
        <v>1216</v>
      </c>
      <c r="B58" s="42">
        <v>4.9219999999999997</v>
      </c>
      <c r="C58" s="41">
        <v>-25.297350161409476</v>
      </c>
      <c r="D58" s="41">
        <v>8.0625030011957968</v>
      </c>
      <c r="E58" s="41">
        <v>-0.42145038091402631</v>
      </c>
      <c r="F58" s="41">
        <v>0.45145603593627137</v>
      </c>
      <c r="G58" s="39" t="s">
        <v>64</v>
      </c>
      <c r="H58" s="39" t="s">
        <v>22</v>
      </c>
      <c r="I58" s="40" t="s">
        <v>20</v>
      </c>
    </row>
    <row r="59" spans="1:9" x14ac:dyDescent="0.2">
      <c r="A59" s="39" t="s">
        <v>1225</v>
      </c>
      <c r="B59" s="42">
        <v>4.91</v>
      </c>
      <c r="C59" s="41">
        <v>-25.575012373636195</v>
      </c>
      <c r="D59" s="41">
        <v>6.2564167226372209</v>
      </c>
      <c r="E59" s="41">
        <v>-0.6810205105771856</v>
      </c>
      <c r="F59" s="41">
        <v>0.34573839468499579</v>
      </c>
      <c r="G59" s="39" t="s">
        <v>64</v>
      </c>
      <c r="H59" s="39" t="s">
        <v>22</v>
      </c>
      <c r="I59" s="40" t="s">
        <v>20</v>
      </c>
    </row>
    <row r="60" spans="1:9" x14ac:dyDescent="0.2">
      <c r="A60" s="39" t="s">
        <v>1234</v>
      </c>
      <c r="B60" s="42">
        <v>4.976</v>
      </c>
      <c r="C60" s="41">
        <v>-24.291830445932089</v>
      </c>
      <c r="D60" s="41">
        <v>6.9499017573329889</v>
      </c>
      <c r="E60" s="41">
        <v>2.2102055893267396</v>
      </c>
      <c r="F60" s="41">
        <v>0.35117961427723282</v>
      </c>
      <c r="G60" s="39" t="s">
        <v>21</v>
      </c>
      <c r="H60" s="39" t="s">
        <v>22</v>
      </c>
      <c r="I60" s="40" t="s">
        <v>20</v>
      </c>
    </row>
    <row r="61" spans="1:9" x14ac:dyDescent="0.2">
      <c r="A61" s="39" t="s">
        <v>1243</v>
      </c>
      <c r="B61" s="42">
        <v>5.0419999999999998</v>
      </c>
      <c r="C61" s="41">
        <v>-24.221459451203682</v>
      </c>
      <c r="D61" s="41">
        <v>6.203747000120611</v>
      </c>
      <c r="E61" s="41">
        <v>1.2326590663570025</v>
      </c>
      <c r="F61" s="41">
        <v>0.32308378903082036</v>
      </c>
      <c r="G61" s="39" t="s">
        <v>21</v>
      </c>
      <c r="H61" s="39" t="s">
        <v>44</v>
      </c>
      <c r="I61" s="40" t="s">
        <v>20</v>
      </c>
    </row>
    <row r="62" spans="1:9" x14ac:dyDescent="0.2">
      <c r="A62" s="39" t="s">
        <v>1252</v>
      </c>
      <c r="B62" s="42">
        <v>4.9279999999999999</v>
      </c>
      <c r="C62" s="41">
        <v>-25.831402261097221</v>
      </c>
      <c r="D62" s="41">
        <v>6.1268048898872998</v>
      </c>
      <c r="E62" s="41">
        <v>0.67315169037259082</v>
      </c>
      <c r="F62" s="41">
        <v>0.33466064989663591</v>
      </c>
      <c r="G62" s="39" t="s">
        <v>64</v>
      </c>
      <c r="H62" s="39" t="s">
        <v>22</v>
      </c>
      <c r="I62" s="40" t="s">
        <v>133</v>
      </c>
    </row>
    <row r="63" spans="1:9" x14ac:dyDescent="0.2">
      <c r="A63" s="39" t="s">
        <v>1261</v>
      </c>
      <c r="B63" s="42">
        <v>4.915</v>
      </c>
      <c r="C63" s="41">
        <v>-23.720936928497661</v>
      </c>
      <c r="D63" s="41">
        <v>7.0936043490546323</v>
      </c>
      <c r="E63" s="41">
        <v>0.7651280534195426</v>
      </c>
      <c r="F63" s="41">
        <v>0.38636456981780948</v>
      </c>
      <c r="G63" s="39" t="s">
        <v>64</v>
      </c>
      <c r="H63" s="39" t="s">
        <v>22</v>
      </c>
      <c r="I63" s="40" t="s">
        <v>133</v>
      </c>
    </row>
    <row r="64" spans="1:9" x14ac:dyDescent="0.2">
      <c r="A64" s="39" t="s">
        <v>1270</v>
      </c>
      <c r="B64" s="42">
        <v>4.915</v>
      </c>
      <c r="C64" s="41">
        <v>-25.106661681089211</v>
      </c>
      <c r="D64" s="41">
        <v>6.4858261147252474</v>
      </c>
      <c r="E64" s="41">
        <v>6.3586812948852212E-2</v>
      </c>
      <c r="F64" s="41">
        <v>0.33769823830082285</v>
      </c>
      <c r="G64" s="39" t="s">
        <v>64</v>
      </c>
      <c r="H64" s="39" t="s">
        <v>22</v>
      </c>
      <c r="I64" s="40" t="s">
        <v>133</v>
      </c>
    </row>
    <row r="65" spans="1:9" x14ac:dyDescent="0.2">
      <c r="A65" s="39" t="s">
        <v>1280</v>
      </c>
      <c r="B65" s="42">
        <v>5.0759999999999996</v>
      </c>
      <c r="C65" s="41">
        <v>-24.63994082847276</v>
      </c>
      <c r="D65" s="41">
        <v>4.8534573538687606</v>
      </c>
      <c r="E65" s="41">
        <v>0.13793535333148788</v>
      </c>
      <c r="F65" s="41">
        <v>0.27750151963039926</v>
      </c>
      <c r="G65" s="39" t="s">
        <v>64</v>
      </c>
      <c r="H65" s="39" t="s">
        <v>44</v>
      </c>
      <c r="I65" s="40" t="s">
        <v>133</v>
      </c>
    </row>
    <row r="66" spans="1:9" x14ac:dyDescent="0.2">
      <c r="A66" s="39" t="s">
        <v>1289</v>
      </c>
      <c r="B66" s="42">
        <v>4.9859999999999998</v>
      </c>
      <c r="C66" s="41">
        <v>-24.844466072089972</v>
      </c>
      <c r="D66" s="41">
        <v>5.6722554156475526</v>
      </c>
      <c r="E66" s="41">
        <v>0.87560455398372528</v>
      </c>
      <c r="F66" s="41">
        <v>0.29226797090725359</v>
      </c>
      <c r="G66" s="39" t="s">
        <v>64</v>
      </c>
      <c r="H66" s="39" t="s">
        <v>44</v>
      </c>
      <c r="I66" s="40" t="s">
        <v>133</v>
      </c>
    </row>
    <row r="67" spans="1:9" x14ac:dyDescent="0.2">
      <c r="A67" s="39" t="s">
        <v>1299</v>
      </c>
      <c r="B67" s="43"/>
      <c r="C67" s="41"/>
      <c r="D67" s="41"/>
      <c r="E67" s="41"/>
      <c r="F67" s="41"/>
      <c r="G67" s="39" t="s">
        <v>64</v>
      </c>
      <c r="H67" s="39" t="s">
        <v>44</v>
      </c>
      <c r="I67" s="40" t="s">
        <v>133</v>
      </c>
    </row>
    <row r="68" spans="1:9" x14ac:dyDescent="0.2">
      <c r="A68" s="39" t="s">
        <v>1308</v>
      </c>
      <c r="B68" s="44">
        <v>5.0860000000000003</v>
      </c>
      <c r="C68" s="41">
        <v>-24.02340763356262</v>
      </c>
      <c r="D68" s="41">
        <v>6.5437045489077672</v>
      </c>
      <c r="E68" s="41">
        <v>1.5162127501597453</v>
      </c>
      <c r="F68" s="41">
        <v>0.37188696415465267</v>
      </c>
      <c r="G68" s="39" t="s">
        <v>21</v>
      </c>
      <c r="H68" s="39" t="s">
        <v>44</v>
      </c>
      <c r="I68" s="40" t="s">
        <v>133</v>
      </c>
    </row>
    <row r="69" spans="1:9" x14ac:dyDescent="0.2">
      <c r="A69" s="39" t="s">
        <v>1317</v>
      </c>
      <c r="B69" s="44">
        <v>5.0519999999999996</v>
      </c>
      <c r="C69" s="41">
        <v>-25.647358336548994</v>
      </c>
      <c r="D69" s="41">
        <v>7.7504058880449254</v>
      </c>
      <c r="E69" s="41">
        <v>2.4346358629380291</v>
      </c>
      <c r="F69" s="41">
        <v>0.41386599434140403</v>
      </c>
      <c r="G69" s="39" t="s">
        <v>21</v>
      </c>
      <c r="H69" s="39" t="s">
        <v>44</v>
      </c>
      <c r="I69" s="40" t="s">
        <v>133</v>
      </c>
    </row>
    <row r="70" spans="1:9" x14ac:dyDescent="0.2">
      <c r="A70" s="39" t="s">
        <v>1326</v>
      </c>
      <c r="B70" s="44">
        <v>5.0460000000000003</v>
      </c>
      <c r="C70" s="41">
        <v>-24.330435754451475</v>
      </c>
      <c r="D70" s="41">
        <v>6.6902639977018197</v>
      </c>
      <c r="E70" s="41">
        <v>0.94048756092554764</v>
      </c>
      <c r="F70" s="41">
        <v>0.36539756665409728</v>
      </c>
      <c r="G70" s="39" t="s">
        <v>21</v>
      </c>
      <c r="H70" s="39" t="s">
        <v>22</v>
      </c>
      <c r="I70" s="40" t="s">
        <v>133</v>
      </c>
    </row>
    <row r="71" spans="1:9" x14ac:dyDescent="0.2">
      <c r="A71" s="39" t="s">
        <v>1335</v>
      </c>
      <c r="B71" s="44">
        <v>4.9939999999999998</v>
      </c>
      <c r="C71" s="41">
        <v>-24.199358879061435</v>
      </c>
      <c r="D71" s="41">
        <v>4.4042514117472988</v>
      </c>
      <c r="E71" s="41">
        <v>2.5663740487769999</v>
      </c>
      <c r="F71" s="41">
        <v>0.26739507705564342</v>
      </c>
      <c r="G71" s="39" t="s">
        <v>21</v>
      </c>
      <c r="H71" s="39" t="s">
        <v>22</v>
      </c>
      <c r="I71" s="40" t="s">
        <v>133</v>
      </c>
    </row>
    <row r="72" spans="1:9" x14ac:dyDescent="0.2">
      <c r="A72" s="39" t="s">
        <v>1344</v>
      </c>
      <c r="B72" s="44">
        <v>4.9269999999999996</v>
      </c>
      <c r="C72" s="41">
        <v>-24.340565827249712</v>
      </c>
      <c r="D72" s="41">
        <v>6.596141501999977</v>
      </c>
      <c r="E72" s="41">
        <v>1.4843636614514468</v>
      </c>
      <c r="F72" s="41">
        <v>0.36587111025732932</v>
      </c>
      <c r="G72" s="39" t="s">
        <v>21</v>
      </c>
      <c r="H72" s="39" t="s">
        <v>44</v>
      </c>
      <c r="I72" s="40" t="s">
        <v>133</v>
      </c>
    </row>
    <row r="73" spans="1:9" x14ac:dyDescent="0.2">
      <c r="A73" s="39" t="s">
        <v>1353</v>
      </c>
      <c r="B73" s="44">
        <v>4.9820000000000002</v>
      </c>
      <c r="C73" s="41">
        <v>-24.379215454922814</v>
      </c>
      <c r="D73" s="41">
        <v>7.1765447689282063</v>
      </c>
      <c r="E73" s="41">
        <v>1.1413741818273988</v>
      </c>
      <c r="F73" s="41">
        <v>0.38441571292922178</v>
      </c>
      <c r="G73" s="39" t="s">
        <v>21</v>
      </c>
      <c r="H73" s="39" t="s">
        <v>22</v>
      </c>
      <c r="I73" s="40" t="s">
        <v>133</v>
      </c>
    </row>
    <row r="74" spans="1:9" x14ac:dyDescent="0.2">
      <c r="G74" s="4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820BC-9126-4117-95BC-022A19959830}">
  <dimension ref="A1:D73"/>
  <sheetViews>
    <sheetView workbookViewId="0"/>
  </sheetViews>
  <sheetFormatPr baseColWidth="10" defaultColWidth="8.83203125" defaultRowHeight="16" x14ac:dyDescent="0.2"/>
  <cols>
    <col min="1" max="1" width="9.83203125" bestFit="1" customWidth="1"/>
    <col min="2" max="2" width="14.1640625" customWidth="1"/>
    <col min="3" max="3" width="14.6640625" customWidth="1"/>
    <col min="4" max="4" width="9.83203125" bestFit="1" customWidth="1"/>
  </cols>
  <sheetData>
    <row r="1" spans="1:4" x14ac:dyDescent="0.2">
      <c r="A1" s="45" t="s">
        <v>621</v>
      </c>
      <c r="B1" s="1" t="s">
        <v>1805</v>
      </c>
      <c r="C1" s="1" t="s">
        <v>1806</v>
      </c>
      <c r="D1" s="49">
        <v>45848</v>
      </c>
    </row>
    <row r="2" spans="1:4" x14ac:dyDescent="0.2">
      <c r="A2" s="39" t="s">
        <v>709</v>
      </c>
      <c r="B2" s="1">
        <v>0</v>
      </c>
      <c r="C2" s="1">
        <v>75</v>
      </c>
    </row>
    <row r="3" spans="1:4" x14ac:dyDescent="0.2">
      <c r="A3" s="39" t="s">
        <v>718</v>
      </c>
      <c r="B3" s="1">
        <v>5</v>
      </c>
      <c r="C3" s="1">
        <v>95</v>
      </c>
    </row>
    <row r="4" spans="1:4" x14ac:dyDescent="0.2">
      <c r="A4" s="39" t="s">
        <v>727</v>
      </c>
      <c r="B4" s="1">
        <v>35</v>
      </c>
      <c r="C4" s="1">
        <v>90</v>
      </c>
    </row>
    <row r="5" spans="1:4" x14ac:dyDescent="0.2">
      <c r="A5" s="39" t="s">
        <v>736</v>
      </c>
      <c r="B5" s="1">
        <v>75</v>
      </c>
      <c r="C5" s="1">
        <v>60</v>
      </c>
    </row>
    <row r="6" spans="1:4" x14ac:dyDescent="0.2">
      <c r="A6" s="39" t="s">
        <v>745</v>
      </c>
      <c r="B6" s="1">
        <v>90</v>
      </c>
      <c r="C6" s="1">
        <v>15</v>
      </c>
    </row>
    <row r="7" spans="1:4" x14ac:dyDescent="0.2">
      <c r="A7" s="39" t="s">
        <v>754</v>
      </c>
      <c r="B7" s="1">
        <v>15</v>
      </c>
      <c r="C7" s="1">
        <v>50</v>
      </c>
    </row>
    <row r="8" spans="1:4" x14ac:dyDescent="0.2">
      <c r="A8" s="39" t="s">
        <v>763</v>
      </c>
      <c r="B8" s="1">
        <v>50</v>
      </c>
      <c r="C8" s="1">
        <v>75</v>
      </c>
    </row>
    <row r="9" spans="1:4" x14ac:dyDescent="0.2">
      <c r="A9" s="39" t="s">
        <v>772</v>
      </c>
      <c r="B9" s="1">
        <v>25</v>
      </c>
      <c r="C9" s="1">
        <v>85</v>
      </c>
    </row>
    <row r="10" spans="1:4" x14ac:dyDescent="0.2">
      <c r="A10" s="39" t="s">
        <v>781</v>
      </c>
      <c r="B10" s="1">
        <v>0</v>
      </c>
      <c r="C10" s="1">
        <v>40</v>
      </c>
    </row>
    <row r="11" spans="1:4" x14ac:dyDescent="0.2">
      <c r="A11" s="39" t="s">
        <v>790</v>
      </c>
      <c r="B11" s="1">
        <v>20</v>
      </c>
      <c r="C11" s="1">
        <v>15</v>
      </c>
    </row>
    <row r="12" spans="1:4" x14ac:dyDescent="0.2">
      <c r="A12" s="39" t="s">
        <v>799</v>
      </c>
      <c r="B12" s="1">
        <v>85</v>
      </c>
      <c r="C12" s="1">
        <v>25</v>
      </c>
    </row>
    <row r="13" spans="1:4" x14ac:dyDescent="0.2">
      <c r="A13" s="39" t="s">
        <v>808</v>
      </c>
      <c r="B13" s="1">
        <v>90</v>
      </c>
      <c r="C13" s="1">
        <v>90</v>
      </c>
    </row>
    <row r="14" spans="1:4" x14ac:dyDescent="0.2">
      <c r="A14" s="39" t="s">
        <v>817</v>
      </c>
      <c r="B14" s="1">
        <v>5</v>
      </c>
      <c r="C14" s="1">
        <v>75</v>
      </c>
    </row>
    <row r="15" spans="1:4" x14ac:dyDescent="0.2">
      <c r="A15" s="39" t="s">
        <v>826</v>
      </c>
      <c r="B15" s="1">
        <v>85</v>
      </c>
      <c r="C15" s="1">
        <v>15</v>
      </c>
    </row>
    <row r="16" spans="1:4" x14ac:dyDescent="0.2">
      <c r="A16" s="39" t="s">
        <v>835</v>
      </c>
      <c r="B16" s="1">
        <v>80</v>
      </c>
      <c r="C16" s="1">
        <v>20</v>
      </c>
    </row>
    <row r="17" spans="1:3" x14ac:dyDescent="0.2">
      <c r="A17" s="39" t="s">
        <v>844</v>
      </c>
      <c r="B17" s="1">
        <v>90</v>
      </c>
      <c r="C17" s="1">
        <v>20</v>
      </c>
    </row>
    <row r="18" spans="1:3" x14ac:dyDescent="0.2">
      <c r="A18" s="39" t="s">
        <v>853</v>
      </c>
      <c r="B18" s="1">
        <v>80</v>
      </c>
      <c r="C18" s="1">
        <v>25</v>
      </c>
    </row>
    <row r="19" spans="1:3" x14ac:dyDescent="0.2">
      <c r="A19" s="39" t="s">
        <v>862</v>
      </c>
      <c r="B19" s="1">
        <v>80</v>
      </c>
      <c r="C19" s="1">
        <v>5</v>
      </c>
    </row>
    <row r="20" spans="1:3" x14ac:dyDescent="0.2">
      <c r="A20" s="39" t="s">
        <v>871</v>
      </c>
      <c r="B20" s="1">
        <v>15</v>
      </c>
      <c r="C20" s="1">
        <v>85</v>
      </c>
    </row>
    <row r="21" spans="1:3" x14ac:dyDescent="0.2">
      <c r="A21" s="39" t="s">
        <v>880</v>
      </c>
      <c r="B21" s="1">
        <v>0</v>
      </c>
      <c r="C21" s="1">
        <v>95</v>
      </c>
    </row>
    <row r="22" spans="1:3" x14ac:dyDescent="0.2">
      <c r="A22" s="39" t="s">
        <v>889</v>
      </c>
      <c r="B22" s="1">
        <v>5</v>
      </c>
      <c r="C22" s="1">
        <v>70</v>
      </c>
    </row>
    <row r="23" spans="1:3" x14ac:dyDescent="0.2">
      <c r="A23" s="39" t="s">
        <v>898</v>
      </c>
      <c r="B23" s="1">
        <v>0</v>
      </c>
      <c r="C23" s="1">
        <v>75</v>
      </c>
    </row>
    <row r="24" spans="1:3" x14ac:dyDescent="0.2">
      <c r="A24" s="39" t="s">
        <v>907</v>
      </c>
      <c r="B24" s="1">
        <v>15</v>
      </c>
      <c r="C24" s="1">
        <v>70</v>
      </c>
    </row>
    <row r="25" spans="1:3" x14ac:dyDescent="0.2">
      <c r="A25" s="39" t="s">
        <v>916</v>
      </c>
      <c r="B25" s="1">
        <v>90</v>
      </c>
      <c r="C25" s="1">
        <v>15</v>
      </c>
    </row>
    <row r="26" spans="1:3" x14ac:dyDescent="0.2">
      <c r="A26" s="39" t="s">
        <v>925</v>
      </c>
      <c r="B26" s="1">
        <v>85</v>
      </c>
      <c r="C26" s="1">
        <v>10</v>
      </c>
    </row>
    <row r="27" spans="1:3" x14ac:dyDescent="0.2">
      <c r="A27" s="39" t="s">
        <v>934</v>
      </c>
      <c r="B27" s="1">
        <v>20</v>
      </c>
      <c r="C27" s="1">
        <v>60</v>
      </c>
    </row>
    <row r="28" spans="1:3" x14ac:dyDescent="0.2">
      <c r="A28" s="39" t="s">
        <v>943</v>
      </c>
      <c r="B28" s="1">
        <v>85</v>
      </c>
      <c r="C28" s="1">
        <v>15</v>
      </c>
    </row>
    <row r="29" spans="1:3" x14ac:dyDescent="0.2">
      <c r="A29" s="39" t="s">
        <v>952</v>
      </c>
      <c r="B29" s="1">
        <v>20</v>
      </c>
      <c r="C29" s="1">
        <v>60</v>
      </c>
    </row>
    <row r="30" spans="1:3" x14ac:dyDescent="0.2">
      <c r="A30" s="39" t="s">
        <v>961</v>
      </c>
      <c r="B30" s="1">
        <v>60</v>
      </c>
      <c r="C30" s="1">
        <v>25</v>
      </c>
    </row>
    <row r="31" spans="1:3" x14ac:dyDescent="0.2">
      <c r="A31" s="39" t="s">
        <v>970</v>
      </c>
      <c r="B31" s="1">
        <v>85</v>
      </c>
      <c r="C31" s="1">
        <v>10</v>
      </c>
    </row>
    <row r="32" spans="1:3" x14ac:dyDescent="0.2">
      <c r="A32" s="39" t="s">
        <v>979</v>
      </c>
      <c r="B32" s="1">
        <v>10</v>
      </c>
      <c r="C32" s="1">
        <v>90</v>
      </c>
    </row>
    <row r="33" spans="1:3" x14ac:dyDescent="0.2">
      <c r="A33" s="39" t="s">
        <v>988</v>
      </c>
      <c r="B33" s="1">
        <v>60</v>
      </c>
      <c r="C33" s="1">
        <v>70</v>
      </c>
    </row>
    <row r="34" spans="1:3" x14ac:dyDescent="0.2">
      <c r="A34" s="39" t="s">
        <v>997</v>
      </c>
      <c r="B34" s="1">
        <v>25</v>
      </c>
      <c r="C34" s="1">
        <v>85</v>
      </c>
    </row>
    <row r="35" spans="1:3" x14ac:dyDescent="0.2">
      <c r="A35" s="39" t="s">
        <v>1006</v>
      </c>
      <c r="B35" s="1">
        <v>80</v>
      </c>
      <c r="C35" s="1">
        <v>10</v>
      </c>
    </row>
    <row r="36" spans="1:3" x14ac:dyDescent="0.2">
      <c r="A36" s="39" t="s">
        <v>1015</v>
      </c>
      <c r="B36" s="1">
        <v>20</v>
      </c>
      <c r="C36" s="1">
        <v>75</v>
      </c>
    </row>
    <row r="37" spans="1:3" x14ac:dyDescent="0.2">
      <c r="A37" s="39" t="s">
        <v>1026</v>
      </c>
      <c r="B37" s="1">
        <v>5</v>
      </c>
      <c r="C37" s="1">
        <v>90</v>
      </c>
    </row>
    <row r="38" spans="1:3" x14ac:dyDescent="0.2">
      <c r="A38" s="39" t="s">
        <v>1035</v>
      </c>
      <c r="B38" s="1">
        <v>90</v>
      </c>
      <c r="C38" s="1">
        <v>5</v>
      </c>
    </row>
    <row r="39" spans="1:3" x14ac:dyDescent="0.2">
      <c r="A39" s="39" t="s">
        <v>1044</v>
      </c>
      <c r="B39" s="1">
        <v>90</v>
      </c>
      <c r="C39" s="1">
        <v>5</v>
      </c>
    </row>
    <row r="40" spans="1:3" x14ac:dyDescent="0.2">
      <c r="A40" s="39" t="s">
        <v>1053</v>
      </c>
      <c r="B40" s="1">
        <v>80</v>
      </c>
      <c r="C40" s="1">
        <v>60</v>
      </c>
    </row>
    <row r="41" spans="1:3" x14ac:dyDescent="0.2">
      <c r="A41" s="39" t="s">
        <v>1062</v>
      </c>
      <c r="B41" s="1">
        <v>85</v>
      </c>
      <c r="C41" s="1">
        <v>40</v>
      </c>
    </row>
    <row r="42" spans="1:3" x14ac:dyDescent="0.2">
      <c r="A42" s="39" t="s">
        <v>1071</v>
      </c>
      <c r="B42" s="1">
        <v>5</v>
      </c>
      <c r="C42" s="1">
        <v>45</v>
      </c>
    </row>
    <row r="43" spans="1:3" x14ac:dyDescent="0.2">
      <c r="A43" s="39" t="s">
        <v>1080</v>
      </c>
      <c r="B43" s="1">
        <v>5</v>
      </c>
      <c r="C43" s="1">
        <v>75</v>
      </c>
    </row>
    <row r="44" spans="1:3" x14ac:dyDescent="0.2">
      <c r="A44" s="39" t="s">
        <v>1090</v>
      </c>
      <c r="B44" s="1">
        <v>10</v>
      </c>
      <c r="C44" s="1">
        <v>70</v>
      </c>
    </row>
    <row r="45" spans="1:3" x14ac:dyDescent="0.2">
      <c r="A45" s="39" t="s">
        <v>1099</v>
      </c>
      <c r="B45" s="1">
        <v>85</v>
      </c>
      <c r="C45" s="1">
        <v>5</v>
      </c>
    </row>
    <row r="46" spans="1:3" x14ac:dyDescent="0.2">
      <c r="A46" s="39" t="s">
        <v>1108</v>
      </c>
      <c r="B46" s="1">
        <v>75</v>
      </c>
      <c r="C46" s="1">
        <v>40</v>
      </c>
    </row>
    <row r="47" spans="1:3" x14ac:dyDescent="0.2">
      <c r="A47" s="39" t="s">
        <v>1117</v>
      </c>
      <c r="B47" s="1">
        <v>10</v>
      </c>
      <c r="C47" s="1">
        <v>90</v>
      </c>
    </row>
    <row r="48" spans="1:3" x14ac:dyDescent="0.2">
      <c r="A48" s="39" t="s">
        <v>1126</v>
      </c>
      <c r="B48" s="1">
        <v>75</v>
      </c>
      <c r="C48" s="1">
        <v>30</v>
      </c>
    </row>
    <row r="49" spans="1:3" x14ac:dyDescent="0.2">
      <c r="A49" s="39" t="s">
        <v>1135</v>
      </c>
      <c r="B49" s="1">
        <v>10</v>
      </c>
      <c r="C49" s="1">
        <v>75</v>
      </c>
    </row>
    <row r="50" spans="1:3" x14ac:dyDescent="0.2">
      <c r="A50" s="39" t="s">
        <v>1144</v>
      </c>
      <c r="B50" s="1">
        <v>95</v>
      </c>
      <c r="C50" s="1">
        <v>10</v>
      </c>
    </row>
    <row r="51" spans="1:3" x14ac:dyDescent="0.2">
      <c r="A51" s="39" t="s">
        <v>1153</v>
      </c>
      <c r="B51" s="1">
        <v>90</v>
      </c>
      <c r="C51" s="1">
        <v>15</v>
      </c>
    </row>
    <row r="52" spans="1:3" x14ac:dyDescent="0.2">
      <c r="A52" s="39" t="s">
        <v>1162</v>
      </c>
      <c r="B52" s="1">
        <v>70</v>
      </c>
      <c r="C52" s="1">
        <v>70</v>
      </c>
    </row>
    <row r="53" spans="1:3" x14ac:dyDescent="0.2">
      <c r="A53" s="39" t="s">
        <v>1171</v>
      </c>
      <c r="B53" s="1">
        <v>85</v>
      </c>
      <c r="C53" s="1">
        <v>10</v>
      </c>
    </row>
    <row r="54" spans="1:3" x14ac:dyDescent="0.2">
      <c r="A54" s="39" t="s">
        <v>1180</v>
      </c>
      <c r="B54" s="1">
        <v>5</v>
      </c>
      <c r="C54" s="1">
        <v>85</v>
      </c>
    </row>
    <row r="55" spans="1:3" x14ac:dyDescent="0.2">
      <c r="A55" s="39" t="s">
        <v>1189</v>
      </c>
      <c r="B55" s="1">
        <v>75</v>
      </c>
      <c r="C55" s="1">
        <v>40</v>
      </c>
    </row>
    <row r="56" spans="1:3" x14ac:dyDescent="0.2">
      <c r="A56" s="39" t="s">
        <v>1198</v>
      </c>
      <c r="B56" s="1">
        <v>30</v>
      </c>
      <c r="C56" s="1">
        <v>60</v>
      </c>
    </row>
    <row r="57" spans="1:3" x14ac:dyDescent="0.2">
      <c r="A57" s="39" t="s">
        <v>1207</v>
      </c>
      <c r="B57" s="1">
        <v>70</v>
      </c>
      <c r="C57" s="1">
        <v>60</v>
      </c>
    </row>
    <row r="58" spans="1:3" x14ac:dyDescent="0.2">
      <c r="A58" s="39" t="s">
        <v>1216</v>
      </c>
      <c r="B58" s="1">
        <v>0</v>
      </c>
      <c r="C58" s="1">
        <v>40</v>
      </c>
    </row>
    <row r="59" spans="1:3" x14ac:dyDescent="0.2">
      <c r="A59" s="39" t="s">
        <v>1225</v>
      </c>
      <c r="B59" s="1">
        <v>5</v>
      </c>
      <c r="C59" s="1">
        <v>50</v>
      </c>
    </row>
    <row r="60" spans="1:3" x14ac:dyDescent="0.2">
      <c r="A60" s="39" t="s">
        <v>1234</v>
      </c>
      <c r="B60" s="1">
        <v>5</v>
      </c>
      <c r="C60" s="1">
        <v>60</v>
      </c>
    </row>
    <row r="61" spans="1:3" x14ac:dyDescent="0.2">
      <c r="A61" s="39" t="s">
        <v>1243</v>
      </c>
      <c r="B61" s="1">
        <v>60</v>
      </c>
      <c r="C61" s="1">
        <v>40</v>
      </c>
    </row>
    <row r="62" spans="1:3" x14ac:dyDescent="0.2">
      <c r="A62" s="39" t="s">
        <v>1252</v>
      </c>
      <c r="B62" s="1">
        <v>5</v>
      </c>
      <c r="C62" s="1">
        <v>25</v>
      </c>
    </row>
    <row r="63" spans="1:3" x14ac:dyDescent="0.2">
      <c r="A63" s="39" t="s">
        <v>1261</v>
      </c>
      <c r="B63" s="1">
        <v>0</v>
      </c>
      <c r="C63" s="1">
        <v>85</v>
      </c>
    </row>
    <row r="64" spans="1:3" x14ac:dyDescent="0.2">
      <c r="A64" s="39" t="s">
        <v>1270</v>
      </c>
      <c r="B64" s="1">
        <v>60</v>
      </c>
      <c r="C64" s="1">
        <v>35</v>
      </c>
    </row>
    <row r="65" spans="1:3" x14ac:dyDescent="0.2">
      <c r="A65" s="39" t="s">
        <v>1280</v>
      </c>
      <c r="B65" s="1">
        <v>90</v>
      </c>
      <c r="C65" s="1">
        <v>10</v>
      </c>
    </row>
    <row r="66" spans="1:3" x14ac:dyDescent="0.2">
      <c r="A66" s="39" t="s">
        <v>1289</v>
      </c>
      <c r="B66" s="1">
        <v>95</v>
      </c>
      <c r="C66" s="1">
        <v>10</v>
      </c>
    </row>
    <row r="67" spans="1:3" x14ac:dyDescent="0.2">
      <c r="A67" s="39" t="s">
        <v>1299</v>
      </c>
      <c r="B67" s="1">
        <v>90</v>
      </c>
      <c r="C67" s="1">
        <v>5</v>
      </c>
    </row>
    <row r="68" spans="1:3" x14ac:dyDescent="0.2">
      <c r="A68" s="39" t="s">
        <v>1308</v>
      </c>
      <c r="B68" s="1">
        <v>85</v>
      </c>
      <c r="C68" s="1">
        <v>15</v>
      </c>
    </row>
    <row r="69" spans="1:3" x14ac:dyDescent="0.2">
      <c r="A69" s="39" t="s">
        <v>1317</v>
      </c>
      <c r="B69" s="1">
        <v>90</v>
      </c>
      <c r="C69" s="1">
        <v>15</v>
      </c>
    </row>
    <row r="70" spans="1:3" x14ac:dyDescent="0.2">
      <c r="A70" s="39" t="s">
        <v>1326</v>
      </c>
      <c r="B70" s="1">
        <v>5</v>
      </c>
      <c r="C70" s="1">
        <v>75</v>
      </c>
    </row>
    <row r="71" spans="1:3" x14ac:dyDescent="0.2">
      <c r="A71" s="39" t="s">
        <v>1335</v>
      </c>
      <c r="B71" s="1">
        <v>30</v>
      </c>
      <c r="C71" s="1">
        <v>70</v>
      </c>
    </row>
    <row r="72" spans="1:3" x14ac:dyDescent="0.2">
      <c r="A72" s="39" t="s">
        <v>1344</v>
      </c>
      <c r="B72" s="1">
        <v>85</v>
      </c>
      <c r="C72" s="1">
        <v>15</v>
      </c>
    </row>
    <row r="73" spans="1:3" x14ac:dyDescent="0.2">
      <c r="A73" s="39" t="s">
        <v>1353</v>
      </c>
      <c r="B73" s="1">
        <v>10</v>
      </c>
      <c r="C73" s="1">
        <v>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A6DC6-9397-46FE-BCB6-6A45EE202F36}">
  <dimension ref="A1:AF831"/>
  <sheetViews>
    <sheetView topLeftCell="A511" workbookViewId="0">
      <selection activeCell="N42" sqref="N42"/>
    </sheetView>
  </sheetViews>
  <sheetFormatPr baseColWidth="10" defaultColWidth="8.6640625" defaultRowHeight="16" x14ac:dyDescent="0.2"/>
  <cols>
    <col min="1" max="2" width="8.6640625" customWidth="1"/>
    <col min="3" max="4" width="12" customWidth="1"/>
    <col min="5" max="5" width="15" customWidth="1"/>
    <col min="6" max="6" width="8.6640625" customWidth="1"/>
    <col min="7" max="7" width="14.1640625" customWidth="1"/>
    <col min="8" max="9" width="8.6640625" customWidth="1"/>
    <col min="10" max="10" width="18.83203125" style="8" bestFit="1" customWidth="1"/>
    <col min="11" max="12" width="8.6640625" customWidth="1"/>
    <col min="13" max="13" width="24.5" customWidth="1"/>
    <col min="14" max="14" width="10.33203125" style="8" bestFit="1" customWidth="1"/>
    <col min="15" max="18" width="13.1640625" customWidth="1"/>
    <col min="19" max="22" width="13.1640625" style="9" customWidth="1"/>
    <col min="23" max="26" width="11"/>
    <col min="27" max="28" width="10.83203125" style="1"/>
    <col min="29" max="29" width="12" style="1" customWidth="1"/>
    <col min="30" max="30" width="12" customWidth="1"/>
    <col min="31" max="31" width="13.1640625" customWidth="1"/>
    <col min="32" max="32" width="22.6640625" customWidth="1"/>
  </cols>
  <sheetData>
    <row r="1" spans="1:32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17" t="s">
        <v>9</v>
      </c>
      <c r="K1" s="6" t="s">
        <v>10</v>
      </c>
      <c r="L1" s="6" t="s">
        <v>11</v>
      </c>
      <c r="M1" s="6" t="s">
        <v>12</v>
      </c>
      <c r="N1" s="17" t="s">
        <v>13</v>
      </c>
      <c r="O1" s="16" t="s">
        <v>699</v>
      </c>
      <c r="P1" s="16" t="s">
        <v>700</v>
      </c>
      <c r="Q1" s="16" t="s">
        <v>701</v>
      </c>
      <c r="R1" s="16" t="s">
        <v>702</v>
      </c>
      <c r="S1" s="48" t="s">
        <v>703</v>
      </c>
      <c r="T1" s="48" t="s">
        <v>704</v>
      </c>
      <c r="U1" s="48" t="s">
        <v>705</v>
      </c>
      <c r="V1" s="48" t="s">
        <v>706</v>
      </c>
      <c r="W1" s="6" t="s">
        <v>7</v>
      </c>
      <c r="X1" s="6" t="s">
        <v>8</v>
      </c>
      <c r="Y1" s="6" t="s">
        <v>10</v>
      </c>
      <c r="Z1" s="6" t="s">
        <v>11</v>
      </c>
      <c r="AA1" s="6" t="s">
        <v>0</v>
      </c>
      <c r="AB1" s="6" t="s">
        <v>1</v>
      </c>
      <c r="AC1" s="6" t="s">
        <v>2</v>
      </c>
      <c r="AD1" s="6"/>
      <c r="AE1" s="16" t="s">
        <v>707</v>
      </c>
      <c r="AF1" s="16" t="s">
        <v>708</v>
      </c>
    </row>
    <row r="2" spans="1:32" x14ac:dyDescent="0.2">
      <c r="A2" s="18" t="s">
        <v>14</v>
      </c>
      <c r="B2" s="18" t="s">
        <v>15</v>
      </c>
      <c r="C2" s="18" t="s">
        <v>16</v>
      </c>
      <c r="D2" s="18" t="s">
        <v>709</v>
      </c>
      <c r="E2" s="18" t="s">
        <v>17</v>
      </c>
      <c r="F2" s="18">
        <v>1</v>
      </c>
      <c r="G2" s="18" t="s">
        <v>18</v>
      </c>
      <c r="H2" s="18" t="s">
        <v>19</v>
      </c>
      <c r="I2" s="18" t="s">
        <v>20</v>
      </c>
      <c r="J2" s="19" t="s">
        <v>710</v>
      </c>
      <c r="K2" s="18" t="s">
        <v>21</v>
      </c>
      <c r="L2" s="18" t="s">
        <v>22</v>
      </c>
      <c r="M2" s="18" t="s">
        <v>23</v>
      </c>
      <c r="N2" s="19">
        <v>1</v>
      </c>
      <c r="O2" s="29">
        <v>45765</v>
      </c>
      <c r="P2" s="29">
        <v>45770</v>
      </c>
      <c r="Q2" s="29">
        <v>45772</v>
      </c>
      <c r="R2" s="29">
        <v>45779</v>
      </c>
      <c r="S2" s="23">
        <f>O2-DATE(YEAR(O2),1,1)+1</f>
        <v>108</v>
      </c>
      <c r="T2" s="23">
        <f t="shared" ref="T2:V2" si="0">P2-DATE(YEAR(P2),1,1)+1</f>
        <v>113</v>
      </c>
      <c r="U2" s="23">
        <f t="shared" si="0"/>
        <v>115</v>
      </c>
      <c r="V2" s="23">
        <f t="shared" si="0"/>
        <v>122</v>
      </c>
      <c r="W2" s="18" t="s">
        <v>19</v>
      </c>
      <c r="X2" s="18" t="s">
        <v>20</v>
      </c>
      <c r="Y2" s="18" t="s">
        <v>21</v>
      </c>
      <c r="Z2" s="18" t="s">
        <v>22</v>
      </c>
      <c r="AA2" s="18" t="s">
        <v>14</v>
      </c>
      <c r="AB2" s="18" t="s">
        <v>15</v>
      </c>
      <c r="AC2" s="18" t="s">
        <v>16</v>
      </c>
      <c r="AD2" s="18"/>
      <c r="AE2" s="2">
        <v>0</v>
      </c>
      <c r="AF2" s="2"/>
    </row>
    <row r="3" spans="1:32" x14ac:dyDescent="0.2">
      <c r="A3" s="18" t="s">
        <v>14</v>
      </c>
      <c r="B3" s="18" t="s">
        <v>15</v>
      </c>
      <c r="C3" s="18" t="s">
        <v>16</v>
      </c>
      <c r="D3" s="18" t="s">
        <v>709</v>
      </c>
      <c r="E3" s="18" t="s">
        <v>24</v>
      </c>
      <c r="F3" s="18">
        <v>1</v>
      </c>
      <c r="G3" s="18" t="s">
        <v>25</v>
      </c>
      <c r="H3" s="18" t="s">
        <v>19</v>
      </c>
      <c r="I3" s="18" t="s">
        <v>20</v>
      </c>
      <c r="J3" s="19" t="s">
        <v>711</v>
      </c>
      <c r="K3" s="18" t="s">
        <v>21</v>
      </c>
      <c r="L3" s="18" t="s">
        <v>22</v>
      </c>
      <c r="M3" s="18" t="s">
        <v>23</v>
      </c>
      <c r="N3" s="19">
        <v>2</v>
      </c>
      <c r="O3" s="29">
        <v>45770</v>
      </c>
      <c r="P3" s="2"/>
      <c r="Q3" s="29">
        <v>45776</v>
      </c>
      <c r="R3" s="29">
        <v>45779</v>
      </c>
      <c r="S3" s="23">
        <f t="shared" ref="S3:S66" si="1">O3-DATE(YEAR(O3),1,1)+1</f>
        <v>113</v>
      </c>
      <c r="T3" s="23">
        <f>(U3+S3)/2</f>
        <v>116</v>
      </c>
      <c r="U3" s="23">
        <f t="shared" ref="U3:U66" si="2">Q3-DATE(YEAR(Q3),1,1)+1</f>
        <v>119</v>
      </c>
      <c r="V3" s="23">
        <f t="shared" ref="V3:V66" si="3">R3-DATE(YEAR(R3),1,1)+1</f>
        <v>122</v>
      </c>
      <c r="W3" s="18" t="s">
        <v>19</v>
      </c>
      <c r="X3" s="18" t="s">
        <v>20</v>
      </c>
      <c r="Y3" s="18" t="s">
        <v>21</v>
      </c>
      <c r="Z3" s="18" t="s">
        <v>22</v>
      </c>
      <c r="AA3" s="18" t="s">
        <v>14</v>
      </c>
      <c r="AB3" s="18" t="s">
        <v>15</v>
      </c>
      <c r="AC3" s="18" t="s">
        <v>16</v>
      </c>
      <c r="AD3" s="18"/>
      <c r="AE3" s="2">
        <v>0</v>
      </c>
      <c r="AF3" s="2"/>
    </row>
    <row r="4" spans="1:32" x14ac:dyDescent="0.2">
      <c r="A4" s="18" t="s">
        <v>14</v>
      </c>
      <c r="B4" s="18" t="s">
        <v>15</v>
      </c>
      <c r="C4" s="18" t="s">
        <v>16</v>
      </c>
      <c r="D4" s="18" t="s">
        <v>709</v>
      </c>
      <c r="E4" s="18" t="s">
        <v>17</v>
      </c>
      <c r="F4" s="18">
        <v>2</v>
      </c>
      <c r="G4" s="18" t="s">
        <v>26</v>
      </c>
      <c r="H4" s="18" t="s">
        <v>19</v>
      </c>
      <c r="I4" s="18" t="s">
        <v>20</v>
      </c>
      <c r="J4" s="19" t="s">
        <v>712</v>
      </c>
      <c r="K4" s="18" t="s">
        <v>21</v>
      </c>
      <c r="L4" s="18" t="s">
        <v>22</v>
      </c>
      <c r="M4" s="18" t="s">
        <v>23</v>
      </c>
      <c r="N4" s="19">
        <v>3</v>
      </c>
      <c r="O4" s="29">
        <v>45762</v>
      </c>
      <c r="P4" s="2"/>
      <c r="Q4" s="29">
        <v>45770</v>
      </c>
      <c r="R4" s="29">
        <v>45776</v>
      </c>
      <c r="S4" s="23">
        <f t="shared" si="1"/>
        <v>105</v>
      </c>
      <c r="T4" s="23">
        <f>(U4+S4)/2</f>
        <v>109</v>
      </c>
      <c r="U4" s="23">
        <f t="shared" si="2"/>
        <v>113</v>
      </c>
      <c r="V4" s="23">
        <f t="shared" si="3"/>
        <v>119</v>
      </c>
      <c r="W4" s="18" t="s">
        <v>19</v>
      </c>
      <c r="X4" s="18" t="s">
        <v>20</v>
      </c>
      <c r="Y4" s="18" t="s">
        <v>21</v>
      </c>
      <c r="Z4" s="18" t="s">
        <v>22</v>
      </c>
      <c r="AA4" s="18" t="s">
        <v>14</v>
      </c>
      <c r="AB4" s="18" t="s">
        <v>15</v>
      </c>
      <c r="AC4" s="18" t="s">
        <v>16</v>
      </c>
      <c r="AD4" s="18"/>
      <c r="AE4" s="2">
        <v>0</v>
      </c>
      <c r="AF4" s="2"/>
    </row>
    <row r="5" spans="1:32" x14ac:dyDescent="0.2">
      <c r="A5" s="18" t="s">
        <v>14</v>
      </c>
      <c r="B5" s="18" t="s">
        <v>15</v>
      </c>
      <c r="C5" s="18" t="s">
        <v>16</v>
      </c>
      <c r="D5" s="18" t="s">
        <v>709</v>
      </c>
      <c r="E5" s="18" t="s">
        <v>24</v>
      </c>
      <c r="F5" s="18">
        <v>2</v>
      </c>
      <c r="G5" s="18" t="s">
        <v>27</v>
      </c>
      <c r="H5" s="18" t="s">
        <v>19</v>
      </c>
      <c r="I5" s="18" t="s">
        <v>20</v>
      </c>
      <c r="J5" s="19" t="s">
        <v>713</v>
      </c>
      <c r="K5" s="18" t="s">
        <v>21</v>
      </c>
      <c r="L5" s="18" t="s">
        <v>22</v>
      </c>
      <c r="M5" s="18" t="s">
        <v>23</v>
      </c>
      <c r="N5" s="19">
        <v>4</v>
      </c>
      <c r="O5" s="29">
        <v>45765</v>
      </c>
      <c r="P5" s="29">
        <v>45770</v>
      </c>
      <c r="Q5" s="29">
        <v>45772</v>
      </c>
      <c r="R5" s="29">
        <v>45779</v>
      </c>
      <c r="S5" s="23">
        <f t="shared" si="1"/>
        <v>108</v>
      </c>
      <c r="T5" s="23">
        <f t="shared" ref="T5:T66" si="4">P5-DATE(YEAR(P5),1,1)+1</f>
        <v>113</v>
      </c>
      <c r="U5" s="23">
        <f t="shared" si="2"/>
        <v>115</v>
      </c>
      <c r="V5" s="23">
        <f t="shared" si="3"/>
        <v>122</v>
      </c>
      <c r="W5" s="18" t="s">
        <v>19</v>
      </c>
      <c r="X5" s="18" t="s">
        <v>20</v>
      </c>
      <c r="Y5" s="18" t="s">
        <v>21</v>
      </c>
      <c r="Z5" s="18" t="s">
        <v>22</v>
      </c>
      <c r="AA5" s="18" t="s">
        <v>14</v>
      </c>
      <c r="AB5" s="18" t="s">
        <v>15</v>
      </c>
      <c r="AC5" s="18" t="s">
        <v>16</v>
      </c>
      <c r="AD5" s="18"/>
      <c r="AE5" s="2">
        <v>0</v>
      </c>
      <c r="AF5" s="2"/>
    </row>
    <row r="6" spans="1:32" x14ac:dyDescent="0.2">
      <c r="A6" s="18" t="s">
        <v>14</v>
      </c>
      <c r="B6" s="18" t="s">
        <v>15</v>
      </c>
      <c r="C6" s="18" t="s">
        <v>16</v>
      </c>
      <c r="D6" s="18" t="s">
        <v>709</v>
      </c>
      <c r="E6" s="18" t="s">
        <v>17</v>
      </c>
      <c r="F6" s="18">
        <v>3</v>
      </c>
      <c r="G6" s="18" t="s">
        <v>28</v>
      </c>
      <c r="H6" s="18" t="s">
        <v>19</v>
      </c>
      <c r="I6" s="18" t="s">
        <v>20</v>
      </c>
      <c r="J6" s="19" t="s">
        <v>714</v>
      </c>
      <c r="K6" s="18" t="s">
        <v>21</v>
      </c>
      <c r="L6" s="18" t="s">
        <v>22</v>
      </c>
      <c r="M6" s="18" t="s">
        <v>23</v>
      </c>
      <c r="N6" s="19">
        <v>5</v>
      </c>
      <c r="O6" s="29">
        <v>45762</v>
      </c>
      <c r="P6" s="29">
        <v>45765</v>
      </c>
      <c r="Q6" s="29">
        <v>45770</v>
      </c>
      <c r="R6" s="29">
        <v>45776</v>
      </c>
      <c r="S6" s="23">
        <f t="shared" si="1"/>
        <v>105</v>
      </c>
      <c r="T6" s="23">
        <f t="shared" si="4"/>
        <v>108</v>
      </c>
      <c r="U6" s="23">
        <f t="shared" si="2"/>
        <v>113</v>
      </c>
      <c r="V6" s="23">
        <f t="shared" si="3"/>
        <v>119</v>
      </c>
      <c r="W6" s="18" t="s">
        <v>19</v>
      </c>
      <c r="X6" s="18" t="s">
        <v>20</v>
      </c>
      <c r="Y6" s="18" t="s">
        <v>21</v>
      </c>
      <c r="Z6" s="18" t="s">
        <v>22</v>
      </c>
      <c r="AA6" s="18" t="s">
        <v>14</v>
      </c>
      <c r="AB6" s="18" t="s">
        <v>15</v>
      </c>
      <c r="AC6" s="18" t="s">
        <v>16</v>
      </c>
      <c r="AD6" s="18"/>
      <c r="AE6" s="2">
        <v>0</v>
      </c>
      <c r="AF6" s="2"/>
    </row>
    <row r="7" spans="1:32" x14ac:dyDescent="0.2">
      <c r="A7" s="18" t="s">
        <v>14</v>
      </c>
      <c r="B7" s="18" t="s">
        <v>15</v>
      </c>
      <c r="C7" s="18" t="s">
        <v>16</v>
      </c>
      <c r="D7" s="18" t="s">
        <v>709</v>
      </c>
      <c r="E7" s="18" t="s">
        <v>24</v>
      </c>
      <c r="F7" s="18">
        <v>3</v>
      </c>
      <c r="G7" s="18" t="s">
        <v>29</v>
      </c>
      <c r="H7" s="18" t="s">
        <v>19</v>
      </c>
      <c r="I7" s="18" t="s">
        <v>20</v>
      </c>
      <c r="J7" s="19" t="s">
        <v>715</v>
      </c>
      <c r="K7" s="18" t="s">
        <v>21</v>
      </c>
      <c r="L7" s="18" t="s">
        <v>22</v>
      </c>
      <c r="M7" s="18" t="s">
        <v>23</v>
      </c>
      <c r="N7" s="19">
        <v>6</v>
      </c>
      <c r="O7" s="29">
        <v>45765</v>
      </c>
      <c r="P7" s="29">
        <v>45770</v>
      </c>
      <c r="Q7" s="29">
        <v>45776</v>
      </c>
      <c r="R7" s="29">
        <v>45779</v>
      </c>
      <c r="S7" s="23">
        <f t="shared" si="1"/>
        <v>108</v>
      </c>
      <c r="T7" s="23">
        <f t="shared" si="4"/>
        <v>113</v>
      </c>
      <c r="U7" s="23">
        <f t="shared" si="2"/>
        <v>119</v>
      </c>
      <c r="V7" s="23">
        <f t="shared" si="3"/>
        <v>122</v>
      </c>
      <c r="W7" s="18" t="s">
        <v>19</v>
      </c>
      <c r="X7" s="18" t="s">
        <v>20</v>
      </c>
      <c r="Y7" s="18" t="s">
        <v>21</v>
      </c>
      <c r="Z7" s="18" t="s">
        <v>22</v>
      </c>
      <c r="AA7" s="18" t="s">
        <v>14</v>
      </c>
      <c r="AB7" s="18" t="s">
        <v>15</v>
      </c>
      <c r="AC7" s="18" t="s">
        <v>16</v>
      </c>
      <c r="AD7" s="18"/>
      <c r="AE7" s="2">
        <v>0</v>
      </c>
      <c r="AF7" s="2"/>
    </row>
    <row r="8" spans="1:32" x14ac:dyDescent="0.2">
      <c r="A8" s="18" t="s">
        <v>14</v>
      </c>
      <c r="B8" s="18" t="s">
        <v>15</v>
      </c>
      <c r="C8" s="18" t="s">
        <v>16</v>
      </c>
      <c r="D8" s="18" t="s">
        <v>709</v>
      </c>
      <c r="E8" s="18" t="s">
        <v>17</v>
      </c>
      <c r="F8" s="18">
        <v>4</v>
      </c>
      <c r="G8" s="18" t="s">
        <v>30</v>
      </c>
      <c r="H8" s="18" t="s">
        <v>19</v>
      </c>
      <c r="I8" s="18" t="s">
        <v>20</v>
      </c>
      <c r="J8" s="19" t="s">
        <v>716</v>
      </c>
      <c r="K8" s="18" t="s">
        <v>21</v>
      </c>
      <c r="L8" s="18" t="s">
        <v>22</v>
      </c>
      <c r="M8" s="18" t="s">
        <v>23</v>
      </c>
      <c r="N8" s="19">
        <v>7</v>
      </c>
      <c r="O8" s="29">
        <v>45762</v>
      </c>
      <c r="P8" s="29">
        <v>45770</v>
      </c>
      <c r="Q8" s="29">
        <v>45776</v>
      </c>
      <c r="R8" s="29">
        <v>45779</v>
      </c>
      <c r="S8" s="23">
        <f t="shared" si="1"/>
        <v>105</v>
      </c>
      <c r="T8" s="23">
        <f t="shared" si="4"/>
        <v>113</v>
      </c>
      <c r="U8" s="23">
        <f t="shared" si="2"/>
        <v>119</v>
      </c>
      <c r="V8" s="23">
        <f t="shared" si="3"/>
        <v>122</v>
      </c>
      <c r="W8" s="18" t="s">
        <v>19</v>
      </c>
      <c r="X8" s="18" t="s">
        <v>20</v>
      </c>
      <c r="Y8" s="18" t="s">
        <v>21</v>
      </c>
      <c r="Z8" s="18" t="s">
        <v>22</v>
      </c>
      <c r="AA8" s="18" t="s">
        <v>14</v>
      </c>
      <c r="AB8" s="18" t="s">
        <v>15</v>
      </c>
      <c r="AC8" s="18" t="s">
        <v>16</v>
      </c>
      <c r="AD8" s="18"/>
      <c r="AE8" s="2">
        <v>0</v>
      </c>
      <c r="AF8" s="2"/>
    </row>
    <row r="9" spans="1:32" x14ac:dyDescent="0.2">
      <c r="A9" s="18" t="s">
        <v>14</v>
      </c>
      <c r="B9" s="18" t="s">
        <v>15</v>
      </c>
      <c r="C9" s="18" t="s">
        <v>16</v>
      </c>
      <c r="D9" s="18" t="s">
        <v>709</v>
      </c>
      <c r="E9" s="18" t="s">
        <v>24</v>
      </c>
      <c r="F9" s="18">
        <v>4</v>
      </c>
      <c r="G9" s="18" t="s">
        <v>31</v>
      </c>
      <c r="H9" s="18" t="s">
        <v>19</v>
      </c>
      <c r="I9" s="18" t="s">
        <v>20</v>
      </c>
      <c r="J9" s="19" t="s">
        <v>717</v>
      </c>
      <c r="K9" s="18" t="s">
        <v>21</v>
      </c>
      <c r="L9" s="18" t="s">
        <v>22</v>
      </c>
      <c r="M9" s="18" t="s">
        <v>23</v>
      </c>
      <c r="N9" s="19">
        <v>8</v>
      </c>
      <c r="O9" s="29">
        <v>45762</v>
      </c>
      <c r="P9" s="2"/>
      <c r="Q9" s="29">
        <v>45770</v>
      </c>
      <c r="R9" s="29">
        <v>45776</v>
      </c>
      <c r="S9" s="23">
        <f t="shared" si="1"/>
        <v>105</v>
      </c>
      <c r="T9" s="23">
        <f>(U9+S9)/2</f>
        <v>109</v>
      </c>
      <c r="U9" s="23">
        <f t="shared" si="2"/>
        <v>113</v>
      </c>
      <c r="V9" s="23">
        <f t="shared" si="3"/>
        <v>119</v>
      </c>
      <c r="W9" s="18" t="s">
        <v>19</v>
      </c>
      <c r="X9" s="18" t="s">
        <v>20</v>
      </c>
      <c r="Y9" s="18" t="s">
        <v>21</v>
      </c>
      <c r="Z9" s="18" t="s">
        <v>22</v>
      </c>
      <c r="AA9" s="18" t="s">
        <v>14</v>
      </c>
      <c r="AB9" s="18" t="s">
        <v>15</v>
      </c>
      <c r="AC9" s="18" t="s">
        <v>16</v>
      </c>
      <c r="AD9" s="18"/>
      <c r="AE9" s="2">
        <v>0</v>
      </c>
      <c r="AF9" s="2"/>
    </row>
    <row r="10" spans="1:32" x14ac:dyDescent="0.2">
      <c r="A10" s="14" t="s">
        <v>14</v>
      </c>
      <c r="B10" s="14" t="s">
        <v>15</v>
      </c>
      <c r="C10" s="14" t="s">
        <v>32</v>
      </c>
      <c r="D10" s="14" t="s">
        <v>718</v>
      </c>
      <c r="E10" s="14" t="s">
        <v>17</v>
      </c>
      <c r="F10" s="14">
        <v>1</v>
      </c>
      <c r="G10" s="14" t="s">
        <v>33</v>
      </c>
      <c r="H10" s="14" t="s">
        <v>19</v>
      </c>
      <c r="I10" s="14" t="s">
        <v>20</v>
      </c>
      <c r="J10" s="13" t="s">
        <v>719</v>
      </c>
      <c r="K10" s="14" t="s">
        <v>21</v>
      </c>
      <c r="L10" s="14" t="s">
        <v>22</v>
      </c>
      <c r="M10" s="14" t="s">
        <v>23</v>
      </c>
      <c r="N10" s="13">
        <v>9</v>
      </c>
      <c r="O10" s="30">
        <v>45762</v>
      </c>
      <c r="P10" s="1"/>
      <c r="Q10" s="30">
        <v>45770</v>
      </c>
      <c r="R10" s="30">
        <v>45776</v>
      </c>
      <c r="S10" s="23">
        <f t="shared" si="1"/>
        <v>105</v>
      </c>
      <c r="T10" s="23">
        <f>(U10+S10)/2</f>
        <v>109</v>
      </c>
      <c r="U10" s="23">
        <f t="shared" si="2"/>
        <v>113</v>
      </c>
      <c r="V10" s="23">
        <f t="shared" si="3"/>
        <v>119</v>
      </c>
      <c r="W10" s="14" t="s">
        <v>19</v>
      </c>
      <c r="X10" s="14" t="s">
        <v>20</v>
      </c>
      <c r="Y10" s="14" t="s">
        <v>21</v>
      </c>
      <c r="Z10" s="14" t="s">
        <v>22</v>
      </c>
      <c r="AA10" s="14" t="s">
        <v>14</v>
      </c>
      <c r="AB10" s="14" t="s">
        <v>15</v>
      </c>
      <c r="AC10" s="14" t="s">
        <v>32</v>
      </c>
      <c r="AD10" s="14"/>
      <c r="AE10" s="1">
        <v>0</v>
      </c>
      <c r="AF10" s="1"/>
    </row>
    <row r="11" spans="1:32" x14ac:dyDescent="0.2">
      <c r="A11" s="14" t="s">
        <v>14</v>
      </c>
      <c r="B11" s="14" t="s">
        <v>15</v>
      </c>
      <c r="C11" s="14" t="s">
        <v>32</v>
      </c>
      <c r="D11" s="14" t="s">
        <v>718</v>
      </c>
      <c r="E11" s="14" t="s">
        <v>24</v>
      </c>
      <c r="F11" s="14">
        <v>1</v>
      </c>
      <c r="G11" s="14" t="s">
        <v>34</v>
      </c>
      <c r="H11" s="14" t="s">
        <v>35</v>
      </c>
      <c r="I11" s="14" t="s">
        <v>20</v>
      </c>
      <c r="J11" s="13" t="s">
        <v>720</v>
      </c>
      <c r="K11" s="14" t="s">
        <v>21</v>
      </c>
      <c r="L11" s="14" t="s">
        <v>22</v>
      </c>
      <c r="M11" s="14" t="s">
        <v>23</v>
      </c>
      <c r="N11" s="13">
        <v>10</v>
      </c>
      <c r="O11" s="30">
        <v>45762</v>
      </c>
      <c r="P11" s="30">
        <v>45770</v>
      </c>
      <c r="Q11" s="1"/>
      <c r="R11" s="30">
        <v>45779</v>
      </c>
      <c r="S11" s="23">
        <f t="shared" si="1"/>
        <v>105</v>
      </c>
      <c r="T11" s="23">
        <f t="shared" si="4"/>
        <v>113</v>
      </c>
      <c r="U11" s="23">
        <f>(V11+T11)/2</f>
        <v>117.5</v>
      </c>
      <c r="V11" s="23">
        <f t="shared" si="3"/>
        <v>122</v>
      </c>
      <c r="W11" s="14" t="s">
        <v>35</v>
      </c>
      <c r="X11" s="14" t="s">
        <v>20</v>
      </c>
      <c r="Y11" s="14" t="s">
        <v>21</v>
      </c>
      <c r="Z11" s="14" t="s">
        <v>22</v>
      </c>
      <c r="AA11" s="14" t="s">
        <v>14</v>
      </c>
      <c r="AB11" s="14" t="s">
        <v>15</v>
      </c>
      <c r="AC11" s="14" t="s">
        <v>32</v>
      </c>
      <c r="AD11" s="14"/>
      <c r="AE11" s="1">
        <v>0</v>
      </c>
      <c r="AF11" s="1"/>
    </row>
    <row r="12" spans="1:32" x14ac:dyDescent="0.2">
      <c r="A12" s="14" t="s">
        <v>14</v>
      </c>
      <c r="B12" s="14" t="s">
        <v>15</v>
      </c>
      <c r="C12" s="14" t="s">
        <v>32</v>
      </c>
      <c r="D12" s="14" t="s">
        <v>718</v>
      </c>
      <c r="E12" s="14" t="s">
        <v>17</v>
      </c>
      <c r="F12" s="14">
        <v>2</v>
      </c>
      <c r="G12" s="14" t="s">
        <v>36</v>
      </c>
      <c r="H12" s="14" t="s">
        <v>35</v>
      </c>
      <c r="I12" s="14" t="s">
        <v>20</v>
      </c>
      <c r="J12" s="13" t="s">
        <v>721</v>
      </c>
      <c r="K12" s="14" t="s">
        <v>21</v>
      </c>
      <c r="L12" s="14" t="s">
        <v>22</v>
      </c>
      <c r="M12" s="14" t="s">
        <v>23</v>
      </c>
      <c r="N12" s="13">
        <v>11</v>
      </c>
      <c r="O12" s="30">
        <v>45770</v>
      </c>
      <c r="P12" s="30">
        <v>45772</v>
      </c>
      <c r="Q12" s="30">
        <v>45783</v>
      </c>
      <c r="R12" s="30">
        <v>45790</v>
      </c>
      <c r="S12" s="23">
        <f t="shared" si="1"/>
        <v>113</v>
      </c>
      <c r="T12" s="23">
        <f t="shared" si="4"/>
        <v>115</v>
      </c>
      <c r="U12" s="23">
        <f t="shared" si="2"/>
        <v>126</v>
      </c>
      <c r="V12" s="23">
        <f t="shared" si="3"/>
        <v>133</v>
      </c>
      <c r="W12" s="14" t="s">
        <v>35</v>
      </c>
      <c r="X12" s="14" t="s">
        <v>20</v>
      </c>
      <c r="Y12" s="14" t="s">
        <v>21</v>
      </c>
      <c r="Z12" s="14" t="s">
        <v>22</v>
      </c>
      <c r="AA12" s="14" t="s">
        <v>14</v>
      </c>
      <c r="AB12" s="14" t="s">
        <v>15</v>
      </c>
      <c r="AC12" s="14" t="s">
        <v>32</v>
      </c>
      <c r="AD12" s="14"/>
      <c r="AE12" s="1">
        <v>0</v>
      </c>
      <c r="AF12" s="1"/>
    </row>
    <row r="13" spans="1:32" x14ac:dyDescent="0.2">
      <c r="A13" s="14" t="s">
        <v>14</v>
      </c>
      <c r="B13" s="14" t="s">
        <v>15</v>
      </c>
      <c r="C13" s="14" t="s">
        <v>32</v>
      </c>
      <c r="D13" s="14" t="s">
        <v>718</v>
      </c>
      <c r="E13" s="14" t="s">
        <v>24</v>
      </c>
      <c r="F13" s="14">
        <v>2</v>
      </c>
      <c r="G13" s="14" t="s">
        <v>37</v>
      </c>
      <c r="H13" s="14" t="s">
        <v>19</v>
      </c>
      <c r="I13" s="14" t="s">
        <v>20</v>
      </c>
      <c r="J13" s="13" t="s">
        <v>722</v>
      </c>
      <c r="K13" s="14" t="s">
        <v>21</v>
      </c>
      <c r="L13" s="14" t="s">
        <v>22</v>
      </c>
      <c r="M13" s="14" t="s">
        <v>23</v>
      </c>
      <c r="N13" s="13">
        <v>12</v>
      </c>
      <c r="O13" s="30">
        <v>45762</v>
      </c>
      <c r="P13" s="30">
        <v>45770</v>
      </c>
      <c r="Q13" s="30">
        <v>45776</v>
      </c>
      <c r="R13" s="30">
        <v>45779</v>
      </c>
      <c r="S13" s="23">
        <f t="shared" si="1"/>
        <v>105</v>
      </c>
      <c r="T13" s="23">
        <f t="shared" si="4"/>
        <v>113</v>
      </c>
      <c r="U13" s="23">
        <f t="shared" si="2"/>
        <v>119</v>
      </c>
      <c r="V13" s="23">
        <f t="shared" si="3"/>
        <v>122</v>
      </c>
      <c r="W13" s="14" t="s">
        <v>19</v>
      </c>
      <c r="X13" s="14" t="s">
        <v>20</v>
      </c>
      <c r="Y13" s="14" t="s">
        <v>21</v>
      </c>
      <c r="Z13" s="14" t="s">
        <v>22</v>
      </c>
      <c r="AA13" s="14" t="s">
        <v>14</v>
      </c>
      <c r="AB13" s="14" t="s">
        <v>15</v>
      </c>
      <c r="AC13" s="14" t="s">
        <v>32</v>
      </c>
      <c r="AD13" s="14"/>
      <c r="AE13" s="1">
        <v>0</v>
      </c>
      <c r="AF13" s="1"/>
    </row>
    <row r="14" spans="1:32" x14ac:dyDescent="0.2">
      <c r="A14" s="14" t="s">
        <v>14</v>
      </c>
      <c r="B14" s="14" t="s">
        <v>15</v>
      </c>
      <c r="C14" s="14" t="s">
        <v>32</v>
      </c>
      <c r="D14" s="14" t="s">
        <v>718</v>
      </c>
      <c r="E14" s="14" t="s">
        <v>17</v>
      </c>
      <c r="F14" s="14">
        <v>3</v>
      </c>
      <c r="G14" s="14" t="s">
        <v>38</v>
      </c>
      <c r="H14" s="14" t="s">
        <v>19</v>
      </c>
      <c r="I14" s="14" t="s">
        <v>20</v>
      </c>
      <c r="J14" s="13" t="s">
        <v>723</v>
      </c>
      <c r="K14" s="14" t="s">
        <v>21</v>
      </c>
      <c r="L14" s="14" t="s">
        <v>22</v>
      </c>
      <c r="M14" s="14" t="s">
        <v>23</v>
      </c>
      <c r="N14" s="13">
        <v>13</v>
      </c>
      <c r="O14" s="30">
        <v>45762</v>
      </c>
      <c r="P14" s="30">
        <v>45765</v>
      </c>
      <c r="Q14" s="30">
        <v>45772</v>
      </c>
      <c r="R14" s="30">
        <v>45779</v>
      </c>
      <c r="S14" s="23">
        <f t="shared" si="1"/>
        <v>105</v>
      </c>
      <c r="T14" s="23">
        <f t="shared" si="4"/>
        <v>108</v>
      </c>
      <c r="U14" s="23">
        <f t="shared" si="2"/>
        <v>115</v>
      </c>
      <c r="V14" s="23">
        <f t="shared" si="3"/>
        <v>122</v>
      </c>
      <c r="W14" s="14" t="s">
        <v>19</v>
      </c>
      <c r="X14" s="14" t="s">
        <v>20</v>
      </c>
      <c r="Y14" s="14" t="s">
        <v>21</v>
      </c>
      <c r="Z14" s="14" t="s">
        <v>22</v>
      </c>
      <c r="AA14" s="14" t="s">
        <v>14</v>
      </c>
      <c r="AB14" s="14" t="s">
        <v>15</v>
      </c>
      <c r="AC14" s="14" t="s">
        <v>32</v>
      </c>
      <c r="AD14" s="14"/>
      <c r="AE14" s="1">
        <v>0</v>
      </c>
      <c r="AF14" s="1"/>
    </row>
    <row r="15" spans="1:32" x14ac:dyDescent="0.2">
      <c r="A15" s="14" t="s">
        <v>14</v>
      </c>
      <c r="B15" s="14" t="s">
        <v>15</v>
      </c>
      <c r="C15" s="14" t="s">
        <v>32</v>
      </c>
      <c r="D15" s="14" t="s">
        <v>718</v>
      </c>
      <c r="E15" s="14" t="s">
        <v>24</v>
      </c>
      <c r="F15" s="14">
        <v>3</v>
      </c>
      <c r="G15" s="14" t="s">
        <v>39</v>
      </c>
      <c r="H15" s="14" t="s">
        <v>35</v>
      </c>
      <c r="I15" s="14" t="s">
        <v>20</v>
      </c>
      <c r="J15" s="13" t="s">
        <v>724</v>
      </c>
      <c r="K15" s="14" t="s">
        <v>21</v>
      </c>
      <c r="L15" s="14" t="s">
        <v>22</v>
      </c>
      <c r="M15" s="14" t="s">
        <v>23</v>
      </c>
      <c r="N15" s="13">
        <v>14</v>
      </c>
      <c r="O15" s="30">
        <v>45770</v>
      </c>
      <c r="P15" s="1"/>
      <c r="Q15" s="30">
        <v>45779</v>
      </c>
      <c r="R15" s="30">
        <v>45783</v>
      </c>
      <c r="S15" s="23">
        <f t="shared" si="1"/>
        <v>113</v>
      </c>
      <c r="T15" s="23">
        <f>(U15+S15)/2</f>
        <v>117.5</v>
      </c>
      <c r="U15" s="23">
        <f t="shared" si="2"/>
        <v>122</v>
      </c>
      <c r="V15" s="23">
        <f t="shared" si="3"/>
        <v>126</v>
      </c>
      <c r="W15" s="14" t="s">
        <v>35</v>
      </c>
      <c r="X15" s="14" t="s">
        <v>20</v>
      </c>
      <c r="Y15" s="14" t="s">
        <v>21</v>
      </c>
      <c r="Z15" s="14" t="s">
        <v>22</v>
      </c>
      <c r="AA15" s="14" t="s">
        <v>14</v>
      </c>
      <c r="AB15" s="14" t="s">
        <v>15</v>
      </c>
      <c r="AC15" s="14" t="s">
        <v>32</v>
      </c>
      <c r="AD15" s="14"/>
      <c r="AE15" s="1">
        <v>0</v>
      </c>
      <c r="AF15" s="1"/>
    </row>
    <row r="16" spans="1:32" x14ac:dyDescent="0.2">
      <c r="A16" s="14" t="s">
        <v>14</v>
      </c>
      <c r="B16" s="14" t="s">
        <v>15</v>
      </c>
      <c r="C16" s="14" t="s">
        <v>32</v>
      </c>
      <c r="D16" s="14" t="s">
        <v>718</v>
      </c>
      <c r="E16" s="14" t="s">
        <v>17</v>
      </c>
      <c r="F16" s="14">
        <v>4</v>
      </c>
      <c r="G16" s="14" t="s">
        <v>40</v>
      </c>
      <c r="H16" s="14" t="s">
        <v>35</v>
      </c>
      <c r="I16" s="14" t="s">
        <v>20</v>
      </c>
      <c r="J16" s="13" t="s">
        <v>725</v>
      </c>
      <c r="K16" s="14" t="s">
        <v>21</v>
      </c>
      <c r="L16" s="14" t="s">
        <v>22</v>
      </c>
      <c r="M16" s="14" t="s">
        <v>23</v>
      </c>
      <c r="N16" s="13">
        <v>15</v>
      </c>
      <c r="O16" s="30">
        <v>45755</v>
      </c>
      <c r="P16" s="30">
        <v>45762</v>
      </c>
      <c r="Q16" s="1"/>
      <c r="R16" s="30">
        <v>45779</v>
      </c>
      <c r="S16" s="23">
        <f t="shared" si="1"/>
        <v>98</v>
      </c>
      <c r="T16" s="23">
        <f t="shared" si="4"/>
        <v>105</v>
      </c>
      <c r="U16" s="23">
        <f>(V16+T16)/2</f>
        <v>113.5</v>
      </c>
      <c r="V16" s="23">
        <f t="shared" si="3"/>
        <v>122</v>
      </c>
      <c r="W16" s="14" t="s">
        <v>35</v>
      </c>
      <c r="X16" s="14" t="s">
        <v>20</v>
      </c>
      <c r="Y16" s="14" t="s">
        <v>21</v>
      </c>
      <c r="Z16" s="14" t="s">
        <v>22</v>
      </c>
      <c r="AA16" s="14" t="s">
        <v>14</v>
      </c>
      <c r="AB16" s="14" t="s">
        <v>15</v>
      </c>
      <c r="AC16" s="14" t="s">
        <v>32</v>
      </c>
      <c r="AD16" s="14"/>
      <c r="AE16" s="1">
        <v>0</v>
      </c>
      <c r="AF16" s="1"/>
    </row>
    <row r="17" spans="1:32" x14ac:dyDescent="0.2">
      <c r="A17" s="14" t="s">
        <v>14</v>
      </c>
      <c r="B17" s="14" t="s">
        <v>15</v>
      </c>
      <c r="C17" s="14" t="s">
        <v>32</v>
      </c>
      <c r="D17" s="14" t="s">
        <v>718</v>
      </c>
      <c r="E17" s="14" t="s">
        <v>24</v>
      </c>
      <c r="F17" s="14">
        <v>4</v>
      </c>
      <c r="G17" s="14" t="s">
        <v>41</v>
      </c>
      <c r="H17" s="14" t="s">
        <v>19</v>
      </c>
      <c r="I17" s="14" t="s">
        <v>20</v>
      </c>
      <c r="J17" s="13" t="s">
        <v>726</v>
      </c>
      <c r="K17" s="14" t="s">
        <v>21</v>
      </c>
      <c r="L17" s="14" t="s">
        <v>22</v>
      </c>
      <c r="M17" s="14" t="s">
        <v>23</v>
      </c>
      <c r="N17" s="13">
        <v>16</v>
      </c>
      <c r="O17" s="30">
        <v>45762</v>
      </c>
      <c r="P17" s="30">
        <v>45765</v>
      </c>
      <c r="Q17" s="30">
        <v>45770</v>
      </c>
      <c r="R17" s="30">
        <v>45776</v>
      </c>
      <c r="S17" s="23">
        <f t="shared" si="1"/>
        <v>105</v>
      </c>
      <c r="T17" s="23">
        <f t="shared" si="4"/>
        <v>108</v>
      </c>
      <c r="U17" s="23">
        <f t="shared" si="2"/>
        <v>113</v>
      </c>
      <c r="V17" s="23">
        <f t="shared" si="3"/>
        <v>119</v>
      </c>
      <c r="W17" s="14" t="s">
        <v>19</v>
      </c>
      <c r="X17" s="14" t="s">
        <v>20</v>
      </c>
      <c r="Y17" s="14" t="s">
        <v>21</v>
      </c>
      <c r="Z17" s="14" t="s">
        <v>22</v>
      </c>
      <c r="AA17" s="14" t="s">
        <v>14</v>
      </c>
      <c r="AB17" s="14" t="s">
        <v>15</v>
      </c>
      <c r="AC17" s="14" t="s">
        <v>32</v>
      </c>
      <c r="AD17" s="14"/>
      <c r="AE17" s="1">
        <v>0</v>
      </c>
      <c r="AF17" s="1"/>
    </row>
    <row r="18" spans="1:32" x14ac:dyDescent="0.2">
      <c r="A18" s="18" t="s">
        <v>14</v>
      </c>
      <c r="B18" s="18" t="s">
        <v>15</v>
      </c>
      <c r="C18" s="18" t="s">
        <v>42</v>
      </c>
      <c r="D18" s="18" t="s">
        <v>727</v>
      </c>
      <c r="E18" s="18" t="s">
        <v>17</v>
      </c>
      <c r="F18" s="18">
        <v>1</v>
      </c>
      <c r="G18" s="18" t="s">
        <v>43</v>
      </c>
      <c r="H18" s="18" t="s">
        <v>19</v>
      </c>
      <c r="I18" s="18" t="s">
        <v>20</v>
      </c>
      <c r="J18" s="19" t="s">
        <v>728</v>
      </c>
      <c r="K18" s="18" t="s">
        <v>21</v>
      </c>
      <c r="L18" s="18" t="s">
        <v>44</v>
      </c>
      <c r="M18" s="18" t="s">
        <v>45</v>
      </c>
      <c r="N18" s="19">
        <v>17</v>
      </c>
      <c r="O18" s="29">
        <v>45762</v>
      </c>
      <c r="P18" s="29">
        <v>45765</v>
      </c>
      <c r="Q18" s="29">
        <v>45770</v>
      </c>
      <c r="R18" s="29">
        <v>45776</v>
      </c>
      <c r="S18" s="23">
        <f t="shared" si="1"/>
        <v>105</v>
      </c>
      <c r="T18" s="23">
        <f t="shared" si="4"/>
        <v>108</v>
      </c>
      <c r="U18" s="23">
        <f t="shared" si="2"/>
        <v>113</v>
      </c>
      <c r="V18" s="23">
        <f t="shared" si="3"/>
        <v>119</v>
      </c>
      <c r="W18" s="18" t="s">
        <v>19</v>
      </c>
      <c r="X18" s="18" t="s">
        <v>20</v>
      </c>
      <c r="Y18" s="18" t="s">
        <v>21</v>
      </c>
      <c r="Z18" s="18" t="s">
        <v>44</v>
      </c>
      <c r="AA18" s="18" t="s">
        <v>14</v>
      </c>
      <c r="AB18" s="18" t="s">
        <v>15</v>
      </c>
      <c r="AC18" s="18" t="s">
        <v>42</v>
      </c>
      <c r="AD18" s="18"/>
      <c r="AE18" s="2">
        <v>0</v>
      </c>
      <c r="AF18" s="2"/>
    </row>
    <row r="19" spans="1:32" x14ac:dyDescent="0.2">
      <c r="A19" s="18" t="s">
        <v>14</v>
      </c>
      <c r="B19" s="18" t="s">
        <v>15</v>
      </c>
      <c r="C19" s="18" t="s">
        <v>42</v>
      </c>
      <c r="D19" s="18" t="s">
        <v>727</v>
      </c>
      <c r="E19" s="18" t="s">
        <v>24</v>
      </c>
      <c r="F19" s="18">
        <v>1</v>
      </c>
      <c r="G19" s="18" t="s">
        <v>46</v>
      </c>
      <c r="H19" s="18" t="s">
        <v>35</v>
      </c>
      <c r="I19" s="18" t="s">
        <v>20</v>
      </c>
      <c r="J19" s="19" t="s">
        <v>729</v>
      </c>
      <c r="K19" s="18" t="s">
        <v>21</v>
      </c>
      <c r="L19" s="18" t="s">
        <v>44</v>
      </c>
      <c r="M19" s="18" t="s">
        <v>45</v>
      </c>
      <c r="N19" s="19">
        <v>18</v>
      </c>
      <c r="O19" s="29">
        <v>45762</v>
      </c>
      <c r="P19" s="29">
        <v>45765</v>
      </c>
      <c r="Q19" s="29">
        <v>45783</v>
      </c>
      <c r="R19" s="29">
        <v>45790</v>
      </c>
      <c r="S19" s="23">
        <f t="shared" si="1"/>
        <v>105</v>
      </c>
      <c r="T19" s="23">
        <f t="shared" si="4"/>
        <v>108</v>
      </c>
      <c r="U19" s="23">
        <f t="shared" si="2"/>
        <v>126</v>
      </c>
      <c r="V19" s="23">
        <f t="shared" si="3"/>
        <v>133</v>
      </c>
      <c r="W19" s="18" t="s">
        <v>35</v>
      </c>
      <c r="X19" s="18" t="s">
        <v>20</v>
      </c>
      <c r="Y19" s="18" t="s">
        <v>21</v>
      </c>
      <c r="Z19" s="18" t="s">
        <v>44</v>
      </c>
      <c r="AA19" s="18" t="s">
        <v>14</v>
      </c>
      <c r="AB19" s="18" t="s">
        <v>15</v>
      </c>
      <c r="AC19" s="18" t="s">
        <v>42</v>
      </c>
      <c r="AD19" s="18"/>
      <c r="AE19" s="2">
        <v>0</v>
      </c>
      <c r="AF19" s="2"/>
    </row>
    <row r="20" spans="1:32" x14ac:dyDescent="0.2">
      <c r="A20" s="18" t="s">
        <v>14</v>
      </c>
      <c r="B20" s="18" t="s">
        <v>15</v>
      </c>
      <c r="C20" s="18" t="s">
        <v>42</v>
      </c>
      <c r="D20" s="18" t="s">
        <v>727</v>
      </c>
      <c r="E20" s="18" t="s">
        <v>17</v>
      </c>
      <c r="F20" s="18">
        <v>2</v>
      </c>
      <c r="G20" s="18" t="s">
        <v>47</v>
      </c>
      <c r="H20" s="18" t="s">
        <v>35</v>
      </c>
      <c r="I20" s="18" t="s">
        <v>20</v>
      </c>
      <c r="J20" s="19" t="s">
        <v>730</v>
      </c>
      <c r="K20" s="18" t="s">
        <v>21</v>
      </c>
      <c r="L20" s="18" t="s">
        <v>44</v>
      </c>
      <c r="M20" s="18" t="s">
        <v>45</v>
      </c>
      <c r="N20" s="19">
        <v>19</v>
      </c>
      <c r="O20" s="29">
        <v>45762</v>
      </c>
      <c r="P20" s="29">
        <v>45770</v>
      </c>
      <c r="Q20" s="2"/>
      <c r="R20" s="29">
        <v>45779</v>
      </c>
      <c r="S20" s="23">
        <f t="shared" si="1"/>
        <v>105</v>
      </c>
      <c r="T20" s="23">
        <f t="shared" si="4"/>
        <v>113</v>
      </c>
      <c r="U20" s="23">
        <f>(V20+T20)/2</f>
        <v>117.5</v>
      </c>
      <c r="V20" s="23">
        <f t="shared" si="3"/>
        <v>122</v>
      </c>
      <c r="W20" s="18" t="s">
        <v>35</v>
      </c>
      <c r="X20" s="18" t="s">
        <v>20</v>
      </c>
      <c r="Y20" s="18" t="s">
        <v>21</v>
      </c>
      <c r="Z20" s="18" t="s">
        <v>44</v>
      </c>
      <c r="AA20" s="18" t="s">
        <v>14</v>
      </c>
      <c r="AB20" s="18" t="s">
        <v>15</v>
      </c>
      <c r="AC20" s="18" t="s">
        <v>42</v>
      </c>
      <c r="AD20" s="18"/>
      <c r="AE20" s="2">
        <v>0</v>
      </c>
      <c r="AF20" s="2"/>
    </row>
    <row r="21" spans="1:32" x14ac:dyDescent="0.2">
      <c r="A21" s="18" t="s">
        <v>14</v>
      </c>
      <c r="B21" s="18" t="s">
        <v>15</v>
      </c>
      <c r="C21" s="18" t="s">
        <v>42</v>
      </c>
      <c r="D21" s="18" t="s">
        <v>727</v>
      </c>
      <c r="E21" s="18" t="s">
        <v>24</v>
      </c>
      <c r="F21" s="18">
        <v>2</v>
      </c>
      <c r="G21" s="18" t="s">
        <v>48</v>
      </c>
      <c r="H21" s="18" t="s">
        <v>19</v>
      </c>
      <c r="I21" s="18" t="s">
        <v>20</v>
      </c>
      <c r="J21" s="19" t="s">
        <v>731</v>
      </c>
      <c r="K21" s="18" t="s">
        <v>21</v>
      </c>
      <c r="L21" s="18" t="s">
        <v>44</v>
      </c>
      <c r="M21" s="18" t="s">
        <v>45</v>
      </c>
      <c r="N21" s="19">
        <v>20</v>
      </c>
      <c r="O21" s="29">
        <v>45762</v>
      </c>
      <c r="P21" s="29">
        <v>45770</v>
      </c>
      <c r="Q21" s="29">
        <v>45772</v>
      </c>
      <c r="R21" s="29">
        <v>45776</v>
      </c>
      <c r="S21" s="23">
        <f t="shared" si="1"/>
        <v>105</v>
      </c>
      <c r="T21" s="23">
        <f t="shared" si="4"/>
        <v>113</v>
      </c>
      <c r="U21" s="23">
        <f t="shared" si="2"/>
        <v>115</v>
      </c>
      <c r="V21" s="23">
        <f t="shared" si="3"/>
        <v>119</v>
      </c>
      <c r="W21" s="18" t="s">
        <v>19</v>
      </c>
      <c r="X21" s="18" t="s">
        <v>20</v>
      </c>
      <c r="Y21" s="18" t="s">
        <v>21</v>
      </c>
      <c r="Z21" s="18" t="s">
        <v>44</v>
      </c>
      <c r="AA21" s="18" t="s">
        <v>14</v>
      </c>
      <c r="AB21" s="18" t="s">
        <v>15</v>
      </c>
      <c r="AC21" s="18" t="s">
        <v>42</v>
      </c>
      <c r="AD21" s="18"/>
      <c r="AE21" s="2">
        <v>0</v>
      </c>
      <c r="AF21" s="2"/>
    </row>
    <row r="22" spans="1:32" x14ac:dyDescent="0.2">
      <c r="A22" s="18" t="s">
        <v>14</v>
      </c>
      <c r="B22" s="18" t="s">
        <v>15</v>
      </c>
      <c r="C22" s="18" t="s">
        <v>42</v>
      </c>
      <c r="D22" s="18" t="s">
        <v>727</v>
      </c>
      <c r="E22" s="18" t="s">
        <v>17</v>
      </c>
      <c r="F22" s="18">
        <v>3</v>
      </c>
      <c r="G22" s="18" t="s">
        <v>49</v>
      </c>
      <c r="H22" s="18" t="s">
        <v>19</v>
      </c>
      <c r="I22" s="18" t="s">
        <v>20</v>
      </c>
      <c r="J22" s="19" t="s">
        <v>732</v>
      </c>
      <c r="K22" s="18" t="s">
        <v>21</v>
      </c>
      <c r="L22" s="18" t="s">
        <v>44</v>
      </c>
      <c r="M22" s="18" t="s">
        <v>45</v>
      </c>
      <c r="N22" s="19">
        <v>21</v>
      </c>
      <c r="O22" s="29">
        <v>45772</v>
      </c>
      <c r="P22" s="29">
        <v>45776</v>
      </c>
      <c r="Q22" s="29">
        <v>45779</v>
      </c>
      <c r="R22" s="29">
        <v>45783</v>
      </c>
      <c r="S22" s="23">
        <f t="shared" si="1"/>
        <v>115</v>
      </c>
      <c r="T22" s="23">
        <f t="shared" si="4"/>
        <v>119</v>
      </c>
      <c r="U22" s="23">
        <f t="shared" si="2"/>
        <v>122</v>
      </c>
      <c r="V22" s="23">
        <f t="shared" si="3"/>
        <v>126</v>
      </c>
      <c r="W22" s="18" t="s">
        <v>19</v>
      </c>
      <c r="X22" s="18" t="s">
        <v>20</v>
      </c>
      <c r="Y22" s="18" t="s">
        <v>21</v>
      </c>
      <c r="Z22" s="18" t="s">
        <v>44</v>
      </c>
      <c r="AA22" s="18" t="s">
        <v>14</v>
      </c>
      <c r="AB22" s="18" t="s">
        <v>15</v>
      </c>
      <c r="AC22" s="18" t="s">
        <v>42</v>
      </c>
      <c r="AD22" s="18"/>
      <c r="AE22" s="2">
        <v>0</v>
      </c>
      <c r="AF22" s="2"/>
    </row>
    <row r="23" spans="1:32" x14ac:dyDescent="0.2">
      <c r="A23" s="18" t="s">
        <v>14</v>
      </c>
      <c r="B23" s="18" t="s">
        <v>15</v>
      </c>
      <c r="C23" s="18" t="s">
        <v>42</v>
      </c>
      <c r="D23" s="18" t="s">
        <v>727</v>
      </c>
      <c r="E23" s="18" t="s">
        <v>24</v>
      </c>
      <c r="F23" s="18">
        <v>3</v>
      </c>
      <c r="G23" s="18" t="s">
        <v>50</v>
      </c>
      <c r="H23" s="18" t="s">
        <v>35</v>
      </c>
      <c r="I23" s="18" t="s">
        <v>20</v>
      </c>
      <c r="J23" s="19" t="s">
        <v>733</v>
      </c>
      <c r="K23" s="18" t="s">
        <v>21</v>
      </c>
      <c r="L23" s="18" t="s">
        <v>44</v>
      </c>
      <c r="M23" s="18" t="s">
        <v>45</v>
      </c>
      <c r="N23" s="19">
        <v>22</v>
      </c>
      <c r="O23" s="29">
        <v>45755</v>
      </c>
      <c r="P23" s="29">
        <v>45765</v>
      </c>
      <c r="Q23" s="29">
        <v>45776</v>
      </c>
      <c r="R23" s="29">
        <v>45779</v>
      </c>
      <c r="S23" s="23">
        <f t="shared" si="1"/>
        <v>98</v>
      </c>
      <c r="T23" s="23">
        <f t="shared" si="4"/>
        <v>108</v>
      </c>
      <c r="U23" s="23">
        <f t="shared" si="2"/>
        <v>119</v>
      </c>
      <c r="V23" s="23">
        <f t="shared" si="3"/>
        <v>122</v>
      </c>
      <c r="W23" s="18" t="s">
        <v>35</v>
      </c>
      <c r="X23" s="18" t="s">
        <v>20</v>
      </c>
      <c r="Y23" s="18" t="s">
        <v>21</v>
      </c>
      <c r="Z23" s="18" t="s">
        <v>44</v>
      </c>
      <c r="AA23" s="18" t="s">
        <v>14</v>
      </c>
      <c r="AB23" s="18" t="s">
        <v>15</v>
      </c>
      <c r="AC23" s="18" t="s">
        <v>42</v>
      </c>
      <c r="AD23" s="18"/>
      <c r="AE23" s="2">
        <v>0</v>
      </c>
      <c r="AF23" s="2"/>
    </row>
    <row r="24" spans="1:32" x14ac:dyDescent="0.2">
      <c r="A24" s="18" t="s">
        <v>14</v>
      </c>
      <c r="B24" s="18" t="s">
        <v>15</v>
      </c>
      <c r="C24" s="18" t="s">
        <v>42</v>
      </c>
      <c r="D24" s="18" t="s">
        <v>727</v>
      </c>
      <c r="E24" s="18" t="s">
        <v>17</v>
      </c>
      <c r="F24" s="18">
        <v>4</v>
      </c>
      <c r="G24" s="18" t="s">
        <v>51</v>
      </c>
      <c r="H24" s="18" t="s">
        <v>35</v>
      </c>
      <c r="I24" s="18" t="s">
        <v>20</v>
      </c>
      <c r="J24" s="19" t="s">
        <v>734</v>
      </c>
      <c r="K24" s="18" t="s">
        <v>21</v>
      </c>
      <c r="L24" s="18" t="s">
        <v>44</v>
      </c>
      <c r="M24" s="18" t="s">
        <v>45</v>
      </c>
      <c r="N24" s="19">
        <v>23</v>
      </c>
      <c r="O24" s="29">
        <v>45762</v>
      </c>
      <c r="P24" s="29">
        <v>45770</v>
      </c>
      <c r="Q24" s="29">
        <v>45776</v>
      </c>
      <c r="R24" s="29">
        <v>45779</v>
      </c>
      <c r="S24" s="23">
        <f t="shared" si="1"/>
        <v>105</v>
      </c>
      <c r="T24" s="23">
        <f t="shared" si="4"/>
        <v>113</v>
      </c>
      <c r="U24" s="23">
        <f t="shared" si="2"/>
        <v>119</v>
      </c>
      <c r="V24" s="23">
        <f t="shared" si="3"/>
        <v>122</v>
      </c>
      <c r="W24" s="18" t="s">
        <v>35</v>
      </c>
      <c r="X24" s="18" t="s">
        <v>20</v>
      </c>
      <c r="Y24" s="18" t="s">
        <v>21</v>
      </c>
      <c r="Z24" s="18" t="s">
        <v>44</v>
      </c>
      <c r="AA24" s="18" t="s">
        <v>14</v>
      </c>
      <c r="AB24" s="18" t="s">
        <v>15</v>
      </c>
      <c r="AC24" s="18" t="s">
        <v>42</v>
      </c>
      <c r="AD24" s="18"/>
      <c r="AE24" s="2">
        <v>0</v>
      </c>
      <c r="AF24" s="2"/>
    </row>
    <row r="25" spans="1:32" x14ac:dyDescent="0.2">
      <c r="A25" s="18" t="s">
        <v>14</v>
      </c>
      <c r="B25" s="18" t="s">
        <v>15</v>
      </c>
      <c r="C25" s="18" t="s">
        <v>42</v>
      </c>
      <c r="D25" s="18" t="s">
        <v>727</v>
      </c>
      <c r="E25" s="18" t="s">
        <v>24</v>
      </c>
      <c r="F25" s="18">
        <v>4</v>
      </c>
      <c r="G25" s="18" t="s">
        <v>52</v>
      </c>
      <c r="H25" s="18" t="s">
        <v>19</v>
      </c>
      <c r="I25" s="18" t="s">
        <v>20</v>
      </c>
      <c r="J25" s="19" t="s">
        <v>735</v>
      </c>
      <c r="K25" s="18" t="s">
        <v>21</v>
      </c>
      <c r="L25" s="18" t="s">
        <v>44</v>
      </c>
      <c r="M25" s="18" t="s">
        <v>45</v>
      </c>
      <c r="N25" s="19">
        <v>24</v>
      </c>
      <c r="O25" s="29">
        <v>45758</v>
      </c>
      <c r="P25" s="29">
        <v>45762</v>
      </c>
      <c r="Q25" s="29">
        <v>45776</v>
      </c>
      <c r="R25" s="29">
        <v>45779</v>
      </c>
      <c r="S25" s="23">
        <f t="shared" si="1"/>
        <v>101</v>
      </c>
      <c r="T25" s="23">
        <f t="shared" si="4"/>
        <v>105</v>
      </c>
      <c r="U25" s="23">
        <f t="shared" si="2"/>
        <v>119</v>
      </c>
      <c r="V25" s="23">
        <f t="shared" si="3"/>
        <v>122</v>
      </c>
      <c r="W25" s="18" t="s">
        <v>19</v>
      </c>
      <c r="X25" s="18" t="s">
        <v>20</v>
      </c>
      <c r="Y25" s="18" t="s">
        <v>21</v>
      </c>
      <c r="Z25" s="18" t="s">
        <v>44</v>
      </c>
      <c r="AA25" s="18" t="s">
        <v>14</v>
      </c>
      <c r="AB25" s="18" t="s">
        <v>15</v>
      </c>
      <c r="AC25" s="18" t="s">
        <v>42</v>
      </c>
      <c r="AD25" s="18"/>
      <c r="AE25" s="2">
        <v>0</v>
      </c>
      <c r="AF25" s="2"/>
    </row>
    <row r="26" spans="1:32" x14ac:dyDescent="0.2">
      <c r="A26" s="14" t="s">
        <v>14</v>
      </c>
      <c r="B26" s="14" t="s">
        <v>15</v>
      </c>
      <c r="C26" s="14" t="s">
        <v>53</v>
      </c>
      <c r="D26" s="14" t="s">
        <v>736</v>
      </c>
      <c r="E26" s="14" t="s">
        <v>17</v>
      </c>
      <c r="F26" s="14">
        <v>1</v>
      </c>
      <c r="G26" s="14" t="s">
        <v>54</v>
      </c>
      <c r="H26" s="14" t="s">
        <v>35</v>
      </c>
      <c r="I26" s="14" t="s">
        <v>20</v>
      </c>
      <c r="J26" s="13" t="s">
        <v>737</v>
      </c>
      <c r="K26" s="14" t="s">
        <v>21</v>
      </c>
      <c r="L26" s="14" t="s">
        <v>44</v>
      </c>
      <c r="M26" s="14" t="s">
        <v>45</v>
      </c>
      <c r="N26" s="13">
        <v>25</v>
      </c>
      <c r="O26" s="30">
        <v>45762</v>
      </c>
      <c r="P26" s="30">
        <v>45779</v>
      </c>
      <c r="Q26" s="30">
        <v>45783</v>
      </c>
      <c r="R26" s="30">
        <v>45793</v>
      </c>
      <c r="S26" s="23">
        <f t="shared" si="1"/>
        <v>105</v>
      </c>
      <c r="T26" s="23">
        <f t="shared" si="4"/>
        <v>122</v>
      </c>
      <c r="U26" s="23">
        <f t="shared" si="2"/>
        <v>126</v>
      </c>
      <c r="V26" s="23">
        <f t="shared" si="3"/>
        <v>136</v>
      </c>
      <c r="W26" s="14" t="s">
        <v>35</v>
      </c>
      <c r="X26" s="14" t="s">
        <v>20</v>
      </c>
      <c r="Y26" s="14" t="s">
        <v>21</v>
      </c>
      <c r="Z26" s="14" t="s">
        <v>44</v>
      </c>
      <c r="AA26" s="14" t="s">
        <v>14</v>
      </c>
      <c r="AB26" s="14" t="s">
        <v>15</v>
      </c>
      <c r="AC26" s="14" t="s">
        <v>53</v>
      </c>
      <c r="AD26" s="14"/>
      <c r="AE26" s="1">
        <v>0</v>
      </c>
      <c r="AF26" s="1"/>
    </row>
    <row r="27" spans="1:32" x14ac:dyDescent="0.2">
      <c r="A27" s="14" t="s">
        <v>14</v>
      </c>
      <c r="B27" s="14" t="s">
        <v>15</v>
      </c>
      <c r="C27" s="14" t="s">
        <v>53</v>
      </c>
      <c r="D27" s="14" t="s">
        <v>736</v>
      </c>
      <c r="E27" s="14" t="s">
        <v>24</v>
      </c>
      <c r="F27" s="14">
        <v>1</v>
      </c>
      <c r="G27" s="14" t="s">
        <v>55</v>
      </c>
      <c r="H27" s="14" t="s">
        <v>35</v>
      </c>
      <c r="I27" s="14" t="s">
        <v>20</v>
      </c>
      <c r="J27" s="13" t="s">
        <v>738</v>
      </c>
      <c r="K27" s="14" t="s">
        <v>21</v>
      </c>
      <c r="L27" s="14" t="s">
        <v>44</v>
      </c>
      <c r="M27" s="14" t="s">
        <v>45</v>
      </c>
      <c r="N27" s="13">
        <v>26</v>
      </c>
      <c r="O27" s="30">
        <v>45776</v>
      </c>
      <c r="P27" s="30">
        <v>45783</v>
      </c>
      <c r="Q27" s="30">
        <v>45790</v>
      </c>
      <c r="R27" s="30">
        <v>45793</v>
      </c>
      <c r="S27" s="23">
        <f t="shared" si="1"/>
        <v>119</v>
      </c>
      <c r="T27" s="23">
        <f t="shared" si="4"/>
        <v>126</v>
      </c>
      <c r="U27" s="23">
        <f t="shared" si="2"/>
        <v>133</v>
      </c>
      <c r="V27" s="23">
        <f t="shared" si="3"/>
        <v>136</v>
      </c>
      <c r="W27" s="14" t="s">
        <v>35</v>
      </c>
      <c r="X27" s="14" t="s">
        <v>20</v>
      </c>
      <c r="Y27" s="14" t="s">
        <v>21</v>
      </c>
      <c r="Z27" s="14" t="s">
        <v>44</v>
      </c>
      <c r="AA27" s="14" t="s">
        <v>14</v>
      </c>
      <c r="AB27" s="14" t="s">
        <v>15</v>
      </c>
      <c r="AC27" s="14" t="s">
        <v>53</v>
      </c>
      <c r="AD27" s="14"/>
      <c r="AE27" s="1">
        <v>0</v>
      </c>
      <c r="AF27" s="1"/>
    </row>
    <row r="28" spans="1:32" x14ac:dyDescent="0.2">
      <c r="A28" s="14" t="s">
        <v>14</v>
      </c>
      <c r="B28" s="14" t="s">
        <v>15</v>
      </c>
      <c r="C28" s="14" t="s">
        <v>53</v>
      </c>
      <c r="D28" s="14" t="s">
        <v>736</v>
      </c>
      <c r="E28" s="14" t="s">
        <v>17</v>
      </c>
      <c r="F28" s="14">
        <v>2</v>
      </c>
      <c r="G28" s="14" t="s">
        <v>56</v>
      </c>
      <c r="H28" s="14" t="s">
        <v>35</v>
      </c>
      <c r="I28" s="14" t="s">
        <v>20</v>
      </c>
      <c r="J28" s="13" t="s">
        <v>739</v>
      </c>
      <c r="K28" s="14" t="s">
        <v>21</v>
      </c>
      <c r="L28" s="14" t="s">
        <v>44</v>
      </c>
      <c r="M28" s="14" t="s">
        <v>45</v>
      </c>
      <c r="N28" s="13">
        <v>27</v>
      </c>
      <c r="O28" s="30">
        <v>45779</v>
      </c>
      <c r="P28" s="30">
        <v>45783</v>
      </c>
      <c r="Q28" s="30">
        <v>45790</v>
      </c>
      <c r="R28" s="30">
        <v>45793</v>
      </c>
      <c r="S28" s="23">
        <f t="shared" si="1"/>
        <v>122</v>
      </c>
      <c r="T28" s="23">
        <f t="shared" si="4"/>
        <v>126</v>
      </c>
      <c r="U28" s="23">
        <f t="shared" si="2"/>
        <v>133</v>
      </c>
      <c r="V28" s="23">
        <f t="shared" si="3"/>
        <v>136</v>
      </c>
      <c r="W28" s="14" t="s">
        <v>35</v>
      </c>
      <c r="X28" s="14" t="s">
        <v>20</v>
      </c>
      <c r="Y28" s="14" t="s">
        <v>21</v>
      </c>
      <c r="Z28" s="14" t="s">
        <v>44</v>
      </c>
      <c r="AA28" s="14" t="s">
        <v>14</v>
      </c>
      <c r="AB28" s="14" t="s">
        <v>15</v>
      </c>
      <c r="AC28" s="14" t="s">
        <v>53</v>
      </c>
      <c r="AD28" s="14"/>
      <c r="AE28" s="1">
        <v>0</v>
      </c>
      <c r="AF28" s="1"/>
    </row>
    <row r="29" spans="1:32" x14ac:dyDescent="0.2">
      <c r="A29" s="14" t="s">
        <v>14</v>
      </c>
      <c r="B29" s="14" t="s">
        <v>15</v>
      </c>
      <c r="C29" s="14" t="s">
        <v>53</v>
      </c>
      <c r="D29" s="14" t="s">
        <v>736</v>
      </c>
      <c r="E29" s="14" t="s">
        <v>24</v>
      </c>
      <c r="F29" s="14">
        <v>2</v>
      </c>
      <c r="G29" s="14" t="s">
        <v>57</v>
      </c>
      <c r="H29" s="14" t="s">
        <v>35</v>
      </c>
      <c r="I29" s="14" t="s">
        <v>20</v>
      </c>
      <c r="J29" s="13" t="s">
        <v>740</v>
      </c>
      <c r="K29" s="14" t="s">
        <v>21</v>
      </c>
      <c r="L29" s="14" t="s">
        <v>44</v>
      </c>
      <c r="M29" s="14" t="s">
        <v>45</v>
      </c>
      <c r="N29" s="13">
        <v>28</v>
      </c>
      <c r="O29" s="30">
        <v>45762</v>
      </c>
      <c r="P29" s="30">
        <v>45770</v>
      </c>
      <c r="Q29" s="30">
        <v>45779</v>
      </c>
      <c r="R29" s="30">
        <v>45783</v>
      </c>
      <c r="S29" s="23">
        <f t="shared" si="1"/>
        <v>105</v>
      </c>
      <c r="T29" s="23">
        <f t="shared" si="4"/>
        <v>113</v>
      </c>
      <c r="U29" s="23">
        <f t="shared" si="2"/>
        <v>122</v>
      </c>
      <c r="V29" s="23">
        <f t="shared" si="3"/>
        <v>126</v>
      </c>
      <c r="W29" s="14" t="s">
        <v>35</v>
      </c>
      <c r="X29" s="14" t="s">
        <v>20</v>
      </c>
      <c r="Y29" s="14" t="s">
        <v>21</v>
      </c>
      <c r="Z29" s="14" t="s">
        <v>44</v>
      </c>
      <c r="AA29" s="14" t="s">
        <v>14</v>
      </c>
      <c r="AB29" s="14" t="s">
        <v>15</v>
      </c>
      <c r="AC29" s="14" t="s">
        <v>53</v>
      </c>
      <c r="AD29" s="14"/>
      <c r="AE29" s="1">
        <v>0</v>
      </c>
      <c r="AF29" s="1"/>
    </row>
    <row r="30" spans="1:32" x14ac:dyDescent="0.2">
      <c r="A30" s="14" t="s">
        <v>14</v>
      </c>
      <c r="B30" s="14" t="s">
        <v>15</v>
      </c>
      <c r="C30" s="14" t="s">
        <v>53</v>
      </c>
      <c r="D30" s="14" t="s">
        <v>736</v>
      </c>
      <c r="E30" s="14" t="s">
        <v>17</v>
      </c>
      <c r="F30" s="14">
        <v>3</v>
      </c>
      <c r="G30" s="14" t="s">
        <v>58</v>
      </c>
      <c r="H30" s="14" t="s">
        <v>35</v>
      </c>
      <c r="I30" s="14" t="s">
        <v>20</v>
      </c>
      <c r="J30" s="13" t="s">
        <v>741</v>
      </c>
      <c r="K30" s="14" t="s">
        <v>21</v>
      </c>
      <c r="L30" s="14" t="s">
        <v>44</v>
      </c>
      <c r="M30" s="14" t="s">
        <v>45</v>
      </c>
      <c r="N30" s="13">
        <v>29</v>
      </c>
      <c r="O30" s="30">
        <v>45770</v>
      </c>
      <c r="P30" s="30">
        <v>45776</v>
      </c>
      <c r="Q30" s="30">
        <v>45779</v>
      </c>
      <c r="R30" s="30">
        <v>45783</v>
      </c>
      <c r="S30" s="23">
        <f t="shared" si="1"/>
        <v>113</v>
      </c>
      <c r="T30" s="23">
        <f t="shared" si="4"/>
        <v>119</v>
      </c>
      <c r="U30" s="23">
        <f t="shared" si="2"/>
        <v>122</v>
      </c>
      <c r="V30" s="23">
        <f t="shared" si="3"/>
        <v>126</v>
      </c>
      <c r="W30" s="14" t="s">
        <v>35</v>
      </c>
      <c r="X30" s="14" t="s">
        <v>20</v>
      </c>
      <c r="Y30" s="14" t="s">
        <v>21</v>
      </c>
      <c r="Z30" s="14" t="s">
        <v>44</v>
      </c>
      <c r="AA30" s="14" t="s">
        <v>14</v>
      </c>
      <c r="AB30" s="14" t="s">
        <v>15</v>
      </c>
      <c r="AC30" s="14" t="s">
        <v>53</v>
      </c>
      <c r="AD30" s="14"/>
      <c r="AE30" s="1">
        <v>0</v>
      </c>
      <c r="AF30" s="1"/>
    </row>
    <row r="31" spans="1:32" x14ac:dyDescent="0.2">
      <c r="A31" s="14" t="s">
        <v>14</v>
      </c>
      <c r="B31" s="14" t="s">
        <v>15</v>
      </c>
      <c r="C31" s="14" t="s">
        <v>53</v>
      </c>
      <c r="D31" s="14" t="s">
        <v>736</v>
      </c>
      <c r="E31" s="14" t="s">
        <v>24</v>
      </c>
      <c r="F31" s="14">
        <v>3</v>
      </c>
      <c r="G31" s="14" t="s">
        <v>59</v>
      </c>
      <c r="H31" s="14" t="s">
        <v>35</v>
      </c>
      <c r="I31" s="14" t="s">
        <v>20</v>
      </c>
      <c r="J31" s="13" t="s">
        <v>742</v>
      </c>
      <c r="K31" s="14" t="s">
        <v>21</v>
      </c>
      <c r="L31" s="14" t="s">
        <v>44</v>
      </c>
      <c r="M31" s="14" t="s">
        <v>45</v>
      </c>
      <c r="N31" s="13">
        <v>30</v>
      </c>
      <c r="O31" s="30">
        <v>45770</v>
      </c>
      <c r="P31" s="30">
        <v>45776</v>
      </c>
      <c r="Q31" s="30">
        <v>45779</v>
      </c>
      <c r="R31" s="30">
        <v>45783</v>
      </c>
      <c r="S31" s="23">
        <f t="shared" si="1"/>
        <v>113</v>
      </c>
      <c r="T31" s="23">
        <f t="shared" si="4"/>
        <v>119</v>
      </c>
      <c r="U31" s="23">
        <f t="shared" si="2"/>
        <v>122</v>
      </c>
      <c r="V31" s="23">
        <f t="shared" si="3"/>
        <v>126</v>
      </c>
      <c r="W31" s="14" t="s">
        <v>35</v>
      </c>
      <c r="X31" s="14" t="s">
        <v>20</v>
      </c>
      <c r="Y31" s="14" t="s">
        <v>21</v>
      </c>
      <c r="Z31" s="14" t="s">
        <v>44</v>
      </c>
      <c r="AA31" s="14" t="s">
        <v>14</v>
      </c>
      <c r="AB31" s="14" t="s">
        <v>15</v>
      </c>
      <c r="AC31" s="14" t="s">
        <v>53</v>
      </c>
      <c r="AD31" s="14"/>
      <c r="AE31" s="1">
        <v>0</v>
      </c>
      <c r="AF31" s="1"/>
    </row>
    <row r="32" spans="1:32" x14ac:dyDescent="0.2">
      <c r="A32" s="14" t="s">
        <v>14</v>
      </c>
      <c r="B32" s="14" t="s">
        <v>15</v>
      </c>
      <c r="C32" s="14" t="s">
        <v>53</v>
      </c>
      <c r="D32" s="14" t="s">
        <v>736</v>
      </c>
      <c r="E32" s="14" t="s">
        <v>17</v>
      </c>
      <c r="F32" s="14">
        <v>4</v>
      </c>
      <c r="G32" s="14" t="s">
        <v>60</v>
      </c>
      <c r="H32" s="14" t="s">
        <v>35</v>
      </c>
      <c r="I32" s="14" t="s">
        <v>20</v>
      </c>
      <c r="J32" s="13" t="s">
        <v>743</v>
      </c>
      <c r="K32" s="14" t="s">
        <v>21</v>
      </c>
      <c r="L32" s="14" t="s">
        <v>44</v>
      </c>
      <c r="M32" s="14" t="s">
        <v>45</v>
      </c>
      <c r="N32" s="13">
        <v>31</v>
      </c>
      <c r="O32" s="30">
        <v>45779</v>
      </c>
      <c r="P32" s="30">
        <v>45783</v>
      </c>
      <c r="Q32" s="30">
        <v>45790</v>
      </c>
      <c r="R32" s="30">
        <v>45793</v>
      </c>
      <c r="S32" s="23">
        <f t="shared" si="1"/>
        <v>122</v>
      </c>
      <c r="T32" s="23">
        <f t="shared" si="4"/>
        <v>126</v>
      </c>
      <c r="U32" s="23">
        <f t="shared" si="2"/>
        <v>133</v>
      </c>
      <c r="V32" s="23">
        <f t="shared" si="3"/>
        <v>136</v>
      </c>
      <c r="W32" s="14" t="s">
        <v>35</v>
      </c>
      <c r="X32" s="14" t="s">
        <v>20</v>
      </c>
      <c r="Y32" s="14" t="s">
        <v>21</v>
      </c>
      <c r="Z32" s="14" t="s">
        <v>44</v>
      </c>
      <c r="AA32" s="14" t="s">
        <v>14</v>
      </c>
      <c r="AB32" s="14" t="s">
        <v>15</v>
      </c>
      <c r="AC32" s="14" t="s">
        <v>53</v>
      </c>
      <c r="AD32" s="14"/>
      <c r="AE32" s="1">
        <v>0</v>
      </c>
      <c r="AF32" s="1"/>
    </row>
    <row r="33" spans="1:32" x14ac:dyDescent="0.2">
      <c r="A33" s="14" t="s">
        <v>14</v>
      </c>
      <c r="B33" s="14" t="s">
        <v>15</v>
      </c>
      <c r="C33" s="14" t="s">
        <v>53</v>
      </c>
      <c r="D33" s="14" t="s">
        <v>736</v>
      </c>
      <c r="E33" s="14" t="s">
        <v>24</v>
      </c>
      <c r="F33" s="14">
        <v>4</v>
      </c>
      <c r="G33" s="14" t="s">
        <v>61</v>
      </c>
      <c r="H33" s="14" t="s">
        <v>35</v>
      </c>
      <c r="I33" s="14" t="s">
        <v>20</v>
      </c>
      <c r="J33" s="13" t="s">
        <v>744</v>
      </c>
      <c r="K33" s="14" t="s">
        <v>21</v>
      </c>
      <c r="L33" s="14" t="s">
        <v>44</v>
      </c>
      <c r="M33" s="14" t="s">
        <v>45</v>
      </c>
      <c r="N33" s="13">
        <v>32</v>
      </c>
      <c r="O33" s="30">
        <v>45765</v>
      </c>
      <c r="P33" s="30">
        <v>45779</v>
      </c>
      <c r="Q33" s="30">
        <v>45783</v>
      </c>
      <c r="R33" s="30">
        <v>45790</v>
      </c>
      <c r="S33" s="23">
        <f t="shared" si="1"/>
        <v>108</v>
      </c>
      <c r="T33" s="23">
        <f t="shared" si="4"/>
        <v>122</v>
      </c>
      <c r="U33" s="23">
        <f t="shared" si="2"/>
        <v>126</v>
      </c>
      <c r="V33" s="23">
        <f t="shared" si="3"/>
        <v>133</v>
      </c>
      <c r="W33" s="14" t="s">
        <v>35</v>
      </c>
      <c r="X33" s="14" t="s">
        <v>20</v>
      </c>
      <c r="Y33" s="14" t="s">
        <v>21</v>
      </c>
      <c r="Z33" s="14" t="s">
        <v>44</v>
      </c>
      <c r="AA33" s="14" t="s">
        <v>14</v>
      </c>
      <c r="AB33" s="14" t="s">
        <v>15</v>
      </c>
      <c r="AC33" s="14" t="s">
        <v>53</v>
      </c>
      <c r="AD33" s="14"/>
      <c r="AE33" s="1">
        <v>0</v>
      </c>
      <c r="AF33" s="1"/>
    </row>
    <row r="34" spans="1:32" x14ac:dyDescent="0.2">
      <c r="A34" s="18" t="s">
        <v>14</v>
      </c>
      <c r="B34" s="18" t="s">
        <v>62</v>
      </c>
      <c r="C34" s="18" t="s">
        <v>16</v>
      </c>
      <c r="D34" s="18" t="s">
        <v>745</v>
      </c>
      <c r="E34" s="18" t="s">
        <v>17</v>
      </c>
      <c r="F34" s="18">
        <v>1</v>
      </c>
      <c r="G34" s="18" t="s">
        <v>63</v>
      </c>
      <c r="H34" s="18" t="s">
        <v>35</v>
      </c>
      <c r="I34" s="18" t="s">
        <v>20</v>
      </c>
      <c r="J34" s="19" t="s">
        <v>746</v>
      </c>
      <c r="K34" s="18" t="s">
        <v>64</v>
      </c>
      <c r="L34" s="18" t="s">
        <v>44</v>
      </c>
      <c r="M34" s="18" t="s">
        <v>65</v>
      </c>
      <c r="N34" s="19">
        <v>33</v>
      </c>
      <c r="O34" s="29">
        <v>45748</v>
      </c>
      <c r="P34" s="29">
        <v>45762</v>
      </c>
      <c r="Q34" s="29">
        <v>45770</v>
      </c>
      <c r="R34" s="29">
        <v>45776</v>
      </c>
      <c r="S34" s="23">
        <f t="shared" si="1"/>
        <v>91</v>
      </c>
      <c r="T34" s="23">
        <f t="shared" si="4"/>
        <v>105</v>
      </c>
      <c r="U34" s="23">
        <f t="shared" si="2"/>
        <v>113</v>
      </c>
      <c r="V34" s="23">
        <f t="shared" si="3"/>
        <v>119</v>
      </c>
      <c r="W34" s="18" t="s">
        <v>35</v>
      </c>
      <c r="X34" s="18" t="s">
        <v>20</v>
      </c>
      <c r="Y34" s="18" t="s">
        <v>64</v>
      </c>
      <c r="Z34" s="18" t="s">
        <v>44</v>
      </c>
      <c r="AA34" s="18" t="s">
        <v>14</v>
      </c>
      <c r="AB34" s="18" t="s">
        <v>62</v>
      </c>
      <c r="AC34" s="18" t="s">
        <v>16</v>
      </c>
      <c r="AD34" s="18"/>
      <c r="AE34" s="2">
        <v>0</v>
      </c>
      <c r="AF34" s="2"/>
    </row>
    <row r="35" spans="1:32" x14ac:dyDescent="0.2">
      <c r="A35" s="18" t="s">
        <v>14</v>
      </c>
      <c r="B35" s="18" t="s">
        <v>62</v>
      </c>
      <c r="C35" s="18" t="s">
        <v>16</v>
      </c>
      <c r="D35" s="18" t="s">
        <v>745</v>
      </c>
      <c r="E35" s="18" t="s">
        <v>24</v>
      </c>
      <c r="F35" s="18">
        <v>1</v>
      </c>
      <c r="G35" s="18" t="s">
        <v>66</v>
      </c>
      <c r="H35" s="18" t="s">
        <v>35</v>
      </c>
      <c r="I35" s="18" t="s">
        <v>20</v>
      </c>
      <c r="J35" s="19" t="s">
        <v>747</v>
      </c>
      <c r="K35" s="18" t="s">
        <v>64</v>
      </c>
      <c r="L35" s="18" t="s">
        <v>44</v>
      </c>
      <c r="M35" s="18" t="s">
        <v>65</v>
      </c>
      <c r="N35" s="19">
        <v>34</v>
      </c>
      <c r="O35" s="29">
        <v>45770</v>
      </c>
      <c r="P35" s="29">
        <v>45779</v>
      </c>
      <c r="Q35" s="2"/>
      <c r="R35" s="29">
        <v>45783</v>
      </c>
      <c r="S35" s="23">
        <f t="shared" si="1"/>
        <v>113</v>
      </c>
      <c r="T35" s="23">
        <f t="shared" si="4"/>
        <v>122</v>
      </c>
      <c r="U35" s="23">
        <f>(V35+T35)/2</f>
        <v>124</v>
      </c>
      <c r="V35" s="23">
        <f t="shared" si="3"/>
        <v>126</v>
      </c>
      <c r="W35" s="18" t="s">
        <v>35</v>
      </c>
      <c r="X35" s="18" t="s">
        <v>20</v>
      </c>
      <c r="Y35" s="18" t="s">
        <v>64</v>
      </c>
      <c r="Z35" s="18" t="s">
        <v>44</v>
      </c>
      <c r="AA35" s="18" t="s">
        <v>14</v>
      </c>
      <c r="AB35" s="18" t="s">
        <v>62</v>
      </c>
      <c r="AC35" s="18" t="s">
        <v>16</v>
      </c>
      <c r="AD35" s="18"/>
      <c r="AE35" s="2">
        <v>0</v>
      </c>
      <c r="AF35" s="2"/>
    </row>
    <row r="36" spans="1:32" x14ac:dyDescent="0.2">
      <c r="A36" s="18" t="s">
        <v>14</v>
      </c>
      <c r="B36" s="18" t="s">
        <v>62</v>
      </c>
      <c r="C36" s="18" t="s">
        <v>16</v>
      </c>
      <c r="D36" s="18" t="s">
        <v>745</v>
      </c>
      <c r="E36" s="18" t="s">
        <v>17</v>
      </c>
      <c r="F36" s="18">
        <v>2</v>
      </c>
      <c r="G36" s="18" t="s">
        <v>67</v>
      </c>
      <c r="H36" s="18" t="s">
        <v>35</v>
      </c>
      <c r="I36" s="18" t="s">
        <v>20</v>
      </c>
      <c r="J36" s="19" t="s">
        <v>748</v>
      </c>
      <c r="K36" s="18" t="s">
        <v>64</v>
      </c>
      <c r="L36" s="18" t="s">
        <v>44</v>
      </c>
      <c r="M36" s="18" t="s">
        <v>65</v>
      </c>
      <c r="N36" s="19">
        <v>35</v>
      </c>
      <c r="O36" s="29">
        <v>45748</v>
      </c>
      <c r="P36" s="29">
        <v>45762</v>
      </c>
      <c r="Q36" s="29">
        <v>45770</v>
      </c>
      <c r="R36" s="29">
        <v>45772</v>
      </c>
      <c r="S36" s="23">
        <f t="shared" si="1"/>
        <v>91</v>
      </c>
      <c r="T36" s="23">
        <f t="shared" si="4"/>
        <v>105</v>
      </c>
      <c r="U36" s="23">
        <f t="shared" si="2"/>
        <v>113</v>
      </c>
      <c r="V36" s="23">
        <f t="shared" si="3"/>
        <v>115</v>
      </c>
      <c r="W36" s="18" t="s">
        <v>35</v>
      </c>
      <c r="X36" s="18" t="s">
        <v>20</v>
      </c>
      <c r="Y36" s="18" t="s">
        <v>64</v>
      </c>
      <c r="Z36" s="18" t="s">
        <v>44</v>
      </c>
      <c r="AA36" s="18" t="s">
        <v>14</v>
      </c>
      <c r="AB36" s="18" t="s">
        <v>62</v>
      </c>
      <c r="AC36" s="18" t="s">
        <v>16</v>
      </c>
      <c r="AD36" s="18"/>
      <c r="AE36" s="2">
        <v>0</v>
      </c>
      <c r="AF36" s="2"/>
    </row>
    <row r="37" spans="1:32" x14ac:dyDescent="0.2">
      <c r="A37" s="18" t="s">
        <v>14</v>
      </c>
      <c r="B37" s="18" t="s">
        <v>62</v>
      </c>
      <c r="C37" s="18" t="s">
        <v>16</v>
      </c>
      <c r="D37" s="18" t="s">
        <v>745</v>
      </c>
      <c r="E37" s="18" t="s">
        <v>24</v>
      </c>
      <c r="F37" s="18">
        <v>2</v>
      </c>
      <c r="G37" s="18" t="s">
        <v>68</v>
      </c>
      <c r="H37" s="18" t="s">
        <v>35</v>
      </c>
      <c r="I37" s="18" t="s">
        <v>20</v>
      </c>
      <c r="J37" s="19" t="s">
        <v>749</v>
      </c>
      <c r="K37" s="18" t="s">
        <v>64</v>
      </c>
      <c r="L37" s="18" t="s">
        <v>44</v>
      </c>
      <c r="M37" s="18" t="s">
        <v>65</v>
      </c>
      <c r="N37" s="19">
        <v>36</v>
      </c>
      <c r="O37" s="29">
        <v>45755</v>
      </c>
      <c r="P37" s="29">
        <v>45770</v>
      </c>
      <c r="Q37" s="29">
        <v>45776</v>
      </c>
      <c r="R37" s="29">
        <v>45779</v>
      </c>
      <c r="S37" s="23">
        <f t="shared" si="1"/>
        <v>98</v>
      </c>
      <c r="T37" s="23">
        <f t="shared" si="4"/>
        <v>113</v>
      </c>
      <c r="U37" s="23">
        <f t="shared" si="2"/>
        <v>119</v>
      </c>
      <c r="V37" s="23">
        <f t="shared" si="3"/>
        <v>122</v>
      </c>
      <c r="W37" s="18" t="s">
        <v>35</v>
      </c>
      <c r="X37" s="18" t="s">
        <v>20</v>
      </c>
      <c r="Y37" s="18" t="s">
        <v>64</v>
      </c>
      <c r="Z37" s="18" t="s">
        <v>44</v>
      </c>
      <c r="AA37" s="18" t="s">
        <v>14</v>
      </c>
      <c r="AB37" s="18" t="s">
        <v>62</v>
      </c>
      <c r="AC37" s="18" t="s">
        <v>16</v>
      </c>
      <c r="AD37" s="18"/>
      <c r="AE37" s="2">
        <v>0</v>
      </c>
      <c r="AF37" s="2"/>
    </row>
    <row r="38" spans="1:32" x14ac:dyDescent="0.2">
      <c r="A38" s="18" t="s">
        <v>14</v>
      </c>
      <c r="B38" s="18" t="s">
        <v>62</v>
      </c>
      <c r="C38" s="18" t="s">
        <v>16</v>
      </c>
      <c r="D38" s="18" t="s">
        <v>745</v>
      </c>
      <c r="E38" s="18" t="s">
        <v>17</v>
      </c>
      <c r="F38" s="18">
        <v>3</v>
      </c>
      <c r="G38" s="18" t="s">
        <v>69</v>
      </c>
      <c r="H38" s="18" t="s">
        <v>35</v>
      </c>
      <c r="I38" s="18" t="s">
        <v>20</v>
      </c>
      <c r="J38" s="19" t="s">
        <v>750</v>
      </c>
      <c r="K38" s="18" t="s">
        <v>64</v>
      </c>
      <c r="L38" s="18" t="s">
        <v>44</v>
      </c>
      <c r="M38" s="18" t="s">
        <v>65</v>
      </c>
      <c r="N38" s="19">
        <v>37</v>
      </c>
      <c r="O38" s="29">
        <v>45751</v>
      </c>
      <c r="P38" s="29">
        <v>45762</v>
      </c>
      <c r="Q38" s="29">
        <v>45765</v>
      </c>
      <c r="R38" s="29">
        <v>45772</v>
      </c>
      <c r="S38" s="23">
        <f t="shared" si="1"/>
        <v>94</v>
      </c>
      <c r="T38" s="23">
        <f t="shared" si="4"/>
        <v>105</v>
      </c>
      <c r="U38" s="23">
        <f t="shared" si="2"/>
        <v>108</v>
      </c>
      <c r="V38" s="23">
        <f t="shared" si="3"/>
        <v>115</v>
      </c>
      <c r="W38" s="18" t="s">
        <v>35</v>
      </c>
      <c r="X38" s="18" t="s">
        <v>20</v>
      </c>
      <c r="Y38" s="18" t="s">
        <v>64</v>
      </c>
      <c r="Z38" s="18" t="s">
        <v>44</v>
      </c>
      <c r="AA38" s="18" t="s">
        <v>14</v>
      </c>
      <c r="AB38" s="18" t="s">
        <v>62</v>
      </c>
      <c r="AC38" s="18" t="s">
        <v>16</v>
      </c>
      <c r="AD38" s="18"/>
      <c r="AE38" s="2">
        <v>0</v>
      </c>
      <c r="AF38" s="2"/>
    </row>
    <row r="39" spans="1:32" x14ac:dyDescent="0.2">
      <c r="A39" s="18" t="s">
        <v>14</v>
      </c>
      <c r="B39" s="18" t="s">
        <v>62</v>
      </c>
      <c r="C39" s="18" t="s">
        <v>16</v>
      </c>
      <c r="D39" s="18" t="s">
        <v>745</v>
      </c>
      <c r="E39" s="18" t="s">
        <v>24</v>
      </c>
      <c r="F39" s="18">
        <v>3</v>
      </c>
      <c r="G39" s="18" t="s">
        <v>70</v>
      </c>
      <c r="H39" s="18" t="s">
        <v>35</v>
      </c>
      <c r="I39" s="18" t="s">
        <v>20</v>
      </c>
      <c r="J39" s="19" t="s">
        <v>751</v>
      </c>
      <c r="K39" s="18" t="s">
        <v>64</v>
      </c>
      <c r="L39" s="18" t="s">
        <v>44</v>
      </c>
      <c r="M39" s="18" t="s">
        <v>65</v>
      </c>
      <c r="N39" s="19">
        <v>38</v>
      </c>
      <c r="O39" s="29">
        <v>45755</v>
      </c>
      <c r="P39" s="29">
        <v>45770</v>
      </c>
      <c r="Q39" s="29">
        <v>45776</v>
      </c>
      <c r="R39" s="29">
        <v>45779</v>
      </c>
      <c r="S39" s="23">
        <f t="shared" si="1"/>
        <v>98</v>
      </c>
      <c r="T39" s="23">
        <f t="shared" si="4"/>
        <v>113</v>
      </c>
      <c r="U39" s="23">
        <f t="shared" si="2"/>
        <v>119</v>
      </c>
      <c r="V39" s="23">
        <f t="shared" si="3"/>
        <v>122</v>
      </c>
      <c r="W39" s="18" t="s">
        <v>35</v>
      </c>
      <c r="X39" s="18" t="s">
        <v>20</v>
      </c>
      <c r="Y39" s="18" t="s">
        <v>64</v>
      </c>
      <c r="Z39" s="18" t="s">
        <v>44</v>
      </c>
      <c r="AA39" s="18" t="s">
        <v>14</v>
      </c>
      <c r="AB39" s="18" t="s">
        <v>62</v>
      </c>
      <c r="AC39" s="18" t="s">
        <v>16</v>
      </c>
      <c r="AD39" s="18"/>
      <c r="AE39" s="2">
        <v>0</v>
      </c>
      <c r="AF39" s="2"/>
    </row>
    <row r="40" spans="1:32" x14ac:dyDescent="0.2">
      <c r="A40" s="18" t="s">
        <v>14</v>
      </c>
      <c r="B40" s="18" t="s">
        <v>62</v>
      </c>
      <c r="C40" s="18" t="s">
        <v>16</v>
      </c>
      <c r="D40" s="18" t="s">
        <v>745</v>
      </c>
      <c r="E40" s="18" t="s">
        <v>17</v>
      </c>
      <c r="F40" s="18">
        <v>4</v>
      </c>
      <c r="G40" s="18" t="s">
        <v>71</v>
      </c>
      <c r="H40" s="18" t="s">
        <v>35</v>
      </c>
      <c r="I40" s="18" t="s">
        <v>20</v>
      </c>
      <c r="J40" s="19" t="s">
        <v>752</v>
      </c>
      <c r="K40" s="18" t="s">
        <v>64</v>
      </c>
      <c r="L40" s="18" t="s">
        <v>44</v>
      </c>
      <c r="M40" s="18" t="s">
        <v>65</v>
      </c>
      <c r="N40" s="19">
        <v>39</v>
      </c>
      <c r="O40" s="29">
        <v>45755</v>
      </c>
      <c r="P40" s="2"/>
      <c r="Q40" s="29">
        <v>45770</v>
      </c>
      <c r="R40" s="29">
        <v>45779</v>
      </c>
      <c r="S40" s="23">
        <f t="shared" si="1"/>
        <v>98</v>
      </c>
      <c r="T40" s="23">
        <f>(U40+S40)/2</f>
        <v>105.5</v>
      </c>
      <c r="U40" s="23">
        <f t="shared" si="2"/>
        <v>113</v>
      </c>
      <c r="V40" s="23">
        <f t="shared" si="3"/>
        <v>122</v>
      </c>
      <c r="W40" s="18" t="s">
        <v>35</v>
      </c>
      <c r="X40" s="18" t="s">
        <v>20</v>
      </c>
      <c r="Y40" s="18" t="s">
        <v>64</v>
      </c>
      <c r="Z40" s="18" t="s">
        <v>44</v>
      </c>
      <c r="AA40" s="18" t="s">
        <v>14</v>
      </c>
      <c r="AB40" s="18" t="s">
        <v>62</v>
      </c>
      <c r="AC40" s="18" t="s">
        <v>16</v>
      </c>
      <c r="AD40" s="18"/>
      <c r="AE40" s="2">
        <v>0</v>
      </c>
      <c r="AF40" s="2"/>
    </row>
    <row r="41" spans="1:32" x14ac:dyDescent="0.2">
      <c r="A41" s="18" t="s">
        <v>14</v>
      </c>
      <c r="B41" s="18" t="s">
        <v>62</v>
      </c>
      <c r="C41" s="18" t="s">
        <v>16</v>
      </c>
      <c r="D41" s="18" t="s">
        <v>745</v>
      </c>
      <c r="E41" s="18" t="s">
        <v>24</v>
      </c>
      <c r="F41" s="18">
        <v>4</v>
      </c>
      <c r="G41" s="18" t="s">
        <v>72</v>
      </c>
      <c r="H41" s="18" t="s">
        <v>35</v>
      </c>
      <c r="I41" s="18" t="s">
        <v>20</v>
      </c>
      <c r="J41" s="19" t="s">
        <v>753</v>
      </c>
      <c r="K41" s="18" t="s">
        <v>64</v>
      </c>
      <c r="L41" s="18" t="s">
        <v>44</v>
      </c>
      <c r="M41" s="18" t="s">
        <v>65</v>
      </c>
      <c r="N41" s="19">
        <v>40</v>
      </c>
      <c r="O41" s="29">
        <v>45748</v>
      </c>
      <c r="P41" s="29">
        <v>45762</v>
      </c>
      <c r="Q41" s="29">
        <v>45765</v>
      </c>
      <c r="R41" s="29">
        <v>45776</v>
      </c>
      <c r="S41" s="23">
        <f t="shared" si="1"/>
        <v>91</v>
      </c>
      <c r="T41" s="23">
        <f t="shared" si="4"/>
        <v>105</v>
      </c>
      <c r="U41" s="23">
        <f t="shared" si="2"/>
        <v>108</v>
      </c>
      <c r="V41" s="23">
        <f t="shared" si="3"/>
        <v>119</v>
      </c>
      <c r="W41" s="18" t="s">
        <v>35</v>
      </c>
      <c r="X41" s="18" t="s">
        <v>20</v>
      </c>
      <c r="Y41" s="18" t="s">
        <v>64</v>
      </c>
      <c r="Z41" s="18" t="s">
        <v>44</v>
      </c>
      <c r="AA41" s="18" t="s">
        <v>14</v>
      </c>
      <c r="AB41" s="18" t="s">
        <v>62</v>
      </c>
      <c r="AC41" s="18" t="s">
        <v>16</v>
      </c>
      <c r="AD41" s="18"/>
      <c r="AE41" s="2">
        <v>0</v>
      </c>
      <c r="AF41" s="2"/>
    </row>
    <row r="42" spans="1:32" x14ac:dyDescent="0.2">
      <c r="A42" s="14" t="s">
        <v>14</v>
      </c>
      <c r="B42" s="14" t="s">
        <v>62</v>
      </c>
      <c r="C42" s="14" t="s">
        <v>32</v>
      </c>
      <c r="D42" s="14" t="s">
        <v>754</v>
      </c>
      <c r="E42" s="14" t="s">
        <v>17</v>
      </c>
      <c r="F42" s="14">
        <v>1</v>
      </c>
      <c r="G42" s="14" t="s">
        <v>73</v>
      </c>
      <c r="H42" s="14" t="s">
        <v>19</v>
      </c>
      <c r="I42" s="14" t="s">
        <v>20</v>
      </c>
      <c r="J42" s="13" t="s">
        <v>755</v>
      </c>
      <c r="K42" s="14" t="s">
        <v>64</v>
      </c>
      <c r="L42" s="14" t="s">
        <v>22</v>
      </c>
      <c r="M42" s="14" t="s">
        <v>74</v>
      </c>
      <c r="N42" s="13">
        <v>41</v>
      </c>
      <c r="O42" s="30">
        <v>45770</v>
      </c>
      <c r="P42" s="30">
        <v>45776</v>
      </c>
      <c r="Q42" s="30">
        <v>45779</v>
      </c>
      <c r="R42" s="30">
        <v>45783</v>
      </c>
      <c r="S42" s="23">
        <f t="shared" si="1"/>
        <v>113</v>
      </c>
      <c r="T42" s="23">
        <f t="shared" si="4"/>
        <v>119</v>
      </c>
      <c r="U42" s="23">
        <f t="shared" si="2"/>
        <v>122</v>
      </c>
      <c r="V42" s="23">
        <f t="shared" si="3"/>
        <v>126</v>
      </c>
      <c r="W42" s="14" t="s">
        <v>19</v>
      </c>
      <c r="X42" s="14" t="s">
        <v>20</v>
      </c>
      <c r="Y42" s="14" t="s">
        <v>64</v>
      </c>
      <c r="Z42" s="14" t="s">
        <v>22</v>
      </c>
      <c r="AA42" s="14" t="s">
        <v>14</v>
      </c>
      <c r="AB42" s="14" t="s">
        <v>62</v>
      </c>
      <c r="AC42" s="14" t="s">
        <v>32</v>
      </c>
      <c r="AD42" s="14"/>
      <c r="AE42" s="1">
        <v>0</v>
      </c>
      <c r="AF42" s="1"/>
    </row>
    <row r="43" spans="1:32" x14ac:dyDescent="0.2">
      <c r="A43" s="14" t="s">
        <v>14</v>
      </c>
      <c r="B43" s="14" t="s">
        <v>62</v>
      </c>
      <c r="C43" s="14" t="s">
        <v>32</v>
      </c>
      <c r="D43" s="14" t="s">
        <v>754</v>
      </c>
      <c r="E43" s="14" t="s">
        <v>24</v>
      </c>
      <c r="F43" s="14">
        <v>1</v>
      </c>
      <c r="G43" s="14" t="s">
        <v>75</v>
      </c>
      <c r="H43" s="14" t="s">
        <v>35</v>
      </c>
      <c r="I43" s="14" t="s">
        <v>20</v>
      </c>
      <c r="J43" s="13" t="s">
        <v>756</v>
      </c>
      <c r="K43" s="14" t="s">
        <v>64</v>
      </c>
      <c r="L43" s="14" t="s">
        <v>22</v>
      </c>
      <c r="M43" s="14" t="s">
        <v>74</v>
      </c>
      <c r="N43" s="13">
        <v>42</v>
      </c>
      <c r="O43" s="30">
        <v>45776</v>
      </c>
      <c r="P43" s="30">
        <v>45783</v>
      </c>
      <c r="Q43" s="30">
        <v>45786</v>
      </c>
      <c r="R43" s="30">
        <v>45790</v>
      </c>
      <c r="S43" s="23">
        <f t="shared" si="1"/>
        <v>119</v>
      </c>
      <c r="T43" s="23">
        <f t="shared" si="4"/>
        <v>126</v>
      </c>
      <c r="U43" s="23">
        <f t="shared" si="2"/>
        <v>129</v>
      </c>
      <c r="V43" s="23">
        <f t="shared" si="3"/>
        <v>133</v>
      </c>
      <c r="W43" s="14" t="s">
        <v>35</v>
      </c>
      <c r="X43" s="14" t="s">
        <v>20</v>
      </c>
      <c r="Y43" s="14" t="s">
        <v>64</v>
      </c>
      <c r="Z43" s="14" t="s">
        <v>22</v>
      </c>
      <c r="AA43" s="14" t="s">
        <v>14</v>
      </c>
      <c r="AB43" s="14" t="s">
        <v>62</v>
      </c>
      <c r="AC43" s="14" t="s">
        <v>32</v>
      </c>
      <c r="AD43" s="14"/>
      <c r="AE43" s="1">
        <v>0</v>
      </c>
      <c r="AF43" s="1"/>
    </row>
    <row r="44" spans="1:32" x14ac:dyDescent="0.2">
      <c r="A44" s="14" t="s">
        <v>14</v>
      </c>
      <c r="B44" s="14" t="s">
        <v>62</v>
      </c>
      <c r="C44" s="14" t="s">
        <v>32</v>
      </c>
      <c r="D44" s="14" t="s">
        <v>754</v>
      </c>
      <c r="E44" s="14" t="s">
        <v>17</v>
      </c>
      <c r="F44" s="14">
        <v>2</v>
      </c>
      <c r="G44" s="14" t="s">
        <v>76</v>
      </c>
      <c r="H44" s="14" t="s">
        <v>35</v>
      </c>
      <c r="I44" s="14" t="s">
        <v>20</v>
      </c>
      <c r="J44" s="13" t="s">
        <v>757</v>
      </c>
      <c r="K44" s="14" t="s">
        <v>64</v>
      </c>
      <c r="L44" s="14" t="s">
        <v>22</v>
      </c>
      <c r="M44" s="14" t="s">
        <v>74</v>
      </c>
      <c r="N44" s="13">
        <v>43</v>
      </c>
      <c r="O44" s="30">
        <v>45751</v>
      </c>
      <c r="P44" s="30">
        <v>45762</v>
      </c>
      <c r="Q44" s="30">
        <v>45770</v>
      </c>
      <c r="R44" s="30">
        <v>45779</v>
      </c>
      <c r="S44" s="23">
        <f t="shared" si="1"/>
        <v>94</v>
      </c>
      <c r="T44" s="23">
        <f t="shared" si="4"/>
        <v>105</v>
      </c>
      <c r="U44" s="23">
        <f t="shared" si="2"/>
        <v>113</v>
      </c>
      <c r="V44" s="23">
        <f t="shared" si="3"/>
        <v>122</v>
      </c>
      <c r="W44" s="14" t="s">
        <v>35</v>
      </c>
      <c r="X44" s="14" t="s">
        <v>20</v>
      </c>
      <c r="Y44" s="14" t="s">
        <v>64</v>
      </c>
      <c r="Z44" s="14" t="s">
        <v>22</v>
      </c>
      <c r="AA44" s="14" t="s">
        <v>14</v>
      </c>
      <c r="AB44" s="14" t="s">
        <v>62</v>
      </c>
      <c r="AC44" s="14" t="s">
        <v>32</v>
      </c>
      <c r="AD44" s="14"/>
      <c r="AE44" s="1">
        <v>0</v>
      </c>
      <c r="AF44" s="1"/>
    </row>
    <row r="45" spans="1:32" x14ac:dyDescent="0.2">
      <c r="A45" s="14" t="s">
        <v>14</v>
      </c>
      <c r="B45" s="14" t="s">
        <v>62</v>
      </c>
      <c r="C45" s="14" t="s">
        <v>32</v>
      </c>
      <c r="D45" s="14" t="s">
        <v>754</v>
      </c>
      <c r="E45" s="14" t="s">
        <v>24</v>
      </c>
      <c r="F45" s="14">
        <v>2</v>
      </c>
      <c r="G45" s="14" t="s">
        <v>77</v>
      </c>
      <c r="H45" s="14" t="s">
        <v>19</v>
      </c>
      <c r="I45" s="14" t="s">
        <v>20</v>
      </c>
      <c r="J45" s="13" t="s">
        <v>758</v>
      </c>
      <c r="K45" s="14" t="s">
        <v>64</v>
      </c>
      <c r="L45" s="14" t="s">
        <v>22</v>
      </c>
      <c r="M45" s="14" t="s">
        <v>74</v>
      </c>
      <c r="N45" s="13">
        <v>44</v>
      </c>
      <c r="O45" s="30">
        <v>45762</v>
      </c>
      <c r="P45" s="1"/>
      <c r="Q45" s="30">
        <v>45770</v>
      </c>
      <c r="R45" s="30">
        <v>45779</v>
      </c>
      <c r="S45" s="23">
        <f t="shared" si="1"/>
        <v>105</v>
      </c>
      <c r="T45" s="23">
        <f>(U45+S45)/2</f>
        <v>109</v>
      </c>
      <c r="U45" s="23">
        <f t="shared" si="2"/>
        <v>113</v>
      </c>
      <c r="V45" s="23">
        <f t="shared" si="3"/>
        <v>122</v>
      </c>
      <c r="W45" s="14" t="s">
        <v>19</v>
      </c>
      <c r="X45" s="14" t="s">
        <v>20</v>
      </c>
      <c r="Y45" s="14" t="s">
        <v>64</v>
      </c>
      <c r="Z45" s="14" t="s">
        <v>22</v>
      </c>
      <c r="AA45" s="14" t="s">
        <v>14</v>
      </c>
      <c r="AB45" s="14" t="s">
        <v>62</v>
      </c>
      <c r="AC45" s="14" t="s">
        <v>32</v>
      </c>
      <c r="AD45" s="14"/>
      <c r="AE45" s="1">
        <v>0</v>
      </c>
      <c r="AF45" s="1"/>
    </row>
    <row r="46" spans="1:32" x14ac:dyDescent="0.2">
      <c r="A46" s="14" t="s">
        <v>14</v>
      </c>
      <c r="B46" s="14" t="s">
        <v>62</v>
      </c>
      <c r="C46" s="14" t="s">
        <v>32</v>
      </c>
      <c r="D46" s="14" t="s">
        <v>754</v>
      </c>
      <c r="E46" s="14" t="s">
        <v>17</v>
      </c>
      <c r="F46" s="14">
        <v>3</v>
      </c>
      <c r="G46" s="14" t="s">
        <v>78</v>
      </c>
      <c r="H46" s="14" t="s">
        <v>19</v>
      </c>
      <c r="I46" s="14" t="s">
        <v>20</v>
      </c>
      <c r="J46" s="13" t="s">
        <v>759</v>
      </c>
      <c r="K46" s="14" t="s">
        <v>64</v>
      </c>
      <c r="L46" s="14" t="s">
        <v>22</v>
      </c>
      <c r="M46" s="14" t="s">
        <v>74</v>
      </c>
      <c r="N46" s="13">
        <v>45</v>
      </c>
      <c r="O46" s="30">
        <v>45770</v>
      </c>
      <c r="P46" s="30">
        <v>45779</v>
      </c>
      <c r="Q46" s="30">
        <v>45783</v>
      </c>
      <c r="R46" s="30">
        <v>45786</v>
      </c>
      <c r="S46" s="23">
        <f t="shared" si="1"/>
        <v>113</v>
      </c>
      <c r="T46" s="23">
        <f t="shared" si="4"/>
        <v>122</v>
      </c>
      <c r="U46" s="23">
        <f t="shared" si="2"/>
        <v>126</v>
      </c>
      <c r="V46" s="23">
        <f t="shared" si="3"/>
        <v>129</v>
      </c>
      <c r="W46" s="14" t="s">
        <v>19</v>
      </c>
      <c r="X46" s="14" t="s">
        <v>20</v>
      </c>
      <c r="Y46" s="14" t="s">
        <v>64</v>
      </c>
      <c r="Z46" s="14" t="s">
        <v>22</v>
      </c>
      <c r="AA46" s="14" t="s">
        <v>14</v>
      </c>
      <c r="AB46" s="14" t="s">
        <v>62</v>
      </c>
      <c r="AC46" s="14" t="s">
        <v>32</v>
      </c>
      <c r="AD46" s="14"/>
      <c r="AE46" s="1">
        <v>0</v>
      </c>
      <c r="AF46" s="1"/>
    </row>
    <row r="47" spans="1:32" x14ac:dyDescent="0.2">
      <c r="A47" s="14" t="s">
        <v>14</v>
      </c>
      <c r="B47" s="14" t="s">
        <v>62</v>
      </c>
      <c r="C47" s="14" t="s">
        <v>32</v>
      </c>
      <c r="D47" s="14" t="s">
        <v>754</v>
      </c>
      <c r="E47" s="14" t="s">
        <v>24</v>
      </c>
      <c r="F47" s="14">
        <v>3</v>
      </c>
      <c r="G47" s="14" t="s">
        <v>79</v>
      </c>
      <c r="H47" s="14" t="s">
        <v>35</v>
      </c>
      <c r="I47" s="14" t="s">
        <v>20</v>
      </c>
      <c r="J47" s="13" t="s">
        <v>760</v>
      </c>
      <c r="K47" s="14" t="s">
        <v>64</v>
      </c>
      <c r="L47" s="14" t="s">
        <v>22</v>
      </c>
      <c r="M47" s="14" t="s">
        <v>74</v>
      </c>
      <c r="N47" s="13">
        <v>46</v>
      </c>
      <c r="O47" s="30">
        <v>45755</v>
      </c>
      <c r="P47" s="30">
        <v>45762</v>
      </c>
      <c r="Q47" s="30">
        <v>45770</v>
      </c>
      <c r="R47" s="30">
        <v>45776</v>
      </c>
      <c r="S47" s="23">
        <f t="shared" si="1"/>
        <v>98</v>
      </c>
      <c r="T47" s="23">
        <f t="shared" si="4"/>
        <v>105</v>
      </c>
      <c r="U47" s="23">
        <f t="shared" si="2"/>
        <v>113</v>
      </c>
      <c r="V47" s="23">
        <f t="shared" si="3"/>
        <v>119</v>
      </c>
      <c r="W47" s="14" t="s">
        <v>35</v>
      </c>
      <c r="X47" s="14" t="s">
        <v>20</v>
      </c>
      <c r="Y47" s="14" t="s">
        <v>64</v>
      </c>
      <c r="Z47" s="14" t="s">
        <v>22</v>
      </c>
      <c r="AA47" s="14" t="s">
        <v>14</v>
      </c>
      <c r="AB47" s="14" t="s">
        <v>62</v>
      </c>
      <c r="AC47" s="14" t="s">
        <v>32</v>
      </c>
      <c r="AD47" s="14"/>
      <c r="AE47" s="1">
        <v>0</v>
      </c>
      <c r="AF47" s="1"/>
    </row>
    <row r="48" spans="1:32" x14ac:dyDescent="0.2">
      <c r="A48" s="14" t="s">
        <v>14</v>
      </c>
      <c r="B48" s="14" t="s">
        <v>62</v>
      </c>
      <c r="C48" s="14" t="s">
        <v>32</v>
      </c>
      <c r="D48" s="14" t="s">
        <v>754</v>
      </c>
      <c r="E48" s="14" t="s">
        <v>17</v>
      </c>
      <c r="F48" s="14">
        <v>4</v>
      </c>
      <c r="G48" s="14" t="s">
        <v>80</v>
      </c>
      <c r="H48" s="14" t="s">
        <v>35</v>
      </c>
      <c r="I48" s="14" t="s">
        <v>20</v>
      </c>
      <c r="J48" s="13" t="s">
        <v>761</v>
      </c>
      <c r="K48" s="14" t="s">
        <v>64</v>
      </c>
      <c r="L48" s="14" t="s">
        <v>22</v>
      </c>
      <c r="M48" s="14" t="s">
        <v>74</v>
      </c>
      <c r="N48" s="13">
        <v>47</v>
      </c>
      <c r="O48" s="30">
        <v>45751</v>
      </c>
      <c r="P48" s="30">
        <v>45762</v>
      </c>
      <c r="Q48" s="30">
        <v>45765</v>
      </c>
      <c r="R48" s="30">
        <v>45776</v>
      </c>
      <c r="S48" s="23">
        <f t="shared" si="1"/>
        <v>94</v>
      </c>
      <c r="T48" s="23">
        <f t="shared" si="4"/>
        <v>105</v>
      </c>
      <c r="U48" s="23">
        <f t="shared" si="2"/>
        <v>108</v>
      </c>
      <c r="V48" s="23">
        <f t="shared" si="3"/>
        <v>119</v>
      </c>
      <c r="W48" s="14" t="s">
        <v>35</v>
      </c>
      <c r="X48" s="14" t="s">
        <v>20</v>
      </c>
      <c r="Y48" s="14" t="s">
        <v>64</v>
      </c>
      <c r="Z48" s="14" t="s">
        <v>22</v>
      </c>
      <c r="AA48" s="14" t="s">
        <v>14</v>
      </c>
      <c r="AB48" s="14" t="s">
        <v>62</v>
      </c>
      <c r="AC48" s="14" t="s">
        <v>32</v>
      </c>
      <c r="AD48" s="14"/>
      <c r="AE48" s="1">
        <v>0</v>
      </c>
      <c r="AF48" s="1"/>
    </row>
    <row r="49" spans="1:32" x14ac:dyDescent="0.2">
      <c r="A49" s="14" t="s">
        <v>14</v>
      </c>
      <c r="B49" s="14" t="s">
        <v>62</v>
      </c>
      <c r="C49" s="14" t="s">
        <v>32</v>
      </c>
      <c r="D49" s="14" t="s">
        <v>754</v>
      </c>
      <c r="E49" s="14" t="s">
        <v>24</v>
      </c>
      <c r="F49" s="14">
        <v>4</v>
      </c>
      <c r="G49" s="14" t="s">
        <v>81</v>
      </c>
      <c r="H49" s="14" t="s">
        <v>19</v>
      </c>
      <c r="I49" s="14" t="s">
        <v>20</v>
      </c>
      <c r="J49" s="13" t="s">
        <v>762</v>
      </c>
      <c r="K49" s="14" t="s">
        <v>64</v>
      </c>
      <c r="L49" s="14" t="s">
        <v>22</v>
      </c>
      <c r="M49" s="14" t="s">
        <v>74</v>
      </c>
      <c r="N49" s="13">
        <v>48</v>
      </c>
      <c r="O49" s="30">
        <v>45762</v>
      </c>
      <c r="P49" s="30">
        <v>45772</v>
      </c>
      <c r="Q49" s="30">
        <v>45776</v>
      </c>
      <c r="R49" s="30">
        <v>45779</v>
      </c>
      <c r="S49" s="23">
        <f t="shared" si="1"/>
        <v>105</v>
      </c>
      <c r="T49" s="23">
        <f t="shared" si="4"/>
        <v>115</v>
      </c>
      <c r="U49" s="23">
        <f t="shared" si="2"/>
        <v>119</v>
      </c>
      <c r="V49" s="23">
        <f t="shared" si="3"/>
        <v>122</v>
      </c>
      <c r="W49" s="14" t="s">
        <v>19</v>
      </c>
      <c r="X49" s="14" t="s">
        <v>20</v>
      </c>
      <c r="Y49" s="14" t="s">
        <v>64</v>
      </c>
      <c r="Z49" s="14" t="s">
        <v>22</v>
      </c>
      <c r="AA49" s="14" t="s">
        <v>14</v>
      </c>
      <c r="AB49" s="14" t="s">
        <v>62</v>
      </c>
      <c r="AC49" s="14" t="s">
        <v>32</v>
      </c>
      <c r="AD49" s="14"/>
      <c r="AE49" s="1">
        <v>0</v>
      </c>
      <c r="AF49" s="1"/>
    </row>
    <row r="50" spans="1:32" x14ac:dyDescent="0.2">
      <c r="A50" s="18" t="s">
        <v>14</v>
      </c>
      <c r="B50" s="18" t="s">
        <v>62</v>
      </c>
      <c r="C50" s="18" t="s">
        <v>42</v>
      </c>
      <c r="D50" s="18" t="s">
        <v>763</v>
      </c>
      <c r="E50" s="18" t="s">
        <v>17</v>
      </c>
      <c r="F50" s="18">
        <v>1</v>
      </c>
      <c r="G50" s="18" t="s">
        <v>82</v>
      </c>
      <c r="H50" s="18" t="s">
        <v>19</v>
      </c>
      <c r="I50" s="18" t="s">
        <v>20</v>
      </c>
      <c r="J50" s="19" t="s">
        <v>764</v>
      </c>
      <c r="K50" s="18" t="s">
        <v>21</v>
      </c>
      <c r="L50" s="18" t="s">
        <v>44</v>
      </c>
      <c r="M50" s="18" t="s">
        <v>45</v>
      </c>
      <c r="N50" s="19">
        <v>49</v>
      </c>
      <c r="O50" s="29">
        <v>45758</v>
      </c>
      <c r="P50" s="29">
        <v>45762</v>
      </c>
      <c r="Q50" s="29">
        <v>45770</v>
      </c>
      <c r="R50" s="29">
        <v>45772</v>
      </c>
      <c r="S50" s="23">
        <f t="shared" si="1"/>
        <v>101</v>
      </c>
      <c r="T50" s="23">
        <f t="shared" si="4"/>
        <v>105</v>
      </c>
      <c r="U50" s="23">
        <f t="shared" si="2"/>
        <v>113</v>
      </c>
      <c r="V50" s="23">
        <f t="shared" si="3"/>
        <v>115</v>
      </c>
      <c r="W50" s="18" t="s">
        <v>19</v>
      </c>
      <c r="X50" s="18" t="s">
        <v>20</v>
      </c>
      <c r="Y50" s="18" t="s">
        <v>21</v>
      </c>
      <c r="Z50" s="18" t="s">
        <v>44</v>
      </c>
      <c r="AA50" s="18" t="s">
        <v>14</v>
      </c>
      <c r="AB50" s="18" t="s">
        <v>62</v>
      </c>
      <c r="AC50" s="18" t="s">
        <v>42</v>
      </c>
      <c r="AD50" s="18"/>
      <c r="AE50" s="2">
        <v>0</v>
      </c>
      <c r="AF50" s="2"/>
    </row>
    <row r="51" spans="1:32" x14ac:dyDescent="0.2">
      <c r="A51" s="18" t="s">
        <v>14</v>
      </c>
      <c r="B51" s="18" t="s">
        <v>62</v>
      </c>
      <c r="C51" s="18" t="s">
        <v>42</v>
      </c>
      <c r="D51" s="18" t="s">
        <v>763</v>
      </c>
      <c r="E51" s="18" t="s">
        <v>24</v>
      </c>
      <c r="F51" s="18">
        <v>1</v>
      </c>
      <c r="G51" s="18" t="s">
        <v>83</v>
      </c>
      <c r="H51" s="18" t="s">
        <v>19</v>
      </c>
      <c r="I51" s="18" t="s">
        <v>20</v>
      </c>
      <c r="J51" s="19" t="s">
        <v>765</v>
      </c>
      <c r="K51" s="18" t="s">
        <v>21</v>
      </c>
      <c r="L51" s="18" t="s">
        <v>44</v>
      </c>
      <c r="M51" s="18" t="s">
        <v>45</v>
      </c>
      <c r="N51" s="19">
        <v>50</v>
      </c>
      <c r="O51" s="29">
        <v>45758</v>
      </c>
      <c r="P51" s="29">
        <v>45762</v>
      </c>
      <c r="Q51" s="29">
        <v>45765</v>
      </c>
      <c r="R51" s="29">
        <v>45770</v>
      </c>
      <c r="S51" s="23">
        <f t="shared" si="1"/>
        <v>101</v>
      </c>
      <c r="T51" s="23">
        <f t="shared" si="4"/>
        <v>105</v>
      </c>
      <c r="U51" s="23">
        <f t="shared" si="2"/>
        <v>108</v>
      </c>
      <c r="V51" s="23">
        <f t="shared" si="3"/>
        <v>113</v>
      </c>
      <c r="W51" s="18" t="s">
        <v>19</v>
      </c>
      <c r="X51" s="18" t="s">
        <v>20</v>
      </c>
      <c r="Y51" s="18" t="s">
        <v>21</v>
      </c>
      <c r="Z51" s="18" t="s">
        <v>44</v>
      </c>
      <c r="AA51" s="18" t="s">
        <v>14</v>
      </c>
      <c r="AB51" s="18" t="s">
        <v>62</v>
      </c>
      <c r="AC51" s="18" t="s">
        <v>42</v>
      </c>
      <c r="AD51" s="18"/>
      <c r="AE51" s="2">
        <v>0</v>
      </c>
      <c r="AF51" s="2"/>
    </row>
    <row r="52" spans="1:32" x14ac:dyDescent="0.2">
      <c r="A52" s="18" t="s">
        <v>14</v>
      </c>
      <c r="B52" s="18" t="s">
        <v>62</v>
      </c>
      <c r="C52" s="18" t="s">
        <v>42</v>
      </c>
      <c r="D52" s="18" t="s">
        <v>763</v>
      </c>
      <c r="E52" s="18" t="s">
        <v>17</v>
      </c>
      <c r="F52" s="18">
        <v>2</v>
      </c>
      <c r="G52" s="18" t="s">
        <v>84</v>
      </c>
      <c r="H52" s="18" t="s">
        <v>19</v>
      </c>
      <c r="I52" s="18" t="s">
        <v>20</v>
      </c>
      <c r="J52" s="19" t="s">
        <v>766</v>
      </c>
      <c r="K52" s="18" t="s">
        <v>21</v>
      </c>
      <c r="L52" s="18" t="s">
        <v>44</v>
      </c>
      <c r="M52" s="18" t="s">
        <v>45</v>
      </c>
      <c r="N52" s="19">
        <v>51</v>
      </c>
      <c r="O52" s="29">
        <v>45765</v>
      </c>
      <c r="P52" s="29">
        <v>45770</v>
      </c>
      <c r="Q52" s="29">
        <v>45776</v>
      </c>
      <c r="R52" s="29">
        <v>45779</v>
      </c>
      <c r="S52" s="23">
        <f t="shared" si="1"/>
        <v>108</v>
      </c>
      <c r="T52" s="23">
        <f t="shared" si="4"/>
        <v>113</v>
      </c>
      <c r="U52" s="23">
        <f t="shared" si="2"/>
        <v>119</v>
      </c>
      <c r="V52" s="23">
        <f t="shared" si="3"/>
        <v>122</v>
      </c>
      <c r="W52" s="18" t="s">
        <v>19</v>
      </c>
      <c r="X52" s="18" t="s">
        <v>20</v>
      </c>
      <c r="Y52" s="18" t="s">
        <v>21</v>
      </c>
      <c r="Z52" s="18" t="s">
        <v>44</v>
      </c>
      <c r="AA52" s="18" t="s">
        <v>14</v>
      </c>
      <c r="AB52" s="18" t="s">
        <v>62</v>
      </c>
      <c r="AC52" s="18" t="s">
        <v>42</v>
      </c>
      <c r="AD52" s="18"/>
      <c r="AE52" s="2">
        <v>0</v>
      </c>
      <c r="AF52" s="2"/>
    </row>
    <row r="53" spans="1:32" x14ac:dyDescent="0.2">
      <c r="A53" s="18" t="s">
        <v>14</v>
      </c>
      <c r="B53" s="18" t="s">
        <v>62</v>
      </c>
      <c r="C53" s="18" t="s">
        <v>42</v>
      </c>
      <c r="D53" s="18" t="s">
        <v>763</v>
      </c>
      <c r="E53" s="18" t="s">
        <v>24</v>
      </c>
      <c r="F53" s="18">
        <v>2</v>
      </c>
      <c r="G53" s="18" t="s">
        <v>85</v>
      </c>
      <c r="H53" s="18" t="s">
        <v>19</v>
      </c>
      <c r="I53" s="18" t="s">
        <v>20</v>
      </c>
      <c r="J53" s="19" t="s">
        <v>767</v>
      </c>
      <c r="K53" s="18" t="s">
        <v>21</v>
      </c>
      <c r="L53" s="18" t="s">
        <v>44</v>
      </c>
      <c r="M53" s="18" t="s">
        <v>45</v>
      </c>
      <c r="N53" s="19">
        <v>52</v>
      </c>
      <c r="O53" s="29">
        <v>45762</v>
      </c>
      <c r="P53" s="29">
        <v>45770</v>
      </c>
      <c r="Q53" s="29">
        <v>45776</v>
      </c>
      <c r="R53" s="29">
        <v>45779</v>
      </c>
      <c r="S53" s="23">
        <f t="shared" si="1"/>
        <v>105</v>
      </c>
      <c r="T53" s="23">
        <f t="shared" si="4"/>
        <v>113</v>
      </c>
      <c r="U53" s="23">
        <f t="shared" si="2"/>
        <v>119</v>
      </c>
      <c r="V53" s="23">
        <f t="shared" si="3"/>
        <v>122</v>
      </c>
      <c r="W53" s="18" t="s">
        <v>19</v>
      </c>
      <c r="X53" s="18" t="s">
        <v>20</v>
      </c>
      <c r="Y53" s="18" t="s">
        <v>21</v>
      </c>
      <c r="Z53" s="18" t="s">
        <v>44</v>
      </c>
      <c r="AA53" s="18" t="s">
        <v>14</v>
      </c>
      <c r="AB53" s="18" t="s">
        <v>62</v>
      </c>
      <c r="AC53" s="18" t="s">
        <v>42</v>
      </c>
      <c r="AD53" s="18"/>
      <c r="AE53" s="2">
        <v>0</v>
      </c>
      <c r="AF53" s="2"/>
    </row>
    <row r="54" spans="1:32" x14ac:dyDescent="0.2">
      <c r="A54" s="18" t="s">
        <v>14</v>
      </c>
      <c r="B54" s="18" t="s">
        <v>62</v>
      </c>
      <c r="C54" s="18" t="s">
        <v>42</v>
      </c>
      <c r="D54" s="18" t="s">
        <v>763</v>
      </c>
      <c r="E54" s="18" t="s">
        <v>17</v>
      </c>
      <c r="F54" s="18">
        <v>3</v>
      </c>
      <c r="G54" s="18" t="s">
        <v>86</v>
      </c>
      <c r="H54" s="18" t="s">
        <v>19</v>
      </c>
      <c r="I54" s="18" t="s">
        <v>20</v>
      </c>
      <c r="J54" s="19" t="s">
        <v>768</v>
      </c>
      <c r="K54" s="18" t="s">
        <v>21</v>
      </c>
      <c r="L54" s="18" t="s">
        <v>44</v>
      </c>
      <c r="M54" s="18" t="s">
        <v>45</v>
      </c>
      <c r="N54" s="19">
        <v>53</v>
      </c>
      <c r="O54" s="29">
        <v>45755</v>
      </c>
      <c r="P54" s="29">
        <v>45765</v>
      </c>
      <c r="Q54" s="29">
        <v>45776</v>
      </c>
      <c r="R54" s="29">
        <v>45779</v>
      </c>
      <c r="S54" s="23">
        <f t="shared" si="1"/>
        <v>98</v>
      </c>
      <c r="T54" s="23">
        <f t="shared" si="4"/>
        <v>108</v>
      </c>
      <c r="U54" s="23">
        <f t="shared" si="2"/>
        <v>119</v>
      </c>
      <c r="V54" s="23">
        <f t="shared" si="3"/>
        <v>122</v>
      </c>
      <c r="W54" s="18" t="s">
        <v>19</v>
      </c>
      <c r="X54" s="18" t="s">
        <v>20</v>
      </c>
      <c r="Y54" s="18" t="s">
        <v>21</v>
      </c>
      <c r="Z54" s="18" t="s">
        <v>44</v>
      </c>
      <c r="AA54" s="18" t="s">
        <v>14</v>
      </c>
      <c r="AB54" s="18" t="s">
        <v>62</v>
      </c>
      <c r="AC54" s="18" t="s">
        <v>42</v>
      </c>
      <c r="AD54" s="18"/>
      <c r="AE54" s="2">
        <v>0</v>
      </c>
      <c r="AF54" s="2"/>
    </row>
    <row r="55" spans="1:32" x14ac:dyDescent="0.2">
      <c r="A55" s="18" t="s">
        <v>14</v>
      </c>
      <c r="B55" s="18" t="s">
        <v>62</v>
      </c>
      <c r="C55" s="18" t="s">
        <v>42</v>
      </c>
      <c r="D55" s="18" t="s">
        <v>763</v>
      </c>
      <c r="E55" s="18" t="s">
        <v>24</v>
      </c>
      <c r="F55" s="18">
        <v>3</v>
      </c>
      <c r="G55" s="18" t="s">
        <v>87</v>
      </c>
      <c r="H55" s="18" t="s">
        <v>19</v>
      </c>
      <c r="I55" s="18" t="s">
        <v>20</v>
      </c>
      <c r="J55" s="19" t="s">
        <v>769</v>
      </c>
      <c r="K55" s="18" t="s">
        <v>21</v>
      </c>
      <c r="L55" s="18" t="s">
        <v>44</v>
      </c>
      <c r="M55" s="18" t="s">
        <v>45</v>
      </c>
      <c r="N55" s="19">
        <v>54</v>
      </c>
      <c r="O55" s="29">
        <v>45770</v>
      </c>
      <c r="P55" s="29">
        <v>45776</v>
      </c>
      <c r="Q55" s="29">
        <v>45779</v>
      </c>
      <c r="R55" s="29">
        <v>45783</v>
      </c>
      <c r="S55" s="23">
        <f t="shared" si="1"/>
        <v>113</v>
      </c>
      <c r="T55" s="23">
        <f t="shared" si="4"/>
        <v>119</v>
      </c>
      <c r="U55" s="23">
        <f t="shared" si="2"/>
        <v>122</v>
      </c>
      <c r="V55" s="23">
        <f t="shared" si="3"/>
        <v>126</v>
      </c>
      <c r="W55" s="18" t="s">
        <v>19</v>
      </c>
      <c r="X55" s="18" t="s">
        <v>20</v>
      </c>
      <c r="Y55" s="18" t="s">
        <v>21</v>
      </c>
      <c r="Z55" s="18" t="s">
        <v>44</v>
      </c>
      <c r="AA55" s="18" t="s">
        <v>14</v>
      </c>
      <c r="AB55" s="18" t="s">
        <v>62</v>
      </c>
      <c r="AC55" s="18" t="s">
        <v>42</v>
      </c>
      <c r="AD55" s="18"/>
      <c r="AE55" s="2">
        <v>0</v>
      </c>
      <c r="AF55" s="2"/>
    </row>
    <row r="56" spans="1:32" x14ac:dyDescent="0.2">
      <c r="A56" s="18" t="s">
        <v>14</v>
      </c>
      <c r="B56" s="18" t="s">
        <v>62</v>
      </c>
      <c r="C56" s="18" t="s">
        <v>42</v>
      </c>
      <c r="D56" s="18" t="s">
        <v>763</v>
      </c>
      <c r="E56" s="18" t="s">
        <v>17</v>
      </c>
      <c r="F56" s="18">
        <v>4</v>
      </c>
      <c r="G56" s="18" t="s">
        <v>88</v>
      </c>
      <c r="H56" s="18" t="s">
        <v>19</v>
      </c>
      <c r="I56" s="18" t="s">
        <v>20</v>
      </c>
      <c r="J56" s="19" t="s">
        <v>770</v>
      </c>
      <c r="K56" s="18" t="s">
        <v>21</v>
      </c>
      <c r="L56" s="18" t="s">
        <v>44</v>
      </c>
      <c r="M56" s="18" t="s">
        <v>45</v>
      </c>
      <c r="N56" s="19">
        <v>55</v>
      </c>
      <c r="O56" s="29">
        <v>45758</v>
      </c>
      <c r="P56" s="29">
        <v>45762</v>
      </c>
      <c r="Q56" s="29">
        <v>45770</v>
      </c>
      <c r="R56" s="29">
        <v>45772</v>
      </c>
      <c r="S56" s="23">
        <f t="shared" si="1"/>
        <v>101</v>
      </c>
      <c r="T56" s="23">
        <f t="shared" si="4"/>
        <v>105</v>
      </c>
      <c r="U56" s="23">
        <f t="shared" si="2"/>
        <v>113</v>
      </c>
      <c r="V56" s="23">
        <f t="shared" si="3"/>
        <v>115</v>
      </c>
      <c r="W56" s="18" t="s">
        <v>19</v>
      </c>
      <c r="X56" s="18" t="s">
        <v>20</v>
      </c>
      <c r="Y56" s="18" t="s">
        <v>21</v>
      </c>
      <c r="Z56" s="18" t="s">
        <v>44</v>
      </c>
      <c r="AA56" s="18" t="s">
        <v>14</v>
      </c>
      <c r="AB56" s="18" t="s">
        <v>62</v>
      </c>
      <c r="AC56" s="18" t="s">
        <v>42</v>
      </c>
      <c r="AD56" s="18"/>
      <c r="AE56" s="2">
        <v>0</v>
      </c>
      <c r="AF56" s="2"/>
    </row>
    <row r="57" spans="1:32" x14ac:dyDescent="0.2">
      <c r="A57" s="18" t="s">
        <v>14</v>
      </c>
      <c r="B57" s="18" t="s">
        <v>62</v>
      </c>
      <c r="C57" s="18" t="s">
        <v>42</v>
      </c>
      <c r="D57" s="18" t="s">
        <v>763</v>
      </c>
      <c r="E57" s="18" t="s">
        <v>24</v>
      </c>
      <c r="F57" s="18">
        <v>4</v>
      </c>
      <c r="G57" s="18" t="s">
        <v>89</v>
      </c>
      <c r="H57" s="18" t="s">
        <v>19</v>
      </c>
      <c r="I57" s="18" t="s">
        <v>20</v>
      </c>
      <c r="J57" s="19" t="s">
        <v>771</v>
      </c>
      <c r="K57" s="18" t="s">
        <v>21</v>
      </c>
      <c r="L57" s="18" t="s">
        <v>44</v>
      </c>
      <c r="M57" s="18" t="s">
        <v>45</v>
      </c>
      <c r="N57" s="19">
        <v>56</v>
      </c>
      <c r="O57" s="29">
        <v>45758</v>
      </c>
      <c r="P57" s="29">
        <v>45762</v>
      </c>
      <c r="Q57" s="29">
        <v>45765</v>
      </c>
      <c r="R57" s="29">
        <v>45770</v>
      </c>
      <c r="S57" s="23">
        <f t="shared" si="1"/>
        <v>101</v>
      </c>
      <c r="T57" s="23">
        <f t="shared" si="4"/>
        <v>105</v>
      </c>
      <c r="U57" s="23">
        <f t="shared" si="2"/>
        <v>108</v>
      </c>
      <c r="V57" s="23">
        <f t="shared" si="3"/>
        <v>113</v>
      </c>
      <c r="W57" s="18" t="s">
        <v>19</v>
      </c>
      <c r="X57" s="18" t="s">
        <v>20</v>
      </c>
      <c r="Y57" s="18" t="s">
        <v>21</v>
      </c>
      <c r="Z57" s="18" t="s">
        <v>44</v>
      </c>
      <c r="AA57" s="18" t="s">
        <v>14</v>
      </c>
      <c r="AB57" s="18" t="s">
        <v>62</v>
      </c>
      <c r="AC57" s="18" t="s">
        <v>42</v>
      </c>
      <c r="AD57" s="18"/>
      <c r="AE57" s="2">
        <v>0</v>
      </c>
      <c r="AF57" s="2"/>
    </row>
    <row r="58" spans="1:32" x14ac:dyDescent="0.2">
      <c r="A58" s="14" t="s">
        <v>14</v>
      </c>
      <c r="B58" s="14" t="s">
        <v>62</v>
      </c>
      <c r="C58" s="14" t="s">
        <v>53</v>
      </c>
      <c r="D58" s="14" t="s">
        <v>772</v>
      </c>
      <c r="E58" s="14" t="s">
        <v>17</v>
      </c>
      <c r="F58" s="14">
        <v>1</v>
      </c>
      <c r="G58" s="14" t="s">
        <v>90</v>
      </c>
      <c r="H58" s="14" t="s">
        <v>35</v>
      </c>
      <c r="I58" s="14" t="s">
        <v>20</v>
      </c>
      <c r="J58" s="13" t="s">
        <v>773</v>
      </c>
      <c r="K58" s="14" t="s">
        <v>21</v>
      </c>
      <c r="L58" s="14" t="s">
        <v>22</v>
      </c>
      <c r="M58" s="14" t="s">
        <v>23</v>
      </c>
      <c r="N58" s="13">
        <v>57</v>
      </c>
      <c r="O58" s="30">
        <v>45776</v>
      </c>
      <c r="P58" s="30">
        <v>45779</v>
      </c>
      <c r="Q58" s="30">
        <v>45790</v>
      </c>
      <c r="R58" s="30">
        <v>45793</v>
      </c>
      <c r="S58" s="23">
        <f t="shared" si="1"/>
        <v>119</v>
      </c>
      <c r="T58" s="23">
        <f t="shared" si="4"/>
        <v>122</v>
      </c>
      <c r="U58" s="23">
        <f t="shared" si="2"/>
        <v>133</v>
      </c>
      <c r="V58" s="23">
        <f t="shared" si="3"/>
        <v>136</v>
      </c>
      <c r="W58" s="14" t="s">
        <v>35</v>
      </c>
      <c r="X58" s="14" t="s">
        <v>20</v>
      </c>
      <c r="Y58" s="14" t="s">
        <v>21</v>
      </c>
      <c r="Z58" s="14" t="s">
        <v>22</v>
      </c>
      <c r="AA58" s="14" t="s">
        <v>14</v>
      </c>
      <c r="AB58" s="14" t="s">
        <v>62</v>
      </c>
      <c r="AC58" s="14" t="s">
        <v>53</v>
      </c>
      <c r="AD58" s="14"/>
      <c r="AE58" s="1">
        <v>0</v>
      </c>
      <c r="AF58" s="1"/>
    </row>
    <row r="59" spans="1:32" x14ac:dyDescent="0.2">
      <c r="A59" s="14" t="s">
        <v>14</v>
      </c>
      <c r="B59" s="14" t="s">
        <v>62</v>
      </c>
      <c r="C59" s="6" t="s">
        <v>53</v>
      </c>
      <c r="D59" s="14" t="s">
        <v>772</v>
      </c>
      <c r="E59" s="14" t="s">
        <v>24</v>
      </c>
      <c r="F59" s="14">
        <v>1</v>
      </c>
      <c r="G59" s="14" t="s">
        <v>91</v>
      </c>
      <c r="H59" s="14" t="s">
        <v>35</v>
      </c>
      <c r="I59" s="14" t="s">
        <v>20</v>
      </c>
      <c r="J59" s="13" t="s">
        <v>774</v>
      </c>
      <c r="K59" s="14" t="s">
        <v>21</v>
      </c>
      <c r="L59" s="14" t="s">
        <v>22</v>
      </c>
      <c r="M59" s="14" t="s">
        <v>23</v>
      </c>
      <c r="N59" s="13">
        <v>58</v>
      </c>
      <c r="O59" s="30">
        <v>45770</v>
      </c>
      <c r="P59" s="1"/>
      <c r="Q59" s="30">
        <v>45779</v>
      </c>
      <c r="R59" s="30">
        <v>45790</v>
      </c>
      <c r="S59" s="23">
        <f t="shared" si="1"/>
        <v>113</v>
      </c>
      <c r="T59" s="23">
        <f>(U59+S59)/2</f>
        <v>117.5</v>
      </c>
      <c r="U59" s="23">
        <f t="shared" si="2"/>
        <v>122</v>
      </c>
      <c r="V59" s="23">
        <f t="shared" si="3"/>
        <v>133</v>
      </c>
      <c r="W59" s="14" t="s">
        <v>35</v>
      </c>
      <c r="X59" s="14" t="s">
        <v>20</v>
      </c>
      <c r="Y59" s="14" t="s">
        <v>21</v>
      </c>
      <c r="Z59" s="14" t="s">
        <v>22</v>
      </c>
      <c r="AA59" s="14" t="s">
        <v>14</v>
      </c>
      <c r="AB59" s="14" t="s">
        <v>62</v>
      </c>
      <c r="AC59" s="6" t="s">
        <v>53</v>
      </c>
      <c r="AD59" s="6"/>
      <c r="AE59" s="1">
        <v>0</v>
      </c>
      <c r="AF59" s="1"/>
    </row>
    <row r="60" spans="1:32" x14ac:dyDescent="0.2">
      <c r="A60" s="14" t="s">
        <v>14</v>
      </c>
      <c r="B60" s="14" t="s">
        <v>62</v>
      </c>
      <c r="C60" s="6" t="s">
        <v>53</v>
      </c>
      <c r="D60" s="14" t="s">
        <v>772</v>
      </c>
      <c r="E60" s="14" t="s">
        <v>17</v>
      </c>
      <c r="F60" s="14">
        <v>2</v>
      </c>
      <c r="G60" s="14" t="s">
        <v>92</v>
      </c>
      <c r="H60" s="14" t="s">
        <v>35</v>
      </c>
      <c r="I60" s="14" t="s">
        <v>20</v>
      </c>
      <c r="J60" s="13" t="s">
        <v>775</v>
      </c>
      <c r="K60" s="14" t="s">
        <v>21</v>
      </c>
      <c r="L60" s="14" t="s">
        <v>22</v>
      </c>
      <c r="M60" s="14" t="s">
        <v>23</v>
      </c>
      <c r="N60" s="13">
        <v>59</v>
      </c>
      <c r="O60" s="30">
        <v>45748</v>
      </c>
      <c r="P60" s="30">
        <v>45751</v>
      </c>
      <c r="Q60" s="30">
        <v>45765</v>
      </c>
      <c r="R60" s="30">
        <v>45776</v>
      </c>
      <c r="S60" s="23">
        <f t="shared" si="1"/>
        <v>91</v>
      </c>
      <c r="T60" s="23">
        <f t="shared" si="4"/>
        <v>94</v>
      </c>
      <c r="U60" s="23">
        <f t="shared" si="2"/>
        <v>108</v>
      </c>
      <c r="V60" s="23">
        <f t="shared" si="3"/>
        <v>119</v>
      </c>
      <c r="W60" s="14" t="s">
        <v>35</v>
      </c>
      <c r="X60" s="14" t="s">
        <v>20</v>
      </c>
      <c r="Y60" s="14" t="s">
        <v>21</v>
      </c>
      <c r="Z60" s="14" t="s">
        <v>22</v>
      </c>
      <c r="AA60" s="14" t="s">
        <v>14</v>
      </c>
      <c r="AB60" s="14" t="s">
        <v>62</v>
      </c>
      <c r="AC60" s="6" t="s">
        <v>53</v>
      </c>
      <c r="AD60" s="6"/>
      <c r="AE60" s="1">
        <v>0</v>
      </c>
      <c r="AF60" s="1"/>
    </row>
    <row r="61" spans="1:32" x14ac:dyDescent="0.2">
      <c r="A61" s="14" t="s">
        <v>14</v>
      </c>
      <c r="B61" s="14" t="s">
        <v>62</v>
      </c>
      <c r="C61" s="6" t="s">
        <v>53</v>
      </c>
      <c r="D61" s="14" t="s">
        <v>772</v>
      </c>
      <c r="E61" s="14" t="s">
        <v>24</v>
      </c>
      <c r="F61" s="14">
        <v>2</v>
      </c>
      <c r="G61" s="14" t="s">
        <v>93</v>
      </c>
      <c r="H61" s="14" t="s">
        <v>35</v>
      </c>
      <c r="I61" s="14" t="s">
        <v>20</v>
      </c>
      <c r="J61" s="13" t="s">
        <v>776</v>
      </c>
      <c r="K61" s="14" t="s">
        <v>21</v>
      </c>
      <c r="L61" s="14" t="s">
        <v>22</v>
      </c>
      <c r="M61" s="14" t="s">
        <v>23</v>
      </c>
      <c r="N61" s="13">
        <v>60</v>
      </c>
      <c r="O61" s="30">
        <v>45772</v>
      </c>
      <c r="P61" s="30">
        <v>45779</v>
      </c>
      <c r="Q61" s="30">
        <v>45783</v>
      </c>
      <c r="R61" s="30">
        <v>45790</v>
      </c>
      <c r="S61" s="23">
        <f t="shared" si="1"/>
        <v>115</v>
      </c>
      <c r="T61" s="23">
        <f t="shared" si="4"/>
        <v>122</v>
      </c>
      <c r="U61" s="23">
        <f t="shared" si="2"/>
        <v>126</v>
      </c>
      <c r="V61" s="23">
        <f t="shared" si="3"/>
        <v>133</v>
      </c>
      <c r="W61" s="14" t="s">
        <v>35</v>
      </c>
      <c r="X61" s="14" t="s">
        <v>20</v>
      </c>
      <c r="Y61" s="14" t="s">
        <v>21</v>
      </c>
      <c r="Z61" s="14" t="s">
        <v>22</v>
      </c>
      <c r="AA61" s="14" t="s">
        <v>14</v>
      </c>
      <c r="AB61" s="14" t="s">
        <v>62</v>
      </c>
      <c r="AC61" s="6" t="s">
        <v>53</v>
      </c>
      <c r="AD61" s="6"/>
      <c r="AE61" s="1">
        <v>0</v>
      </c>
      <c r="AF61" s="1"/>
    </row>
    <row r="62" spans="1:32" x14ac:dyDescent="0.2">
      <c r="A62" s="14" t="s">
        <v>14</v>
      </c>
      <c r="B62" s="14" t="s">
        <v>62</v>
      </c>
      <c r="C62" s="6" t="s">
        <v>53</v>
      </c>
      <c r="D62" s="14" t="s">
        <v>772</v>
      </c>
      <c r="E62" s="14" t="s">
        <v>17</v>
      </c>
      <c r="F62" s="14">
        <v>3</v>
      </c>
      <c r="G62" s="14" t="s">
        <v>94</v>
      </c>
      <c r="H62" s="14" t="s">
        <v>35</v>
      </c>
      <c r="I62" s="14" t="s">
        <v>20</v>
      </c>
      <c r="J62" s="13" t="s">
        <v>777</v>
      </c>
      <c r="K62" s="14" t="s">
        <v>21</v>
      </c>
      <c r="L62" s="14" t="s">
        <v>22</v>
      </c>
      <c r="M62" s="14" t="s">
        <v>23</v>
      </c>
      <c r="N62" s="13">
        <v>61</v>
      </c>
      <c r="O62" s="30">
        <v>45779</v>
      </c>
      <c r="P62" s="30">
        <v>45783</v>
      </c>
      <c r="Q62" s="30">
        <v>45790</v>
      </c>
      <c r="R62" s="30">
        <v>45797</v>
      </c>
      <c r="S62" s="23">
        <f t="shared" si="1"/>
        <v>122</v>
      </c>
      <c r="T62" s="23">
        <f t="shared" si="4"/>
        <v>126</v>
      </c>
      <c r="U62" s="23">
        <f t="shared" si="2"/>
        <v>133</v>
      </c>
      <c r="V62" s="23">
        <f t="shared" si="3"/>
        <v>140</v>
      </c>
      <c r="W62" s="14" t="s">
        <v>35</v>
      </c>
      <c r="X62" s="14" t="s">
        <v>20</v>
      </c>
      <c r="Y62" s="14" t="s">
        <v>21</v>
      </c>
      <c r="Z62" s="14" t="s">
        <v>22</v>
      </c>
      <c r="AA62" s="14" t="s">
        <v>14</v>
      </c>
      <c r="AB62" s="14" t="s">
        <v>62</v>
      </c>
      <c r="AC62" s="6" t="s">
        <v>53</v>
      </c>
      <c r="AD62" s="6"/>
      <c r="AE62" s="1">
        <v>0</v>
      </c>
      <c r="AF62" s="1"/>
    </row>
    <row r="63" spans="1:32" x14ac:dyDescent="0.2">
      <c r="A63" s="14" t="s">
        <v>14</v>
      </c>
      <c r="B63" s="14" t="s">
        <v>62</v>
      </c>
      <c r="C63" s="6" t="s">
        <v>53</v>
      </c>
      <c r="D63" s="14" t="s">
        <v>772</v>
      </c>
      <c r="E63" s="14" t="s">
        <v>24</v>
      </c>
      <c r="F63" s="14">
        <v>3</v>
      </c>
      <c r="G63" s="14" t="s">
        <v>95</v>
      </c>
      <c r="H63" s="14" t="s">
        <v>35</v>
      </c>
      <c r="I63" s="14" t="s">
        <v>20</v>
      </c>
      <c r="J63" s="13" t="s">
        <v>778</v>
      </c>
      <c r="K63" s="14" t="s">
        <v>21</v>
      </c>
      <c r="L63" s="14" t="s">
        <v>22</v>
      </c>
      <c r="M63" s="14" t="s">
        <v>23</v>
      </c>
      <c r="N63" s="13">
        <v>62</v>
      </c>
      <c r="O63" s="30">
        <v>45762</v>
      </c>
      <c r="P63" s="30">
        <v>45776</v>
      </c>
      <c r="Q63" s="30">
        <v>45779</v>
      </c>
      <c r="R63" s="30">
        <v>45783</v>
      </c>
      <c r="S63" s="23">
        <f t="shared" si="1"/>
        <v>105</v>
      </c>
      <c r="T63" s="23">
        <f t="shared" si="4"/>
        <v>119</v>
      </c>
      <c r="U63" s="23">
        <f t="shared" si="2"/>
        <v>122</v>
      </c>
      <c r="V63" s="23">
        <f t="shared" si="3"/>
        <v>126</v>
      </c>
      <c r="W63" s="14" t="s">
        <v>35</v>
      </c>
      <c r="X63" s="14" t="s">
        <v>20</v>
      </c>
      <c r="Y63" s="14" t="s">
        <v>21</v>
      </c>
      <c r="Z63" s="14" t="s">
        <v>22</v>
      </c>
      <c r="AA63" s="14" t="s">
        <v>14</v>
      </c>
      <c r="AB63" s="14" t="s">
        <v>62</v>
      </c>
      <c r="AC63" s="6" t="s">
        <v>53</v>
      </c>
      <c r="AD63" s="6"/>
      <c r="AE63" s="1">
        <v>0</v>
      </c>
      <c r="AF63" s="1"/>
    </row>
    <row r="64" spans="1:32" x14ac:dyDescent="0.2">
      <c r="A64" s="14" t="s">
        <v>14</v>
      </c>
      <c r="B64" s="14" t="s">
        <v>62</v>
      </c>
      <c r="C64" s="6" t="s">
        <v>53</v>
      </c>
      <c r="D64" s="14" t="s">
        <v>772</v>
      </c>
      <c r="E64" s="14" t="s">
        <v>17</v>
      </c>
      <c r="F64" s="14">
        <v>4</v>
      </c>
      <c r="G64" s="14" t="s">
        <v>96</v>
      </c>
      <c r="H64" s="14" t="s">
        <v>35</v>
      </c>
      <c r="I64" s="14" t="s">
        <v>20</v>
      </c>
      <c r="J64" s="13" t="s">
        <v>779</v>
      </c>
      <c r="K64" s="14" t="s">
        <v>21</v>
      </c>
      <c r="L64" s="14" t="s">
        <v>22</v>
      </c>
      <c r="M64" s="14" t="s">
        <v>23</v>
      </c>
      <c r="N64" s="13">
        <v>63</v>
      </c>
      <c r="O64" s="30">
        <v>45770</v>
      </c>
      <c r="P64" s="30">
        <v>45779</v>
      </c>
      <c r="Q64" s="30">
        <v>45783</v>
      </c>
      <c r="R64" s="30">
        <v>45790</v>
      </c>
      <c r="S64" s="23">
        <f t="shared" si="1"/>
        <v>113</v>
      </c>
      <c r="T64" s="23">
        <f t="shared" si="4"/>
        <v>122</v>
      </c>
      <c r="U64" s="23">
        <f t="shared" si="2"/>
        <v>126</v>
      </c>
      <c r="V64" s="23">
        <f t="shared" si="3"/>
        <v>133</v>
      </c>
      <c r="W64" s="14" t="s">
        <v>35</v>
      </c>
      <c r="X64" s="14" t="s">
        <v>20</v>
      </c>
      <c r="Y64" s="14" t="s">
        <v>21</v>
      </c>
      <c r="Z64" s="14" t="s">
        <v>22</v>
      </c>
      <c r="AA64" s="14" t="s">
        <v>14</v>
      </c>
      <c r="AB64" s="14" t="s">
        <v>62</v>
      </c>
      <c r="AC64" s="6" t="s">
        <v>53</v>
      </c>
      <c r="AD64" s="6"/>
      <c r="AE64" s="1">
        <v>0</v>
      </c>
      <c r="AF64" s="1"/>
    </row>
    <row r="65" spans="1:32" x14ac:dyDescent="0.2">
      <c r="A65" s="14" t="s">
        <v>14</v>
      </c>
      <c r="B65" s="14" t="s">
        <v>62</v>
      </c>
      <c r="C65" s="6" t="s">
        <v>53</v>
      </c>
      <c r="D65" s="14" t="s">
        <v>772</v>
      </c>
      <c r="E65" s="14" t="s">
        <v>24</v>
      </c>
      <c r="F65" s="14">
        <v>4</v>
      </c>
      <c r="G65" s="14" t="s">
        <v>97</v>
      </c>
      <c r="H65" s="14" t="s">
        <v>35</v>
      </c>
      <c r="I65" s="14" t="s">
        <v>20</v>
      </c>
      <c r="J65" s="13" t="s">
        <v>780</v>
      </c>
      <c r="K65" s="14" t="s">
        <v>21</v>
      </c>
      <c r="L65" s="14" t="s">
        <v>22</v>
      </c>
      <c r="M65" s="14" t="s">
        <v>23</v>
      </c>
      <c r="N65" s="13">
        <v>64</v>
      </c>
      <c r="O65" s="30">
        <v>45770</v>
      </c>
      <c r="P65" s="30">
        <v>45779</v>
      </c>
      <c r="Q65" s="30">
        <v>45783</v>
      </c>
      <c r="R65" s="30">
        <v>45790</v>
      </c>
      <c r="S65" s="23">
        <f t="shared" si="1"/>
        <v>113</v>
      </c>
      <c r="T65" s="23">
        <f t="shared" si="4"/>
        <v>122</v>
      </c>
      <c r="U65" s="23">
        <f t="shared" si="2"/>
        <v>126</v>
      </c>
      <c r="V65" s="23">
        <f t="shared" si="3"/>
        <v>133</v>
      </c>
      <c r="W65" s="14" t="s">
        <v>35</v>
      </c>
      <c r="X65" s="14" t="s">
        <v>20</v>
      </c>
      <c r="Y65" s="14" t="s">
        <v>21</v>
      </c>
      <c r="Z65" s="14" t="s">
        <v>22</v>
      </c>
      <c r="AA65" s="14" t="s">
        <v>14</v>
      </c>
      <c r="AB65" s="14" t="s">
        <v>62</v>
      </c>
      <c r="AC65" s="6" t="s">
        <v>53</v>
      </c>
      <c r="AD65" s="6"/>
      <c r="AE65" s="1">
        <v>0</v>
      </c>
      <c r="AF65" s="1"/>
    </row>
    <row r="66" spans="1:32" x14ac:dyDescent="0.2">
      <c r="A66" s="20" t="s">
        <v>14</v>
      </c>
      <c r="B66" s="20" t="s">
        <v>98</v>
      </c>
      <c r="C66" s="20" t="s">
        <v>16</v>
      </c>
      <c r="D66" s="18" t="s">
        <v>781</v>
      </c>
      <c r="E66" s="20" t="s">
        <v>17</v>
      </c>
      <c r="F66" s="20">
        <v>1</v>
      </c>
      <c r="G66" s="20" t="s">
        <v>99</v>
      </c>
      <c r="H66" s="20" t="s">
        <v>35</v>
      </c>
      <c r="I66" s="20" t="s">
        <v>20</v>
      </c>
      <c r="J66" s="19" t="s">
        <v>782</v>
      </c>
      <c r="K66" s="20" t="s">
        <v>64</v>
      </c>
      <c r="L66" s="20" t="s">
        <v>22</v>
      </c>
      <c r="M66" s="20" t="s">
        <v>74</v>
      </c>
      <c r="N66" s="21">
        <v>65</v>
      </c>
      <c r="O66" s="29">
        <v>45770</v>
      </c>
      <c r="P66" s="29">
        <v>45779</v>
      </c>
      <c r="Q66" s="29">
        <v>45783</v>
      </c>
      <c r="R66" s="29">
        <v>45790</v>
      </c>
      <c r="S66" s="23">
        <f t="shared" si="1"/>
        <v>113</v>
      </c>
      <c r="T66" s="23">
        <f t="shared" si="4"/>
        <v>122</v>
      </c>
      <c r="U66" s="23">
        <f t="shared" si="2"/>
        <v>126</v>
      </c>
      <c r="V66" s="23">
        <f t="shared" si="3"/>
        <v>133</v>
      </c>
      <c r="W66" s="20" t="s">
        <v>35</v>
      </c>
      <c r="X66" s="20" t="s">
        <v>20</v>
      </c>
      <c r="Y66" s="20" t="s">
        <v>64</v>
      </c>
      <c r="Z66" s="20" t="s">
        <v>22</v>
      </c>
      <c r="AA66" s="20" t="s">
        <v>14</v>
      </c>
      <c r="AB66" s="20" t="s">
        <v>98</v>
      </c>
      <c r="AC66" s="20" t="s">
        <v>16</v>
      </c>
      <c r="AD66" s="20"/>
      <c r="AE66" s="2">
        <v>0</v>
      </c>
      <c r="AF66" s="2"/>
    </row>
    <row r="67" spans="1:32" x14ac:dyDescent="0.2">
      <c r="A67" s="20" t="s">
        <v>14</v>
      </c>
      <c r="B67" s="20" t="s">
        <v>98</v>
      </c>
      <c r="C67" s="20" t="s">
        <v>16</v>
      </c>
      <c r="D67" s="18" t="s">
        <v>781</v>
      </c>
      <c r="E67" s="20" t="s">
        <v>24</v>
      </c>
      <c r="F67" s="20">
        <v>1</v>
      </c>
      <c r="G67" s="20" t="s">
        <v>100</v>
      </c>
      <c r="H67" s="20" t="s">
        <v>35</v>
      </c>
      <c r="I67" s="20" t="s">
        <v>20</v>
      </c>
      <c r="J67" s="19" t="s">
        <v>783</v>
      </c>
      <c r="K67" s="20" t="s">
        <v>64</v>
      </c>
      <c r="L67" s="20" t="s">
        <v>22</v>
      </c>
      <c r="M67" s="20" t="s">
        <v>74</v>
      </c>
      <c r="N67" s="21">
        <v>66</v>
      </c>
      <c r="O67" s="29">
        <v>45755</v>
      </c>
      <c r="P67" s="29">
        <v>45762</v>
      </c>
      <c r="Q67" s="29">
        <v>45765</v>
      </c>
      <c r="R67" s="29">
        <v>45776</v>
      </c>
      <c r="S67" s="23">
        <f t="shared" ref="S67:S130" si="5">O67-DATE(YEAR(O67),1,1)+1</f>
        <v>98</v>
      </c>
      <c r="T67" s="23">
        <f t="shared" ref="T67:T130" si="6">P67-DATE(YEAR(P67),1,1)+1</f>
        <v>105</v>
      </c>
      <c r="U67" s="23">
        <f t="shared" ref="U67:V130" si="7">Q67-DATE(YEAR(Q67),1,1)+1</f>
        <v>108</v>
      </c>
      <c r="V67" s="23">
        <f t="shared" ref="V67:V130" si="8">R67-DATE(YEAR(R67),1,1)+1</f>
        <v>119</v>
      </c>
      <c r="W67" s="20" t="s">
        <v>35</v>
      </c>
      <c r="X67" s="20" t="s">
        <v>20</v>
      </c>
      <c r="Y67" s="20" t="s">
        <v>64</v>
      </c>
      <c r="Z67" s="20" t="s">
        <v>22</v>
      </c>
      <c r="AA67" s="20" t="s">
        <v>14</v>
      </c>
      <c r="AB67" s="20" t="s">
        <v>98</v>
      </c>
      <c r="AC67" s="20" t="s">
        <v>16</v>
      </c>
      <c r="AD67" s="20"/>
      <c r="AE67" s="2">
        <v>0</v>
      </c>
      <c r="AF67" s="2"/>
    </row>
    <row r="68" spans="1:32" x14ac:dyDescent="0.2">
      <c r="A68" s="20" t="s">
        <v>14</v>
      </c>
      <c r="B68" s="20" t="s">
        <v>98</v>
      </c>
      <c r="C68" s="20" t="s">
        <v>16</v>
      </c>
      <c r="D68" s="18" t="s">
        <v>781</v>
      </c>
      <c r="E68" s="20" t="s">
        <v>17</v>
      </c>
      <c r="F68" s="20">
        <v>2</v>
      </c>
      <c r="G68" s="20" t="s">
        <v>101</v>
      </c>
      <c r="H68" s="20" t="s">
        <v>35</v>
      </c>
      <c r="I68" s="20" t="s">
        <v>20</v>
      </c>
      <c r="J68" s="19" t="s">
        <v>784</v>
      </c>
      <c r="K68" s="20" t="s">
        <v>64</v>
      </c>
      <c r="L68" s="20" t="s">
        <v>22</v>
      </c>
      <c r="M68" s="20" t="s">
        <v>74</v>
      </c>
      <c r="N68" s="21">
        <v>67</v>
      </c>
      <c r="O68" s="29">
        <v>45765</v>
      </c>
      <c r="P68" s="29">
        <v>45770</v>
      </c>
      <c r="Q68" s="29">
        <v>45779</v>
      </c>
      <c r="R68" s="29">
        <v>45783</v>
      </c>
      <c r="S68" s="23">
        <f t="shared" si="5"/>
        <v>108</v>
      </c>
      <c r="T68" s="23">
        <f t="shared" si="6"/>
        <v>113</v>
      </c>
      <c r="U68" s="23">
        <f t="shared" si="7"/>
        <v>122</v>
      </c>
      <c r="V68" s="23">
        <f t="shared" si="8"/>
        <v>126</v>
      </c>
      <c r="W68" s="20" t="s">
        <v>35</v>
      </c>
      <c r="X68" s="20" t="s">
        <v>20</v>
      </c>
      <c r="Y68" s="20" t="s">
        <v>64</v>
      </c>
      <c r="Z68" s="20" t="s">
        <v>22</v>
      </c>
      <c r="AA68" s="20" t="s">
        <v>14</v>
      </c>
      <c r="AB68" s="20" t="s">
        <v>98</v>
      </c>
      <c r="AC68" s="20" t="s">
        <v>16</v>
      </c>
      <c r="AD68" s="20"/>
      <c r="AE68" s="2">
        <v>0</v>
      </c>
      <c r="AF68" s="2"/>
    </row>
    <row r="69" spans="1:32" x14ac:dyDescent="0.2">
      <c r="A69" s="20" t="s">
        <v>14</v>
      </c>
      <c r="B69" s="20" t="s">
        <v>98</v>
      </c>
      <c r="C69" s="20" t="s">
        <v>16</v>
      </c>
      <c r="D69" s="18" t="s">
        <v>781</v>
      </c>
      <c r="E69" s="20" t="s">
        <v>24</v>
      </c>
      <c r="F69" s="20">
        <v>2</v>
      </c>
      <c r="G69" s="20" t="s">
        <v>102</v>
      </c>
      <c r="H69" s="20" t="s">
        <v>35</v>
      </c>
      <c r="I69" s="20" t="s">
        <v>20</v>
      </c>
      <c r="J69" s="19" t="s">
        <v>785</v>
      </c>
      <c r="K69" s="20" t="s">
        <v>64</v>
      </c>
      <c r="L69" s="20" t="s">
        <v>22</v>
      </c>
      <c r="M69" s="20" t="s">
        <v>74</v>
      </c>
      <c r="N69" s="21">
        <v>68</v>
      </c>
      <c r="O69" s="29">
        <v>45758</v>
      </c>
      <c r="P69" s="29">
        <v>45762</v>
      </c>
      <c r="Q69" s="29">
        <v>45765</v>
      </c>
      <c r="R69" s="29">
        <v>45779</v>
      </c>
      <c r="S69" s="23">
        <f t="shared" si="5"/>
        <v>101</v>
      </c>
      <c r="T69" s="23">
        <f t="shared" si="6"/>
        <v>105</v>
      </c>
      <c r="U69" s="23">
        <f t="shared" si="7"/>
        <v>108</v>
      </c>
      <c r="V69" s="23">
        <f t="shared" si="8"/>
        <v>122</v>
      </c>
      <c r="W69" s="20" t="s">
        <v>35</v>
      </c>
      <c r="X69" s="20" t="s">
        <v>20</v>
      </c>
      <c r="Y69" s="20" t="s">
        <v>64</v>
      </c>
      <c r="Z69" s="20" t="s">
        <v>22</v>
      </c>
      <c r="AA69" s="20" t="s">
        <v>14</v>
      </c>
      <c r="AB69" s="20" t="s">
        <v>98</v>
      </c>
      <c r="AC69" s="20" t="s">
        <v>16</v>
      </c>
      <c r="AD69" s="20"/>
      <c r="AE69" s="2">
        <v>0</v>
      </c>
      <c r="AF69" s="2"/>
    </row>
    <row r="70" spans="1:32" x14ac:dyDescent="0.2">
      <c r="A70" s="20" t="s">
        <v>14</v>
      </c>
      <c r="B70" s="20" t="s">
        <v>98</v>
      </c>
      <c r="C70" s="20" t="s">
        <v>16</v>
      </c>
      <c r="D70" s="18" t="s">
        <v>781</v>
      </c>
      <c r="E70" s="20" t="s">
        <v>17</v>
      </c>
      <c r="F70" s="20">
        <v>3</v>
      </c>
      <c r="G70" s="20" t="s">
        <v>103</v>
      </c>
      <c r="H70" s="20" t="s">
        <v>35</v>
      </c>
      <c r="I70" s="20" t="s">
        <v>20</v>
      </c>
      <c r="J70" s="19" t="s">
        <v>786</v>
      </c>
      <c r="K70" s="20" t="s">
        <v>64</v>
      </c>
      <c r="L70" s="20" t="s">
        <v>22</v>
      </c>
      <c r="M70" s="20" t="s">
        <v>74</v>
      </c>
      <c r="N70" s="21">
        <v>69</v>
      </c>
      <c r="O70" s="29">
        <v>45755</v>
      </c>
      <c r="P70" s="29">
        <v>45762</v>
      </c>
      <c r="Q70" s="29">
        <v>45779</v>
      </c>
      <c r="R70" s="29">
        <v>45783</v>
      </c>
      <c r="S70" s="23">
        <f t="shared" si="5"/>
        <v>98</v>
      </c>
      <c r="T70" s="23">
        <f t="shared" si="6"/>
        <v>105</v>
      </c>
      <c r="U70" s="23">
        <f t="shared" si="7"/>
        <v>122</v>
      </c>
      <c r="V70" s="23">
        <f t="shared" si="8"/>
        <v>126</v>
      </c>
      <c r="W70" s="20" t="s">
        <v>35</v>
      </c>
      <c r="X70" s="20" t="s">
        <v>20</v>
      </c>
      <c r="Y70" s="20" t="s">
        <v>64</v>
      </c>
      <c r="Z70" s="20" t="s">
        <v>22</v>
      </c>
      <c r="AA70" s="20" t="s">
        <v>14</v>
      </c>
      <c r="AB70" s="20" t="s">
        <v>98</v>
      </c>
      <c r="AC70" s="20" t="s">
        <v>16</v>
      </c>
      <c r="AD70" s="20"/>
      <c r="AE70" s="2">
        <v>0</v>
      </c>
      <c r="AF70" s="2"/>
    </row>
    <row r="71" spans="1:32" x14ac:dyDescent="0.2">
      <c r="A71" s="20" t="s">
        <v>14</v>
      </c>
      <c r="B71" s="20" t="s">
        <v>98</v>
      </c>
      <c r="C71" s="20" t="s">
        <v>16</v>
      </c>
      <c r="D71" s="18" t="s">
        <v>781</v>
      </c>
      <c r="E71" s="20" t="s">
        <v>24</v>
      </c>
      <c r="F71" s="20">
        <v>3</v>
      </c>
      <c r="G71" s="20" t="s">
        <v>104</v>
      </c>
      <c r="H71" s="20" t="s">
        <v>35</v>
      </c>
      <c r="I71" s="20" t="s">
        <v>20</v>
      </c>
      <c r="J71" s="19" t="s">
        <v>787</v>
      </c>
      <c r="K71" s="20" t="s">
        <v>64</v>
      </c>
      <c r="L71" s="20" t="s">
        <v>22</v>
      </c>
      <c r="M71" s="20" t="s">
        <v>74</v>
      </c>
      <c r="N71" s="21">
        <v>70</v>
      </c>
      <c r="O71" s="29">
        <v>45762</v>
      </c>
      <c r="P71" s="29">
        <v>45772</v>
      </c>
      <c r="Q71" s="29">
        <v>45776</v>
      </c>
      <c r="R71" s="29">
        <v>45779</v>
      </c>
      <c r="S71" s="23">
        <f t="shared" si="5"/>
        <v>105</v>
      </c>
      <c r="T71" s="23">
        <f t="shared" si="6"/>
        <v>115</v>
      </c>
      <c r="U71" s="23">
        <f t="shared" si="7"/>
        <v>119</v>
      </c>
      <c r="V71" s="23">
        <f t="shared" si="8"/>
        <v>122</v>
      </c>
      <c r="W71" s="20" t="s">
        <v>35</v>
      </c>
      <c r="X71" s="20" t="s">
        <v>20</v>
      </c>
      <c r="Y71" s="20" t="s">
        <v>64</v>
      </c>
      <c r="Z71" s="20" t="s">
        <v>22</v>
      </c>
      <c r="AA71" s="20" t="s">
        <v>14</v>
      </c>
      <c r="AB71" s="20" t="s">
        <v>98</v>
      </c>
      <c r="AC71" s="20" t="s">
        <v>16</v>
      </c>
      <c r="AD71" s="20"/>
      <c r="AE71" s="2">
        <v>0</v>
      </c>
      <c r="AF71" s="2"/>
    </row>
    <row r="72" spans="1:32" x14ac:dyDescent="0.2">
      <c r="A72" s="20" t="s">
        <v>14</v>
      </c>
      <c r="B72" s="20" t="s">
        <v>98</v>
      </c>
      <c r="C72" s="20" t="s">
        <v>16</v>
      </c>
      <c r="D72" s="18" t="s">
        <v>781</v>
      </c>
      <c r="E72" s="20" t="s">
        <v>17</v>
      </c>
      <c r="F72" s="20">
        <v>4</v>
      </c>
      <c r="G72" s="20" t="s">
        <v>105</v>
      </c>
      <c r="H72" s="20" t="s">
        <v>35</v>
      </c>
      <c r="I72" s="20" t="s">
        <v>20</v>
      </c>
      <c r="J72" s="19" t="s">
        <v>788</v>
      </c>
      <c r="K72" s="20" t="s">
        <v>64</v>
      </c>
      <c r="L72" s="20" t="s">
        <v>22</v>
      </c>
      <c r="M72" s="20" t="s">
        <v>74</v>
      </c>
      <c r="N72" s="21">
        <v>71</v>
      </c>
      <c r="O72" s="29">
        <v>45751</v>
      </c>
      <c r="P72" s="29">
        <v>45762</v>
      </c>
      <c r="Q72" s="29">
        <v>45765</v>
      </c>
      <c r="R72" s="29">
        <v>45772</v>
      </c>
      <c r="S72" s="23">
        <f t="shared" si="5"/>
        <v>94</v>
      </c>
      <c r="T72" s="23">
        <f t="shared" si="6"/>
        <v>105</v>
      </c>
      <c r="U72" s="23">
        <f t="shared" si="7"/>
        <v>108</v>
      </c>
      <c r="V72" s="23">
        <f t="shared" si="8"/>
        <v>115</v>
      </c>
      <c r="W72" s="20" t="s">
        <v>35</v>
      </c>
      <c r="X72" s="20" t="s">
        <v>20</v>
      </c>
      <c r="Y72" s="20" t="s">
        <v>64</v>
      </c>
      <c r="Z72" s="20" t="s">
        <v>22</v>
      </c>
      <c r="AA72" s="20" t="s">
        <v>14</v>
      </c>
      <c r="AB72" s="20" t="s">
        <v>98</v>
      </c>
      <c r="AC72" s="20" t="s">
        <v>16</v>
      </c>
      <c r="AD72" s="20"/>
      <c r="AE72" s="2">
        <v>0</v>
      </c>
      <c r="AF72" s="2"/>
    </row>
    <row r="73" spans="1:32" x14ac:dyDescent="0.2">
      <c r="A73" s="20" t="s">
        <v>14</v>
      </c>
      <c r="B73" s="20" t="s">
        <v>98</v>
      </c>
      <c r="C73" s="20" t="s">
        <v>16</v>
      </c>
      <c r="D73" s="18" t="s">
        <v>781</v>
      </c>
      <c r="E73" s="20" t="s">
        <v>24</v>
      </c>
      <c r="F73" s="20">
        <v>4</v>
      </c>
      <c r="G73" s="20" t="s">
        <v>106</v>
      </c>
      <c r="H73" s="20" t="s">
        <v>35</v>
      </c>
      <c r="I73" s="20" t="s">
        <v>20</v>
      </c>
      <c r="J73" s="19" t="s">
        <v>789</v>
      </c>
      <c r="K73" s="20" t="s">
        <v>64</v>
      </c>
      <c r="L73" s="20" t="s">
        <v>22</v>
      </c>
      <c r="M73" s="20" t="s">
        <v>74</v>
      </c>
      <c r="N73" s="21">
        <v>72</v>
      </c>
      <c r="O73" s="29">
        <v>45748</v>
      </c>
      <c r="P73" s="29">
        <v>45755</v>
      </c>
      <c r="Q73" s="29">
        <v>45762</v>
      </c>
      <c r="R73" s="29">
        <v>45772</v>
      </c>
      <c r="S73" s="23">
        <f t="shared" si="5"/>
        <v>91</v>
      </c>
      <c r="T73" s="23">
        <f t="shared" si="6"/>
        <v>98</v>
      </c>
      <c r="U73" s="23">
        <f t="shared" si="7"/>
        <v>105</v>
      </c>
      <c r="V73" s="23">
        <f t="shared" si="8"/>
        <v>115</v>
      </c>
      <c r="W73" s="20" t="s">
        <v>35</v>
      </c>
      <c r="X73" s="20" t="s">
        <v>20</v>
      </c>
      <c r="Y73" s="20" t="s">
        <v>64</v>
      </c>
      <c r="Z73" s="20" t="s">
        <v>22</v>
      </c>
      <c r="AA73" s="20" t="s">
        <v>14</v>
      </c>
      <c r="AB73" s="20" t="s">
        <v>98</v>
      </c>
      <c r="AC73" s="20" t="s">
        <v>16</v>
      </c>
      <c r="AD73" s="20"/>
      <c r="AE73" s="2">
        <v>0</v>
      </c>
      <c r="AF73" s="2"/>
    </row>
    <row r="74" spans="1:32" x14ac:dyDescent="0.2">
      <c r="A74" s="14" t="s">
        <v>14</v>
      </c>
      <c r="B74" s="14" t="s">
        <v>98</v>
      </c>
      <c r="C74" s="14" t="s">
        <v>32</v>
      </c>
      <c r="D74" s="14" t="s">
        <v>790</v>
      </c>
      <c r="E74" s="14" t="s">
        <v>17</v>
      </c>
      <c r="F74" s="14">
        <v>1</v>
      </c>
      <c r="G74" s="14" t="s">
        <v>107</v>
      </c>
      <c r="H74" s="14" t="s">
        <v>19</v>
      </c>
      <c r="I74" s="14" t="s">
        <v>20</v>
      </c>
      <c r="J74" s="13" t="s">
        <v>791</v>
      </c>
      <c r="K74" s="14" t="s">
        <v>64</v>
      </c>
      <c r="L74" s="14" t="s">
        <v>22</v>
      </c>
      <c r="M74" s="14" t="s">
        <v>74</v>
      </c>
      <c r="N74" s="13">
        <v>73</v>
      </c>
      <c r="O74" s="30">
        <v>45758</v>
      </c>
      <c r="P74" s="30">
        <v>45762</v>
      </c>
      <c r="Q74" s="30">
        <v>45770</v>
      </c>
      <c r="R74" s="30">
        <v>45776</v>
      </c>
      <c r="S74" s="23">
        <f t="shared" si="5"/>
        <v>101</v>
      </c>
      <c r="T74" s="23">
        <f t="shared" si="6"/>
        <v>105</v>
      </c>
      <c r="U74" s="23">
        <f t="shared" si="7"/>
        <v>113</v>
      </c>
      <c r="V74" s="23">
        <f t="shared" si="8"/>
        <v>119</v>
      </c>
      <c r="W74" s="14" t="s">
        <v>19</v>
      </c>
      <c r="X74" s="14" t="s">
        <v>20</v>
      </c>
      <c r="Y74" s="14" t="s">
        <v>64</v>
      </c>
      <c r="Z74" s="14" t="s">
        <v>22</v>
      </c>
      <c r="AA74" s="14" t="s">
        <v>14</v>
      </c>
      <c r="AB74" s="14" t="s">
        <v>98</v>
      </c>
      <c r="AC74" s="14" t="s">
        <v>32</v>
      </c>
      <c r="AD74" s="14"/>
      <c r="AE74" s="1">
        <v>0</v>
      </c>
      <c r="AF74" s="1"/>
    </row>
    <row r="75" spans="1:32" x14ac:dyDescent="0.2">
      <c r="A75" s="14" t="s">
        <v>14</v>
      </c>
      <c r="B75" s="14" t="s">
        <v>98</v>
      </c>
      <c r="C75" s="14" t="s">
        <v>32</v>
      </c>
      <c r="D75" s="14" t="s">
        <v>790</v>
      </c>
      <c r="E75" s="14" t="s">
        <v>24</v>
      </c>
      <c r="F75" s="14">
        <v>1</v>
      </c>
      <c r="G75" s="14" t="s">
        <v>108</v>
      </c>
      <c r="H75" s="14" t="s">
        <v>19</v>
      </c>
      <c r="I75" s="14" t="s">
        <v>20</v>
      </c>
      <c r="J75" s="13" t="s">
        <v>792</v>
      </c>
      <c r="K75" s="14" t="s">
        <v>64</v>
      </c>
      <c r="L75" s="14" t="s">
        <v>22</v>
      </c>
      <c r="M75" s="14" t="s">
        <v>74</v>
      </c>
      <c r="N75" s="13">
        <v>74</v>
      </c>
      <c r="O75" s="30">
        <v>45770</v>
      </c>
      <c r="P75" s="30">
        <v>45776</v>
      </c>
      <c r="Q75" s="30">
        <v>45779</v>
      </c>
      <c r="R75" s="30">
        <v>45783</v>
      </c>
      <c r="S75" s="23">
        <f t="shared" si="5"/>
        <v>113</v>
      </c>
      <c r="T75" s="23">
        <f t="shared" si="6"/>
        <v>119</v>
      </c>
      <c r="U75" s="23">
        <f t="shared" si="7"/>
        <v>122</v>
      </c>
      <c r="V75" s="23">
        <f t="shared" si="8"/>
        <v>126</v>
      </c>
      <c r="W75" s="14" t="s">
        <v>19</v>
      </c>
      <c r="X75" s="14" t="s">
        <v>20</v>
      </c>
      <c r="Y75" s="14" t="s">
        <v>64</v>
      </c>
      <c r="Z75" s="14" t="s">
        <v>22</v>
      </c>
      <c r="AA75" s="14" t="s">
        <v>14</v>
      </c>
      <c r="AB75" s="14" t="s">
        <v>98</v>
      </c>
      <c r="AC75" s="14" t="s">
        <v>32</v>
      </c>
      <c r="AD75" s="14"/>
      <c r="AE75" s="1">
        <v>0</v>
      </c>
      <c r="AF75" s="1"/>
    </row>
    <row r="76" spans="1:32" x14ac:dyDescent="0.2">
      <c r="A76" s="14" t="s">
        <v>14</v>
      </c>
      <c r="B76" s="14" t="s">
        <v>98</v>
      </c>
      <c r="C76" s="14" t="s">
        <v>32</v>
      </c>
      <c r="D76" s="14" t="s">
        <v>790</v>
      </c>
      <c r="E76" s="14" t="s">
        <v>17</v>
      </c>
      <c r="F76" s="14">
        <v>2</v>
      </c>
      <c r="G76" s="14" t="s">
        <v>109</v>
      </c>
      <c r="H76" s="14" t="s">
        <v>19</v>
      </c>
      <c r="I76" s="14" t="s">
        <v>20</v>
      </c>
      <c r="J76" s="13" t="s">
        <v>793</v>
      </c>
      <c r="K76" s="14" t="s">
        <v>64</v>
      </c>
      <c r="L76" s="14" t="s">
        <v>22</v>
      </c>
      <c r="M76" s="14" t="s">
        <v>74</v>
      </c>
      <c r="N76" s="13">
        <v>75</v>
      </c>
      <c r="O76" s="30">
        <v>45762</v>
      </c>
      <c r="P76" s="30">
        <v>45770</v>
      </c>
      <c r="Q76" s="30">
        <v>45776</v>
      </c>
      <c r="R76" s="30">
        <v>45779</v>
      </c>
      <c r="S76" s="23">
        <f t="shared" si="5"/>
        <v>105</v>
      </c>
      <c r="T76" s="23">
        <f t="shared" si="6"/>
        <v>113</v>
      </c>
      <c r="U76" s="23">
        <f t="shared" si="7"/>
        <v>119</v>
      </c>
      <c r="V76" s="23">
        <f t="shared" si="8"/>
        <v>122</v>
      </c>
      <c r="W76" s="14" t="s">
        <v>19</v>
      </c>
      <c r="X76" s="14" t="s">
        <v>20</v>
      </c>
      <c r="Y76" s="14" t="s">
        <v>64</v>
      </c>
      <c r="Z76" s="14" t="s">
        <v>22</v>
      </c>
      <c r="AA76" s="14" t="s">
        <v>14</v>
      </c>
      <c r="AB76" s="14" t="s">
        <v>98</v>
      </c>
      <c r="AC76" s="14" t="s">
        <v>32</v>
      </c>
      <c r="AD76" s="14"/>
      <c r="AE76" s="1">
        <v>0</v>
      </c>
      <c r="AF76" s="1"/>
    </row>
    <row r="77" spans="1:32" x14ac:dyDescent="0.2">
      <c r="A77" s="14" t="s">
        <v>14</v>
      </c>
      <c r="B77" s="14" t="s">
        <v>98</v>
      </c>
      <c r="C77" s="14" t="s">
        <v>32</v>
      </c>
      <c r="D77" s="14" t="s">
        <v>790</v>
      </c>
      <c r="E77" s="14" t="s">
        <v>24</v>
      </c>
      <c r="F77" s="14">
        <v>2</v>
      </c>
      <c r="G77" s="14" t="s">
        <v>110</v>
      </c>
      <c r="H77" s="14" t="s">
        <v>19</v>
      </c>
      <c r="I77" s="14" t="s">
        <v>20</v>
      </c>
      <c r="J77" s="13" t="s">
        <v>794</v>
      </c>
      <c r="K77" s="14" t="s">
        <v>64</v>
      </c>
      <c r="L77" s="14" t="s">
        <v>22</v>
      </c>
      <c r="M77" s="14" t="s">
        <v>74</v>
      </c>
      <c r="N77" s="13">
        <v>76</v>
      </c>
      <c r="O77" s="30">
        <v>45770</v>
      </c>
      <c r="P77" s="30">
        <v>45772</v>
      </c>
      <c r="Q77" s="30">
        <v>45776</v>
      </c>
      <c r="R77" s="30">
        <v>45779</v>
      </c>
      <c r="S77" s="23">
        <f t="shared" si="5"/>
        <v>113</v>
      </c>
      <c r="T77" s="23">
        <f t="shared" si="6"/>
        <v>115</v>
      </c>
      <c r="U77" s="23">
        <f t="shared" si="7"/>
        <v>119</v>
      </c>
      <c r="V77" s="23">
        <f t="shared" si="8"/>
        <v>122</v>
      </c>
      <c r="W77" s="14" t="s">
        <v>19</v>
      </c>
      <c r="X77" s="14" t="s">
        <v>20</v>
      </c>
      <c r="Y77" s="14" t="s">
        <v>64</v>
      </c>
      <c r="Z77" s="14" t="s">
        <v>22</v>
      </c>
      <c r="AA77" s="14" t="s">
        <v>14</v>
      </c>
      <c r="AB77" s="14" t="s">
        <v>98</v>
      </c>
      <c r="AC77" s="14" t="s">
        <v>32</v>
      </c>
      <c r="AD77" s="14"/>
      <c r="AE77" s="1">
        <v>0</v>
      </c>
      <c r="AF77" s="1"/>
    </row>
    <row r="78" spans="1:32" x14ac:dyDescent="0.2">
      <c r="A78" s="14" t="s">
        <v>14</v>
      </c>
      <c r="B78" s="14" t="s">
        <v>98</v>
      </c>
      <c r="C78" s="14" t="s">
        <v>32</v>
      </c>
      <c r="D78" s="14" t="s">
        <v>790</v>
      </c>
      <c r="E78" s="14" t="s">
        <v>17</v>
      </c>
      <c r="F78" s="14">
        <v>3</v>
      </c>
      <c r="G78" s="14" t="s">
        <v>111</v>
      </c>
      <c r="H78" s="14" t="s">
        <v>19</v>
      </c>
      <c r="I78" s="14" t="s">
        <v>20</v>
      </c>
      <c r="J78" s="13" t="s">
        <v>795</v>
      </c>
      <c r="K78" s="14" t="s">
        <v>64</v>
      </c>
      <c r="L78" s="14" t="s">
        <v>22</v>
      </c>
      <c r="M78" s="14" t="s">
        <v>74</v>
      </c>
      <c r="N78" s="13">
        <v>77</v>
      </c>
      <c r="O78" s="30">
        <v>45762</v>
      </c>
      <c r="P78" s="1"/>
      <c r="Q78" s="30">
        <v>45770</v>
      </c>
      <c r="R78" s="30">
        <v>45776</v>
      </c>
      <c r="S78" s="23">
        <f t="shared" si="5"/>
        <v>105</v>
      </c>
      <c r="T78" s="23">
        <f>(U78+S78)/2</f>
        <v>109</v>
      </c>
      <c r="U78" s="23">
        <f t="shared" si="7"/>
        <v>113</v>
      </c>
      <c r="V78" s="23">
        <f t="shared" si="8"/>
        <v>119</v>
      </c>
      <c r="W78" s="14" t="s">
        <v>19</v>
      </c>
      <c r="X78" s="14" t="s">
        <v>20</v>
      </c>
      <c r="Y78" s="14" t="s">
        <v>64</v>
      </c>
      <c r="Z78" s="14" t="s">
        <v>22</v>
      </c>
      <c r="AA78" s="14" t="s">
        <v>14</v>
      </c>
      <c r="AB78" s="14" t="s">
        <v>98</v>
      </c>
      <c r="AC78" s="14" t="s">
        <v>32</v>
      </c>
      <c r="AD78" s="14"/>
      <c r="AE78" s="1">
        <v>0</v>
      </c>
      <c r="AF78" s="1"/>
    </row>
    <row r="79" spans="1:32" x14ac:dyDescent="0.2">
      <c r="A79" s="14" t="s">
        <v>14</v>
      </c>
      <c r="B79" s="14" t="s">
        <v>98</v>
      </c>
      <c r="C79" s="14" t="s">
        <v>32</v>
      </c>
      <c r="D79" s="14" t="s">
        <v>790</v>
      </c>
      <c r="E79" s="14" t="s">
        <v>24</v>
      </c>
      <c r="F79" s="14">
        <v>3</v>
      </c>
      <c r="G79" s="14" t="s">
        <v>112</v>
      </c>
      <c r="H79" s="14" t="s">
        <v>19</v>
      </c>
      <c r="I79" s="14" t="s">
        <v>20</v>
      </c>
      <c r="J79" s="13" t="s">
        <v>796</v>
      </c>
      <c r="K79" s="14" t="s">
        <v>64</v>
      </c>
      <c r="L79" s="14" t="s">
        <v>22</v>
      </c>
      <c r="M79" s="14" t="s">
        <v>74</v>
      </c>
      <c r="N79" s="13">
        <v>78</v>
      </c>
      <c r="O79" s="30">
        <v>45770</v>
      </c>
      <c r="P79" s="30">
        <v>45776</v>
      </c>
      <c r="Q79" s="30">
        <v>45779</v>
      </c>
      <c r="R79" s="30">
        <v>45783</v>
      </c>
      <c r="S79" s="23">
        <f t="shared" si="5"/>
        <v>113</v>
      </c>
      <c r="T79" s="23">
        <f t="shared" si="6"/>
        <v>119</v>
      </c>
      <c r="U79" s="23">
        <f t="shared" si="7"/>
        <v>122</v>
      </c>
      <c r="V79" s="23">
        <f t="shared" si="8"/>
        <v>126</v>
      </c>
      <c r="W79" s="14" t="s">
        <v>19</v>
      </c>
      <c r="X79" s="14" t="s">
        <v>20</v>
      </c>
      <c r="Y79" s="14" t="s">
        <v>64</v>
      </c>
      <c r="Z79" s="14" t="s">
        <v>22</v>
      </c>
      <c r="AA79" s="14" t="s">
        <v>14</v>
      </c>
      <c r="AB79" s="14" t="s">
        <v>98</v>
      </c>
      <c r="AC79" s="14" t="s">
        <v>32</v>
      </c>
      <c r="AD79" s="14"/>
      <c r="AE79" s="1">
        <v>0</v>
      </c>
      <c r="AF79" s="1"/>
    </row>
    <row r="80" spans="1:32" x14ac:dyDescent="0.2">
      <c r="A80" s="14" t="s">
        <v>14</v>
      </c>
      <c r="B80" s="14" t="s">
        <v>98</v>
      </c>
      <c r="C80" s="14" t="s">
        <v>32</v>
      </c>
      <c r="D80" s="14" t="s">
        <v>790</v>
      </c>
      <c r="E80" s="14" t="s">
        <v>17</v>
      </c>
      <c r="F80" s="14">
        <v>4</v>
      </c>
      <c r="G80" s="14" t="s">
        <v>113</v>
      </c>
      <c r="H80" s="14" t="s">
        <v>19</v>
      </c>
      <c r="I80" s="14" t="s">
        <v>20</v>
      </c>
      <c r="J80" s="13" t="s">
        <v>797</v>
      </c>
      <c r="K80" s="14" t="s">
        <v>64</v>
      </c>
      <c r="L80" s="14" t="s">
        <v>22</v>
      </c>
      <c r="M80" s="14" t="s">
        <v>74</v>
      </c>
      <c r="N80" s="13">
        <v>79</v>
      </c>
      <c r="O80" s="30">
        <v>45762</v>
      </c>
      <c r="P80" s="30">
        <v>45772</v>
      </c>
      <c r="Q80" s="30">
        <v>45776</v>
      </c>
      <c r="R80" s="30">
        <v>45779</v>
      </c>
      <c r="S80" s="23">
        <f t="shared" si="5"/>
        <v>105</v>
      </c>
      <c r="T80" s="23">
        <f t="shared" si="6"/>
        <v>115</v>
      </c>
      <c r="U80" s="23">
        <f t="shared" si="7"/>
        <v>119</v>
      </c>
      <c r="V80" s="23">
        <f t="shared" si="8"/>
        <v>122</v>
      </c>
      <c r="W80" s="14" t="s">
        <v>19</v>
      </c>
      <c r="X80" s="14" t="s">
        <v>20</v>
      </c>
      <c r="Y80" s="14" t="s">
        <v>64</v>
      </c>
      <c r="Z80" s="14" t="s">
        <v>22</v>
      </c>
      <c r="AA80" s="14" t="s">
        <v>14</v>
      </c>
      <c r="AB80" s="14" t="s">
        <v>98</v>
      </c>
      <c r="AC80" s="14" t="s">
        <v>32</v>
      </c>
      <c r="AD80" s="14"/>
      <c r="AE80" s="1">
        <v>0</v>
      </c>
      <c r="AF80" s="1"/>
    </row>
    <row r="81" spans="1:32" x14ac:dyDescent="0.2">
      <c r="A81" s="14" t="s">
        <v>14</v>
      </c>
      <c r="B81" s="14" t="s">
        <v>98</v>
      </c>
      <c r="C81" s="14" t="s">
        <v>32</v>
      </c>
      <c r="D81" s="14" t="s">
        <v>790</v>
      </c>
      <c r="E81" s="14" t="s">
        <v>24</v>
      </c>
      <c r="F81" s="14">
        <v>4</v>
      </c>
      <c r="G81" s="14" t="s">
        <v>114</v>
      </c>
      <c r="H81" s="14" t="s">
        <v>19</v>
      </c>
      <c r="I81" s="14" t="s">
        <v>20</v>
      </c>
      <c r="J81" s="13" t="s">
        <v>798</v>
      </c>
      <c r="K81" s="14" t="s">
        <v>64</v>
      </c>
      <c r="L81" s="14" t="s">
        <v>22</v>
      </c>
      <c r="M81" s="14" t="s">
        <v>74</v>
      </c>
      <c r="N81" s="13">
        <v>80</v>
      </c>
      <c r="O81" s="30">
        <v>45762</v>
      </c>
      <c r="P81" s="30">
        <v>45770</v>
      </c>
      <c r="Q81" s="30">
        <v>45776</v>
      </c>
      <c r="R81" s="30">
        <v>45779</v>
      </c>
      <c r="S81" s="23">
        <f t="shared" si="5"/>
        <v>105</v>
      </c>
      <c r="T81" s="23">
        <f t="shared" si="6"/>
        <v>113</v>
      </c>
      <c r="U81" s="23">
        <f t="shared" si="7"/>
        <v>119</v>
      </c>
      <c r="V81" s="23">
        <f t="shared" si="8"/>
        <v>122</v>
      </c>
      <c r="W81" s="14" t="s">
        <v>19</v>
      </c>
      <c r="X81" s="14" t="s">
        <v>20</v>
      </c>
      <c r="Y81" s="14" t="s">
        <v>64</v>
      </c>
      <c r="Z81" s="14" t="s">
        <v>22</v>
      </c>
      <c r="AA81" s="14" t="s">
        <v>14</v>
      </c>
      <c r="AB81" s="14" t="s">
        <v>98</v>
      </c>
      <c r="AC81" s="14" t="s">
        <v>32</v>
      </c>
      <c r="AD81" s="14"/>
      <c r="AE81" s="1">
        <v>0</v>
      </c>
      <c r="AF81" s="1"/>
    </row>
    <row r="82" spans="1:32" x14ac:dyDescent="0.2">
      <c r="A82" s="20" t="s">
        <v>14</v>
      </c>
      <c r="B82" s="20" t="s">
        <v>98</v>
      </c>
      <c r="C82" s="20" t="s">
        <v>42</v>
      </c>
      <c r="D82" s="18" t="s">
        <v>799</v>
      </c>
      <c r="E82" s="20" t="s">
        <v>17</v>
      </c>
      <c r="F82" s="20">
        <v>1</v>
      </c>
      <c r="G82" s="20" t="s">
        <v>115</v>
      </c>
      <c r="H82" s="20" t="s">
        <v>19</v>
      </c>
      <c r="I82" s="20" t="s">
        <v>20</v>
      </c>
      <c r="J82" s="19" t="s">
        <v>800</v>
      </c>
      <c r="K82" s="20" t="s">
        <v>64</v>
      </c>
      <c r="L82" s="20" t="s">
        <v>44</v>
      </c>
      <c r="M82" s="20" t="s">
        <v>65</v>
      </c>
      <c r="N82" s="21">
        <v>81</v>
      </c>
      <c r="O82" s="29">
        <v>45762</v>
      </c>
      <c r="P82" s="29">
        <v>45770</v>
      </c>
      <c r="Q82" s="29">
        <v>45776</v>
      </c>
      <c r="R82" s="29">
        <v>45779</v>
      </c>
      <c r="S82" s="23">
        <f t="shared" si="5"/>
        <v>105</v>
      </c>
      <c r="T82" s="23">
        <f t="shared" si="6"/>
        <v>113</v>
      </c>
      <c r="U82" s="23">
        <f t="shared" si="7"/>
        <v>119</v>
      </c>
      <c r="V82" s="23">
        <f t="shared" si="8"/>
        <v>122</v>
      </c>
      <c r="W82" s="20" t="s">
        <v>19</v>
      </c>
      <c r="X82" s="20" t="s">
        <v>20</v>
      </c>
      <c r="Y82" s="20" t="s">
        <v>64</v>
      </c>
      <c r="Z82" s="20" t="s">
        <v>44</v>
      </c>
      <c r="AA82" s="20" t="s">
        <v>14</v>
      </c>
      <c r="AB82" s="20" t="s">
        <v>98</v>
      </c>
      <c r="AC82" s="20" t="s">
        <v>42</v>
      </c>
      <c r="AD82" s="20"/>
      <c r="AE82" s="2">
        <v>0</v>
      </c>
      <c r="AF82" s="2"/>
    </row>
    <row r="83" spans="1:32" x14ac:dyDescent="0.2">
      <c r="A83" s="20" t="s">
        <v>14</v>
      </c>
      <c r="B83" s="20" t="s">
        <v>98</v>
      </c>
      <c r="C83" s="20" t="s">
        <v>42</v>
      </c>
      <c r="D83" s="18" t="s">
        <v>799</v>
      </c>
      <c r="E83" s="20" t="s">
        <v>24</v>
      </c>
      <c r="F83" s="20">
        <v>1</v>
      </c>
      <c r="G83" s="20" t="s">
        <v>116</v>
      </c>
      <c r="H83" s="20" t="s">
        <v>35</v>
      </c>
      <c r="I83" s="20" t="s">
        <v>20</v>
      </c>
      <c r="J83" s="19" t="s">
        <v>801</v>
      </c>
      <c r="K83" s="20" t="s">
        <v>64</v>
      </c>
      <c r="L83" s="20" t="s">
        <v>44</v>
      </c>
      <c r="M83" s="20" t="s">
        <v>65</v>
      </c>
      <c r="N83" s="21">
        <v>82</v>
      </c>
      <c r="O83" s="29">
        <v>45751</v>
      </c>
      <c r="P83" s="29">
        <v>45762</v>
      </c>
      <c r="Q83" s="29">
        <v>45776</v>
      </c>
      <c r="R83" s="29">
        <v>45779</v>
      </c>
      <c r="S83" s="23">
        <f t="shared" si="5"/>
        <v>94</v>
      </c>
      <c r="T83" s="23">
        <f t="shared" si="6"/>
        <v>105</v>
      </c>
      <c r="U83" s="23">
        <f t="shared" si="7"/>
        <v>119</v>
      </c>
      <c r="V83" s="23">
        <f t="shared" si="8"/>
        <v>122</v>
      </c>
      <c r="W83" s="20" t="s">
        <v>35</v>
      </c>
      <c r="X83" s="20" t="s">
        <v>20</v>
      </c>
      <c r="Y83" s="20" t="s">
        <v>64</v>
      </c>
      <c r="Z83" s="20" t="s">
        <v>44</v>
      </c>
      <c r="AA83" s="20" t="s">
        <v>14</v>
      </c>
      <c r="AB83" s="20" t="s">
        <v>98</v>
      </c>
      <c r="AC83" s="20" t="s">
        <v>42</v>
      </c>
      <c r="AD83" s="20"/>
      <c r="AE83" s="2">
        <v>0</v>
      </c>
      <c r="AF83" s="2"/>
    </row>
    <row r="84" spans="1:32" x14ac:dyDescent="0.2">
      <c r="A84" s="20" t="s">
        <v>14</v>
      </c>
      <c r="B84" s="20" t="s">
        <v>98</v>
      </c>
      <c r="C84" s="20" t="s">
        <v>42</v>
      </c>
      <c r="D84" s="18" t="s">
        <v>799</v>
      </c>
      <c r="E84" s="20" t="s">
        <v>17</v>
      </c>
      <c r="F84" s="20">
        <v>2</v>
      </c>
      <c r="G84" s="20" t="s">
        <v>117</v>
      </c>
      <c r="H84" s="20" t="s">
        <v>35</v>
      </c>
      <c r="I84" s="20" t="s">
        <v>20</v>
      </c>
      <c r="J84" s="19" t="s">
        <v>802</v>
      </c>
      <c r="K84" s="20" t="s">
        <v>64</v>
      </c>
      <c r="L84" s="20" t="s">
        <v>44</v>
      </c>
      <c r="M84" s="20" t="s">
        <v>65</v>
      </c>
      <c r="N84" s="21">
        <v>83</v>
      </c>
      <c r="O84" s="29">
        <v>45762</v>
      </c>
      <c r="P84" s="29">
        <v>45770</v>
      </c>
      <c r="Q84" s="29">
        <v>45779</v>
      </c>
      <c r="R84" s="29">
        <v>45783</v>
      </c>
      <c r="S84" s="23">
        <f t="shared" si="5"/>
        <v>105</v>
      </c>
      <c r="T84" s="23">
        <f t="shared" si="6"/>
        <v>113</v>
      </c>
      <c r="U84" s="23">
        <f t="shared" si="7"/>
        <v>122</v>
      </c>
      <c r="V84" s="23">
        <f t="shared" si="8"/>
        <v>126</v>
      </c>
      <c r="W84" s="20" t="s">
        <v>35</v>
      </c>
      <c r="X84" s="20" t="s">
        <v>20</v>
      </c>
      <c r="Y84" s="20" t="s">
        <v>64</v>
      </c>
      <c r="Z84" s="20" t="s">
        <v>44</v>
      </c>
      <c r="AA84" s="20" t="s">
        <v>14</v>
      </c>
      <c r="AB84" s="20" t="s">
        <v>98</v>
      </c>
      <c r="AC84" s="20" t="s">
        <v>42</v>
      </c>
      <c r="AD84" s="20"/>
      <c r="AE84" s="2">
        <v>0</v>
      </c>
      <c r="AF84" s="2"/>
    </row>
    <row r="85" spans="1:32" x14ac:dyDescent="0.2">
      <c r="A85" s="20" t="s">
        <v>14</v>
      </c>
      <c r="B85" s="20" t="s">
        <v>98</v>
      </c>
      <c r="C85" s="20" t="s">
        <v>42</v>
      </c>
      <c r="D85" s="18" t="s">
        <v>799</v>
      </c>
      <c r="E85" s="20" t="s">
        <v>24</v>
      </c>
      <c r="F85" s="20">
        <v>2</v>
      </c>
      <c r="G85" s="20" t="s">
        <v>118</v>
      </c>
      <c r="H85" s="20" t="s">
        <v>19</v>
      </c>
      <c r="I85" s="20" t="s">
        <v>20</v>
      </c>
      <c r="J85" s="19" t="s">
        <v>803</v>
      </c>
      <c r="K85" s="20" t="s">
        <v>64</v>
      </c>
      <c r="L85" s="20" t="s">
        <v>44</v>
      </c>
      <c r="M85" s="20" t="s">
        <v>65</v>
      </c>
      <c r="N85" s="21">
        <v>84</v>
      </c>
      <c r="O85" s="29">
        <v>45762</v>
      </c>
      <c r="P85" s="2"/>
      <c r="Q85" s="29">
        <v>45770</v>
      </c>
      <c r="R85" s="29">
        <v>45776</v>
      </c>
      <c r="S85" s="23">
        <f t="shared" si="5"/>
        <v>105</v>
      </c>
      <c r="T85" s="23">
        <f>(U85+S85)/2</f>
        <v>109</v>
      </c>
      <c r="U85" s="23">
        <f t="shared" si="7"/>
        <v>113</v>
      </c>
      <c r="V85" s="23">
        <f t="shared" si="8"/>
        <v>119</v>
      </c>
      <c r="W85" s="20" t="s">
        <v>19</v>
      </c>
      <c r="X85" s="20" t="s">
        <v>20</v>
      </c>
      <c r="Y85" s="20" t="s">
        <v>64</v>
      </c>
      <c r="Z85" s="20" t="s">
        <v>44</v>
      </c>
      <c r="AA85" s="20" t="s">
        <v>14</v>
      </c>
      <c r="AB85" s="20" t="s">
        <v>98</v>
      </c>
      <c r="AC85" s="20" t="s">
        <v>42</v>
      </c>
      <c r="AD85" s="20"/>
      <c r="AE85" s="2">
        <v>0</v>
      </c>
      <c r="AF85" s="2"/>
    </row>
    <row r="86" spans="1:32" x14ac:dyDescent="0.2">
      <c r="A86" s="20" t="s">
        <v>14</v>
      </c>
      <c r="B86" s="20" t="s">
        <v>98</v>
      </c>
      <c r="C86" s="20" t="s">
        <v>42</v>
      </c>
      <c r="D86" s="18" t="s">
        <v>799</v>
      </c>
      <c r="E86" s="20" t="s">
        <v>17</v>
      </c>
      <c r="F86" s="20">
        <v>3</v>
      </c>
      <c r="G86" s="20" t="s">
        <v>119</v>
      </c>
      <c r="H86" s="20" t="s">
        <v>19</v>
      </c>
      <c r="I86" s="20" t="s">
        <v>20</v>
      </c>
      <c r="J86" s="19" t="s">
        <v>804</v>
      </c>
      <c r="K86" s="20" t="s">
        <v>64</v>
      </c>
      <c r="L86" s="20" t="s">
        <v>44</v>
      </c>
      <c r="M86" s="20" t="s">
        <v>65</v>
      </c>
      <c r="N86" s="21">
        <v>85</v>
      </c>
      <c r="O86" s="29">
        <v>45762</v>
      </c>
      <c r="P86" s="29">
        <v>45765</v>
      </c>
      <c r="Q86" s="29">
        <v>45770</v>
      </c>
      <c r="R86" s="29">
        <v>45776</v>
      </c>
      <c r="S86" s="23">
        <f t="shared" si="5"/>
        <v>105</v>
      </c>
      <c r="T86" s="23">
        <f t="shared" si="6"/>
        <v>108</v>
      </c>
      <c r="U86" s="23">
        <f t="shared" si="7"/>
        <v>113</v>
      </c>
      <c r="V86" s="23">
        <f t="shared" si="8"/>
        <v>119</v>
      </c>
      <c r="W86" s="20" t="s">
        <v>19</v>
      </c>
      <c r="X86" s="20" t="s">
        <v>20</v>
      </c>
      <c r="Y86" s="20" t="s">
        <v>64</v>
      </c>
      <c r="Z86" s="20" t="s">
        <v>44</v>
      </c>
      <c r="AA86" s="20" t="s">
        <v>14</v>
      </c>
      <c r="AB86" s="20" t="s">
        <v>98</v>
      </c>
      <c r="AC86" s="20" t="s">
        <v>42</v>
      </c>
      <c r="AD86" s="20"/>
      <c r="AE86" s="2">
        <v>0</v>
      </c>
      <c r="AF86" s="2"/>
    </row>
    <row r="87" spans="1:32" x14ac:dyDescent="0.2">
      <c r="A87" s="20" t="s">
        <v>14</v>
      </c>
      <c r="B87" s="20" t="s">
        <v>98</v>
      </c>
      <c r="C87" s="20" t="s">
        <v>42</v>
      </c>
      <c r="D87" s="18" t="s">
        <v>799</v>
      </c>
      <c r="E87" s="20" t="s">
        <v>24</v>
      </c>
      <c r="F87" s="20">
        <v>3</v>
      </c>
      <c r="G87" s="20" t="s">
        <v>120</v>
      </c>
      <c r="H87" s="20" t="s">
        <v>35</v>
      </c>
      <c r="I87" s="20" t="s">
        <v>20</v>
      </c>
      <c r="J87" s="19" t="s">
        <v>805</v>
      </c>
      <c r="K87" s="20" t="s">
        <v>64</v>
      </c>
      <c r="L87" s="20" t="s">
        <v>44</v>
      </c>
      <c r="M87" s="20" t="s">
        <v>65</v>
      </c>
      <c r="N87" s="21">
        <v>86</v>
      </c>
      <c r="O87" s="29">
        <v>45755</v>
      </c>
      <c r="P87" s="29">
        <v>45762</v>
      </c>
      <c r="Q87" s="29">
        <v>45765</v>
      </c>
      <c r="R87" s="29">
        <v>45776</v>
      </c>
      <c r="S87" s="23">
        <f t="shared" si="5"/>
        <v>98</v>
      </c>
      <c r="T87" s="23">
        <f t="shared" si="6"/>
        <v>105</v>
      </c>
      <c r="U87" s="23">
        <f t="shared" si="7"/>
        <v>108</v>
      </c>
      <c r="V87" s="23">
        <f t="shared" si="8"/>
        <v>119</v>
      </c>
      <c r="W87" s="20" t="s">
        <v>35</v>
      </c>
      <c r="X87" s="20" t="s">
        <v>20</v>
      </c>
      <c r="Y87" s="20" t="s">
        <v>64</v>
      </c>
      <c r="Z87" s="20" t="s">
        <v>44</v>
      </c>
      <c r="AA87" s="20" t="s">
        <v>14</v>
      </c>
      <c r="AB87" s="20" t="s">
        <v>98</v>
      </c>
      <c r="AC87" s="20" t="s">
        <v>42</v>
      </c>
      <c r="AD87" s="20"/>
      <c r="AE87" s="2">
        <v>0</v>
      </c>
      <c r="AF87" s="2"/>
    </row>
    <row r="88" spans="1:32" x14ac:dyDescent="0.2">
      <c r="A88" s="20" t="s">
        <v>14</v>
      </c>
      <c r="B88" s="20" t="s">
        <v>98</v>
      </c>
      <c r="C88" s="20" t="s">
        <v>42</v>
      </c>
      <c r="D88" s="18" t="s">
        <v>799</v>
      </c>
      <c r="E88" s="20" t="s">
        <v>17</v>
      </c>
      <c r="F88" s="20">
        <v>4</v>
      </c>
      <c r="G88" s="20" t="s">
        <v>121</v>
      </c>
      <c r="H88" s="20" t="s">
        <v>35</v>
      </c>
      <c r="I88" s="20" t="s">
        <v>20</v>
      </c>
      <c r="J88" s="19" t="s">
        <v>806</v>
      </c>
      <c r="K88" s="20" t="s">
        <v>64</v>
      </c>
      <c r="L88" s="20" t="s">
        <v>44</v>
      </c>
      <c r="M88" s="20" t="s">
        <v>65</v>
      </c>
      <c r="N88" s="21">
        <v>87</v>
      </c>
      <c r="O88" s="29">
        <v>45755</v>
      </c>
      <c r="P88" s="29">
        <v>45762</v>
      </c>
      <c r="Q88" s="29">
        <v>45765</v>
      </c>
      <c r="R88" s="29">
        <v>45772</v>
      </c>
      <c r="S88" s="23">
        <f t="shared" si="5"/>
        <v>98</v>
      </c>
      <c r="T88" s="23">
        <f t="shared" si="6"/>
        <v>105</v>
      </c>
      <c r="U88" s="23">
        <f t="shared" si="7"/>
        <v>108</v>
      </c>
      <c r="V88" s="23">
        <f t="shared" si="8"/>
        <v>115</v>
      </c>
      <c r="W88" s="20" t="s">
        <v>35</v>
      </c>
      <c r="X88" s="20" t="s">
        <v>20</v>
      </c>
      <c r="Y88" s="20" t="s">
        <v>64</v>
      </c>
      <c r="Z88" s="20" t="s">
        <v>44</v>
      </c>
      <c r="AA88" s="20" t="s">
        <v>14</v>
      </c>
      <c r="AB88" s="20" t="s">
        <v>98</v>
      </c>
      <c r="AC88" s="20" t="s">
        <v>42</v>
      </c>
      <c r="AD88" s="20"/>
      <c r="AE88" s="2">
        <v>0</v>
      </c>
      <c r="AF88" s="2"/>
    </row>
    <row r="89" spans="1:32" x14ac:dyDescent="0.2">
      <c r="A89" s="20" t="s">
        <v>14</v>
      </c>
      <c r="B89" s="20" t="s">
        <v>98</v>
      </c>
      <c r="C89" s="20" t="s">
        <v>42</v>
      </c>
      <c r="D89" s="18" t="s">
        <v>799</v>
      </c>
      <c r="E89" s="20" t="s">
        <v>24</v>
      </c>
      <c r="F89" s="20">
        <v>4</v>
      </c>
      <c r="G89" s="20" t="s">
        <v>122</v>
      </c>
      <c r="H89" s="20" t="s">
        <v>19</v>
      </c>
      <c r="I89" s="20" t="s">
        <v>20</v>
      </c>
      <c r="J89" s="19" t="s">
        <v>807</v>
      </c>
      <c r="K89" s="20" t="s">
        <v>64</v>
      </c>
      <c r="L89" s="20" t="s">
        <v>44</v>
      </c>
      <c r="M89" s="20" t="s">
        <v>65</v>
      </c>
      <c r="N89" s="21">
        <v>88</v>
      </c>
      <c r="O89" s="29">
        <v>45762</v>
      </c>
      <c r="P89" s="29">
        <v>45770</v>
      </c>
      <c r="Q89" s="29">
        <v>45772</v>
      </c>
      <c r="R89" s="29">
        <v>45779</v>
      </c>
      <c r="S89" s="23">
        <f t="shared" si="5"/>
        <v>105</v>
      </c>
      <c r="T89" s="23">
        <f t="shared" si="6"/>
        <v>113</v>
      </c>
      <c r="U89" s="23">
        <f t="shared" si="7"/>
        <v>115</v>
      </c>
      <c r="V89" s="23">
        <f t="shared" si="8"/>
        <v>122</v>
      </c>
      <c r="W89" s="20" t="s">
        <v>19</v>
      </c>
      <c r="X89" s="20" t="s">
        <v>20</v>
      </c>
      <c r="Y89" s="20" t="s">
        <v>64</v>
      </c>
      <c r="Z89" s="20" t="s">
        <v>44</v>
      </c>
      <c r="AA89" s="20" t="s">
        <v>14</v>
      </c>
      <c r="AB89" s="20" t="s">
        <v>98</v>
      </c>
      <c r="AC89" s="20" t="s">
        <v>42</v>
      </c>
      <c r="AD89" s="20"/>
      <c r="AE89" s="2">
        <v>0</v>
      </c>
      <c r="AF89" s="2"/>
    </row>
    <row r="90" spans="1:32" x14ac:dyDescent="0.2">
      <c r="A90" s="14" t="s">
        <v>14</v>
      </c>
      <c r="B90" s="14" t="s">
        <v>98</v>
      </c>
      <c r="C90" s="14" t="s">
        <v>53</v>
      </c>
      <c r="D90" s="14" t="s">
        <v>808</v>
      </c>
      <c r="E90" s="14" t="s">
        <v>17</v>
      </c>
      <c r="F90" s="14">
        <v>1</v>
      </c>
      <c r="G90" s="14" t="s">
        <v>123</v>
      </c>
      <c r="H90" s="14" t="s">
        <v>19</v>
      </c>
      <c r="I90" s="14" t="s">
        <v>20</v>
      </c>
      <c r="J90" s="13" t="s">
        <v>809</v>
      </c>
      <c r="K90" s="14" t="s">
        <v>64</v>
      </c>
      <c r="L90" s="14" t="s">
        <v>44</v>
      </c>
      <c r="M90" s="14" t="s">
        <v>65</v>
      </c>
      <c r="N90" s="13">
        <v>89</v>
      </c>
      <c r="O90" s="30">
        <v>45762</v>
      </c>
      <c r="P90" s="30">
        <v>45772</v>
      </c>
      <c r="Q90" s="30">
        <v>45776</v>
      </c>
      <c r="R90" s="30">
        <v>45779</v>
      </c>
      <c r="S90" s="23">
        <f t="shared" si="5"/>
        <v>105</v>
      </c>
      <c r="T90" s="23">
        <f t="shared" si="6"/>
        <v>115</v>
      </c>
      <c r="U90" s="23">
        <f t="shared" si="7"/>
        <v>119</v>
      </c>
      <c r="V90" s="23">
        <f t="shared" si="8"/>
        <v>122</v>
      </c>
      <c r="W90" s="14" t="s">
        <v>19</v>
      </c>
      <c r="X90" s="14" t="s">
        <v>20</v>
      </c>
      <c r="Y90" s="14" t="s">
        <v>64</v>
      </c>
      <c r="Z90" s="14" t="s">
        <v>44</v>
      </c>
      <c r="AA90" s="14" t="s">
        <v>14</v>
      </c>
      <c r="AB90" s="14" t="s">
        <v>98</v>
      </c>
      <c r="AC90" s="14" t="s">
        <v>53</v>
      </c>
      <c r="AD90" s="14"/>
      <c r="AE90" s="1">
        <v>0</v>
      </c>
      <c r="AF90" s="1"/>
    </row>
    <row r="91" spans="1:32" x14ac:dyDescent="0.2">
      <c r="A91" s="14" t="s">
        <v>14</v>
      </c>
      <c r="B91" s="14" t="s">
        <v>98</v>
      </c>
      <c r="C91" s="14" t="s">
        <v>53</v>
      </c>
      <c r="D91" s="14" t="s">
        <v>808</v>
      </c>
      <c r="E91" s="14" t="s">
        <v>24</v>
      </c>
      <c r="F91" s="14">
        <v>1</v>
      </c>
      <c r="G91" s="14" t="s">
        <v>124</v>
      </c>
      <c r="H91" s="14" t="s">
        <v>19</v>
      </c>
      <c r="I91" s="14" t="s">
        <v>20</v>
      </c>
      <c r="J91" s="13" t="s">
        <v>810</v>
      </c>
      <c r="K91" s="14" t="s">
        <v>64</v>
      </c>
      <c r="L91" s="14" t="s">
        <v>44</v>
      </c>
      <c r="M91" s="14" t="s">
        <v>65</v>
      </c>
      <c r="N91" s="13">
        <v>90</v>
      </c>
      <c r="O91" s="30">
        <v>45765</v>
      </c>
      <c r="P91" s="1"/>
      <c r="Q91" s="30">
        <v>45776</v>
      </c>
      <c r="R91" s="30">
        <v>45779</v>
      </c>
      <c r="S91" s="23">
        <f t="shared" si="5"/>
        <v>108</v>
      </c>
      <c r="T91" s="23">
        <f>(U91+S91)/2</f>
        <v>113.5</v>
      </c>
      <c r="U91" s="23">
        <f t="shared" si="7"/>
        <v>119</v>
      </c>
      <c r="V91" s="23">
        <f t="shared" si="8"/>
        <v>122</v>
      </c>
      <c r="W91" s="14" t="s">
        <v>19</v>
      </c>
      <c r="X91" s="14" t="s">
        <v>20</v>
      </c>
      <c r="Y91" s="14" t="s">
        <v>64</v>
      </c>
      <c r="Z91" s="14" t="s">
        <v>44</v>
      </c>
      <c r="AA91" s="14" t="s">
        <v>14</v>
      </c>
      <c r="AB91" s="14" t="s">
        <v>98</v>
      </c>
      <c r="AC91" s="14" t="s">
        <v>53</v>
      </c>
      <c r="AD91" s="14"/>
      <c r="AE91" s="1">
        <v>0</v>
      </c>
      <c r="AF91" s="1"/>
    </row>
    <row r="92" spans="1:32" x14ac:dyDescent="0.2">
      <c r="A92" s="14" t="s">
        <v>14</v>
      </c>
      <c r="B92" s="14" t="s">
        <v>98</v>
      </c>
      <c r="C92" s="14" t="s">
        <v>53</v>
      </c>
      <c r="D92" s="14" t="s">
        <v>808</v>
      </c>
      <c r="E92" s="14" t="s">
        <v>17</v>
      </c>
      <c r="F92" s="14">
        <v>2</v>
      </c>
      <c r="G92" s="14" t="s">
        <v>125</v>
      </c>
      <c r="H92" s="14" t="s">
        <v>19</v>
      </c>
      <c r="I92" s="14" t="s">
        <v>20</v>
      </c>
      <c r="J92" s="13" t="s">
        <v>811</v>
      </c>
      <c r="K92" s="14" t="s">
        <v>64</v>
      </c>
      <c r="L92" s="14" t="s">
        <v>44</v>
      </c>
      <c r="M92" s="14" t="s">
        <v>65</v>
      </c>
      <c r="N92" s="13">
        <v>91</v>
      </c>
      <c r="O92" s="30">
        <v>45762</v>
      </c>
      <c r="P92" s="30">
        <v>45770</v>
      </c>
      <c r="Q92" s="30">
        <v>45772</v>
      </c>
      <c r="R92" s="30">
        <v>45779</v>
      </c>
      <c r="S92" s="23">
        <f t="shared" si="5"/>
        <v>105</v>
      </c>
      <c r="T92" s="23">
        <f t="shared" si="6"/>
        <v>113</v>
      </c>
      <c r="U92" s="23">
        <f t="shared" si="7"/>
        <v>115</v>
      </c>
      <c r="V92" s="23">
        <f t="shared" si="8"/>
        <v>122</v>
      </c>
      <c r="W92" s="14" t="s">
        <v>19</v>
      </c>
      <c r="X92" s="14" t="s">
        <v>20</v>
      </c>
      <c r="Y92" s="14" t="s">
        <v>64</v>
      </c>
      <c r="Z92" s="14" t="s">
        <v>44</v>
      </c>
      <c r="AA92" s="14" t="s">
        <v>14</v>
      </c>
      <c r="AB92" s="14" t="s">
        <v>98</v>
      </c>
      <c r="AC92" s="14" t="s">
        <v>53</v>
      </c>
      <c r="AD92" s="14"/>
      <c r="AE92" s="1">
        <v>0</v>
      </c>
      <c r="AF92" s="1"/>
    </row>
    <row r="93" spans="1:32" x14ac:dyDescent="0.2">
      <c r="A93" s="14" t="s">
        <v>14</v>
      </c>
      <c r="B93" s="14" t="s">
        <v>98</v>
      </c>
      <c r="C93" s="14" t="s">
        <v>53</v>
      </c>
      <c r="D93" s="14" t="s">
        <v>808</v>
      </c>
      <c r="E93" s="14" t="s">
        <v>24</v>
      </c>
      <c r="F93" s="14">
        <v>2</v>
      </c>
      <c r="G93" s="14" t="s">
        <v>126</v>
      </c>
      <c r="H93" s="14" t="s">
        <v>19</v>
      </c>
      <c r="I93" s="14" t="s">
        <v>20</v>
      </c>
      <c r="J93" s="13" t="s">
        <v>812</v>
      </c>
      <c r="K93" s="14" t="s">
        <v>64</v>
      </c>
      <c r="L93" s="14" t="s">
        <v>44</v>
      </c>
      <c r="M93" s="14" t="s">
        <v>65</v>
      </c>
      <c r="N93" s="13">
        <v>92</v>
      </c>
      <c r="O93" s="30">
        <v>45776</v>
      </c>
      <c r="P93" s="1"/>
      <c r="Q93" s="30">
        <v>45779</v>
      </c>
      <c r="R93" s="30">
        <v>45783</v>
      </c>
      <c r="S93" s="23">
        <f t="shared" si="5"/>
        <v>119</v>
      </c>
      <c r="T93" s="23">
        <f>(U93+S93)/2</f>
        <v>120.5</v>
      </c>
      <c r="U93" s="23">
        <f t="shared" si="7"/>
        <v>122</v>
      </c>
      <c r="V93" s="23">
        <f t="shared" si="8"/>
        <v>126</v>
      </c>
      <c r="W93" s="14" t="s">
        <v>19</v>
      </c>
      <c r="X93" s="14" t="s">
        <v>20</v>
      </c>
      <c r="Y93" s="14" t="s">
        <v>64</v>
      </c>
      <c r="Z93" s="14" t="s">
        <v>44</v>
      </c>
      <c r="AA93" s="14" t="s">
        <v>14</v>
      </c>
      <c r="AB93" s="14" t="s">
        <v>98</v>
      </c>
      <c r="AC93" s="14" t="s">
        <v>53</v>
      </c>
      <c r="AD93" s="14"/>
      <c r="AE93" s="1">
        <v>0</v>
      </c>
      <c r="AF93" s="1"/>
    </row>
    <row r="94" spans="1:32" x14ac:dyDescent="0.2">
      <c r="A94" s="14" t="s">
        <v>14</v>
      </c>
      <c r="B94" s="14" t="s">
        <v>98</v>
      </c>
      <c r="C94" s="14" t="s">
        <v>53</v>
      </c>
      <c r="D94" s="14" t="s">
        <v>808</v>
      </c>
      <c r="E94" s="14" t="s">
        <v>17</v>
      </c>
      <c r="F94" s="14">
        <v>3</v>
      </c>
      <c r="G94" s="14" t="s">
        <v>127</v>
      </c>
      <c r="H94" s="14" t="s">
        <v>19</v>
      </c>
      <c r="I94" s="14" t="s">
        <v>20</v>
      </c>
      <c r="J94" s="13" t="s">
        <v>813</v>
      </c>
      <c r="K94" s="14" t="s">
        <v>64</v>
      </c>
      <c r="L94" s="14" t="s">
        <v>44</v>
      </c>
      <c r="M94" s="14" t="s">
        <v>65</v>
      </c>
      <c r="N94" s="13">
        <v>93</v>
      </c>
      <c r="O94" s="30">
        <v>45762</v>
      </c>
      <c r="P94" s="30">
        <v>45765</v>
      </c>
      <c r="Q94" s="30">
        <v>45770</v>
      </c>
      <c r="R94" s="30">
        <v>45772</v>
      </c>
      <c r="S94" s="23">
        <f t="shared" si="5"/>
        <v>105</v>
      </c>
      <c r="T94" s="23">
        <f t="shared" si="6"/>
        <v>108</v>
      </c>
      <c r="U94" s="23">
        <f t="shared" si="7"/>
        <v>113</v>
      </c>
      <c r="V94" s="23">
        <f t="shared" si="8"/>
        <v>115</v>
      </c>
      <c r="W94" s="14" t="s">
        <v>19</v>
      </c>
      <c r="X94" s="14" t="s">
        <v>20</v>
      </c>
      <c r="Y94" s="14" t="s">
        <v>64</v>
      </c>
      <c r="Z94" s="14" t="s">
        <v>44</v>
      </c>
      <c r="AA94" s="14" t="s">
        <v>14</v>
      </c>
      <c r="AB94" s="14" t="s">
        <v>98</v>
      </c>
      <c r="AC94" s="14" t="s">
        <v>53</v>
      </c>
      <c r="AD94" s="14"/>
      <c r="AE94" s="1">
        <v>0</v>
      </c>
      <c r="AF94" s="1"/>
    </row>
    <row r="95" spans="1:32" x14ac:dyDescent="0.2">
      <c r="A95" s="14" t="s">
        <v>14</v>
      </c>
      <c r="B95" s="14" t="s">
        <v>98</v>
      </c>
      <c r="C95" s="14" t="s">
        <v>53</v>
      </c>
      <c r="D95" s="14" t="s">
        <v>808</v>
      </c>
      <c r="E95" s="14" t="s">
        <v>24</v>
      </c>
      <c r="F95" s="14">
        <v>3</v>
      </c>
      <c r="G95" s="14" t="s">
        <v>128</v>
      </c>
      <c r="H95" s="14" t="s">
        <v>19</v>
      </c>
      <c r="I95" s="14" t="s">
        <v>20</v>
      </c>
      <c r="J95" s="13" t="s">
        <v>814</v>
      </c>
      <c r="K95" s="14" t="s">
        <v>64</v>
      </c>
      <c r="L95" s="14" t="s">
        <v>44</v>
      </c>
      <c r="M95" s="14" t="s">
        <v>65</v>
      </c>
      <c r="N95" s="13">
        <v>94</v>
      </c>
      <c r="O95" s="30">
        <v>45762</v>
      </c>
      <c r="P95" s="30">
        <v>45770</v>
      </c>
      <c r="Q95" s="30">
        <v>45776</v>
      </c>
      <c r="R95" s="30">
        <v>45779</v>
      </c>
      <c r="S95" s="23">
        <f t="shared" si="5"/>
        <v>105</v>
      </c>
      <c r="T95" s="23">
        <f t="shared" si="6"/>
        <v>113</v>
      </c>
      <c r="U95" s="23">
        <f t="shared" si="7"/>
        <v>119</v>
      </c>
      <c r="V95" s="23">
        <f t="shared" si="8"/>
        <v>122</v>
      </c>
      <c r="W95" s="14" t="s">
        <v>19</v>
      </c>
      <c r="X95" s="14" t="s">
        <v>20</v>
      </c>
      <c r="Y95" s="14" t="s">
        <v>64</v>
      </c>
      <c r="Z95" s="14" t="s">
        <v>44</v>
      </c>
      <c r="AA95" s="14" t="s">
        <v>14</v>
      </c>
      <c r="AB95" s="14" t="s">
        <v>98</v>
      </c>
      <c r="AC95" s="14" t="s">
        <v>53</v>
      </c>
      <c r="AD95" s="14"/>
      <c r="AE95" s="1">
        <v>0</v>
      </c>
      <c r="AF95" s="1"/>
    </row>
    <row r="96" spans="1:32" x14ac:dyDescent="0.2">
      <c r="A96" s="14" t="s">
        <v>14</v>
      </c>
      <c r="B96" s="14" t="s">
        <v>98</v>
      </c>
      <c r="C96" s="14" t="s">
        <v>53</v>
      </c>
      <c r="D96" s="14" t="s">
        <v>808</v>
      </c>
      <c r="E96" s="14" t="s">
        <v>17</v>
      </c>
      <c r="F96" s="14">
        <v>4</v>
      </c>
      <c r="G96" s="14" t="s">
        <v>129</v>
      </c>
      <c r="H96" s="14" t="s">
        <v>19</v>
      </c>
      <c r="I96" s="14" t="s">
        <v>20</v>
      </c>
      <c r="J96" s="13" t="s">
        <v>815</v>
      </c>
      <c r="K96" s="14" t="s">
        <v>64</v>
      </c>
      <c r="L96" s="14" t="s">
        <v>44</v>
      </c>
      <c r="M96" s="14" t="s">
        <v>65</v>
      </c>
      <c r="N96" s="13">
        <v>95</v>
      </c>
      <c r="O96" s="30">
        <v>45762</v>
      </c>
      <c r="P96" s="1"/>
      <c r="Q96" s="30">
        <v>45770</v>
      </c>
      <c r="R96" s="30">
        <v>45776</v>
      </c>
      <c r="S96" s="23">
        <f t="shared" si="5"/>
        <v>105</v>
      </c>
      <c r="T96" s="23">
        <f>(U96+S96)/2</f>
        <v>109</v>
      </c>
      <c r="U96" s="23">
        <f t="shared" si="7"/>
        <v>113</v>
      </c>
      <c r="V96" s="23">
        <f t="shared" si="8"/>
        <v>119</v>
      </c>
      <c r="W96" s="14" t="s">
        <v>19</v>
      </c>
      <c r="X96" s="14" t="s">
        <v>20</v>
      </c>
      <c r="Y96" s="14" t="s">
        <v>64</v>
      </c>
      <c r="Z96" s="14" t="s">
        <v>44</v>
      </c>
      <c r="AA96" s="14" t="s">
        <v>14</v>
      </c>
      <c r="AB96" s="14" t="s">
        <v>98</v>
      </c>
      <c r="AC96" s="14" t="s">
        <v>53</v>
      </c>
      <c r="AD96" s="14"/>
      <c r="AE96" s="1">
        <v>0</v>
      </c>
      <c r="AF96" s="1"/>
    </row>
    <row r="97" spans="1:32" x14ac:dyDescent="0.2">
      <c r="A97" s="14" t="s">
        <v>14</v>
      </c>
      <c r="B97" s="14" t="s">
        <v>98</v>
      </c>
      <c r="C97" s="14" t="s">
        <v>53</v>
      </c>
      <c r="D97" s="14" t="s">
        <v>808</v>
      </c>
      <c r="E97" s="14" t="s">
        <v>24</v>
      </c>
      <c r="F97" s="14">
        <v>4</v>
      </c>
      <c r="G97" s="14" t="s">
        <v>130</v>
      </c>
      <c r="H97" s="14" t="s">
        <v>19</v>
      </c>
      <c r="I97" s="14" t="s">
        <v>20</v>
      </c>
      <c r="J97" s="13" t="s">
        <v>816</v>
      </c>
      <c r="K97" s="14" t="s">
        <v>64</v>
      </c>
      <c r="L97" s="14" t="s">
        <v>44</v>
      </c>
      <c r="M97" s="14" t="s">
        <v>65</v>
      </c>
      <c r="N97" s="13">
        <v>96</v>
      </c>
      <c r="O97" s="30">
        <v>45758</v>
      </c>
      <c r="P97" s="30">
        <v>45762</v>
      </c>
      <c r="Q97" s="30">
        <v>45770</v>
      </c>
      <c r="R97" s="30">
        <v>45776</v>
      </c>
      <c r="S97" s="23">
        <f t="shared" si="5"/>
        <v>101</v>
      </c>
      <c r="T97" s="23">
        <f t="shared" si="6"/>
        <v>105</v>
      </c>
      <c r="U97" s="23">
        <f t="shared" si="7"/>
        <v>113</v>
      </c>
      <c r="V97" s="23">
        <f t="shared" si="8"/>
        <v>119</v>
      </c>
      <c r="W97" s="14" t="s">
        <v>19</v>
      </c>
      <c r="X97" s="14" t="s">
        <v>20</v>
      </c>
      <c r="Y97" s="14" t="s">
        <v>64</v>
      </c>
      <c r="Z97" s="14" t="s">
        <v>44</v>
      </c>
      <c r="AA97" s="14" t="s">
        <v>14</v>
      </c>
      <c r="AB97" s="14" t="s">
        <v>98</v>
      </c>
      <c r="AC97" s="14" t="s">
        <v>53</v>
      </c>
      <c r="AD97" s="14"/>
      <c r="AE97" s="1">
        <v>0</v>
      </c>
      <c r="AF97" s="1"/>
    </row>
    <row r="98" spans="1:32" x14ac:dyDescent="0.2">
      <c r="A98" s="20" t="s">
        <v>14</v>
      </c>
      <c r="B98" s="20" t="s">
        <v>131</v>
      </c>
      <c r="C98" s="20" t="s">
        <v>16</v>
      </c>
      <c r="D98" s="18" t="s">
        <v>817</v>
      </c>
      <c r="E98" s="20" t="s">
        <v>17</v>
      </c>
      <c r="F98" s="20">
        <v>1</v>
      </c>
      <c r="G98" s="20" t="s">
        <v>132</v>
      </c>
      <c r="H98" s="20" t="s">
        <v>19</v>
      </c>
      <c r="I98" s="20" t="s">
        <v>133</v>
      </c>
      <c r="J98" s="19" t="s">
        <v>818</v>
      </c>
      <c r="K98" s="20" t="s">
        <v>21</v>
      </c>
      <c r="L98" s="20" t="s">
        <v>22</v>
      </c>
      <c r="M98" s="20" t="s">
        <v>134</v>
      </c>
      <c r="N98" s="21">
        <v>97</v>
      </c>
      <c r="O98" s="29">
        <v>45762</v>
      </c>
      <c r="P98" s="29">
        <v>45776</v>
      </c>
      <c r="Q98" s="29">
        <v>45779</v>
      </c>
      <c r="R98" s="29">
        <v>45783</v>
      </c>
      <c r="S98" s="23">
        <f t="shared" si="5"/>
        <v>105</v>
      </c>
      <c r="T98" s="23">
        <f t="shared" si="6"/>
        <v>119</v>
      </c>
      <c r="U98" s="23">
        <f t="shared" si="7"/>
        <v>122</v>
      </c>
      <c r="V98" s="23">
        <f t="shared" si="8"/>
        <v>126</v>
      </c>
      <c r="W98" s="20" t="s">
        <v>19</v>
      </c>
      <c r="X98" s="20" t="s">
        <v>133</v>
      </c>
      <c r="Y98" s="20" t="s">
        <v>21</v>
      </c>
      <c r="Z98" s="20" t="s">
        <v>22</v>
      </c>
      <c r="AA98" s="20" t="s">
        <v>14</v>
      </c>
      <c r="AB98" s="20" t="s">
        <v>131</v>
      </c>
      <c r="AC98" s="20" t="s">
        <v>16</v>
      </c>
      <c r="AD98" s="20"/>
      <c r="AE98" s="2">
        <v>0</v>
      </c>
      <c r="AF98" s="2"/>
    </row>
    <row r="99" spans="1:32" x14ac:dyDescent="0.2">
      <c r="A99" s="20" t="s">
        <v>14</v>
      </c>
      <c r="B99" s="20" t="s">
        <v>131</v>
      </c>
      <c r="C99" s="20" t="s">
        <v>16</v>
      </c>
      <c r="D99" s="18" t="s">
        <v>817</v>
      </c>
      <c r="E99" s="20" t="s">
        <v>24</v>
      </c>
      <c r="F99" s="20">
        <v>1</v>
      </c>
      <c r="G99" s="20" t="s">
        <v>135</v>
      </c>
      <c r="H99" s="20" t="s">
        <v>35</v>
      </c>
      <c r="I99" s="20" t="s">
        <v>133</v>
      </c>
      <c r="J99" s="19" t="s">
        <v>819</v>
      </c>
      <c r="K99" s="20" t="s">
        <v>21</v>
      </c>
      <c r="L99" s="20" t="s">
        <v>22</v>
      </c>
      <c r="M99" s="20" t="s">
        <v>134</v>
      </c>
      <c r="N99" s="21">
        <v>98</v>
      </c>
      <c r="O99" s="29">
        <v>45762</v>
      </c>
      <c r="P99" s="29">
        <v>45772</v>
      </c>
      <c r="Q99" s="29">
        <v>45779</v>
      </c>
      <c r="R99" s="29">
        <v>45783</v>
      </c>
      <c r="S99" s="23">
        <f t="shared" si="5"/>
        <v>105</v>
      </c>
      <c r="T99" s="23">
        <f t="shared" si="6"/>
        <v>115</v>
      </c>
      <c r="U99" s="23">
        <f t="shared" si="7"/>
        <v>122</v>
      </c>
      <c r="V99" s="23">
        <f t="shared" si="8"/>
        <v>126</v>
      </c>
      <c r="W99" s="20" t="s">
        <v>35</v>
      </c>
      <c r="X99" s="20" t="s">
        <v>133</v>
      </c>
      <c r="Y99" s="20" t="s">
        <v>21</v>
      </c>
      <c r="Z99" s="20" t="s">
        <v>22</v>
      </c>
      <c r="AA99" s="20" t="s">
        <v>14</v>
      </c>
      <c r="AB99" s="20" t="s">
        <v>131</v>
      </c>
      <c r="AC99" s="20" t="s">
        <v>16</v>
      </c>
      <c r="AD99" s="20"/>
      <c r="AE99" s="2">
        <v>0</v>
      </c>
      <c r="AF99" s="2"/>
    </row>
    <row r="100" spans="1:32" x14ac:dyDescent="0.2">
      <c r="A100" s="20" t="s">
        <v>14</v>
      </c>
      <c r="B100" s="20" t="s">
        <v>131</v>
      </c>
      <c r="C100" s="20" t="s">
        <v>16</v>
      </c>
      <c r="D100" s="18" t="s">
        <v>817</v>
      </c>
      <c r="E100" s="20" t="s">
        <v>17</v>
      </c>
      <c r="F100" s="20">
        <v>2</v>
      </c>
      <c r="G100" s="20" t="s">
        <v>136</v>
      </c>
      <c r="H100" s="20" t="s">
        <v>35</v>
      </c>
      <c r="I100" s="20" t="s">
        <v>133</v>
      </c>
      <c r="J100" s="19" t="s">
        <v>820</v>
      </c>
      <c r="K100" s="20" t="s">
        <v>21</v>
      </c>
      <c r="L100" s="20" t="s">
        <v>22</v>
      </c>
      <c r="M100" s="20" t="s">
        <v>134</v>
      </c>
      <c r="N100" s="21">
        <v>99</v>
      </c>
      <c r="O100" s="29">
        <v>45762</v>
      </c>
      <c r="P100" s="29">
        <v>45772</v>
      </c>
      <c r="Q100" s="29">
        <v>45779</v>
      </c>
      <c r="R100" s="29">
        <v>45783</v>
      </c>
      <c r="S100" s="23">
        <f t="shared" si="5"/>
        <v>105</v>
      </c>
      <c r="T100" s="23">
        <f t="shared" si="6"/>
        <v>115</v>
      </c>
      <c r="U100" s="23">
        <f t="shared" si="7"/>
        <v>122</v>
      </c>
      <c r="V100" s="23">
        <f t="shared" si="8"/>
        <v>126</v>
      </c>
      <c r="W100" s="20" t="s">
        <v>35</v>
      </c>
      <c r="X100" s="20" t="s">
        <v>133</v>
      </c>
      <c r="Y100" s="20" t="s">
        <v>21</v>
      </c>
      <c r="Z100" s="20" t="s">
        <v>22</v>
      </c>
      <c r="AA100" s="20" t="s">
        <v>14</v>
      </c>
      <c r="AB100" s="20" t="s">
        <v>131</v>
      </c>
      <c r="AC100" s="20" t="s">
        <v>16</v>
      </c>
      <c r="AD100" s="20"/>
      <c r="AE100" s="2">
        <v>0</v>
      </c>
      <c r="AF100" s="2"/>
    </row>
    <row r="101" spans="1:32" x14ac:dyDescent="0.2">
      <c r="A101" s="20" t="s">
        <v>14</v>
      </c>
      <c r="B101" s="20" t="s">
        <v>131</v>
      </c>
      <c r="C101" s="20" t="s">
        <v>16</v>
      </c>
      <c r="D101" s="18" t="s">
        <v>817</v>
      </c>
      <c r="E101" s="20" t="s">
        <v>24</v>
      </c>
      <c r="F101" s="20">
        <v>2</v>
      </c>
      <c r="G101" s="20" t="s">
        <v>137</v>
      </c>
      <c r="H101" s="20" t="s">
        <v>19</v>
      </c>
      <c r="I101" s="20" t="s">
        <v>133</v>
      </c>
      <c r="J101" s="19" t="s">
        <v>821</v>
      </c>
      <c r="K101" s="20" t="s">
        <v>21</v>
      </c>
      <c r="L101" s="20" t="s">
        <v>22</v>
      </c>
      <c r="M101" s="20" t="s">
        <v>134</v>
      </c>
      <c r="N101" s="21">
        <v>100</v>
      </c>
      <c r="O101" s="29">
        <v>45770</v>
      </c>
      <c r="P101" s="29">
        <v>45772</v>
      </c>
      <c r="Q101" s="29">
        <v>45779</v>
      </c>
      <c r="R101" s="29">
        <v>45783</v>
      </c>
      <c r="S101" s="23">
        <f t="shared" si="5"/>
        <v>113</v>
      </c>
      <c r="T101" s="23">
        <f t="shared" si="6"/>
        <v>115</v>
      </c>
      <c r="U101" s="23">
        <f t="shared" si="7"/>
        <v>122</v>
      </c>
      <c r="V101" s="23">
        <f t="shared" si="8"/>
        <v>126</v>
      </c>
      <c r="W101" s="20" t="s">
        <v>19</v>
      </c>
      <c r="X101" s="20" t="s">
        <v>133</v>
      </c>
      <c r="Y101" s="20" t="s">
        <v>21</v>
      </c>
      <c r="Z101" s="20" t="s">
        <v>22</v>
      </c>
      <c r="AA101" s="20" t="s">
        <v>14</v>
      </c>
      <c r="AB101" s="20" t="s">
        <v>131</v>
      </c>
      <c r="AC101" s="20" t="s">
        <v>16</v>
      </c>
      <c r="AD101" s="20"/>
      <c r="AE101" s="2">
        <v>0</v>
      </c>
      <c r="AF101" s="2"/>
    </row>
    <row r="102" spans="1:32" x14ac:dyDescent="0.2">
      <c r="A102" s="20" t="s">
        <v>14</v>
      </c>
      <c r="B102" s="20" t="s">
        <v>131</v>
      </c>
      <c r="C102" s="20" t="s">
        <v>16</v>
      </c>
      <c r="D102" s="18" t="s">
        <v>817</v>
      </c>
      <c r="E102" s="20" t="s">
        <v>17</v>
      </c>
      <c r="F102" s="20">
        <v>3</v>
      </c>
      <c r="G102" s="20" t="s">
        <v>138</v>
      </c>
      <c r="H102" s="20" t="s">
        <v>19</v>
      </c>
      <c r="I102" s="20" t="s">
        <v>133</v>
      </c>
      <c r="J102" s="19" t="s">
        <v>822</v>
      </c>
      <c r="K102" s="20" t="s">
        <v>21</v>
      </c>
      <c r="L102" s="20" t="s">
        <v>22</v>
      </c>
      <c r="M102" s="20" t="s">
        <v>134</v>
      </c>
      <c r="N102" s="21">
        <v>101</v>
      </c>
      <c r="O102" s="29">
        <v>45762</v>
      </c>
      <c r="P102" s="2"/>
      <c r="Q102" s="29">
        <v>45770</v>
      </c>
      <c r="R102" s="29">
        <v>45776</v>
      </c>
      <c r="S102" s="23">
        <f t="shared" si="5"/>
        <v>105</v>
      </c>
      <c r="T102" s="23">
        <f>(U102+S102)/2</f>
        <v>109</v>
      </c>
      <c r="U102" s="23">
        <f t="shared" si="7"/>
        <v>113</v>
      </c>
      <c r="V102" s="23">
        <f t="shared" si="8"/>
        <v>119</v>
      </c>
      <c r="W102" s="20" t="s">
        <v>19</v>
      </c>
      <c r="X102" s="20" t="s">
        <v>133</v>
      </c>
      <c r="Y102" s="20" t="s">
        <v>21</v>
      </c>
      <c r="Z102" s="20" t="s">
        <v>22</v>
      </c>
      <c r="AA102" s="20" t="s">
        <v>14</v>
      </c>
      <c r="AB102" s="20" t="s">
        <v>131</v>
      </c>
      <c r="AC102" s="20" t="s">
        <v>16</v>
      </c>
      <c r="AD102" s="20"/>
      <c r="AE102" s="2">
        <v>0</v>
      </c>
      <c r="AF102" s="2"/>
    </row>
    <row r="103" spans="1:32" x14ac:dyDescent="0.2">
      <c r="A103" s="20" t="s">
        <v>14</v>
      </c>
      <c r="B103" s="20" t="s">
        <v>131</v>
      </c>
      <c r="C103" s="20" t="s">
        <v>16</v>
      </c>
      <c r="D103" s="18" t="s">
        <v>817</v>
      </c>
      <c r="E103" s="20" t="s">
        <v>24</v>
      </c>
      <c r="F103" s="20">
        <v>3</v>
      </c>
      <c r="G103" s="20" t="s">
        <v>139</v>
      </c>
      <c r="H103" s="20" t="s">
        <v>35</v>
      </c>
      <c r="I103" s="20" t="s">
        <v>133</v>
      </c>
      <c r="J103" s="19" t="s">
        <v>823</v>
      </c>
      <c r="K103" s="20" t="s">
        <v>21</v>
      </c>
      <c r="L103" s="20" t="s">
        <v>22</v>
      </c>
      <c r="M103" s="20" t="s">
        <v>134</v>
      </c>
      <c r="N103" s="21">
        <v>102</v>
      </c>
      <c r="O103" s="29">
        <v>45762</v>
      </c>
      <c r="P103" s="29">
        <v>45770</v>
      </c>
      <c r="Q103" s="29">
        <v>45779</v>
      </c>
      <c r="R103" s="29">
        <v>45783</v>
      </c>
      <c r="S103" s="23">
        <f t="shared" si="5"/>
        <v>105</v>
      </c>
      <c r="T103" s="23">
        <f t="shared" si="6"/>
        <v>113</v>
      </c>
      <c r="U103" s="23">
        <f t="shared" si="7"/>
        <v>122</v>
      </c>
      <c r="V103" s="23">
        <f t="shared" si="8"/>
        <v>126</v>
      </c>
      <c r="W103" s="20" t="s">
        <v>35</v>
      </c>
      <c r="X103" s="20" t="s">
        <v>133</v>
      </c>
      <c r="Y103" s="20" t="s">
        <v>21</v>
      </c>
      <c r="Z103" s="20" t="s">
        <v>22</v>
      </c>
      <c r="AA103" s="20" t="s">
        <v>14</v>
      </c>
      <c r="AB103" s="20" t="s">
        <v>131</v>
      </c>
      <c r="AC103" s="20" t="s">
        <v>16</v>
      </c>
      <c r="AD103" s="20"/>
      <c r="AE103" s="2">
        <v>0</v>
      </c>
      <c r="AF103" s="2"/>
    </row>
    <row r="104" spans="1:32" x14ac:dyDescent="0.2">
      <c r="A104" s="20" t="s">
        <v>14</v>
      </c>
      <c r="B104" s="20" t="s">
        <v>131</v>
      </c>
      <c r="C104" s="20" t="s">
        <v>16</v>
      </c>
      <c r="D104" s="18" t="s">
        <v>817</v>
      </c>
      <c r="E104" s="20" t="s">
        <v>17</v>
      </c>
      <c r="F104" s="20">
        <v>4</v>
      </c>
      <c r="G104" s="20" t="s">
        <v>140</v>
      </c>
      <c r="H104" s="20" t="s">
        <v>35</v>
      </c>
      <c r="I104" s="20" t="s">
        <v>133</v>
      </c>
      <c r="J104" s="19" t="s">
        <v>824</v>
      </c>
      <c r="K104" s="20" t="s">
        <v>21</v>
      </c>
      <c r="L104" s="20" t="s">
        <v>22</v>
      </c>
      <c r="M104" s="20" t="s">
        <v>134</v>
      </c>
      <c r="N104" s="21">
        <v>103</v>
      </c>
      <c r="O104" s="29">
        <v>45751</v>
      </c>
      <c r="P104" s="29">
        <v>45762</v>
      </c>
      <c r="Q104" s="29">
        <v>45770</v>
      </c>
      <c r="R104" s="29">
        <v>45776</v>
      </c>
      <c r="S104" s="23">
        <f t="shared" si="5"/>
        <v>94</v>
      </c>
      <c r="T104" s="23">
        <f t="shared" si="6"/>
        <v>105</v>
      </c>
      <c r="U104" s="23">
        <f t="shared" si="7"/>
        <v>113</v>
      </c>
      <c r="V104" s="23">
        <f t="shared" si="8"/>
        <v>119</v>
      </c>
      <c r="W104" s="20" t="s">
        <v>35</v>
      </c>
      <c r="X104" s="20" t="s">
        <v>133</v>
      </c>
      <c r="Y104" s="20" t="s">
        <v>21</v>
      </c>
      <c r="Z104" s="20" t="s">
        <v>22</v>
      </c>
      <c r="AA104" s="20" t="s">
        <v>14</v>
      </c>
      <c r="AB104" s="20" t="s">
        <v>131</v>
      </c>
      <c r="AC104" s="20" t="s">
        <v>16</v>
      </c>
      <c r="AD104" s="20"/>
      <c r="AE104" s="2">
        <v>0</v>
      </c>
      <c r="AF104" s="2"/>
    </row>
    <row r="105" spans="1:32" x14ac:dyDescent="0.2">
      <c r="A105" s="20" t="s">
        <v>14</v>
      </c>
      <c r="B105" s="20" t="s">
        <v>131</v>
      </c>
      <c r="C105" s="20" t="s">
        <v>16</v>
      </c>
      <c r="D105" s="18" t="s">
        <v>817</v>
      </c>
      <c r="E105" s="20" t="s">
        <v>24</v>
      </c>
      <c r="F105" s="20">
        <v>4</v>
      </c>
      <c r="G105" s="20" t="s">
        <v>141</v>
      </c>
      <c r="H105" s="20" t="s">
        <v>19</v>
      </c>
      <c r="I105" s="20" t="s">
        <v>133</v>
      </c>
      <c r="J105" s="19" t="s">
        <v>825</v>
      </c>
      <c r="K105" s="20" t="s">
        <v>21</v>
      </c>
      <c r="L105" s="20" t="s">
        <v>22</v>
      </c>
      <c r="M105" s="20" t="s">
        <v>134</v>
      </c>
      <c r="N105" s="21">
        <v>104</v>
      </c>
      <c r="O105" s="29">
        <v>45765</v>
      </c>
      <c r="P105" s="29">
        <v>45770</v>
      </c>
      <c r="Q105" s="29">
        <v>45776</v>
      </c>
      <c r="R105" s="29">
        <v>45779</v>
      </c>
      <c r="S105" s="23">
        <f t="shared" si="5"/>
        <v>108</v>
      </c>
      <c r="T105" s="23">
        <f t="shared" si="6"/>
        <v>113</v>
      </c>
      <c r="U105" s="23">
        <f t="shared" si="7"/>
        <v>119</v>
      </c>
      <c r="V105" s="23">
        <f t="shared" si="8"/>
        <v>122</v>
      </c>
      <c r="W105" s="20" t="s">
        <v>19</v>
      </c>
      <c r="X105" s="20" t="s">
        <v>133</v>
      </c>
      <c r="Y105" s="20" t="s">
        <v>21</v>
      </c>
      <c r="Z105" s="20" t="s">
        <v>22</v>
      </c>
      <c r="AA105" s="20" t="s">
        <v>14</v>
      </c>
      <c r="AB105" s="20" t="s">
        <v>131</v>
      </c>
      <c r="AC105" s="20" t="s">
        <v>16</v>
      </c>
      <c r="AD105" s="20"/>
      <c r="AE105" s="2">
        <v>0</v>
      </c>
      <c r="AF105" s="2"/>
    </row>
    <row r="106" spans="1:32" x14ac:dyDescent="0.2">
      <c r="A106" s="14" t="s">
        <v>14</v>
      </c>
      <c r="B106" s="14" t="s">
        <v>131</v>
      </c>
      <c r="C106" s="14" t="s">
        <v>32</v>
      </c>
      <c r="D106" s="14" t="s">
        <v>826</v>
      </c>
      <c r="E106" s="14" t="s">
        <v>17</v>
      </c>
      <c r="F106" s="14">
        <v>1</v>
      </c>
      <c r="G106" s="14" t="s">
        <v>142</v>
      </c>
      <c r="H106" s="14" t="s">
        <v>19</v>
      </c>
      <c r="I106" s="14" t="s">
        <v>133</v>
      </c>
      <c r="J106" s="13" t="s">
        <v>827</v>
      </c>
      <c r="K106" s="14" t="s">
        <v>21</v>
      </c>
      <c r="L106" s="14" t="s">
        <v>44</v>
      </c>
      <c r="M106" s="14" t="s">
        <v>143</v>
      </c>
      <c r="N106" s="13">
        <v>105</v>
      </c>
      <c r="O106" s="30">
        <v>45762</v>
      </c>
      <c r="P106" s="30">
        <v>45765</v>
      </c>
      <c r="Q106" s="30">
        <v>45770</v>
      </c>
      <c r="R106" s="30">
        <v>45776</v>
      </c>
      <c r="S106" s="23">
        <f t="shared" si="5"/>
        <v>105</v>
      </c>
      <c r="T106" s="23">
        <f t="shared" si="6"/>
        <v>108</v>
      </c>
      <c r="U106" s="23">
        <f t="shared" si="7"/>
        <v>113</v>
      </c>
      <c r="V106" s="23">
        <f t="shared" si="8"/>
        <v>119</v>
      </c>
      <c r="W106" s="14" t="s">
        <v>19</v>
      </c>
      <c r="X106" s="14" t="s">
        <v>133</v>
      </c>
      <c r="Y106" s="14" t="s">
        <v>21</v>
      </c>
      <c r="Z106" s="14" t="s">
        <v>44</v>
      </c>
      <c r="AA106" s="14" t="s">
        <v>14</v>
      </c>
      <c r="AB106" s="14" t="s">
        <v>131</v>
      </c>
      <c r="AC106" s="14" t="s">
        <v>32</v>
      </c>
      <c r="AD106" s="14"/>
      <c r="AE106" s="1">
        <v>0</v>
      </c>
      <c r="AF106" s="1"/>
    </row>
    <row r="107" spans="1:32" x14ac:dyDescent="0.2">
      <c r="A107" s="14" t="s">
        <v>14</v>
      </c>
      <c r="B107" s="14" t="s">
        <v>131</v>
      </c>
      <c r="C107" s="14" t="s">
        <v>32</v>
      </c>
      <c r="D107" s="14" t="s">
        <v>826</v>
      </c>
      <c r="E107" s="14" t="s">
        <v>24</v>
      </c>
      <c r="F107" s="14">
        <v>1</v>
      </c>
      <c r="G107" s="14" t="s">
        <v>144</v>
      </c>
      <c r="H107" s="14" t="s">
        <v>19</v>
      </c>
      <c r="I107" s="14" t="s">
        <v>133</v>
      </c>
      <c r="J107" s="13" t="s">
        <v>828</v>
      </c>
      <c r="K107" s="14" t="s">
        <v>21</v>
      </c>
      <c r="L107" s="14" t="s">
        <v>44</v>
      </c>
      <c r="M107" s="14" t="s">
        <v>143</v>
      </c>
      <c r="N107" s="13">
        <v>106</v>
      </c>
      <c r="O107" s="30">
        <v>45758</v>
      </c>
      <c r="P107" s="30">
        <v>45762</v>
      </c>
      <c r="Q107" s="30">
        <v>45765</v>
      </c>
      <c r="R107" s="30">
        <v>45772</v>
      </c>
      <c r="S107" s="23">
        <f t="shared" si="5"/>
        <v>101</v>
      </c>
      <c r="T107" s="23">
        <f t="shared" si="6"/>
        <v>105</v>
      </c>
      <c r="U107" s="23">
        <f t="shared" si="7"/>
        <v>108</v>
      </c>
      <c r="V107" s="23">
        <f t="shared" si="8"/>
        <v>115</v>
      </c>
      <c r="W107" s="14" t="s">
        <v>19</v>
      </c>
      <c r="X107" s="14" t="s">
        <v>133</v>
      </c>
      <c r="Y107" s="14" t="s">
        <v>21</v>
      </c>
      <c r="Z107" s="14" t="s">
        <v>44</v>
      </c>
      <c r="AA107" s="14" t="s">
        <v>14</v>
      </c>
      <c r="AB107" s="14" t="s">
        <v>131</v>
      </c>
      <c r="AC107" s="14" t="s">
        <v>32</v>
      </c>
      <c r="AD107" s="14"/>
      <c r="AE107" s="1">
        <v>0</v>
      </c>
      <c r="AF107" s="1"/>
    </row>
    <row r="108" spans="1:32" x14ac:dyDescent="0.2">
      <c r="A108" s="14" t="s">
        <v>14</v>
      </c>
      <c r="B108" s="14" t="s">
        <v>131</v>
      </c>
      <c r="C108" s="14" t="s">
        <v>32</v>
      </c>
      <c r="D108" s="14" t="s">
        <v>826</v>
      </c>
      <c r="E108" s="14" t="s">
        <v>17</v>
      </c>
      <c r="F108" s="14">
        <v>2</v>
      </c>
      <c r="G108" s="14" t="s">
        <v>145</v>
      </c>
      <c r="H108" s="14" t="s">
        <v>19</v>
      </c>
      <c r="I108" s="14" t="s">
        <v>133</v>
      </c>
      <c r="J108" s="13" t="s">
        <v>829</v>
      </c>
      <c r="K108" s="14" t="s">
        <v>21</v>
      </c>
      <c r="L108" s="14" t="s">
        <v>44</v>
      </c>
      <c r="M108" s="14" t="s">
        <v>143</v>
      </c>
      <c r="N108" s="13">
        <v>107</v>
      </c>
      <c r="O108" s="30">
        <v>45765</v>
      </c>
      <c r="P108" s="30">
        <v>45770</v>
      </c>
      <c r="Q108" s="30">
        <v>45776</v>
      </c>
      <c r="R108" s="30">
        <v>45779</v>
      </c>
      <c r="S108" s="23">
        <f t="shared" si="5"/>
        <v>108</v>
      </c>
      <c r="T108" s="23">
        <f t="shared" si="6"/>
        <v>113</v>
      </c>
      <c r="U108" s="23">
        <f t="shared" si="7"/>
        <v>119</v>
      </c>
      <c r="V108" s="23">
        <f t="shared" si="8"/>
        <v>122</v>
      </c>
      <c r="W108" s="14" t="s">
        <v>19</v>
      </c>
      <c r="X108" s="14" t="s">
        <v>133</v>
      </c>
      <c r="Y108" s="14" t="s">
        <v>21</v>
      </c>
      <c r="Z108" s="14" t="s">
        <v>44</v>
      </c>
      <c r="AA108" s="14" t="s">
        <v>14</v>
      </c>
      <c r="AB108" s="14" t="s">
        <v>131</v>
      </c>
      <c r="AC108" s="14" t="s">
        <v>32</v>
      </c>
      <c r="AD108" s="14"/>
      <c r="AE108" s="1">
        <v>0</v>
      </c>
      <c r="AF108" s="1"/>
    </row>
    <row r="109" spans="1:32" x14ac:dyDescent="0.2">
      <c r="A109" s="14" t="s">
        <v>14</v>
      </c>
      <c r="B109" s="14" t="s">
        <v>131</v>
      </c>
      <c r="C109" s="14" t="s">
        <v>32</v>
      </c>
      <c r="D109" s="14" t="s">
        <v>826</v>
      </c>
      <c r="E109" s="14" t="s">
        <v>24</v>
      </c>
      <c r="F109" s="14">
        <v>2</v>
      </c>
      <c r="G109" s="14" t="s">
        <v>146</v>
      </c>
      <c r="H109" s="14" t="s">
        <v>19</v>
      </c>
      <c r="I109" s="14" t="s">
        <v>133</v>
      </c>
      <c r="J109" s="13" t="s">
        <v>830</v>
      </c>
      <c r="K109" s="14" t="s">
        <v>21</v>
      </c>
      <c r="L109" s="14" t="s">
        <v>44</v>
      </c>
      <c r="M109" s="14" t="s">
        <v>143</v>
      </c>
      <c r="N109" s="13">
        <v>108</v>
      </c>
      <c r="O109" s="30">
        <v>45762</v>
      </c>
      <c r="P109" s="30">
        <v>45770</v>
      </c>
      <c r="Q109" s="30">
        <v>45772</v>
      </c>
      <c r="R109" s="30">
        <v>45776</v>
      </c>
      <c r="S109" s="23">
        <f t="shared" si="5"/>
        <v>105</v>
      </c>
      <c r="T109" s="23">
        <f t="shared" si="6"/>
        <v>113</v>
      </c>
      <c r="U109" s="23">
        <f t="shared" si="7"/>
        <v>115</v>
      </c>
      <c r="V109" s="23">
        <f t="shared" si="8"/>
        <v>119</v>
      </c>
      <c r="W109" s="14" t="s">
        <v>19</v>
      </c>
      <c r="X109" s="14" t="s">
        <v>133</v>
      </c>
      <c r="Y109" s="14" t="s">
        <v>21</v>
      </c>
      <c r="Z109" s="14" t="s">
        <v>44</v>
      </c>
      <c r="AA109" s="14" t="s">
        <v>14</v>
      </c>
      <c r="AB109" s="14" t="s">
        <v>131</v>
      </c>
      <c r="AC109" s="14" t="s">
        <v>32</v>
      </c>
      <c r="AD109" s="14"/>
      <c r="AE109" s="1">
        <v>0</v>
      </c>
      <c r="AF109" s="1"/>
    </row>
    <row r="110" spans="1:32" x14ac:dyDescent="0.2">
      <c r="A110" s="14" t="s">
        <v>14</v>
      </c>
      <c r="B110" s="14" t="s">
        <v>131</v>
      </c>
      <c r="C110" s="14" t="s">
        <v>32</v>
      </c>
      <c r="D110" s="14" t="s">
        <v>826</v>
      </c>
      <c r="E110" s="14" t="s">
        <v>17</v>
      </c>
      <c r="F110" s="14">
        <v>3</v>
      </c>
      <c r="G110" s="14" t="s">
        <v>147</v>
      </c>
      <c r="H110" s="14" t="s">
        <v>19</v>
      </c>
      <c r="I110" s="14" t="s">
        <v>133</v>
      </c>
      <c r="J110" s="13" t="s">
        <v>831</v>
      </c>
      <c r="K110" s="14" t="s">
        <v>21</v>
      </c>
      <c r="L110" s="14" t="s">
        <v>44</v>
      </c>
      <c r="M110" s="14" t="s">
        <v>143</v>
      </c>
      <c r="N110" s="13">
        <v>109</v>
      </c>
      <c r="O110" s="30">
        <v>45770</v>
      </c>
      <c r="P110" s="30">
        <v>45772</v>
      </c>
      <c r="Q110" s="30">
        <v>45776</v>
      </c>
      <c r="R110" s="30">
        <v>45779</v>
      </c>
      <c r="S110" s="23">
        <f t="shared" si="5"/>
        <v>113</v>
      </c>
      <c r="T110" s="23">
        <f t="shared" si="6"/>
        <v>115</v>
      </c>
      <c r="U110" s="23">
        <f t="shared" si="7"/>
        <v>119</v>
      </c>
      <c r="V110" s="23">
        <f t="shared" si="8"/>
        <v>122</v>
      </c>
      <c r="W110" s="14" t="s">
        <v>19</v>
      </c>
      <c r="X110" s="14" t="s">
        <v>133</v>
      </c>
      <c r="Y110" s="14" t="s">
        <v>21</v>
      </c>
      <c r="Z110" s="14" t="s">
        <v>44</v>
      </c>
      <c r="AA110" s="14" t="s">
        <v>14</v>
      </c>
      <c r="AB110" s="14" t="s">
        <v>131</v>
      </c>
      <c r="AC110" s="14" t="s">
        <v>32</v>
      </c>
      <c r="AD110" s="14"/>
      <c r="AE110" s="1">
        <v>0</v>
      </c>
      <c r="AF110" s="1"/>
    </row>
    <row r="111" spans="1:32" x14ac:dyDescent="0.2">
      <c r="A111" s="14" t="s">
        <v>14</v>
      </c>
      <c r="B111" s="14" t="s">
        <v>131</v>
      </c>
      <c r="C111" s="14" t="s">
        <v>32</v>
      </c>
      <c r="D111" s="14" t="s">
        <v>826</v>
      </c>
      <c r="E111" s="14" t="s">
        <v>24</v>
      </c>
      <c r="F111" s="14">
        <v>3</v>
      </c>
      <c r="G111" s="14" t="s">
        <v>148</v>
      </c>
      <c r="H111" s="14" t="s">
        <v>19</v>
      </c>
      <c r="I111" s="14" t="s">
        <v>133</v>
      </c>
      <c r="J111" s="13" t="s">
        <v>832</v>
      </c>
      <c r="K111" s="14" t="s">
        <v>21</v>
      </c>
      <c r="L111" s="14" t="s">
        <v>44</v>
      </c>
      <c r="M111" s="14" t="s">
        <v>143</v>
      </c>
      <c r="N111" s="13">
        <v>110</v>
      </c>
      <c r="O111" s="30">
        <v>45758</v>
      </c>
      <c r="P111" s="30">
        <v>45762</v>
      </c>
      <c r="Q111" s="30">
        <v>45770</v>
      </c>
      <c r="R111" s="30">
        <v>45772</v>
      </c>
      <c r="S111" s="23">
        <f t="shared" si="5"/>
        <v>101</v>
      </c>
      <c r="T111" s="23">
        <f t="shared" si="6"/>
        <v>105</v>
      </c>
      <c r="U111" s="23">
        <f t="shared" si="7"/>
        <v>113</v>
      </c>
      <c r="V111" s="23">
        <f t="shared" si="8"/>
        <v>115</v>
      </c>
      <c r="W111" s="14" t="s">
        <v>19</v>
      </c>
      <c r="X111" s="14" t="s">
        <v>133</v>
      </c>
      <c r="Y111" s="14" t="s">
        <v>21</v>
      </c>
      <c r="Z111" s="14" t="s">
        <v>44</v>
      </c>
      <c r="AA111" s="14" t="s">
        <v>14</v>
      </c>
      <c r="AB111" s="14" t="s">
        <v>131</v>
      </c>
      <c r="AC111" s="14" t="s">
        <v>32</v>
      </c>
      <c r="AD111" s="14"/>
      <c r="AE111" s="1">
        <v>0</v>
      </c>
      <c r="AF111" s="1"/>
    </row>
    <row r="112" spans="1:32" x14ac:dyDescent="0.2">
      <c r="A112" s="14" t="s">
        <v>14</v>
      </c>
      <c r="B112" s="14" t="s">
        <v>131</v>
      </c>
      <c r="C112" s="14" t="s">
        <v>32</v>
      </c>
      <c r="D112" s="14" t="s">
        <v>826</v>
      </c>
      <c r="E112" s="14" t="s">
        <v>17</v>
      </c>
      <c r="F112" s="14">
        <v>4</v>
      </c>
      <c r="G112" s="14" t="s">
        <v>149</v>
      </c>
      <c r="H112" s="14" t="s">
        <v>19</v>
      </c>
      <c r="I112" s="14" t="s">
        <v>133</v>
      </c>
      <c r="J112" s="13" t="s">
        <v>833</v>
      </c>
      <c r="K112" s="14" t="s">
        <v>21</v>
      </c>
      <c r="L112" s="14" t="s">
        <v>44</v>
      </c>
      <c r="M112" s="14" t="s">
        <v>143</v>
      </c>
      <c r="N112" s="13">
        <v>111</v>
      </c>
      <c r="O112" s="30">
        <v>45762</v>
      </c>
      <c r="P112" s="30"/>
      <c r="Q112" s="30">
        <v>45770</v>
      </c>
      <c r="R112" s="30">
        <v>45776</v>
      </c>
      <c r="S112" s="23">
        <f t="shared" si="5"/>
        <v>105</v>
      </c>
      <c r="T112" s="23">
        <f>(U112+S112)/2</f>
        <v>109</v>
      </c>
      <c r="U112" s="23">
        <f t="shared" si="7"/>
        <v>113</v>
      </c>
      <c r="V112" s="23">
        <f t="shared" si="8"/>
        <v>119</v>
      </c>
      <c r="W112" s="14" t="s">
        <v>19</v>
      </c>
      <c r="X112" s="14" t="s">
        <v>133</v>
      </c>
      <c r="Y112" s="14" t="s">
        <v>21</v>
      </c>
      <c r="Z112" s="14" t="s">
        <v>44</v>
      </c>
      <c r="AA112" s="14" t="s">
        <v>14</v>
      </c>
      <c r="AB112" s="14" t="s">
        <v>131</v>
      </c>
      <c r="AC112" s="14" t="s">
        <v>32</v>
      </c>
      <c r="AD112" s="14"/>
      <c r="AE112" s="1">
        <v>0</v>
      </c>
      <c r="AF112" s="1"/>
    </row>
    <row r="113" spans="1:32" x14ac:dyDescent="0.2">
      <c r="A113" s="14" t="s">
        <v>14</v>
      </c>
      <c r="B113" s="14" t="s">
        <v>131</v>
      </c>
      <c r="C113" s="14" t="s">
        <v>32</v>
      </c>
      <c r="D113" s="14" t="s">
        <v>826</v>
      </c>
      <c r="E113" s="14" t="s">
        <v>24</v>
      </c>
      <c r="F113" s="14">
        <v>4</v>
      </c>
      <c r="G113" s="14" t="s">
        <v>150</v>
      </c>
      <c r="H113" s="14" t="s">
        <v>19</v>
      </c>
      <c r="I113" s="14" t="s">
        <v>133</v>
      </c>
      <c r="J113" s="13" t="s">
        <v>834</v>
      </c>
      <c r="K113" s="14" t="s">
        <v>21</v>
      </c>
      <c r="L113" s="14" t="s">
        <v>44</v>
      </c>
      <c r="M113" s="14" t="s">
        <v>143</v>
      </c>
      <c r="N113" s="13">
        <v>112</v>
      </c>
      <c r="O113" s="30">
        <v>45762</v>
      </c>
      <c r="P113" s="30">
        <v>45765</v>
      </c>
      <c r="Q113" s="30">
        <v>45770</v>
      </c>
      <c r="R113" s="30">
        <v>45776</v>
      </c>
      <c r="S113" s="23">
        <f t="shared" si="5"/>
        <v>105</v>
      </c>
      <c r="T113" s="23">
        <f t="shared" si="6"/>
        <v>108</v>
      </c>
      <c r="U113" s="23">
        <f t="shared" si="7"/>
        <v>113</v>
      </c>
      <c r="V113" s="23">
        <f t="shared" si="8"/>
        <v>119</v>
      </c>
      <c r="W113" s="14" t="s">
        <v>19</v>
      </c>
      <c r="X113" s="14" t="s">
        <v>133</v>
      </c>
      <c r="Y113" s="14" t="s">
        <v>21</v>
      </c>
      <c r="Z113" s="14" t="s">
        <v>44</v>
      </c>
      <c r="AA113" s="14" t="s">
        <v>14</v>
      </c>
      <c r="AB113" s="14" t="s">
        <v>131</v>
      </c>
      <c r="AC113" s="14" t="s">
        <v>32</v>
      </c>
      <c r="AD113" s="14"/>
      <c r="AE113" s="1">
        <v>0</v>
      </c>
      <c r="AF113" s="1"/>
    </row>
    <row r="114" spans="1:32" x14ac:dyDescent="0.2">
      <c r="A114" s="20" t="s">
        <v>14</v>
      </c>
      <c r="B114" s="20" t="s">
        <v>131</v>
      </c>
      <c r="C114" s="20" t="s">
        <v>42</v>
      </c>
      <c r="D114" s="18" t="s">
        <v>835</v>
      </c>
      <c r="E114" s="20" t="s">
        <v>17</v>
      </c>
      <c r="F114" s="20">
        <v>1</v>
      </c>
      <c r="G114" s="20" t="s">
        <v>151</v>
      </c>
      <c r="H114" s="20" t="s">
        <v>35</v>
      </c>
      <c r="I114" s="20" t="s">
        <v>133</v>
      </c>
      <c r="J114" s="19" t="s">
        <v>836</v>
      </c>
      <c r="K114" s="20" t="s">
        <v>21</v>
      </c>
      <c r="L114" s="20" t="s">
        <v>44</v>
      </c>
      <c r="M114" s="20" t="s">
        <v>143</v>
      </c>
      <c r="N114" s="21">
        <v>113</v>
      </c>
      <c r="O114" s="29">
        <v>45765</v>
      </c>
      <c r="P114" s="29">
        <v>45779</v>
      </c>
      <c r="Q114" s="29">
        <v>45783</v>
      </c>
      <c r="R114" s="29">
        <v>45790</v>
      </c>
      <c r="S114" s="23">
        <f t="shared" si="5"/>
        <v>108</v>
      </c>
      <c r="T114" s="23">
        <f t="shared" si="6"/>
        <v>122</v>
      </c>
      <c r="U114" s="23">
        <f t="shared" si="7"/>
        <v>126</v>
      </c>
      <c r="V114" s="23">
        <f t="shared" si="8"/>
        <v>133</v>
      </c>
      <c r="W114" s="20" t="s">
        <v>35</v>
      </c>
      <c r="X114" s="20" t="s">
        <v>133</v>
      </c>
      <c r="Y114" s="20" t="s">
        <v>21</v>
      </c>
      <c r="Z114" s="20" t="s">
        <v>44</v>
      </c>
      <c r="AA114" s="20" t="s">
        <v>14</v>
      </c>
      <c r="AB114" s="20" t="s">
        <v>131</v>
      </c>
      <c r="AC114" s="20" t="s">
        <v>42</v>
      </c>
      <c r="AD114" s="20"/>
      <c r="AE114" s="2">
        <v>0</v>
      </c>
      <c r="AF114" s="2"/>
    </row>
    <row r="115" spans="1:32" x14ac:dyDescent="0.2">
      <c r="A115" s="20" t="s">
        <v>14</v>
      </c>
      <c r="B115" s="20" t="s">
        <v>131</v>
      </c>
      <c r="C115" s="20" t="s">
        <v>42</v>
      </c>
      <c r="D115" s="18" t="s">
        <v>835</v>
      </c>
      <c r="E115" s="20" t="s">
        <v>24</v>
      </c>
      <c r="F115" s="20">
        <v>1</v>
      </c>
      <c r="G115" s="20" t="s">
        <v>152</v>
      </c>
      <c r="H115" s="20" t="s">
        <v>35</v>
      </c>
      <c r="I115" s="20" t="s">
        <v>133</v>
      </c>
      <c r="J115" s="19" t="s">
        <v>837</v>
      </c>
      <c r="K115" s="20" t="s">
        <v>21</v>
      </c>
      <c r="L115" s="20" t="s">
        <v>44</v>
      </c>
      <c r="M115" s="20" t="s">
        <v>143</v>
      </c>
      <c r="N115" s="21">
        <v>114</v>
      </c>
      <c r="O115" s="29">
        <v>45751</v>
      </c>
      <c r="P115" s="29">
        <v>45762</v>
      </c>
      <c r="Q115" s="29">
        <v>45765</v>
      </c>
      <c r="R115" s="29">
        <v>45779</v>
      </c>
      <c r="S115" s="23">
        <f t="shared" si="5"/>
        <v>94</v>
      </c>
      <c r="T115" s="23">
        <f t="shared" si="6"/>
        <v>105</v>
      </c>
      <c r="U115" s="23">
        <f t="shared" si="7"/>
        <v>108</v>
      </c>
      <c r="V115" s="23">
        <f t="shared" si="7"/>
        <v>122</v>
      </c>
      <c r="W115" s="20" t="s">
        <v>35</v>
      </c>
      <c r="X115" s="20" t="s">
        <v>133</v>
      </c>
      <c r="Y115" s="20" t="s">
        <v>21</v>
      </c>
      <c r="Z115" s="20" t="s">
        <v>44</v>
      </c>
      <c r="AA115" s="20" t="s">
        <v>14</v>
      </c>
      <c r="AB115" s="20" t="s">
        <v>131</v>
      </c>
      <c r="AC115" s="20" t="s">
        <v>42</v>
      </c>
      <c r="AD115" s="20"/>
      <c r="AE115" s="2">
        <v>0</v>
      </c>
      <c r="AF115" s="2"/>
    </row>
    <row r="116" spans="1:32" x14ac:dyDescent="0.2">
      <c r="A116" s="20" t="s">
        <v>14</v>
      </c>
      <c r="B116" s="20" t="s">
        <v>131</v>
      </c>
      <c r="C116" s="20" t="s">
        <v>42</v>
      </c>
      <c r="D116" s="18" t="s">
        <v>835</v>
      </c>
      <c r="E116" s="20" t="s">
        <v>17</v>
      </c>
      <c r="F116" s="20">
        <v>2</v>
      </c>
      <c r="G116" s="20" t="s">
        <v>153</v>
      </c>
      <c r="H116" s="20" t="s">
        <v>35</v>
      </c>
      <c r="I116" s="20" t="s">
        <v>133</v>
      </c>
      <c r="J116" s="19" t="s">
        <v>838</v>
      </c>
      <c r="K116" s="20" t="s">
        <v>21</v>
      </c>
      <c r="L116" s="20" t="s">
        <v>44</v>
      </c>
      <c r="M116" s="20" t="s">
        <v>143</v>
      </c>
      <c r="N116" s="21">
        <v>115</v>
      </c>
      <c r="O116" s="29">
        <v>45783</v>
      </c>
      <c r="P116" s="29">
        <v>45790</v>
      </c>
      <c r="Q116" s="29">
        <v>45797</v>
      </c>
      <c r="R116" s="29">
        <v>45804</v>
      </c>
      <c r="S116" s="23">
        <f t="shared" si="5"/>
        <v>126</v>
      </c>
      <c r="T116" s="23">
        <f t="shared" si="6"/>
        <v>133</v>
      </c>
      <c r="U116" s="23">
        <f t="shared" si="7"/>
        <v>140</v>
      </c>
      <c r="V116" s="23">
        <f t="shared" si="7"/>
        <v>147</v>
      </c>
      <c r="W116" s="20" t="s">
        <v>35</v>
      </c>
      <c r="X116" s="20" t="s">
        <v>133</v>
      </c>
      <c r="Y116" s="20" t="s">
        <v>21</v>
      </c>
      <c r="Z116" s="20" t="s">
        <v>44</v>
      </c>
      <c r="AA116" s="20" t="s">
        <v>14</v>
      </c>
      <c r="AB116" s="20" t="s">
        <v>131</v>
      </c>
      <c r="AC116" s="20" t="s">
        <v>42</v>
      </c>
      <c r="AD116" s="20"/>
      <c r="AE116" s="2">
        <v>0</v>
      </c>
      <c r="AF116" s="2"/>
    </row>
    <row r="117" spans="1:32" x14ac:dyDescent="0.2">
      <c r="A117" s="20" t="s">
        <v>14</v>
      </c>
      <c r="B117" s="20" t="s">
        <v>131</v>
      </c>
      <c r="C117" s="20" t="s">
        <v>42</v>
      </c>
      <c r="D117" s="18" t="s">
        <v>835</v>
      </c>
      <c r="E117" s="20" t="s">
        <v>24</v>
      </c>
      <c r="F117" s="20">
        <v>2</v>
      </c>
      <c r="G117" s="20" t="s">
        <v>154</v>
      </c>
      <c r="H117" s="20" t="s">
        <v>35</v>
      </c>
      <c r="I117" s="20" t="s">
        <v>133</v>
      </c>
      <c r="J117" s="19" t="s">
        <v>839</v>
      </c>
      <c r="K117" s="20" t="s">
        <v>21</v>
      </c>
      <c r="L117" s="20" t="s">
        <v>44</v>
      </c>
      <c r="M117" s="20" t="s">
        <v>143</v>
      </c>
      <c r="N117" s="21">
        <v>116</v>
      </c>
      <c r="O117" s="29">
        <v>45765</v>
      </c>
      <c r="P117" s="29">
        <v>45776</v>
      </c>
      <c r="Q117" s="29">
        <v>45779</v>
      </c>
      <c r="R117" s="29">
        <v>45783</v>
      </c>
      <c r="S117" s="23">
        <f t="shared" si="5"/>
        <v>108</v>
      </c>
      <c r="T117" s="23">
        <f t="shared" si="6"/>
        <v>119</v>
      </c>
      <c r="U117" s="23">
        <f t="shared" si="7"/>
        <v>122</v>
      </c>
      <c r="V117" s="23">
        <f t="shared" si="8"/>
        <v>126</v>
      </c>
      <c r="W117" s="20" t="s">
        <v>35</v>
      </c>
      <c r="X117" s="20" t="s">
        <v>133</v>
      </c>
      <c r="Y117" s="20" t="s">
        <v>21</v>
      </c>
      <c r="Z117" s="20" t="s">
        <v>44</v>
      </c>
      <c r="AA117" s="20" t="s">
        <v>14</v>
      </c>
      <c r="AB117" s="20" t="s">
        <v>131</v>
      </c>
      <c r="AC117" s="20" t="s">
        <v>42</v>
      </c>
      <c r="AD117" s="20"/>
      <c r="AE117" s="2">
        <v>0</v>
      </c>
      <c r="AF117" s="2"/>
    </row>
    <row r="118" spans="1:32" x14ac:dyDescent="0.2">
      <c r="A118" s="20" t="s">
        <v>14</v>
      </c>
      <c r="B118" s="20" t="s">
        <v>131</v>
      </c>
      <c r="C118" s="20" t="s">
        <v>42</v>
      </c>
      <c r="D118" s="18" t="s">
        <v>835</v>
      </c>
      <c r="E118" s="20" t="s">
        <v>17</v>
      </c>
      <c r="F118" s="20">
        <v>3</v>
      </c>
      <c r="G118" s="20" t="s">
        <v>155</v>
      </c>
      <c r="H118" s="20" t="s">
        <v>35</v>
      </c>
      <c r="I118" s="20" t="s">
        <v>133</v>
      </c>
      <c r="J118" s="19" t="s">
        <v>840</v>
      </c>
      <c r="K118" s="20" t="s">
        <v>21</v>
      </c>
      <c r="L118" s="20" t="s">
        <v>44</v>
      </c>
      <c r="M118" s="20" t="s">
        <v>143</v>
      </c>
      <c r="N118" s="21">
        <v>117</v>
      </c>
      <c r="O118" s="29">
        <v>45770</v>
      </c>
      <c r="P118" s="29">
        <v>45779</v>
      </c>
      <c r="Q118" s="29">
        <v>45783</v>
      </c>
      <c r="R118" s="29">
        <v>45790</v>
      </c>
      <c r="S118" s="23">
        <f t="shared" si="5"/>
        <v>113</v>
      </c>
      <c r="T118" s="23">
        <f t="shared" si="6"/>
        <v>122</v>
      </c>
      <c r="U118" s="23">
        <f t="shared" si="7"/>
        <v>126</v>
      </c>
      <c r="V118" s="23">
        <f t="shared" si="8"/>
        <v>133</v>
      </c>
      <c r="W118" s="20" t="s">
        <v>35</v>
      </c>
      <c r="X118" s="20" t="s">
        <v>133</v>
      </c>
      <c r="Y118" s="20" t="s">
        <v>21</v>
      </c>
      <c r="Z118" s="20" t="s">
        <v>44</v>
      </c>
      <c r="AA118" s="20" t="s">
        <v>14</v>
      </c>
      <c r="AB118" s="20" t="s">
        <v>131</v>
      </c>
      <c r="AC118" s="20" t="s">
        <v>42</v>
      </c>
      <c r="AD118" s="20"/>
      <c r="AE118" s="2">
        <v>0</v>
      </c>
      <c r="AF118" s="2"/>
    </row>
    <row r="119" spans="1:32" x14ac:dyDescent="0.2">
      <c r="A119" s="20" t="s">
        <v>14</v>
      </c>
      <c r="B119" s="20" t="s">
        <v>131</v>
      </c>
      <c r="C119" s="20" t="s">
        <v>42</v>
      </c>
      <c r="D119" s="18" t="s">
        <v>835</v>
      </c>
      <c r="E119" s="20" t="s">
        <v>24</v>
      </c>
      <c r="F119" s="20">
        <v>3</v>
      </c>
      <c r="G119" s="20" t="s">
        <v>156</v>
      </c>
      <c r="H119" s="20" t="s">
        <v>35</v>
      </c>
      <c r="I119" s="20" t="s">
        <v>133</v>
      </c>
      <c r="J119" s="19" t="s">
        <v>841</v>
      </c>
      <c r="K119" s="20" t="s">
        <v>21</v>
      </c>
      <c r="L119" s="20" t="s">
        <v>44</v>
      </c>
      <c r="M119" s="20" t="s">
        <v>143</v>
      </c>
      <c r="N119" s="21">
        <v>118</v>
      </c>
      <c r="O119" s="29">
        <v>45765</v>
      </c>
      <c r="P119" s="29">
        <v>45776</v>
      </c>
      <c r="Q119" s="29">
        <v>45779</v>
      </c>
      <c r="R119" s="29">
        <v>45783</v>
      </c>
      <c r="S119" s="23">
        <f t="shared" si="5"/>
        <v>108</v>
      </c>
      <c r="T119" s="23">
        <f t="shared" si="6"/>
        <v>119</v>
      </c>
      <c r="U119" s="23">
        <f t="shared" si="7"/>
        <v>122</v>
      </c>
      <c r="V119" s="23">
        <f t="shared" si="8"/>
        <v>126</v>
      </c>
      <c r="W119" s="20" t="s">
        <v>35</v>
      </c>
      <c r="X119" s="20" t="s">
        <v>133</v>
      </c>
      <c r="Y119" s="20" t="s">
        <v>21</v>
      </c>
      <c r="Z119" s="20" t="s">
        <v>44</v>
      </c>
      <c r="AA119" s="20" t="s">
        <v>14</v>
      </c>
      <c r="AB119" s="20" t="s">
        <v>131</v>
      </c>
      <c r="AC119" s="20" t="s">
        <v>42</v>
      </c>
      <c r="AD119" s="20"/>
      <c r="AE119" s="2">
        <v>0</v>
      </c>
      <c r="AF119" s="2"/>
    </row>
    <row r="120" spans="1:32" x14ac:dyDescent="0.2">
      <c r="A120" s="20" t="s">
        <v>14</v>
      </c>
      <c r="B120" s="20" t="s">
        <v>131</v>
      </c>
      <c r="C120" s="20" t="s">
        <v>42</v>
      </c>
      <c r="D120" s="18" t="s">
        <v>835</v>
      </c>
      <c r="E120" s="20" t="s">
        <v>17</v>
      </c>
      <c r="F120" s="20">
        <v>4</v>
      </c>
      <c r="G120" s="20" t="s">
        <v>157</v>
      </c>
      <c r="H120" s="20" t="s">
        <v>35</v>
      </c>
      <c r="I120" s="20" t="s">
        <v>133</v>
      </c>
      <c r="J120" s="19" t="s">
        <v>842</v>
      </c>
      <c r="K120" s="20" t="s">
        <v>21</v>
      </c>
      <c r="L120" s="20" t="s">
        <v>44</v>
      </c>
      <c r="M120" s="20" t="s">
        <v>143</v>
      </c>
      <c r="N120" s="21">
        <v>119</v>
      </c>
      <c r="O120" s="29">
        <v>45755</v>
      </c>
      <c r="P120" s="29">
        <v>45770</v>
      </c>
      <c r="Q120" s="29">
        <v>45776</v>
      </c>
      <c r="R120" s="29">
        <v>45779</v>
      </c>
      <c r="S120" s="23">
        <f t="shared" si="5"/>
        <v>98</v>
      </c>
      <c r="T120" s="23">
        <f t="shared" si="6"/>
        <v>113</v>
      </c>
      <c r="U120" s="23">
        <f t="shared" si="7"/>
        <v>119</v>
      </c>
      <c r="V120" s="23">
        <f t="shared" si="8"/>
        <v>122</v>
      </c>
      <c r="W120" s="20" t="s">
        <v>35</v>
      </c>
      <c r="X120" s="20" t="s">
        <v>133</v>
      </c>
      <c r="Y120" s="20" t="s">
        <v>21</v>
      </c>
      <c r="Z120" s="20" t="s">
        <v>44</v>
      </c>
      <c r="AA120" s="20" t="s">
        <v>14</v>
      </c>
      <c r="AB120" s="20" t="s">
        <v>131</v>
      </c>
      <c r="AC120" s="20" t="s">
        <v>42</v>
      </c>
      <c r="AD120" s="20"/>
      <c r="AE120" s="2">
        <v>0</v>
      </c>
      <c r="AF120" s="2"/>
    </row>
    <row r="121" spans="1:32" x14ac:dyDescent="0.2">
      <c r="A121" s="20" t="s">
        <v>14</v>
      </c>
      <c r="B121" s="20" t="s">
        <v>131</v>
      </c>
      <c r="C121" s="20" t="s">
        <v>42</v>
      </c>
      <c r="D121" s="18" t="s">
        <v>835</v>
      </c>
      <c r="E121" s="20" t="s">
        <v>24</v>
      </c>
      <c r="F121" s="20">
        <v>4</v>
      </c>
      <c r="G121" s="20" t="s">
        <v>158</v>
      </c>
      <c r="H121" s="20" t="s">
        <v>35</v>
      </c>
      <c r="I121" s="20" t="s">
        <v>133</v>
      </c>
      <c r="J121" s="19" t="s">
        <v>843</v>
      </c>
      <c r="K121" s="20" t="s">
        <v>21</v>
      </c>
      <c r="L121" s="20" t="s">
        <v>44</v>
      </c>
      <c r="M121" s="20" t="s">
        <v>143</v>
      </c>
      <c r="N121" s="21">
        <v>120</v>
      </c>
      <c r="O121" s="29">
        <v>45751</v>
      </c>
      <c r="P121" s="29">
        <v>45770</v>
      </c>
      <c r="Q121" s="29">
        <v>45776</v>
      </c>
      <c r="R121" s="29">
        <v>45779</v>
      </c>
      <c r="S121" s="23">
        <f t="shared" si="5"/>
        <v>94</v>
      </c>
      <c r="T121" s="23">
        <f t="shared" si="6"/>
        <v>113</v>
      </c>
      <c r="U121" s="23">
        <f t="shared" si="7"/>
        <v>119</v>
      </c>
      <c r="V121" s="23">
        <f t="shared" si="8"/>
        <v>122</v>
      </c>
      <c r="W121" s="20" t="s">
        <v>35</v>
      </c>
      <c r="X121" s="20" t="s">
        <v>133</v>
      </c>
      <c r="Y121" s="20" t="s">
        <v>21</v>
      </c>
      <c r="Z121" s="20" t="s">
        <v>44</v>
      </c>
      <c r="AA121" s="20" t="s">
        <v>14</v>
      </c>
      <c r="AB121" s="20" t="s">
        <v>131</v>
      </c>
      <c r="AC121" s="20" t="s">
        <v>42</v>
      </c>
      <c r="AD121" s="20"/>
      <c r="AE121" s="2">
        <v>0</v>
      </c>
      <c r="AF121" s="2"/>
    </row>
    <row r="122" spans="1:32" x14ac:dyDescent="0.2">
      <c r="A122" s="14" t="s">
        <v>14</v>
      </c>
      <c r="B122" s="14" t="s">
        <v>131</v>
      </c>
      <c r="C122" s="14" t="s">
        <v>53</v>
      </c>
      <c r="D122" s="14" t="s">
        <v>844</v>
      </c>
      <c r="E122" s="14" t="s">
        <v>17</v>
      </c>
      <c r="F122" s="14">
        <v>1</v>
      </c>
      <c r="G122" s="14" t="s">
        <v>159</v>
      </c>
      <c r="H122" s="14" t="s">
        <v>19</v>
      </c>
      <c r="I122" s="14" t="s">
        <v>133</v>
      </c>
      <c r="J122" s="13" t="s">
        <v>845</v>
      </c>
      <c r="K122" s="14" t="s">
        <v>21</v>
      </c>
      <c r="L122" s="14" t="s">
        <v>44</v>
      </c>
      <c r="M122" s="14" t="s">
        <v>143</v>
      </c>
      <c r="N122" s="13">
        <v>121</v>
      </c>
      <c r="O122" s="30">
        <v>45762</v>
      </c>
      <c r="P122" s="30">
        <v>45770</v>
      </c>
      <c r="Q122" s="30">
        <v>45772</v>
      </c>
      <c r="R122" s="30">
        <v>45776</v>
      </c>
      <c r="S122" s="23">
        <f t="shared" si="5"/>
        <v>105</v>
      </c>
      <c r="T122" s="23">
        <f t="shared" si="6"/>
        <v>113</v>
      </c>
      <c r="U122" s="23">
        <f t="shared" si="7"/>
        <v>115</v>
      </c>
      <c r="V122" s="23">
        <f t="shared" si="8"/>
        <v>119</v>
      </c>
      <c r="W122" s="14" t="s">
        <v>19</v>
      </c>
      <c r="X122" s="14" t="s">
        <v>133</v>
      </c>
      <c r="Y122" s="14" t="s">
        <v>21</v>
      </c>
      <c r="Z122" s="14" t="s">
        <v>44</v>
      </c>
      <c r="AA122" s="14" t="s">
        <v>14</v>
      </c>
      <c r="AB122" s="14" t="s">
        <v>131</v>
      </c>
      <c r="AC122" s="14" t="s">
        <v>53</v>
      </c>
      <c r="AD122" s="14"/>
      <c r="AE122" s="1">
        <v>0</v>
      </c>
      <c r="AF122" s="1"/>
    </row>
    <row r="123" spans="1:32" x14ac:dyDescent="0.2">
      <c r="A123" s="14" t="s">
        <v>14</v>
      </c>
      <c r="B123" s="14" t="s">
        <v>131</v>
      </c>
      <c r="C123" s="14" t="s">
        <v>53</v>
      </c>
      <c r="D123" s="14" t="s">
        <v>844</v>
      </c>
      <c r="E123" s="14" t="s">
        <v>24</v>
      </c>
      <c r="F123" s="14">
        <v>1</v>
      </c>
      <c r="G123" s="14" t="s">
        <v>160</v>
      </c>
      <c r="H123" s="14" t="s">
        <v>35</v>
      </c>
      <c r="I123" s="14" t="s">
        <v>133</v>
      </c>
      <c r="J123" s="13" t="s">
        <v>846</v>
      </c>
      <c r="K123" s="14" t="s">
        <v>21</v>
      </c>
      <c r="L123" s="14" t="s">
        <v>44</v>
      </c>
      <c r="M123" s="14" t="s">
        <v>143</v>
      </c>
      <c r="N123" s="13">
        <v>122</v>
      </c>
      <c r="O123" s="30">
        <v>45755</v>
      </c>
      <c r="P123" s="30">
        <v>45770</v>
      </c>
      <c r="Q123" s="30">
        <v>45779</v>
      </c>
      <c r="R123" s="30">
        <v>45783</v>
      </c>
      <c r="S123" s="23">
        <f t="shared" si="5"/>
        <v>98</v>
      </c>
      <c r="T123" s="23">
        <f t="shared" si="6"/>
        <v>113</v>
      </c>
      <c r="U123" s="23">
        <f t="shared" si="7"/>
        <v>122</v>
      </c>
      <c r="V123" s="23">
        <f t="shared" si="8"/>
        <v>126</v>
      </c>
      <c r="W123" s="14" t="s">
        <v>35</v>
      </c>
      <c r="X123" s="14" t="s">
        <v>133</v>
      </c>
      <c r="Y123" s="14" t="s">
        <v>21</v>
      </c>
      <c r="Z123" s="14" t="s">
        <v>44</v>
      </c>
      <c r="AA123" s="14" t="s">
        <v>14</v>
      </c>
      <c r="AB123" s="14" t="s">
        <v>131</v>
      </c>
      <c r="AC123" s="14" t="s">
        <v>53</v>
      </c>
      <c r="AD123" s="14"/>
      <c r="AE123" s="1">
        <v>0</v>
      </c>
      <c r="AF123" s="1"/>
    </row>
    <row r="124" spans="1:32" x14ac:dyDescent="0.2">
      <c r="A124" s="14" t="s">
        <v>14</v>
      </c>
      <c r="B124" s="14" t="s">
        <v>131</v>
      </c>
      <c r="C124" s="14" t="s">
        <v>53</v>
      </c>
      <c r="D124" s="14" t="s">
        <v>844</v>
      </c>
      <c r="E124" s="14" t="s">
        <v>17</v>
      </c>
      <c r="F124" s="14">
        <v>2</v>
      </c>
      <c r="G124" s="14" t="s">
        <v>161</v>
      </c>
      <c r="H124" s="14" t="s">
        <v>35</v>
      </c>
      <c r="I124" s="14" t="s">
        <v>133</v>
      </c>
      <c r="J124" s="13" t="s">
        <v>847</v>
      </c>
      <c r="K124" s="14" t="s">
        <v>21</v>
      </c>
      <c r="L124" s="14" t="s">
        <v>44</v>
      </c>
      <c r="M124" s="14" t="s">
        <v>143</v>
      </c>
      <c r="N124" s="13">
        <v>123</v>
      </c>
      <c r="O124" s="30">
        <v>45755</v>
      </c>
      <c r="P124" s="30">
        <v>45765</v>
      </c>
      <c r="Q124" s="30">
        <v>45776</v>
      </c>
      <c r="R124" s="30">
        <v>45779</v>
      </c>
      <c r="S124" s="23">
        <f t="shared" si="5"/>
        <v>98</v>
      </c>
      <c r="T124" s="23">
        <f t="shared" si="6"/>
        <v>108</v>
      </c>
      <c r="U124" s="23">
        <f t="shared" si="7"/>
        <v>119</v>
      </c>
      <c r="V124" s="23">
        <f t="shared" si="8"/>
        <v>122</v>
      </c>
      <c r="W124" s="14" t="s">
        <v>35</v>
      </c>
      <c r="X124" s="14" t="s">
        <v>133</v>
      </c>
      <c r="Y124" s="14" t="s">
        <v>21</v>
      </c>
      <c r="Z124" s="14" t="s">
        <v>44</v>
      </c>
      <c r="AA124" s="14" t="s">
        <v>14</v>
      </c>
      <c r="AB124" s="14" t="s">
        <v>131</v>
      </c>
      <c r="AC124" s="14" t="s">
        <v>53</v>
      </c>
      <c r="AD124" s="14"/>
      <c r="AE124" s="1">
        <v>0</v>
      </c>
      <c r="AF124" s="1"/>
    </row>
    <row r="125" spans="1:32" x14ac:dyDescent="0.2">
      <c r="A125" s="14" t="s">
        <v>14</v>
      </c>
      <c r="B125" s="14" t="s">
        <v>131</v>
      </c>
      <c r="C125" s="14" t="s">
        <v>53</v>
      </c>
      <c r="D125" s="14" t="s">
        <v>844</v>
      </c>
      <c r="E125" s="14" t="s">
        <v>24</v>
      </c>
      <c r="F125" s="14">
        <v>2</v>
      </c>
      <c r="G125" s="14" t="s">
        <v>162</v>
      </c>
      <c r="H125" s="14" t="s">
        <v>19</v>
      </c>
      <c r="I125" s="14" t="s">
        <v>133</v>
      </c>
      <c r="J125" s="13" t="s">
        <v>848</v>
      </c>
      <c r="K125" s="14" t="s">
        <v>21</v>
      </c>
      <c r="L125" s="14" t="s">
        <v>44</v>
      </c>
      <c r="M125" s="14" t="s">
        <v>143</v>
      </c>
      <c r="N125" s="13">
        <v>124</v>
      </c>
      <c r="O125" s="30">
        <v>45770</v>
      </c>
      <c r="P125" s="1"/>
      <c r="Q125" s="30">
        <v>45776</v>
      </c>
      <c r="R125" s="30">
        <v>45779</v>
      </c>
      <c r="S125" s="23">
        <f t="shared" si="5"/>
        <v>113</v>
      </c>
      <c r="T125" s="23">
        <f>(U125+S125)/2</f>
        <v>116</v>
      </c>
      <c r="U125" s="23">
        <f t="shared" si="7"/>
        <v>119</v>
      </c>
      <c r="V125" s="23">
        <f t="shared" si="8"/>
        <v>122</v>
      </c>
      <c r="W125" s="14" t="s">
        <v>19</v>
      </c>
      <c r="X125" s="14" t="s">
        <v>133</v>
      </c>
      <c r="Y125" s="14" t="s">
        <v>21</v>
      </c>
      <c r="Z125" s="14" t="s">
        <v>44</v>
      </c>
      <c r="AA125" s="14" t="s">
        <v>14</v>
      </c>
      <c r="AB125" s="14" t="s">
        <v>131</v>
      </c>
      <c r="AC125" s="14" t="s">
        <v>53</v>
      </c>
      <c r="AD125" s="14"/>
      <c r="AE125" s="1">
        <v>0</v>
      </c>
      <c r="AF125" s="1"/>
    </row>
    <row r="126" spans="1:32" x14ac:dyDescent="0.2">
      <c r="A126" s="14" t="s">
        <v>14</v>
      </c>
      <c r="B126" s="14" t="s">
        <v>131</v>
      </c>
      <c r="C126" s="14" t="s">
        <v>53</v>
      </c>
      <c r="D126" s="14" t="s">
        <v>844</v>
      </c>
      <c r="E126" s="14" t="s">
        <v>17</v>
      </c>
      <c r="F126" s="14">
        <v>3</v>
      </c>
      <c r="G126" s="14" t="s">
        <v>163</v>
      </c>
      <c r="H126" s="14" t="s">
        <v>19</v>
      </c>
      <c r="I126" s="14" t="s">
        <v>133</v>
      </c>
      <c r="J126" s="13" t="s">
        <v>849</v>
      </c>
      <c r="K126" s="14" t="s">
        <v>21</v>
      </c>
      <c r="L126" s="14" t="s">
        <v>44</v>
      </c>
      <c r="M126" s="14" t="s">
        <v>143</v>
      </c>
      <c r="N126" s="13">
        <v>125</v>
      </c>
      <c r="O126" s="30">
        <v>45758</v>
      </c>
      <c r="P126" s="30">
        <v>45762</v>
      </c>
      <c r="Q126" s="30">
        <v>45770</v>
      </c>
      <c r="R126" s="30">
        <v>45772</v>
      </c>
      <c r="S126" s="23">
        <f t="shared" si="5"/>
        <v>101</v>
      </c>
      <c r="T126" s="23">
        <f t="shared" si="6"/>
        <v>105</v>
      </c>
      <c r="U126" s="23">
        <f t="shared" si="7"/>
        <v>113</v>
      </c>
      <c r="V126" s="23">
        <f t="shared" si="8"/>
        <v>115</v>
      </c>
      <c r="W126" s="14" t="s">
        <v>19</v>
      </c>
      <c r="X126" s="14" t="s">
        <v>133</v>
      </c>
      <c r="Y126" s="14" t="s">
        <v>21</v>
      </c>
      <c r="Z126" s="14" t="s">
        <v>44</v>
      </c>
      <c r="AA126" s="14" t="s">
        <v>14</v>
      </c>
      <c r="AB126" s="14" t="s">
        <v>131</v>
      </c>
      <c r="AC126" s="14" t="s">
        <v>53</v>
      </c>
      <c r="AD126" s="14"/>
      <c r="AE126" s="1">
        <v>0</v>
      </c>
      <c r="AF126" s="1"/>
    </row>
    <row r="127" spans="1:32" x14ac:dyDescent="0.2">
      <c r="A127" s="14" t="s">
        <v>14</v>
      </c>
      <c r="B127" s="14" t="s">
        <v>131</v>
      </c>
      <c r="C127" s="14" t="s">
        <v>53</v>
      </c>
      <c r="D127" s="14" t="s">
        <v>844</v>
      </c>
      <c r="E127" s="14" t="s">
        <v>24</v>
      </c>
      <c r="F127" s="14">
        <v>3</v>
      </c>
      <c r="G127" s="14" t="s">
        <v>164</v>
      </c>
      <c r="H127" s="14" t="s">
        <v>35</v>
      </c>
      <c r="I127" s="14" t="s">
        <v>133</v>
      </c>
      <c r="J127" s="13" t="s">
        <v>850</v>
      </c>
      <c r="K127" s="14" t="s">
        <v>21</v>
      </c>
      <c r="L127" s="14" t="s">
        <v>44</v>
      </c>
      <c r="M127" s="14" t="s">
        <v>143</v>
      </c>
      <c r="N127" s="13">
        <v>126</v>
      </c>
      <c r="O127" s="30">
        <v>45762</v>
      </c>
      <c r="P127" s="30">
        <v>45770</v>
      </c>
      <c r="Q127" s="30">
        <v>45776</v>
      </c>
      <c r="R127" s="30">
        <v>45779</v>
      </c>
      <c r="S127" s="23">
        <f t="shared" si="5"/>
        <v>105</v>
      </c>
      <c r="T127" s="23">
        <f t="shared" si="6"/>
        <v>113</v>
      </c>
      <c r="U127" s="23">
        <f t="shared" si="7"/>
        <v>119</v>
      </c>
      <c r="V127" s="23">
        <f t="shared" si="8"/>
        <v>122</v>
      </c>
      <c r="W127" s="14" t="s">
        <v>35</v>
      </c>
      <c r="X127" s="14" t="s">
        <v>133</v>
      </c>
      <c r="Y127" s="14" t="s">
        <v>21</v>
      </c>
      <c r="Z127" s="14" t="s">
        <v>44</v>
      </c>
      <c r="AA127" s="14" t="s">
        <v>14</v>
      </c>
      <c r="AB127" s="14" t="s">
        <v>131</v>
      </c>
      <c r="AC127" s="14" t="s">
        <v>53</v>
      </c>
      <c r="AD127" s="14"/>
      <c r="AE127" s="1">
        <v>0</v>
      </c>
      <c r="AF127" s="1"/>
    </row>
    <row r="128" spans="1:32" x14ac:dyDescent="0.2">
      <c r="A128" s="14" t="s">
        <v>14</v>
      </c>
      <c r="B128" s="14" t="s">
        <v>131</v>
      </c>
      <c r="C128" s="14" t="s">
        <v>53</v>
      </c>
      <c r="D128" s="14" t="s">
        <v>844</v>
      </c>
      <c r="E128" s="14" t="s">
        <v>17</v>
      </c>
      <c r="F128" s="14">
        <v>4</v>
      </c>
      <c r="G128" s="14" t="s">
        <v>165</v>
      </c>
      <c r="H128" s="14" t="s">
        <v>35</v>
      </c>
      <c r="I128" s="14" t="s">
        <v>133</v>
      </c>
      <c r="J128" s="13" t="s">
        <v>851</v>
      </c>
      <c r="K128" s="14" t="s">
        <v>21</v>
      </c>
      <c r="L128" s="14" t="s">
        <v>44</v>
      </c>
      <c r="M128" s="14" t="s">
        <v>143</v>
      </c>
      <c r="N128" s="13">
        <v>127</v>
      </c>
      <c r="O128" s="30">
        <v>45748</v>
      </c>
      <c r="P128" s="30">
        <v>45762</v>
      </c>
      <c r="Q128" s="30">
        <v>45765</v>
      </c>
      <c r="R128" s="30">
        <v>45772</v>
      </c>
      <c r="S128" s="23">
        <f t="shared" si="5"/>
        <v>91</v>
      </c>
      <c r="T128" s="23">
        <f t="shared" si="6"/>
        <v>105</v>
      </c>
      <c r="U128" s="23">
        <f t="shared" si="7"/>
        <v>108</v>
      </c>
      <c r="V128" s="23">
        <f t="shared" si="8"/>
        <v>115</v>
      </c>
      <c r="W128" s="14" t="s">
        <v>35</v>
      </c>
      <c r="X128" s="14" t="s">
        <v>133</v>
      </c>
      <c r="Y128" s="14" t="s">
        <v>21</v>
      </c>
      <c r="Z128" s="14" t="s">
        <v>44</v>
      </c>
      <c r="AA128" s="14" t="s">
        <v>14</v>
      </c>
      <c r="AB128" s="14" t="s">
        <v>131</v>
      </c>
      <c r="AC128" s="14" t="s">
        <v>53</v>
      </c>
      <c r="AD128" s="14"/>
      <c r="AE128" s="1">
        <v>0</v>
      </c>
      <c r="AF128" s="1"/>
    </row>
    <row r="129" spans="1:32" x14ac:dyDescent="0.2">
      <c r="A129" s="14" t="s">
        <v>14</v>
      </c>
      <c r="B129" s="14" t="s">
        <v>131</v>
      </c>
      <c r="C129" s="14" t="s">
        <v>53</v>
      </c>
      <c r="D129" s="14" t="s">
        <v>844</v>
      </c>
      <c r="E129" s="14" t="s">
        <v>24</v>
      </c>
      <c r="F129" s="14">
        <v>4</v>
      </c>
      <c r="G129" s="14" t="s">
        <v>166</v>
      </c>
      <c r="H129" s="14" t="s">
        <v>19</v>
      </c>
      <c r="I129" s="14" t="s">
        <v>133</v>
      </c>
      <c r="J129" s="13" t="s">
        <v>852</v>
      </c>
      <c r="K129" s="14" t="s">
        <v>21</v>
      </c>
      <c r="L129" s="14" t="s">
        <v>44</v>
      </c>
      <c r="M129" s="14" t="s">
        <v>143</v>
      </c>
      <c r="N129" s="13">
        <v>128</v>
      </c>
      <c r="O129" s="30">
        <v>45762</v>
      </c>
      <c r="P129" s="30">
        <v>45765</v>
      </c>
      <c r="Q129" s="30">
        <v>45770</v>
      </c>
      <c r="R129" s="30">
        <v>45776</v>
      </c>
      <c r="S129" s="23">
        <f t="shared" si="5"/>
        <v>105</v>
      </c>
      <c r="T129" s="23">
        <f t="shared" si="6"/>
        <v>108</v>
      </c>
      <c r="U129" s="23">
        <f t="shared" si="7"/>
        <v>113</v>
      </c>
      <c r="V129" s="23">
        <f t="shared" si="8"/>
        <v>119</v>
      </c>
      <c r="W129" s="14" t="s">
        <v>19</v>
      </c>
      <c r="X129" s="14" t="s">
        <v>133</v>
      </c>
      <c r="Y129" s="14" t="s">
        <v>21</v>
      </c>
      <c r="Z129" s="14" t="s">
        <v>44</v>
      </c>
      <c r="AA129" s="14" t="s">
        <v>14</v>
      </c>
      <c r="AB129" s="14" t="s">
        <v>131</v>
      </c>
      <c r="AC129" s="14" t="s">
        <v>53</v>
      </c>
      <c r="AD129" s="14"/>
      <c r="AE129" s="1">
        <v>0</v>
      </c>
      <c r="AF129" s="1"/>
    </row>
    <row r="130" spans="1:32" x14ac:dyDescent="0.2">
      <c r="A130" s="20" t="s">
        <v>14</v>
      </c>
      <c r="B130" s="20" t="s">
        <v>167</v>
      </c>
      <c r="C130" s="20" t="s">
        <v>16</v>
      </c>
      <c r="D130" s="18" t="s">
        <v>853</v>
      </c>
      <c r="E130" s="20" t="s">
        <v>17</v>
      </c>
      <c r="F130" s="20">
        <v>1</v>
      </c>
      <c r="G130" s="20" t="s">
        <v>168</v>
      </c>
      <c r="H130" s="20" t="s">
        <v>35</v>
      </c>
      <c r="I130" s="20" t="s">
        <v>133</v>
      </c>
      <c r="J130" s="19" t="s">
        <v>854</v>
      </c>
      <c r="K130" s="20" t="s">
        <v>64</v>
      </c>
      <c r="L130" s="20" t="s">
        <v>44</v>
      </c>
      <c r="M130" s="20" t="s">
        <v>169</v>
      </c>
      <c r="N130" s="21">
        <v>129</v>
      </c>
      <c r="O130" s="29">
        <v>45758</v>
      </c>
      <c r="P130" s="29">
        <v>45770</v>
      </c>
      <c r="Q130" s="29">
        <v>45776</v>
      </c>
      <c r="R130" s="29">
        <v>45779</v>
      </c>
      <c r="S130" s="23">
        <f t="shared" si="5"/>
        <v>101</v>
      </c>
      <c r="T130" s="23">
        <f t="shared" si="6"/>
        <v>113</v>
      </c>
      <c r="U130" s="23">
        <f t="shared" si="7"/>
        <v>119</v>
      </c>
      <c r="V130" s="23">
        <f t="shared" si="8"/>
        <v>122</v>
      </c>
      <c r="W130" s="20" t="s">
        <v>35</v>
      </c>
      <c r="X130" s="20" t="s">
        <v>133</v>
      </c>
      <c r="Y130" s="20" t="s">
        <v>64</v>
      </c>
      <c r="Z130" s="20" t="s">
        <v>44</v>
      </c>
      <c r="AA130" s="20" t="s">
        <v>14</v>
      </c>
      <c r="AB130" s="20" t="s">
        <v>167</v>
      </c>
      <c r="AC130" s="20" t="s">
        <v>16</v>
      </c>
      <c r="AD130" s="20"/>
      <c r="AE130" s="2">
        <v>0</v>
      </c>
      <c r="AF130" s="2"/>
    </row>
    <row r="131" spans="1:32" x14ac:dyDescent="0.2">
      <c r="A131" s="20" t="s">
        <v>14</v>
      </c>
      <c r="B131" s="20" t="s">
        <v>167</v>
      </c>
      <c r="C131" s="20" t="s">
        <v>16</v>
      </c>
      <c r="D131" s="18" t="s">
        <v>853</v>
      </c>
      <c r="E131" s="20" t="s">
        <v>24</v>
      </c>
      <c r="F131" s="20">
        <v>1</v>
      </c>
      <c r="G131" s="20" t="s">
        <v>170</v>
      </c>
      <c r="H131" s="20" t="s">
        <v>35</v>
      </c>
      <c r="I131" s="20" t="s">
        <v>133</v>
      </c>
      <c r="J131" s="19" t="s">
        <v>855</v>
      </c>
      <c r="K131" s="20" t="s">
        <v>64</v>
      </c>
      <c r="L131" s="20" t="s">
        <v>44</v>
      </c>
      <c r="M131" s="20" t="s">
        <v>169</v>
      </c>
      <c r="N131" s="21">
        <v>130</v>
      </c>
      <c r="O131" s="29">
        <v>45776</v>
      </c>
      <c r="P131" s="29">
        <v>45783</v>
      </c>
      <c r="Q131" s="29">
        <v>45790</v>
      </c>
      <c r="R131" s="29">
        <v>45793</v>
      </c>
      <c r="S131" s="23">
        <f t="shared" ref="S131:S194" si="9">O131-DATE(YEAR(O131),1,1)+1</f>
        <v>119</v>
      </c>
      <c r="T131" s="23">
        <f t="shared" ref="T131:T193" si="10">P131-DATE(YEAR(P131),1,1)+1</f>
        <v>126</v>
      </c>
      <c r="U131" s="23">
        <f t="shared" ref="U131:U194" si="11">Q131-DATE(YEAR(Q131),1,1)+1</f>
        <v>133</v>
      </c>
      <c r="V131" s="23">
        <f t="shared" ref="V131:V194" si="12">R131-DATE(YEAR(R131),1,1)+1</f>
        <v>136</v>
      </c>
      <c r="W131" s="20" t="s">
        <v>35</v>
      </c>
      <c r="X131" s="20" t="s">
        <v>133</v>
      </c>
      <c r="Y131" s="20" t="s">
        <v>64</v>
      </c>
      <c r="Z131" s="20" t="s">
        <v>44</v>
      </c>
      <c r="AA131" s="20" t="s">
        <v>14</v>
      </c>
      <c r="AB131" s="20" t="s">
        <v>167</v>
      </c>
      <c r="AC131" s="20" t="s">
        <v>16</v>
      </c>
      <c r="AD131" s="20"/>
      <c r="AE131" s="2">
        <v>0</v>
      </c>
      <c r="AF131" s="2"/>
    </row>
    <row r="132" spans="1:32" x14ac:dyDescent="0.2">
      <c r="A132" s="20" t="s">
        <v>14</v>
      </c>
      <c r="B132" s="20" t="s">
        <v>167</v>
      </c>
      <c r="C132" s="20" t="s">
        <v>16</v>
      </c>
      <c r="D132" s="18" t="s">
        <v>853</v>
      </c>
      <c r="E132" s="20" t="s">
        <v>17</v>
      </c>
      <c r="F132" s="20">
        <v>2</v>
      </c>
      <c r="G132" s="20" t="s">
        <v>171</v>
      </c>
      <c r="H132" s="20" t="s">
        <v>35</v>
      </c>
      <c r="I132" s="20" t="s">
        <v>133</v>
      </c>
      <c r="J132" s="19" t="s">
        <v>856</v>
      </c>
      <c r="K132" s="20" t="s">
        <v>64</v>
      </c>
      <c r="L132" s="20" t="s">
        <v>44</v>
      </c>
      <c r="M132" s="20" t="s">
        <v>169</v>
      </c>
      <c r="N132" s="21">
        <v>131</v>
      </c>
      <c r="O132" s="29">
        <v>45783</v>
      </c>
      <c r="P132" s="29">
        <v>45793</v>
      </c>
      <c r="Q132" s="29">
        <v>45797</v>
      </c>
      <c r="R132" s="29">
        <v>45800</v>
      </c>
      <c r="S132" s="23">
        <f t="shared" si="9"/>
        <v>126</v>
      </c>
      <c r="T132" s="23">
        <f t="shared" si="10"/>
        <v>136</v>
      </c>
      <c r="U132" s="23">
        <f t="shared" si="11"/>
        <v>140</v>
      </c>
      <c r="V132" s="23">
        <f t="shared" si="12"/>
        <v>143</v>
      </c>
      <c r="W132" s="20" t="s">
        <v>35</v>
      </c>
      <c r="X132" s="20" t="s">
        <v>133</v>
      </c>
      <c r="Y132" s="20" t="s">
        <v>64</v>
      </c>
      <c r="Z132" s="20" t="s">
        <v>44</v>
      </c>
      <c r="AA132" s="20" t="s">
        <v>14</v>
      </c>
      <c r="AB132" s="20" t="s">
        <v>167</v>
      </c>
      <c r="AC132" s="20" t="s">
        <v>16</v>
      </c>
      <c r="AD132" s="20"/>
      <c r="AE132" s="2">
        <v>0</v>
      </c>
      <c r="AF132" s="2"/>
    </row>
    <row r="133" spans="1:32" x14ac:dyDescent="0.2">
      <c r="A133" s="20" t="s">
        <v>14</v>
      </c>
      <c r="B133" s="20" t="s">
        <v>167</v>
      </c>
      <c r="C133" s="20" t="s">
        <v>16</v>
      </c>
      <c r="D133" s="18" t="s">
        <v>853</v>
      </c>
      <c r="E133" s="20" t="s">
        <v>24</v>
      </c>
      <c r="F133" s="20">
        <v>2</v>
      </c>
      <c r="G133" s="20" t="s">
        <v>172</v>
      </c>
      <c r="H133" s="20" t="s">
        <v>35</v>
      </c>
      <c r="I133" s="20" t="s">
        <v>133</v>
      </c>
      <c r="J133" s="19" t="s">
        <v>857</v>
      </c>
      <c r="K133" s="20" t="s">
        <v>64</v>
      </c>
      <c r="L133" s="20" t="s">
        <v>44</v>
      </c>
      <c r="M133" s="20" t="s">
        <v>169</v>
      </c>
      <c r="N133" s="21">
        <v>132</v>
      </c>
      <c r="O133" s="29">
        <v>45779</v>
      </c>
      <c r="P133" s="29">
        <v>45790</v>
      </c>
      <c r="Q133" s="29">
        <v>45797</v>
      </c>
      <c r="R133" s="29">
        <v>45800</v>
      </c>
      <c r="S133" s="23">
        <f t="shared" si="9"/>
        <v>122</v>
      </c>
      <c r="T133" s="23">
        <f t="shared" si="10"/>
        <v>133</v>
      </c>
      <c r="U133" s="23">
        <f t="shared" si="11"/>
        <v>140</v>
      </c>
      <c r="V133" s="23">
        <f t="shared" si="12"/>
        <v>143</v>
      </c>
      <c r="W133" s="20" t="s">
        <v>35</v>
      </c>
      <c r="X133" s="20" t="s">
        <v>133</v>
      </c>
      <c r="Y133" s="20" t="s">
        <v>64</v>
      </c>
      <c r="Z133" s="20" t="s">
        <v>44</v>
      </c>
      <c r="AA133" s="20" t="s">
        <v>14</v>
      </c>
      <c r="AB133" s="20" t="s">
        <v>167</v>
      </c>
      <c r="AC133" s="20" t="s">
        <v>16</v>
      </c>
      <c r="AD133" s="20"/>
      <c r="AE133" s="2">
        <v>0</v>
      </c>
      <c r="AF133" s="2"/>
    </row>
    <row r="134" spans="1:32" x14ac:dyDescent="0.2">
      <c r="A134" s="20" t="s">
        <v>14</v>
      </c>
      <c r="B134" s="20" t="s">
        <v>167</v>
      </c>
      <c r="C134" s="20" t="s">
        <v>16</v>
      </c>
      <c r="D134" s="18" t="s">
        <v>853</v>
      </c>
      <c r="E134" s="20" t="s">
        <v>17</v>
      </c>
      <c r="F134" s="20">
        <v>3</v>
      </c>
      <c r="G134" s="20" t="s">
        <v>173</v>
      </c>
      <c r="H134" s="20" t="s">
        <v>35</v>
      </c>
      <c r="I134" s="20" t="s">
        <v>133</v>
      </c>
      <c r="J134" s="19" t="s">
        <v>858</v>
      </c>
      <c r="K134" s="20" t="s">
        <v>64</v>
      </c>
      <c r="L134" s="20" t="s">
        <v>44</v>
      </c>
      <c r="M134" s="20" t="s">
        <v>169</v>
      </c>
      <c r="N134" s="21">
        <v>133</v>
      </c>
      <c r="O134" s="29">
        <v>45765</v>
      </c>
      <c r="P134" s="2"/>
      <c r="Q134" s="29">
        <v>45779</v>
      </c>
      <c r="R134" s="29">
        <v>45783</v>
      </c>
      <c r="S134" s="23">
        <f t="shared" si="9"/>
        <v>108</v>
      </c>
      <c r="T134" s="23">
        <f>(U134+S134)/2</f>
        <v>115</v>
      </c>
      <c r="U134" s="23">
        <f t="shared" si="11"/>
        <v>122</v>
      </c>
      <c r="V134" s="23">
        <f t="shared" si="12"/>
        <v>126</v>
      </c>
      <c r="W134" s="20" t="s">
        <v>35</v>
      </c>
      <c r="X134" s="20" t="s">
        <v>133</v>
      </c>
      <c r="Y134" s="20" t="s">
        <v>64</v>
      </c>
      <c r="Z134" s="20" t="s">
        <v>44</v>
      </c>
      <c r="AA134" s="20" t="s">
        <v>14</v>
      </c>
      <c r="AB134" s="20" t="s">
        <v>167</v>
      </c>
      <c r="AC134" s="20" t="s">
        <v>16</v>
      </c>
      <c r="AD134" s="20"/>
      <c r="AE134" s="2">
        <v>0</v>
      </c>
      <c r="AF134" s="2"/>
    </row>
    <row r="135" spans="1:32" x14ac:dyDescent="0.2">
      <c r="A135" s="20" t="s">
        <v>14</v>
      </c>
      <c r="B135" s="20" t="s">
        <v>167</v>
      </c>
      <c r="C135" s="20" t="s">
        <v>16</v>
      </c>
      <c r="D135" s="18" t="s">
        <v>853</v>
      </c>
      <c r="E135" s="20" t="s">
        <v>24</v>
      </c>
      <c r="F135" s="20">
        <v>3</v>
      </c>
      <c r="G135" s="20" t="s">
        <v>174</v>
      </c>
      <c r="H135" s="20" t="s">
        <v>35</v>
      </c>
      <c r="I135" s="20" t="s">
        <v>133</v>
      </c>
      <c r="J135" s="19" t="s">
        <v>859</v>
      </c>
      <c r="K135" s="20" t="s">
        <v>64</v>
      </c>
      <c r="L135" s="20" t="s">
        <v>44</v>
      </c>
      <c r="M135" s="20" t="s">
        <v>169</v>
      </c>
      <c r="N135" s="21">
        <v>134</v>
      </c>
      <c r="O135" s="29">
        <v>45776</v>
      </c>
      <c r="P135" s="29">
        <v>45779</v>
      </c>
      <c r="Q135" s="29">
        <v>45783</v>
      </c>
      <c r="R135" s="29">
        <v>45790</v>
      </c>
      <c r="S135" s="23">
        <f t="shared" si="9"/>
        <v>119</v>
      </c>
      <c r="T135" s="23">
        <f t="shared" si="10"/>
        <v>122</v>
      </c>
      <c r="U135" s="23">
        <f t="shared" si="11"/>
        <v>126</v>
      </c>
      <c r="V135" s="23">
        <f t="shared" si="12"/>
        <v>133</v>
      </c>
      <c r="W135" s="20" t="s">
        <v>35</v>
      </c>
      <c r="X135" s="20" t="s">
        <v>133</v>
      </c>
      <c r="Y135" s="20" t="s">
        <v>64</v>
      </c>
      <c r="Z135" s="20" t="s">
        <v>44</v>
      </c>
      <c r="AA135" s="20" t="s">
        <v>14</v>
      </c>
      <c r="AB135" s="20" t="s">
        <v>167</v>
      </c>
      <c r="AC135" s="20" t="s">
        <v>16</v>
      </c>
      <c r="AD135" s="20"/>
      <c r="AE135" s="2">
        <v>0</v>
      </c>
      <c r="AF135" s="2"/>
    </row>
    <row r="136" spans="1:32" x14ac:dyDescent="0.2">
      <c r="A136" s="20" t="s">
        <v>14</v>
      </c>
      <c r="B136" s="20" t="s">
        <v>167</v>
      </c>
      <c r="C136" s="20" t="s">
        <v>16</v>
      </c>
      <c r="D136" s="18" t="s">
        <v>853</v>
      </c>
      <c r="E136" s="20" t="s">
        <v>17</v>
      </c>
      <c r="F136" s="20">
        <v>4</v>
      </c>
      <c r="G136" s="20" t="s">
        <v>175</v>
      </c>
      <c r="H136" s="20" t="s">
        <v>35</v>
      </c>
      <c r="I136" s="20" t="s">
        <v>133</v>
      </c>
      <c r="J136" s="19" t="s">
        <v>860</v>
      </c>
      <c r="K136" s="20" t="s">
        <v>64</v>
      </c>
      <c r="L136" s="20" t="s">
        <v>44</v>
      </c>
      <c r="M136" s="20" t="s">
        <v>169</v>
      </c>
      <c r="N136" s="21">
        <v>135</v>
      </c>
      <c r="O136" s="29">
        <v>45758</v>
      </c>
      <c r="P136" s="29">
        <v>45770</v>
      </c>
      <c r="Q136" s="29">
        <v>45776</v>
      </c>
      <c r="R136" s="29">
        <v>45779</v>
      </c>
      <c r="S136" s="23">
        <f t="shared" si="9"/>
        <v>101</v>
      </c>
      <c r="T136" s="23">
        <f t="shared" si="10"/>
        <v>113</v>
      </c>
      <c r="U136" s="23">
        <f t="shared" si="11"/>
        <v>119</v>
      </c>
      <c r="V136" s="23">
        <f t="shared" si="12"/>
        <v>122</v>
      </c>
      <c r="W136" s="20" t="s">
        <v>35</v>
      </c>
      <c r="X136" s="20" t="s">
        <v>133</v>
      </c>
      <c r="Y136" s="20" t="s">
        <v>64</v>
      </c>
      <c r="Z136" s="20" t="s">
        <v>44</v>
      </c>
      <c r="AA136" s="20" t="s">
        <v>14</v>
      </c>
      <c r="AB136" s="20" t="s">
        <v>167</v>
      </c>
      <c r="AC136" s="20" t="s">
        <v>16</v>
      </c>
      <c r="AD136" s="20"/>
      <c r="AE136" s="2">
        <v>0</v>
      </c>
      <c r="AF136" s="2"/>
    </row>
    <row r="137" spans="1:32" x14ac:dyDescent="0.2">
      <c r="A137" s="20" t="s">
        <v>14</v>
      </c>
      <c r="B137" s="20" t="s">
        <v>167</v>
      </c>
      <c r="C137" s="20" t="s">
        <v>16</v>
      </c>
      <c r="D137" s="18" t="s">
        <v>853</v>
      </c>
      <c r="E137" s="20" t="s">
        <v>24</v>
      </c>
      <c r="F137" s="20">
        <v>4</v>
      </c>
      <c r="G137" s="20" t="s">
        <v>176</v>
      </c>
      <c r="H137" s="20" t="s">
        <v>35</v>
      </c>
      <c r="I137" s="20" t="s">
        <v>133</v>
      </c>
      <c r="J137" s="19" t="s">
        <v>861</v>
      </c>
      <c r="K137" s="20" t="s">
        <v>64</v>
      </c>
      <c r="L137" s="20" t="s">
        <v>44</v>
      </c>
      <c r="M137" s="20" t="s">
        <v>169</v>
      </c>
      <c r="N137" s="21">
        <v>136</v>
      </c>
      <c r="O137" s="29">
        <v>45762</v>
      </c>
      <c r="P137" s="29">
        <v>45770</v>
      </c>
      <c r="Q137" s="29">
        <v>45776</v>
      </c>
      <c r="R137" s="29">
        <v>45779</v>
      </c>
      <c r="S137" s="23">
        <f t="shared" si="9"/>
        <v>105</v>
      </c>
      <c r="T137" s="23">
        <f t="shared" si="10"/>
        <v>113</v>
      </c>
      <c r="U137" s="23">
        <f t="shared" si="11"/>
        <v>119</v>
      </c>
      <c r="V137" s="23">
        <f t="shared" si="12"/>
        <v>122</v>
      </c>
      <c r="W137" s="20" t="s">
        <v>35</v>
      </c>
      <c r="X137" s="20" t="s">
        <v>133</v>
      </c>
      <c r="Y137" s="20" t="s">
        <v>64</v>
      </c>
      <c r="Z137" s="20" t="s">
        <v>44</v>
      </c>
      <c r="AA137" s="20" t="s">
        <v>14</v>
      </c>
      <c r="AB137" s="20" t="s">
        <v>167</v>
      </c>
      <c r="AC137" s="20" t="s">
        <v>16</v>
      </c>
      <c r="AD137" s="20"/>
      <c r="AE137" s="2">
        <v>0</v>
      </c>
      <c r="AF137" s="2"/>
    </row>
    <row r="138" spans="1:32" x14ac:dyDescent="0.2">
      <c r="A138" s="14" t="s">
        <v>14</v>
      </c>
      <c r="B138" s="14" t="s">
        <v>167</v>
      </c>
      <c r="C138" s="14" t="s">
        <v>32</v>
      </c>
      <c r="D138" s="14" t="s">
        <v>862</v>
      </c>
      <c r="E138" s="14" t="s">
        <v>17</v>
      </c>
      <c r="F138" s="14">
        <v>1</v>
      </c>
      <c r="G138" s="14" t="s">
        <v>177</v>
      </c>
      <c r="H138" s="14" t="s">
        <v>19</v>
      </c>
      <c r="I138" s="14" t="s">
        <v>133</v>
      </c>
      <c r="J138" s="13" t="s">
        <v>863</v>
      </c>
      <c r="K138" s="14" t="s">
        <v>64</v>
      </c>
      <c r="L138" s="14" t="s">
        <v>44</v>
      </c>
      <c r="M138" s="14" t="s">
        <v>169</v>
      </c>
      <c r="N138" s="13">
        <v>137</v>
      </c>
      <c r="O138" s="30">
        <v>45762</v>
      </c>
      <c r="P138" s="30">
        <v>45770</v>
      </c>
      <c r="Q138" s="30">
        <v>45776</v>
      </c>
      <c r="R138" s="30">
        <v>45779</v>
      </c>
      <c r="S138" s="23">
        <f t="shared" si="9"/>
        <v>105</v>
      </c>
      <c r="T138" s="23">
        <f t="shared" si="10"/>
        <v>113</v>
      </c>
      <c r="U138" s="23">
        <f t="shared" si="11"/>
        <v>119</v>
      </c>
      <c r="V138" s="23">
        <f t="shared" si="12"/>
        <v>122</v>
      </c>
      <c r="W138" s="14" t="s">
        <v>19</v>
      </c>
      <c r="X138" s="14" t="s">
        <v>133</v>
      </c>
      <c r="Y138" s="14" t="s">
        <v>64</v>
      </c>
      <c r="Z138" s="14" t="s">
        <v>44</v>
      </c>
      <c r="AA138" s="14" t="s">
        <v>14</v>
      </c>
      <c r="AB138" s="14" t="s">
        <v>167</v>
      </c>
      <c r="AC138" s="14" t="s">
        <v>32</v>
      </c>
      <c r="AD138" s="14"/>
      <c r="AE138" s="1">
        <v>0</v>
      </c>
      <c r="AF138" s="1"/>
    </row>
    <row r="139" spans="1:32" x14ac:dyDescent="0.2">
      <c r="A139" s="14" t="s">
        <v>14</v>
      </c>
      <c r="B139" s="14" t="s">
        <v>167</v>
      </c>
      <c r="C139" s="14" t="s">
        <v>32</v>
      </c>
      <c r="D139" s="14" t="s">
        <v>862</v>
      </c>
      <c r="E139" s="14" t="s">
        <v>24</v>
      </c>
      <c r="F139" s="14">
        <v>1</v>
      </c>
      <c r="G139" s="14" t="s">
        <v>178</v>
      </c>
      <c r="H139" s="14" t="s">
        <v>35</v>
      </c>
      <c r="I139" s="14" t="s">
        <v>133</v>
      </c>
      <c r="J139" s="13" t="s">
        <v>864</v>
      </c>
      <c r="K139" s="14" t="s">
        <v>64</v>
      </c>
      <c r="L139" s="14" t="s">
        <v>44</v>
      </c>
      <c r="M139" s="14" t="s">
        <v>169</v>
      </c>
      <c r="N139" s="13">
        <v>138</v>
      </c>
      <c r="O139" s="30">
        <v>45758</v>
      </c>
      <c r="P139" s="30">
        <v>45762</v>
      </c>
      <c r="Q139" s="30">
        <v>45772</v>
      </c>
      <c r="R139" s="30">
        <v>45776</v>
      </c>
      <c r="S139" s="23">
        <f t="shared" si="9"/>
        <v>101</v>
      </c>
      <c r="T139" s="23">
        <f t="shared" si="10"/>
        <v>105</v>
      </c>
      <c r="U139" s="23">
        <f t="shared" si="11"/>
        <v>115</v>
      </c>
      <c r="V139" s="23">
        <f t="shared" si="12"/>
        <v>119</v>
      </c>
      <c r="W139" s="14" t="s">
        <v>35</v>
      </c>
      <c r="X139" s="14" t="s">
        <v>133</v>
      </c>
      <c r="Y139" s="14" t="s">
        <v>64</v>
      </c>
      <c r="Z139" s="14" t="s">
        <v>44</v>
      </c>
      <c r="AA139" s="14" t="s">
        <v>14</v>
      </c>
      <c r="AB139" s="14" t="s">
        <v>167</v>
      </c>
      <c r="AC139" s="14" t="s">
        <v>32</v>
      </c>
      <c r="AD139" s="14"/>
      <c r="AE139" s="1">
        <v>0</v>
      </c>
      <c r="AF139" s="1"/>
    </row>
    <row r="140" spans="1:32" x14ac:dyDescent="0.2">
      <c r="A140" s="14" t="s">
        <v>14</v>
      </c>
      <c r="B140" s="14" t="s">
        <v>167</v>
      </c>
      <c r="C140" s="14" t="s">
        <v>32</v>
      </c>
      <c r="D140" s="14" t="s">
        <v>862</v>
      </c>
      <c r="E140" s="14" t="s">
        <v>17</v>
      </c>
      <c r="F140" s="14">
        <v>2</v>
      </c>
      <c r="G140" s="14" t="s">
        <v>179</v>
      </c>
      <c r="H140" s="14" t="s">
        <v>35</v>
      </c>
      <c r="I140" s="14" t="s">
        <v>133</v>
      </c>
      <c r="J140" s="13" t="s">
        <v>865</v>
      </c>
      <c r="K140" s="14" t="s">
        <v>64</v>
      </c>
      <c r="L140" s="14" t="s">
        <v>44</v>
      </c>
      <c r="M140" s="14" t="s">
        <v>169</v>
      </c>
      <c r="N140" s="13">
        <v>139</v>
      </c>
      <c r="O140" s="30">
        <v>45765</v>
      </c>
      <c r="P140" s="30">
        <v>45779</v>
      </c>
      <c r="Q140" s="30">
        <v>45783</v>
      </c>
      <c r="R140" s="30">
        <v>45790</v>
      </c>
      <c r="S140" s="23">
        <f t="shared" si="9"/>
        <v>108</v>
      </c>
      <c r="T140" s="23">
        <f t="shared" si="10"/>
        <v>122</v>
      </c>
      <c r="U140" s="23">
        <f t="shared" si="11"/>
        <v>126</v>
      </c>
      <c r="V140" s="23">
        <f t="shared" si="12"/>
        <v>133</v>
      </c>
      <c r="W140" s="14" t="s">
        <v>35</v>
      </c>
      <c r="X140" s="14" t="s">
        <v>133</v>
      </c>
      <c r="Y140" s="14" t="s">
        <v>64</v>
      </c>
      <c r="Z140" s="14" t="s">
        <v>44</v>
      </c>
      <c r="AA140" s="14" t="s">
        <v>14</v>
      </c>
      <c r="AB140" s="14" t="s">
        <v>167</v>
      </c>
      <c r="AC140" s="14" t="s">
        <v>32</v>
      </c>
      <c r="AD140" s="14"/>
      <c r="AE140" s="1">
        <v>0</v>
      </c>
      <c r="AF140" s="1"/>
    </row>
    <row r="141" spans="1:32" x14ac:dyDescent="0.2">
      <c r="A141" s="14" t="s">
        <v>14</v>
      </c>
      <c r="B141" s="14" t="s">
        <v>167</v>
      </c>
      <c r="C141" s="14" t="s">
        <v>32</v>
      </c>
      <c r="D141" s="14" t="s">
        <v>862</v>
      </c>
      <c r="E141" s="14" t="s">
        <v>24</v>
      </c>
      <c r="F141" s="14">
        <v>2</v>
      </c>
      <c r="G141" s="14" t="s">
        <v>180</v>
      </c>
      <c r="H141" s="14" t="s">
        <v>19</v>
      </c>
      <c r="I141" s="14" t="s">
        <v>133</v>
      </c>
      <c r="J141" s="13" t="s">
        <v>866</v>
      </c>
      <c r="K141" s="14" t="s">
        <v>64</v>
      </c>
      <c r="L141" s="14" t="s">
        <v>44</v>
      </c>
      <c r="M141" s="14" t="s">
        <v>169</v>
      </c>
      <c r="N141" s="13">
        <v>140</v>
      </c>
      <c r="O141" s="30">
        <v>45758</v>
      </c>
      <c r="P141" s="30">
        <v>45762</v>
      </c>
      <c r="Q141" s="30">
        <v>45765</v>
      </c>
      <c r="R141" s="30">
        <v>45770</v>
      </c>
      <c r="S141" s="23">
        <f t="shared" si="9"/>
        <v>101</v>
      </c>
      <c r="T141" s="23">
        <f t="shared" si="10"/>
        <v>105</v>
      </c>
      <c r="U141" s="23">
        <f t="shared" si="11"/>
        <v>108</v>
      </c>
      <c r="V141" s="23">
        <f t="shared" si="12"/>
        <v>113</v>
      </c>
      <c r="W141" s="14" t="s">
        <v>19</v>
      </c>
      <c r="X141" s="14" t="s">
        <v>133</v>
      </c>
      <c r="Y141" s="14" t="s">
        <v>64</v>
      </c>
      <c r="Z141" s="14" t="s">
        <v>44</v>
      </c>
      <c r="AA141" s="14" t="s">
        <v>14</v>
      </c>
      <c r="AB141" s="14" t="s">
        <v>167</v>
      </c>
      <c r="AC141" s="14" t="s">
        <v>32</v>
      </c>
      <c r="AD141" s="14"/>
      <c r="AE141" s="1">
        <v>0</v>
      </c>
      <c r="AF141" s="1"/>
    </row>
    <row r="142" spans="1:32" x14ac:dyDescent="0.2">
      <c r="A142" s="14" t="s">
        <v>14</v>
      </c>
      <c r="B142" s="14" t="s">
        <v>167</v>
      </c>
      <c r="C142" s="14" t="s">
        <v>32</v>
      </c>
      <c r="D142" s="14" t="s">
        <v>862</v>
      </c>
      <c r="E142" s="14" t="s">
        <v>17</v>
      </c>
      <c r="F142" s="14">
        <v>3</v>
      </c>
      <c r="G142" s="14" t="s">
        <v>181</v>
      </c>
      <c r="H142" s="14" t="s">
        <v>19</v>
      </c>
      <c r="I142" s="14" t="s">
        <v>133</v>
      </c>
      <c r="J142" s="13" t="s">
        <v>867</v>
      </c>
      <c r="K142" s="14" t="s">
        <v>64</v>
      </c>
      <c r="L142" s="14" t="s">
        <v>44</v>
      </c>
      <c r="M142" s="14" t="s">
        <v>169</v>
      </c>
      <c r="N142" s="13">
        <v>141</v>
      </c>
      <c r="O142" s="30">
        <v>45762</v>
      </c>
      <c r="P142" s="30">
        <v>45765</v>
      </c>
      <c r="Q142" s="30">
        <v>45770</v>
      </c>
      <c r="R142" s="30">
        <v>45776</v>
      </c>
      <c r="S142" s="23">
        <f t="shared" si="9"/>
        <v>105</v>
      </c>
      <c r="T142" s="23">
        <f t="shared" si="10"/>
        <v>108</v>
      </c>
      <c r="U142" s="23">
        <f t="shared" si="11"/>
        <v>113</v>
      </c>
      <c r="V142" s="23">
        <f t="shared" si="12"/>
        <v>119</v>
      </c>
      <c r="W142" s="14" t="s">
        <v>19</v>
      </c>
      <c r="X142" s="14" t="s">
        <v>133</v>
      </c>
      <c r="Y142" s="14" t="s">
        <v>64</v>
      </c>
      <c r="Z142" s="14" t="s">
        <v>44</v>
      </c>
      <c r="AA142" s="14" t="s">
        <v>14</v>
      </c>
      <c r="AB142" s="14" t="s">
        <v>167</v>
      </c>
      <c r="AC142" s="14" t="s">
        <v>32</v>
      </c>
      <c r="AD142" s="14"/>
      <c r="AE142" s="1">
        <v>0</v>
      </c>
      <c r="AF142" s="1"/>
    </row>
    <row r="143" spans="1:32" x14ac:dyDescent="0.2">
      <c r="A143" s="14" t="s">
        <v>14</v>
      </c>
      <c r="B143" s="14" t="s">
        <v>167</v>
      </c>
      <c r="C143" s="14" t="s">
        <v>32</v>
      </c>
      <c r="D143" s="14" t="s">
        <v>862</v>
      </c>
      <c r="E143" s="14" t="s">
        <v>24</v>
      </c>
      <c r="F143" s="14">
        <v>3</v>
      </c>
      <c r="G143" s="14" t="s">
        <v>182</v>
      </c>
      <c r="H143" s="14" t="s">
        <v>35</v>
      </c>
      <c r="I143" s="14" t="s">
        <v>133</v>
      </c>
      <c r="J143" s="13" t="s">
        <v>868</v>
      </c>
      <c r="K143" s="14" t="s">
        <v>64</v>
      </c>
      <c r="L143" s="14" t="s">
        <v>44</v>
      </c>
      <c r="M143" s="14" t="s">
        <v>169</v>
      </c>
      <c r="N143" s="13">
        <v>142</v>
      </c>
      <c r="O143" s="30">
        <v>45755</v>
      </c>
      <c r="P143" s="30">
        <v>45762</v>
      </c>
      <c r="Q143" s="30">
        <v>45772</v>
      </c>
      <c r="R143" s="30">
        <v>45779</v>
      </c>
      <c r="S143" s="23">
        <f t="shared" si="9"/>
        <v>98</v>
      </c>
      <c r="T143" s="23">
        <f t="shared" si="10"/>
        <v>105</v>
      </c>
      <c r="U143" s="23">
        <f t="shared" si="11"/>
        <v>115</v>
      </c>
      <c r="V143" s="23">
        <f t="shared" si="12"/>
        <v>122</v>
      </c>
      <c r="W143" s="14" t="s">
        <v>35</v>
      </c>
      <c r="X143" s="14" t="s">
        <v>133</v>
      </c>
      <c r="Y143" s="14" t="s">
        <v>64</v>
      </c>
      <c r="Z143" s="14" t="s">
        <v>44</v>
      </c>
      <c r="AA143" s="14" t="s">
        <v>14</v>
      </c>
      <c r="AB143" s="14" t="s">
        <v>167</v>
      </c>
      <c r="AC143" s="14" t="s">
        <v>32</v>
      </c>
      <c r="AD143" s="14"/>
      <c r="AE143" s="1">
        <v>0</v>
      </c>
      <c r="AF143" s="1"/>
    </row>
    <row r="144" spans="1:32" x14ac:dyDescent="0.2">
      <c r="A144" s="14" t="s">
        <v>14</v>
      </c>
      <c r="B144" s="14" t="s">
        <v>167</v>
      </c>
      <c r="C144" s="14" t="s">
        <v>32</v>
      </c>
      <c r="D144" s="14" t="s">
        <v>862</v>
      </c>
      <c r="E144" s="14" t="s">
        <v>17</v>
      </c>
      <c r="F144" s="14">
        <v>4</v>
      </c>
      <c r="G144" s="14" t="s">
        <v>183</v>
      </c>
      <c r="H144" s="14" t="s">
        <v>35</v>
      </c>
      <c r="I144" s="14" t="s">
        <v>133</v>
      </c>
      <c r="J144" s="13" t="s">
        <v>869</v>
      </c>
      <c r="K144" s="14" t="s">
        <v>64</v>
      </c>
      <c r="L144" s="14" t="s">
        <v>44</v>
      </c>
      <c r="M144" s="14" t="s">
        <v>169</v>
      </c>
      <c r="N144" s="13">
        <v>143</v>
      </c>
      <c r="O144" s="30">
        <v>45765</v>
      </c>
      <c r="P144" s="30">
        <v>45772</v>
      </c>
      <c r="Q144" s="30">
        <v>45779</v>
      </c>
      <c r="R144" s="30">
        <v>45783</v>
      </c>
      <c r="S144" s="23">
        <f t="shared" si="9"/>
        <v>108</v>
      </c>
      <c r="T144" s="23">
        <f t="shared" si="10"/>
        <v>115</v>
      </c>
      <c r="U144" s="23">
        <f t="shared" si="11"/>
        <v>122</v>
      </c>
      <c r="V144" s="23">
        <f t="shared" si="12"/>
        <v>126</v>
      </c>
      <c r="W144" s="14" t="s">
        <v>35</v>
      </c>
      <c r="X144" s="14" t="s">
        <v>133</v>
      </c>
      <c r="Y144" s="14" t="s">
        <v>64</v>
      </c>
      <c r="Z144" s="14" t="s">
        <v>44</v>
      </c>
      <c r="AA144" s="14" t="s">
        <v>14</v>
      </c>
      <c r="AB144" s="14" t="s">
        <v>167</v>
      </c>
      <c r="AC144" s="14" t="s">
        <v>32</v>
      </c>
      <c r="AD144" s="14"/>
      <c r="AE144" s="1">
        <v>0</v>
      </c>
      <c r="AF144" s="1"/>
    </row>
    <row r="145" spans="1:32" x14ac:dyDescent="0.2">
      <c r="A145" s="14" t="s">
        <v>14</v>
      </c>
      <c r="B145" s="14" t="s">
        <v>167</v>
      </c>
      <c r="C145" s="14" t="s">
        <v>32</v>
      </c>
      <c r="D145" s="14" t="s">
        <v>862</v>
      </c>
      <c r="E145" s="14" t="s">
        <v>24</v>
      </c>
      <c r="F145" s="14">
        <v>4</v>
      </c>
      <c r="G145" s="14" t="s">
        <v>184</v>
      </c>
      <c r="H145" s="14" t="s">
        <v>19</v>
      </c>
      <c r="I145" s="14" t="s">
        <v>133</v>
      </c>
      <c r="J145" s="13" t="s">
        <v>870</v>
      </c>
      <c r="K145" s="14" t="s">
        <v>64</v>
      </c>
      <c r="L145" s="14" t="s">
        <v>44</v>
      </c>
      <c r="M145" s="14" t="s">
        <v>169</v>
      </c>
      <c r="N145" s="13">
        <v>144</v>
      </c>
      <c r="O145" s="30">
        <v>45762</v>
      </c>
      <c r="P145" s="1"/>
      <c r="Q145" s="30">
        <v>45770</v>
      </c>
      <c r="R145" s="30">
        <v>45776</v>
      </c>
      <c r="S145" s="23">
        <f t="shared" si="9"/>
        <v>105</v>
      </c>
      <c r="T145" s="23">
        <f>(U145+S145)/2</f>
        <v>109</v>
      </c>
      <c r="U145" s="23">
        <f t="shared" si="11"/>
        <v>113</v>
      </c>
      <c r="V145" s="23">
        <f t="shared" si="12"/>
        <v>119</v>
      </c>
      <c r="W145" s="14" t="s">
        <v>19</v>
      </c>
      <c r="X145" s="14" t="s">
        <v>133</v>
      </c>
      <c r="Y145" s="14" t="s">
        <v>64</v>
      </c>
      <c r="Z145" s="14" t="s">
        <v>44</v>
      </c>
      <c r="AA145" s="14" t="s">
        <v>14</v>
      </c>
      <c r="AB145" s="14" t="s">
        <v>167</v>
      </c>
      <c r="AC145" s="14" t="s">
        <v>32</v>
      </c>
      <c r="AD145" s="14"/>
      <c r="AE145" s="1">
        <v>0</v>
      </c>
      <c r="AF145" s="1"/>
    </row>
    <row r="146" spans="1:32" x14ac:dyDescent="0.2">
      <c r="A146" s="20" t="s">
        <v>14</v>
      </c>
      <c r="B146" s="20" t="s">
        <v>167</v>
      </c>
      <c r="C146" s="20" t="s">
        <v>42</v>
      </c>
      <c r="D146" s="18" t="s">
        <v>871</v>
      </c>
      <c r="E146" s="20" t="s">
        <v>17</v>
      </c>
      <c r="F146" s="20">
        <v>1</v>
      </c>
      <c r="G146" s="20" t="s">
        <v>185</v>
      </c>
      <c r="H146" s="20" t="s">
        <v>19</v>
      </c>
      <c r="I146" s="20" t="s">
        <v>133</v>
      </c>
      <c r="J146" s="19" t="s">
        <v>872</v>
      </c>
      <c r="K146" s="20" t="s">
        <v>21</v>
      </c>
      <c r="L146" s="20" t="s">
        <v>22</v>
      </c>
      <c r="M146" s="20" t="s">
        <v>134</v>
      </c>
      <c r="N146" s="21">
        <v>145</v>
      </c>
      <c r="O146" s="29">
        <v>45765</v>
      </c>
      <c r="P146" s="29">
        <v>45772</v>
      </c>
      <c r="Q146" s="29">
        <v>45776</v>
      </c>
      <c r="R146" s="29">
        <v>45779</v>
      </c>
      <c r="S146" s="23">
        <f t="shared" si="9"/>
        <v>108</v>
      </c>
      <c r="T146" s="23">
        <f t="shared" si="10"/>
        <v>115</v>
      </c>
      <c r="U146" s="23">
        <f t="shared" si="11"/>
        <v>119</v>
      </c>
      <c r="V146" s="23">
        <f t="shared" si="12"/>
        <v>122</v>
      </c>
      <c r="W146" s="20" t="s">
        <v>19</v>
      </c>
      <c r="X146" s="20" t="s">
        <v>133</v>
      </c>
      <c r="Y146" s="20" t="s">
        <v>21</v>
      </c>
      <c r="Z146" s="20" t="s">
        <v>22</v>
      </c>
      <c r="AA146" s="20" t="s">
        <v>14</v>
      </c>
      <c r="AB146" s="20" t="s">
        <v>167</v>
      </c>
      <c r="AC146" s="20" t="s">
        <v>42</v>
      </c>
      <c r="AD146" s="20"/>
      <c r="AE146" s="2">
        <v>0</v>
      </c>
      <c r="AF146" s="2"/>
    </row>
    <row r="147" spans="1:32" x14ac:dyDescent="0.2">
      <c r="A147" s="20" t="s">
        <v>14</v>
      </c>
      <c r="B147" s="20" t="s">
        <v>167</v>
      </c>
      <c r="C147" s="20" t="s">
        <v>42</v>
      </c>
      <c r="D147" s="18" t="s">
        <v>871</v>
      </c>
      <c r="E147" s="20" t="s">
        <v>24</v>
      </c>
      <c r="F147" s="20">
        <v>1</v>
      </c>
      <c r="G147" s="20" t="s">
        <v>186</v>
      </c>
      <c r="H147" s="20" t="s">
        <v>19</v>
      </c>
      <c r="I147" s="20" t="s">
        <v>133</v>
      </c>
      <c r="J147" s="19" t="s">
        <v>873</v>
      </c>
      <c r="K147" s="20" t="s">
        <v>21</v>
      </c>
      <c r="L147" s="20" t="s">
        <v>22</v>
      </c>
      <c r="M147" s="20" t="s">
        <v>134</v>
      </c>
      <c r="N147" s="21">
        <v>146</v>
      </c>
      <c r="O147" s="29">
        <v>45755</v>
      </c>
      <c r="P147" s="29">
        <v>45762</v>
      </c>
      <c r="Q147" s="29">
        <v>45765</v>
      </c>
      <c r="R147" s="29">
        <v>45770</v>
      </c>
      <c r="S147" s="23">
        <f t="shared" si="9"/>
        <v>98</v>
      </c>
      <c r="T147" s="23">
        <f t="shared" si="10"/>
        <v>105</v>
      </c>
      <c r="U147" s="23">
        <f t="shared" si="11"/>
        <v>108</v>
      </c>
      <c r="V147" s="23">
        <f t="shared" si="12"/>
        <v>113</v>
      </c>
      <c r="W147" s="20" t="s">
        <v>19</v>
      </c>
      <c r="X147" s="20" t="s">
        <v>133</v>
      </c>
      <c r="Y147" s="20" t="s">
        <v>21</v>
      </c>
      <c r="Z147" s="20" t="s">
        <v>22</v>
      </c>
      <c r="AA147" s="20" t="s">
        <v>14</v>
      </c>
      <c r="AB147" s="20" t="s">
        <v>167</v>
      </c>
      <c r="AC147" s="20" t="s">
        <v>42</v>
      </c>
      <c r="AD147" s="20"/>
      <c r="AE147" s="2">
        <v>0</v>
      </c>
      <c r="AF147" s="2"/>
    </row>
    <row r="148" spans="1:32" x14ac:dyDescent="0.2">
      <c r="A148" s="20" t="s">
        <v>14</v>
      </c>
      <c r="B148" s="20" t="s">
        <v>167</v>
      </c>
      <c r="C148" s="20" t="s">
        <v>42</v>
      </c>
      <c r="D148" s="18" t="s">
        <v>871</v>
      </c>
      <c r="E148" s="20" t="s">
        <v>17</v>
      </c>
      <c r="F148" s="20">
        <v>2</v>
      </c>
      <c r="G148" s="20" t="s">
        <v>187</v>
      </c>
      <c r="H148" s="20" t="s">
        <v>19</v>
      </c>
      <c r="I148" s="20" t="s">
        <v>133</v>
      </c>
      <c r="J148" s="19" t="s">
        <v>874</v>
      </c>
      <c r="K148" s="20" t="s">
        <v>21</v>
      </c>
      <c r="L148" s="20" t="s">
        <v>22</v>
      </c>
      <c r="M148" s="20" t="s">
        <v>134</v>
      </c>
      <c r="N148" s="21">
        <v>147</v>
      </c>
      <c r="O148" s="29">
        <v>45762</v>
      </c>
      <c r="P148" s="2"/>
      <c r="Q148" s="29">
        <v>45779</v>
      </c>
      <c r="R148" s="29">
        <v>45783</v>
      </c>
      <c r="S148" s="23">
        <f t="shared" si="9"/>
        <v>105</v>
      </c>
      <c r="T148" s="23">
        <f>(U148+S148)/2</f>
        <v>113.5</v>
      </c>
      <c r="U148" s="23">
        <f t="shared" si="11"/>
        <v>122</v>
      </c>
      <c r="V148" s="23">
        <f t="shared" si="12"/>
        <v>126</v>
      </c>
      <c r="W148" s="20" t="s">
        <v>19</v>
      </c>
      <c r="X148" s="20" t="s">
        <v>133</v>
      </c>
      <c r="Y148" s="20" t="s">
        <v>21</v>
      </c>
      <c r="Z148" s="20" t="s">
        <v>22</v>
      </c>
      <c r="AA148" s="20" t="s">
        <v>14</v>
      </c>
      <c r="AB148" s="20" t="s">
        <v>167</v>
      </c>
      <c r="AC148" s="20" t="s">
        <v>42</v>
      </c>
      <c r="AD148" s="20"/>
      <c r="AE148" s="2">
        <v>0</v>
      </c>
      <c r="AF148" s="2"/>
    </row>
    <row r="149" spans="1:32" x14ac:dyDescent="0.2">
      <c r="A149" s="20" t="s">
        <v>14</v>
      </c>
      <c r="B149" s="20" t="s">
        <v>167</v>
      </c>
      <c r="C149" s="20" t="s">
        <v>42</v>
      </c>
      <c r="D149" s="18" t="s">
        <v>871</v>
      </c>
      <c r="E149" s="20" t="s">
        <v>24</v>
      </c>
      <c r="F149" s="20">
        <v>2</v>
      </c>
      <c r="G149" s="20" t="s">
        <v>188</v>
      </c>
      <c r="H149" s="20" t="s">
        <v>19</v>
      </c>
      <c r="I149" s="20" t="s">
        <v>133</v>
      </c>
      <c r="J149" s="19" t="s">
        <v>875</v>
      </c>
      <c r="K149" s="20" t="s">
        <v>21</v>
      </c>
      <c r="L149" s="20" t="s">
        <v>22</v>
      </c>
      <c r="M149" s="20" t="s">
        <v>134</v>
      </c>
      <c r="N149" s="21">
        <v>148</v>
      </c>
      <c r="O149" s="29">
        <v>45755</v>
      </c>
      <c r="P149" s="29">
        <v>45758</v>
      </c>
      <c r="Q149" s="29">
        <v>45762</v>
      </c>
      <c r="R149" s="29">
        <v>45765</v>
      </c>
      <c r="S149" s="23">
        <f t="shared" si="9"/>
        <v>98</v>
      </c>
      <c r="T149" s="23">
        <f t="shared" si="10"/>
        <v>101</v>
      </c>
      <c r="U149" s="23">
        <f t="shared" si="11"/>
        <v>105</v>
      </c>
      <c r="V149" s="23">
        <f t="shared" si="12"/>
        <v>108</v>
      </c>
      <c r="W149" s="20" t="s">
        <v>19</v>
      </c>
      <c r="X149" s="20" t="s">
        <v>133</v>
      </c>
      <c r="Y149" s="20" t="s">
        <v>21</v>
      </c>
      <c r="Z149" s="20" t="s">
        <v>22</v>
      </c>
      <c r="AA149" s="20" t="s">
        <v>14</v>
      </c>
      <c r="AB149" s="20" t="s">
        <v>167</v>
      </c>
      <c r="AC149" s="20" t="s">
        <v>42</v>
      </c>
      <c r="AD149" s="20"/>
      <c r="AE149" s="2">
        <v>0</v>
      </c>
      <c r="AF149" s="2"/>
    </row>
    <row r="150" spans="1:32" x14ac:dyDescent="0.2">
      <c r="A150" s="20" t="s">
        <v>14</v>
      </c>
      <c r="B150" s="20" t="s">
        <v>167</v>
      </c>
      <c r="C150" s="20" t="s">
        <v>42</v>
      </c>
      <c r="D150" s="18" t="s">
        <v>871</v>
      </c>
      <c r="E150" s="20" t="s">
        <v>17</v>
      </c>
      <c r="F150" s="20">
        <v>3</v>
      </c>
      <c r="G150" s="20" t="s">
        <v>189</v>
      </c>
      <c r="H150" s="20" t="s">
        <v>19</v>
      </c>
      <c r="I150" s="20" t="s">
        <v>133</v>
      </c>
      <c r="J150" s="19" t="s">
        <v>876</v>
      </c>
      <c r="K150" s="20" t="s">
        <v>21</v>
      </c>
      <c r="L150" s="20" t="s">
        <v>22</v>
      </c>
      <c r="M150" s="20" t="s">
        <v>134</v>
      </c>
      <c r="N150" s="21">
        <v>149</v>
      </c>
      <c r="O150" s="29">
        <v>45762</v>
      </c>
      <c r="P150" s="29">
        <v>45772</v>
      </c>
      <c r="Q150" s="29">
        <v>45776</v>
      </c>
      <c r="R150" s="29">
        <v>45779</v>
      </c>
      <c r="S150" s="23">
        <f t="shared" si="9"/>
        <v>105</v>
      </c>
      <c r="T150" s="23">
        <f t="shared" si="10"/>
        <v>115</v>
      </c>
      <c r="U150" s="23">
        <f t="shared" si="11"/>
        <v>119</v>
      </c>
      <c r="V150" s="23">
        <f t="shared" si="12"/>
        <v>122</v>
      </c>
      <c r="W150" s="20" t="s">
        <v>19</v>
      </c>
      <c r="X150" s="20" t="s">
        <v>133</v>
      </c>
      <c r="Y150" s="20" t="s">
        <v>21</v>
      </c>
      <c r="Z150" s="20" t="s">
        <v>22</v>
      </c>
      <c r="AA150" s="20" t="s">
        <v>14</v>
      </c>
      <c r="AB150" s="20" t="s">
        <v>167</v>
      </c>
      <c r="AC150" s="20" t="s">
        <v>42</v>
      </c>
      <c r="AD150" s="20"/>
      <c r="AE150" s="2">
        <v>0</v>
      </c>
      <c r="AF150" s="2"/>
    </row>
    <row r="151" spans="1:32" x14ac:dyDescent="0.2">
      <c r="A151" s="20" t="s">
        <v>14</v>
      </c>
      <c r="B151" s="20" t="s">
        <v>167</v>
      </c>
      <c r="C151" s="20" t="s">
        <v>42</v>
      </c>
      <c r="D151" s="18" t="s">
        <v>871</v>
      </c>
      <c r="E151" s="20" t="s">
        <v>24</v>
      </c>
      <c r="F151" s="20">
        <v>3</v>
      </c>
      <c r="G151" s="20" t="s">
        <v>190</v>
      </c>
      <c r="H151" s="20" t="s">
        <v>19</v>
      </c>
      <c r="I151" s="20" t="s">
        <v>133</v>
      </c>
      <c r="J151" s="19" t="s">
        <v>877</v>
      </c>
      <c r="K151" s="20" t="s">
        <v>21</v>
      </c>
      <c r="L151" s="20" t="s">
        <v>22</v>
      </c>
      <c r="M151" s="20" t="s">
        <v>134</v>
      </c>
      <c r="N151" s="21">
        <v>150</v>
      </c>
      <c r="O151" s="29">
        <v>45762</v>
      </c>
      <c r="P151" s="29">
        <v>45770</v>
      </c>
      <c r="Q151" s="29">
        <v>45776</v>
      </c>
      <c r="R151" s="29">
        <v>45779</v>
      </c>
      <c r="S151" s="23">
        <f t="shared" si="9"/>
        <v>105</v>
      </c>
      <c r="T151" s="23">
        <f t="shared" si="10"/>
        <v>113</v>
      </c>
      <c r="U151" s="23">
        <f t="shared" si="11"/>
        <v>119</v>
      </c>
      <c r="V151" s="23">
        <f t="shared" si="12"/>
        <v>122</v>
      </c>
      <c r="W151" s="20" t="s">
        <v>19</v>
      </c>
      <c r="X151" s="20" t="s">
        <v>133</v>
      </c>
      <c r="Y151" s="20" t="s">
        <v>21</v>
      </c>
      <c r="Z151" s="20" t="s">
        <v>22</v>
      </c>
      <c r="AA151" s="20" t="s">
        <v>14</v>
      </c>
      <c r="AB151" s="20" t="s">
        <v>167</v>
      </c>
      <c r="AC151" s="20" t="s">
        <v>42</v>
      </c>
      <c r="AD151" s="20"/>
      <c r="AE151" s="2">
        <v>0</v>
      </c>
      <c r="AF151" s="2"/>
    </row>
    <row r="152" spans="1:32" x14ac:dyDescent="0.2">
      <c r="A152" s="20" t="s">
        <v>14</v>
      </c>
      <c r="B152" s="20" t="s">
        <v>167</v>
      </c>
      <c r="C152" s="20" t="s">
        <v>42</v>
      </c>
      <c r="D152" s="18" t="s">
        <v>871</v>
      </c>
      <c r="E152" s="20" t="s">
        <v>17</v>
      </c>
      <c r="F152" s="20">
        <v>4</v>
      </c>
      <c r="G152" s="20" t="s">
        <v>191</v>
      </c>
      <c r="H152" s="20" t="s">
        <v>19</v>
      </c>
      <c r="I152" s="20" t="s">
        <v>133</v>
      </c>
      <c r="J152" s="19" t="s">
        <v>878</v>
      </c>
      <c r="K152" s="20" t="s">
        <v>21</v>
      </c>
      <c r="L152" s="20" t="s">
        <v>22</v>
      </c>
      <c r="M152" s="20" t="s">
        <v>134</v>
      </c>
      <c r="N152" s="21">
        <v>151</v>
      </c>
      <c r="O152" s="29">
        <v>45770</v>
      </c>
      <c r="P152" s="29">
        <v>45776</v>
      </c>
      <c r="Q152" s="2"/>
      <c r="R152" s="29">
        <v>45779</v>
      </c>
      <c r="S152" s="23">
        <f t="shared" si="9"/>
        <v>113</v>
      </c>
      <c r="T152" s="23">
        <f t="shared" si="10"/>
        <v>119</v>
      </c>
      <c r="U152" s="23">
        <f>(V152+T152)/2</f>
        <v>120.5</v>
      </c>
      <c r="V152" s="23">
        <f t="shared" si="12"/>
        <v>122</v>
      </c>
      <c r="W152" s="20" t="s">
        <v>19</v>
      </c>
      <c r="X152" s="20" t="s">
        <v>133</v>
      </c>
      <c r="Y152" s="20" t="s">
        <v>21</v>
      </c>
      <c r="Z152" s="20" t="s">
        <v>22</v>
      </c>
      <c r="AA152" s="20" t="s">
        <v>14</v>
      </c>
      <c r="AB152" s="20" t="s">
        <v>167</v>
      </c>
      <c r="AC152" s="20" t="s">
        <v>42</v>
      </c>
      <c r="AD152" s="20"/>
      <c r="AE152" s="2">
        <v>0</v>
      </c>
      <c r="AF152" s="2"/>
    </row>
    <row r="153" spans="1:32" x14ac:dyDescent="0.2">
      <c r="A153" s="20" t="s">
        <v>14</v>
      </c>
      <c r="B153" s="20" t="s">
        <v>167</v>
      </c>
      <c r="C153" s="20" t="s">
        <v>42</v>
      </c>
      <c r="D153" s="18" t="s">
        <v>871</v>
      </c>
      <c r="E153" s="20" t="s">
        <v>24</v>
      </c>
      <c r="F153" s="20">
        <v>4</v>
      </c>
      <c r="G153" s="20" t="s">
        <v>192</v>
      </c>
      <c r="H153" s="20" t="s">
        <v>19</v>
      </c>
      <c r="I153" s="20" t="s">
        <v>133</v>
      </c>
      <c r="J153" s="19" t="s">
        <v>879</v>
      </c>
      <c r="K153" s="20" t="s">
        <v>21</v>
      </c>
      <c r="L153" s="20" t="s">
        <v>22</v>
      </c>
      <c r="M153" s="20" t="s">
        <v>134</v>
      </c>
      <c r="N153" s="21">
        <v>152</v>
      </c>
      <c r="O153" s="29">
        <v>45762</v>
      </c>
      <c r="P153" s="2"/>
      <c r="Q153" s="29">
        <v>45770</v>
      </c>
      <c r="R153" s="29">
        <v>45776</v>
      </c>
      <c r="S153" s="23">
        <f t="shared" si="9"/>
        <v>105</v>
      </c>
      <c r="T153" s="23">
        <f>(U153+S153)/2</f>
        <v>109</v>
      </c>
      <c r="U153" s="23">
        <f t="shared" si="11"/>
        <v>113</v>
      </c>
      <c r="V153" s="23">
        <f t="shared" si="12"/>
        <v>119</v>
      </c>
      <c r="W153" s="20" t="s">
        <v>19</v>
      </c>
      <c r="X153" s="20" t="s">
        <v>133</v>
      </c>
      <c r="Y153" s="20" t="s">
        <v>21</v>
      </c>
      <c r="Z153" s="20" t="s">
        <v>22</v>
      </c>
      <c r="AA153" s="20" t="s">
        <v>14</v>
      </c>
      <c r="AB153" s="20" t="s">
        <v>167</v>
      </c>
      <c r="AC153" s="20" t="s">
        <v>42</v>
      </c>
      <c r="AD153" s="20"/>
      <c r="AE153" s="2">
        <v>0</v>
      </c>
      <c r="AF153" s="2"/>
    </row>
    <row r="154" spans="1:32" x14ac:dyDescent="0.2">
      <c r="A154" s="14" t="s">
        <v>14</v>
      </c>
      <c r="B154" s="14" t="s">
        <v>167</v>
      </c>
      <c r="C154" s="14" t="s">
        <v>53</v>
      </c>
      <c r="D154" s="14" t="s">
        <v>880</v>
      </c>
      <c r="E154" s="14" t="s">
        <v>17</v>
      </c>
      <c r="F154" s="14">
        <v>1</v>
      </c>
      <c r="G154" s="14" t="s">
        <v>193</v>
      </c>
      <c r="H154" s="14" t="s">
        <v>35</v>
      </c>
      <c r="I154" s="14" t="s">
        <v>133</v>
      </c>
      <c r="J154" s="13" t="s">
        <v>881</v>
      </c>
      <c r="K154" s="14" t="s">
        <v>21</v>
      </c>
      <c r="L154" s="14" t="s">
        <v>22</v>
      </c>
      <c r="M154" s="14" t="s">
        <v>134</v>
      </c>
      <c r="N154" s="13">
        <v>153</v>
      </c>
      <c r="O154" s="30">
        <v>45762</v>
      </c>
      <c r="P154" s="30">
        <v>45776</v>
      </c>
      <c r="Q154" s="30">
        <v>45779</v>
      </c>
      <c r="R154" s="30">
        <v>45783</v>
      </c>
      <c r="S154" s="23">
        <f t="shared" si="9"/>
        <v>105</v>
      </c>
      <c r="T154" s="23">
        <f t="shared" si="10"/>
        <v>119</v>
      </c>
      <c r="U154" s="23">
        <f t="shared" si="11"/>
        <v>122</v>
      </c>
      <c r="V154" s="23">
        <f t="shared" si="12"/>
        <v>126</v>
      </c>
      <c r="W154" s="14" t="s">
        <v>35</v>
      </c>
      <c r="X154" s="14" t="s">
        <v>133</v>
      </c>
      <c r="Y154" s="14" t="s">
        <v>21</v>
      </c>
      <c r="Z154" s="14" t="s">
        <v>22</v>
      </c>
      <c r="AA154" s="14" t="s">
        <v>14</v>
      </c>
      <c r="AB154" s="14" t="s">
        <v>167</v>
      </c>
      <c r="AC154" s="14" t="s">
        <v>53</v>
      </c>
      <c r="AD154" s="14"/>
      <c r="AE154" s="1">
        <v>0</v>
      </c>
      <c r="AF154" s="1"/>
    </row>
    <row r="155" spans="1:32" x14ac:dyDescent="0.2">
      <c r="A155" s="14" t="s">
        <v>14</v>
      </c>
      <c r="B155" s="14" t="s">
        <v>167</v>
      </c>
      <c r="C155" s="14" t="s">
        <v>53</v>
      </c>
      <c r="D155" s="14" t="s">
        <v>880</v>
      </c>
      <c r="E155" s="14" t="s">
        <v>24</v>
      </c>
      <c r="F155" s="14">
        <v>1</v>
      </c>
      <c r="G155" s="14" t="s">
        <v>194</v>
      </c>
      <c r="H155" s="14" t="s">
        <v>35</v>
      </c>
      <c r="I155" s="14" t="s">
        <v>133</v>
      </c>
      <c r="J155" s="13" t="s">
        <v>882</v>
      </c>
      <c r="K155" s="14" t="s">
        <v>21</v>
      </c>
      <c r="L155" s="14" t="s">
        <v>22</v>
      </c>
      <c r="M155" s="14" t="s">
        <v>134</v>
      </c>
      <c r="N155" s="13">
        <v>154</v>
      </c>
      <c r="O155" s="30">
        <v>45762</v>
      </c>
      <c r="P155" s="30">
        <v>45772</v>
      </c>
      <c r="Q155" s="30">
        <v>45779</v>
      </c>
      <c r="R155" s="30">
        <v>45783</v>
      </c>
      <c r="S155" s="23">
        <f t="shared" si="9"/>
        <v>105</v>
      </c>
      <c r="T155" s="23">
        <f t="shared" si="10"/>
        <v>115</v>
      </c>
      <c r="U155" s="23">
        <f t="shared" si="11"/>
        <v>122</v>
      </c>
      <c r="V155" s="23">
        <f t="shared" si="12"/>
        <v>126</v>
      </c>
      <c r="W155" s="14" t="s">
        <v>35</v>
      </c>
      <c r="X155" s="14" t="s">
        <v>133</v>
      </c>
      <c r="Y155" s="14" t="s">
        <v>21</v>
      </c>
      <c r="Z155" s="14" t="s">
        <v>22</v>
      </c>
      <c r="AA155" s="14" t="s">
        <v>14</v>
      </c>
      <c r="AB155" s="14" t="s">
        <v>167</v>
      </c>
      <c r="AC155" s="14" t="s">
        <v>53</v>
      </c>
      <c r="AD155" s="14"/>
      <c r="AE155" s="1">
        <v>0</v>
      </c>
      <c r="AF155" s="1"/>
    </row>
    <row r="156" spans="1:32" x14ac:dyDescent="0.2">
      <c r="A156" s="14" t="s">
        <v>14</v>
      </c>
      <c r="B156" s="14" t="s">
        <v>167</v>
      </c>
      <c r="C156" s="14" t="s">
        <v>53</v>
      </c>
      <c r="D156" s="14" t="s">
        <v>880</v>
      </c>
      <c r="E156" s="14" t="s">
        <v>17</v>
      </c>
      <c r="F156" s="14">
        <v>2</v>
      </c>
      <c r="G156" s="14" t="s">
        <v>195</v>
      </c>
      <c r="H156" s="14" t="s">
        <v>35</v>
      </c>
      <c r="I156" s="14" t="s">
        <v>133</v>
      </c>
      <c r="J156" s="13" t="s">
        <v>883</v>
      </c>
      <c r="K156" s="14" t="s">
        <v>21</v>
      </c>
      <c r="L156" s="14" t="s">
        <v>22</v>
      </c>
      <c r="M156" s="14" t="s">
        <v>134</v>
      </c>
      <c r="N156" s="13">
        <v>155</v>
      </c>
      <c r="O156" s="30">
        <v>45748</v>
      </c>
      <c r="P156" s="30">
        <v>45755</v>
      </c>
      <c r="Q156" s="30">
        <v>45765</v>
      </c>
      <c r="R156" s="30">
        <v>45776</v>
      </c>
      <c r="S156" s="23">
        <f t="shared" si="9"/>
        <v>91</v>
      </c>
      <c r="T156" s="23">
        <f t="shared" si="10"/>
        <v>98</v>
      </c>
      <c r="U156" s="23">
        <f t="shared" si="11"/>
        <v>108</v>
      </c>
      <c r="V156" s="23">
        <f t="shared" si="12"/>
        <v>119</v>
      </c>
      <c r="W156" s="14" t="s">
        <v>35</v>
      </c>
      <c r="X156" s="14" t="s">
        <v>133</v>
      </c>
      <c r="Y156" s="14" t="s">
        <v>21</v>
      </c>
      <c r="Z156" s="14" t="s">
        <v>22</v>
      </c>
      <c r="AA156" s="14" t="s">
        <v>14</v>
      </c>
      <c r="AB156" s="14" t="s">
        <v>167</v>
      </c>
      <c r="AC156" s="14" t="s">
        <v>53</v>
      </c>
      <c r="AD156" s="14"/>
      <c r="AE156" s="1">
        <v>0</v>
      </c>
      <c r="AF156" s="1"/>
    </row>
    <row r="157" spans="1:32" x14ac:dyDescent="0.2">
      <c r="A157" s="14" t="s">
        <v>14</v>
      </c>
      <c r="B157" s="14" t="s">
        <v>167</v>
      </c>
      <c r="C157" s="14" t="s">
        <v>53</v>
      </c>
      <c r="D157" s="14" t="s">
        <v>880</v>
      </c>
      <c r="E157" s="14" t="s">
        <v>24</v>
      </c>
      <c r="F157" s="14">
        <v>2</v>
      </c>
      <c r="G157" s="14" t="s">
        <v>196</v>
      </c>
      <c r="H157" s="14" t="s">
        <v>35</v>
      </c>
      <c r="I157" s="14" t="s">
        <v>133</v>
      </c>
      <c r="J157" s="13" t="s">
        <v>884</v>
      </c>
      <c r="K157" s="14" t="s">
        <v>21</v>
      </c>
      <c r="L157" s="14" t="s">
        <v>22</v>
      </c>
      <c r="M157" s="14" t="s">
        <v>134</v>
      </c>
      <c r="N157" s="13">
        <v>156</v>
      </c>
      <c r="O157" s="30">
        <v>45765</v>
      </c>
      <c r="P157" s="30">
        <v>45770</v>
      </c>
      <c r="Q157" s="30">
        <v>45779</v>
      </c>
      <c r="R157" s="30">
        <v>45783</v>
      </c>
      <c r="S157" s="23">
        <f t="shared" si="9"/>
        <v>108</v>
      </c>
      <c r="T157" s="23">
        <f t="shared" si="10"/>
        <v>113</v>
      </c>
      <c r="U157" s="23">
        <f t="shared" si="11"/>
        <v>122</v>
      </c>
      <c r="V157" s="23">
        <f t="shared" si="12"/>
        <v>126</v>
      </c>
      <c r="W157" s="14" t="s">
        <v>35</v>
      </c>
      <c r="X157" s="14" t="s">
        <v>133</v>
      </c>
      <c r="Y157" s="14" t="s">
        <v>21</v>
      </c>
      <c r="Z157" s="14" t="s">
        <v>22</v>
      </c>
      <c r="AA157" s="14" t="s">
        <v>14</v>
      </c>
      <c r="AB157" s="14" t="s">
        <v>167</v>
      </c>
      <c r="AC157" s="14" t="s">
        <v>53</v>
      </c>
      <c r="AD157" s="14"/>
      <c r="AE157" s="1">
        <v>0</v>
      </c>
      <c r="AF157" s="1"/>
    </row>
    <row r="158" spans="1:32" x14ac:dyDescent="0.2">
      <c r="A158" s="14" t="s">
        <v>14</v>
      </c>
      <c r="B158" s="14" t="s">
        <v>167</v>
      </c>
      <c r="C158" s="14" t="s">
        <v>53</v>
      </c>
      <c r="D158" s="14" t="s">
        <v>880</v>
      </c>
      <c r="E158" s="14" t="s">
        <v>17</v>
      </c>
      <c r="F158" s="14">
        <v>3</v>
      </c>
      <c r="G158" s="14" t="s">
        <v>197</v>
      </c>
      <c r="H158" s="14" t="s">
        <v>35</v>
      </c>
      <c r="I158" s="14" t="s">
        <v>133</v>
      </c>
      <c r="J158" s="13" t="s">
        <v>885</v>
      </c>
      <c r="K158" s="14" t="s">
        <v>21</v>
      </c>
      <c r="L158" s="14" t="s">
        <v>22</v>
      </c>
      <c r="M158" s="14" t="s">
        <v>134</v>
      </c>
      <c r="N158" s="13">
        <v>157</v>
      </c>
      <c r="O158" s="30">
        <v>45755</v>
      </c>
      <c r="P158" s="30">
        <v>45762</v>
      </c>
      <c r="Q158" s="30">
        <v>45765</v>
      </c>
      <c r="R158" s="30">
        <v>45776</v>
      </c>
      <c r="S158" s="23">
        <f t="shared" si="9"/>
        <v>98</v>
      </c>
      <c r="T158" s="23">
        <f t="shared" si="10"/>
        <v>105</v>
      </c>
      <c r="U158" s="23">
        <f t="shared" si="11"/>
        <v>108</v>
      </c>
      <c r="V158" s="23">
        <f t="shared" si="12"/>
        <v>119</v>
      </c>
      <c r="W158" s="14" t="s">
        <v>35</v>
      </c>
      <c r="X158" s="14" t="s">
        <v>133</v>
      </c>
      <c r="Y158" s="14" t="s">
        <v>21</v>
      </c>
      <c r="Z158" s="14" t="s">
        <v>22</v>
      </c>
      <c r="AA158" s="14" t="s">
        <v>14</v>
      </c>
      <c r="AB158" s="14" t="s">
        <v>167</v>
      </c>
      <c r="AC158" s="14" t="s">
        <v>53</v>
      </c>
      <c r="AD158" s="14"/>
      <c r="AE158" s="1">
        <v>0</v>
      </c>
      <c r="AF158" s="1"/>
    </row>
    <row r="159" spans="1:32" x14ac:dyDescent="0.2">
      <c r="A159" s="14" t="s">
        <v>14</v>
      </c>
      <c r="B159" s="14" t="s">
        <v>167</v>
      </c>
      <c r="C159" s="14" t="s">
        <v>53</v>
      </c>
      <c r="D159" s="14" t="s">
        <v>880</v>
      </c>
      <c r="E159" s="14" t="s">
        <v>24</v>
      </c>
      <c r="F159" s="14">
        <v>3</v>
      </c>
      <c r="G159" s="14" t="s">
        <v>198</v>
      </c>
      <c r="H159" s="14" t="s">
        <v>35</v>
      </c>
      <c r="I159" s="14" t="s">
        <v>133</v>
      </c>
      <c r="J159" s="13" t="s">
        <v>886</v>
      </c>
      <c r="K159" s="14" t="s">
        <v>21</v>
      </c>
      <c r="L159" s="14" t="s">
        <v>22</v>
      </c>
      <c r="M159" s="14" t="s">
        <v>134</v>
      </c>
      <c r="N159" s="13">
        <v>158</v>
      </c>
      <c r="O159" s="30">
        <v>45758</v>
      </c>
      <c r="P159" s="30">
        <v>45770</v>
      </c>
      <c r="Q159" s="30">
        <v>45776</v>
      </c>
      <c r="R159" s="30">
        <v>45783</v>
      </c>
      <c r="S159" s="23">
        <f t="shared" si="9"/>
        <v>101</v>
      </c>
      <c r="T159" s="23">
        <f t="shared" si="10"/>
        <v>113</v>
      </c>
      <c r="U159" s="23">
        <f t="shared" si="11"/>
        <v>119</v>
      </c>
      <c r="V159" s="23">
        <f t="shared" si="12"/>
        <v>126</v>
      </c>
      <c r="W159" s="14" t="s">
        <v>35</v>
      </c>
      <c r="X159" s="14" t="s">
        <v>133</v>
      </c>
      <c r="Y159" s="14" t="s">
        <v>21</v>
      </c>
      <c r="Z159" s="14" t="s">
        <v>22</v>
      </c>
      <c r="AA159" s="14" t="s">
        <v>14</v>
      </c>
      <c r="AB159" s="14" t="s">
        <v>167</v>
      </c>
      <c r="AC159" s="14" t="s">
        <v>53</v>
      </c>
      <c r="AD159" s="14"/>
      <c r="AE159" s="1">
        <v>0</v>
      </c>
      <c r="AF159" s="1"/>
    </row>
    <row r="160" spans="1:32" x14ac:dyDescent="0.2">
      <c r="A160" s="14" t="s">
        <v>14</v>
      </c>
      <c r="B160" s="14" t="s">
        <v>167</v>
      </c>
      <c r="C160" s="14" t="s">
        <v>53</v>
      </c>
      <c r="D160" s="14" t="s">
        <v>880</v>
      </c>
      <c r="E160" s="14" t="s">
        <v>17</v>
      </c>
      <c r="F160" s="14">
        <v>4</v>
      </c>
      <c r="G160" s="14" t="s">
        <v>199</v>
      </c>
      <c r="H160" s="14" t="s">
        <v>35</v>
      </c>
      <c r="I160" s="14" t="s">
        <v>133</v>
      </c>
      <c r="J160" s="13" t="s">
        <v>887</v>
      </c>
      <c r="K160" s="14" t="s">
        <v>21</v>
      </c>
      <c r="L160" s="14" t="s">
        <v>22</v>
      </c>
      <c r="M160" s="14" t="s">
        <v>134</v>
      </c>
      <c r="N160" s="13">
        <v>159</v>
      </c>
      <c r="O160" s="30">
        <v>45755</v>
      </c>
      <c r="P160" s="30">
        <v>45762</v>
      </c>
      <c r="Q160" s="30">
        <v>45765</v>
      </c>
      <c r="R160" s="30">
        <v>45779</v>
      </c>
      <c r="S160" s="23">
        <f t="shared" si="9"/>
        <v>98</v>
      </c>
      <c r="T160" s="23">
        <f t="shared" si="10"/>
        <v>105</v>
      </c>
      <c r="U160" s="23">
        <f t="shared" si="11"/>
        <v>108</v>
      </c>
      <c r="V160" s="23">
        <f t="shared" si="12"/>
        <v>122</v>
      </c>
      <c r="W160" s="14" t="s">
        <v>35</v>
      </c>
      <c r="X160" s="14" t="s">
        <v>133</v>
      </c>
      <c r="Y160" s="14" t="s">
        <v>21</v>
      </c>
      <c r="Z160" s="14" t="s">
        <v>22</v>
      </c>
      <c r="AA160" s="14" t="s">
        <v>14</v>
      </c>
      <c r="AB160" s="14" t="s">
        <v>167</v>
      </c>
      <c r="AC160" s="14" t="s">
        <v>53</v>
      </c>
      <c r="AD160" s="14"/>
      <c r="AE160" s="1">
        <v>0</v>
      </c>
      <c r="AF160" s="1"/>
    </row>
    <row r="161" spans="1:32" x14ac:dyDescent="0.2">
      <c r="A161" s="14" t="s">
        <v>14</v>
      </c>
      <c r="B161" s="14" t="s">
        <v>167</v>
      </c>
      <c r="C161" s="14" t="s">
        <v>53</v>
      </c>
      <c r="D161" s="14" t="s">
        <v>880</v>
      </c>
      <c r="E161" s="14" t="s">
        <v>24</v>
      </c>
      <c r="F161" s="14">
        <v>4</v>
      </c>
      <c r="G161" s="14" t="s">
        <v>198</v>
      </c>
      <c r="H161" s="14" t="s">
        <v>35</v>
      </c>
      <c r="I161" s="14" t="s">
        <v>133</v>
      </c>
      <c r="J161" s="13" t="s">
        <v>888</v>
      </c>
      <c r="K161" s="14" t="s">
        <v>21</v>
      </c>
      <c r="L161" s="14" t="s">
        <v>22</v>
      </c>
      <c r="M161" s="14" t="s">
        <v>134</v>
      </c>
      <c r="N161" s="13">
        <v>160</v>
      </c>
      <c r="O161" s="30">
        <v>45762</v>
      </c>
      <c r="P161" s="30">
        <v>45770</v>
      </c>
      <c r="Q161" s="30">
        <v>45776</v>
      </c>
      <c r="R161" s="30">
        <v>45779</v>
      </c>
      <c r="S161" s="23">
        <f t="shared" si="9"/>
        <v>105</v>
      </c>
      <c r="T161" s="23">
        <f t="shared" si="10"/>
        <v>113</v>
      </c>
      <c r="U161" s="23">
        <f t="shared" si="11"/>
        <v>119</v>
      </c>
      <c r="V161" s="23">
        <f t="shared" si="12"/>
        <v>122</v>
      </c>
      <c r="W161" s="14" t="s">
        <v>35</v>
      </c>
      <c r="X161" s="14" t="s">
        <v>133</v>
      </c>
      <c r="Y161" s="14" t="s">
        <v>21</v>
      </c>
      <c r="Z161" s="14" t="s">
        <v>22</v>
      </c>
      <c r="AA161" s="14" t="s">
        <v>14</v>
      </c>
      <c r="AB161" s="14" t="s">
        <v>167</v>
      </c>
      <c r="AC161" s="14" t="s">
        <v>53</v>
      </c>
      <c r="AD161" s="14"/>
      <c r="AE161" s="1">
        <v>0</v>
      </c>
      <c r="AF161" s="1"/>
    </row>
    <row r="162" spans="1:32" x14ac:dyDescent="0.2">
      <c r="A162" s="20" t="s">
        <v>14</v>
      </c>
      <c r="B162" s="20" t="s">
        <v>200</v>
      </c>
      <c r="C162" s="20" t="s">
        <v>16</v>
      </c>
      <c r="D162" s="18" t="s">
        <v>889</v>
      </c>
      <c r="E162" s="20" t="s">
        <v>17</v>
      </c>
      <c r="F162" s="20">
        <v>1</v>
      </c>
      <c r="G162" s="20" t="s">
        <v>201</v>
      </c>
      <c r="H162" s="20" t="s">
        <v>19</v>
      </c>
      <c r="I162" s="20" t="s">
        <v>133</v>
      </c>
      <c r="J162" s="19" t="s">
        <v>890</v>
      </c>
      <c r="K162" s="20" t="s">
        <v>64</v>
      </c>
      <c r="L162" s="20" t="s">
        <v>22</v>
      </c>
      <c r="M162" s="20" t="s">
        <v>202</v>
      </c>
      <c r="N162" s="21">
        <v>161</v>
      </c>
      <c r="O162" s="29">
        <v>45776</v>
      </c>
      <c r="P162" s="2"/>
      <c r="Q162" s="29">
        <v>45779</v>
      </c>
      <c r="R162" s="29">
        <v>45783</v>
      </c>
      <c r="S162" s="23">
        <f t="shared" si="9"/>
        <v>119</v>
      </c>
      <c r="T162" s="23">
        <f>(U162+S162)/2</f>
        <v>120.5</v>
      </c>
      <c r="U162" s="23">
        <f t="shared" si="11"/>
        <v>122</v>
      </c>
      <c r="V162" s="23">
        <f t="shared" si="12"/>
        <v>126</v>
      </c>
      <c r="W162" s="20" t="s">
        <v>19</v>
      </c>
      <c r="X162" s="20" t="s">
        <v>133</v>
      </c>
      <c r="Y162" s="20" t="s">
        <v>64</v>
      </c>
      <c r="Z162" s="20" t="s">
        <v>22</v>
      </c>
      <c r="AA162" s="20" t="s">
        <v>14</v>
      </c>
      <c r="AB162" s="20" t="s">
        <v>200</v>
      </c>
      <c r="AC162" s="20" t="s">
        <v>16</v>
      </c>
      <c r="AD162" s="20"/>
      <c r="AE162" s="2">
        <v>0</v>
      </c>
      <c r="AF162" s="2"/>
    </row>
    <row r="163" spans="1:32" x14ac:dyDescent="0.2">
      <c r="A163" s="20" t="s">
        <v>14</v>
      </c>
      <c r="B163" s="20" t="s">
        <v>200</v>
      </c>
      <c r="C163" s="20" t="s">
        <v>16</v>
      </c>
      <c r="D163" s="18" t="s">
        <v>889</v>
      </c>
      <c r="E163" s="20" t="s">
        <v>24</v>
      </c>
      <c r="F163" s="20">
        <v>1</v>
      </c>
      <c r="G163" s="20" t="s">
        <v>203</v>
      </c>
      <c r="H163" s="20" t="s">
        <v>19</v>
      </c>
      <c r="I163" s="20" t="s">
        <v>133</v>
      </c>
      <c r="J163" s="19" t="s">
        <v>891</v>
      </c>
      <c r="K163" s="20" t="s">
        <v>64</v>
      </c>
      <c r="L163" s="20" t="s">
        <v>22</v>
      </c>
      <c r="M163" s="20" t="s">
        <v>202</v>
      </c>
      <c r="N163" s="21">
        <v>162</v>
      </c>
      <c r="O163" s="29">
        <v>45762</v>
      </c>
      <c r="P163" s="29">
        <v>45765</v>
      </c>
      <c r="Q163" s="29">
        <v>45770</v>
      </c>
      <c r="R163" s="29">
        <v>45772</v>
      </c>
      <c r="S163" s="23">
        <f t="shared" si="9"/>
        <v>105</v>
      </c>
      <c r="T163" s="23">
        <f t="shared" si="10"/>
        <v>108</v>
      </c>
      <c r="U163" s="23">
        <f t="shared" si="11"/>
        <v>113</v>
      </c>
      <c r="V163" s="23">
        <f t="shared" si="12"/>
        <v>115</v>
      </c>
      <c r="W163" s="20" t="s">
        <v>19</v>
      </c>
      <c r="X163" s="20" t="s">
        <v>133</v>
      </c>
      <c r="Y163" s="20" t="s">
        <v>64</v>
      </c>
      <c r="Z163" s="20" t="s">
        <v>22</v>
      </c>
      <c r="AA163" s="20" t="s">
        <v>14</v>
      </c>
      <c r="AB163" s="20" t="s">
        <v>200</v>
      </c>
      <c r="AC163" s="20" t="s">
        <v>16</v>
      </c>
      <c r="AD163" s="20"/>
      <c r="AE163" s="2">
        <v>0</v>
      </c>
      <c r="AF163" s="2"/>
    </row>
    <row r="164" spans="1:32" x14ac:dyDescent="0.2">
      <c r="A164" s="20" t="s">
        <v>14</v>
      </c>
      <c r="B164" s="20" t="s">
        <v>200</v>
      </c>
      <c r="C164" s="20" t="s">
        <v>16</v>
      </c>
      <c r="D164" s="18" t="s">
        <v>889</v>
      </c>
      <c r="E164" s="20" t="s">
        <v>17</v>
      </c>
      <c r="F164" s="20">
        <v>2</v>
      </c>
      <c r="G164" s="20" t="s">
        <v>204</v>
      </c>
      <c r="H164" s="20" t="s">
        <v>19</v>
      </c>
      <c r="I164" s="20" t="s">
        <v>133</v>
      </c>
      <c r="J164" s="19" t="s">
        <v>892</v>
      </c>
      <c r="K164" s="20" t="s">
        <v>64</v>
      </c>
      <c r="L164" s="20" t="s">
        <v>22</v>
      </c>
      <c r="M164" s="20" t="s">
        <v>202</v>
      </c>
      <c r="N164" s="21">
        <v>163</v>
      </c>
      <c r="O164" s="29">
        <v>45755</v>
      </c>
      <c r="P164" s="29">
        <v>45762</v>
      </c>
      <c r="Q164" s="29">
        <v>45765</v>
      </c>
      <c r="R164" s="29">
        <v>45770</v>
      </c>
      <c r="S164" s="23">
        <f t="shared" si="9"/>
        <v>98</v>
      </c>
      <c r="T164" s="23">
        <f t="shared" si="10"/>
        <v>105</v>
      </c>
      <c r="U164" s="23">
        <f t="shared" si="11"/>
        <v>108</v>
      </c>
      <c r="V164" s="23">
        <f t="shared" si="12"/>
        <v>113</v>
      </c>
      <c r="W164" s="20" t="s">
        <v>19</v>
      </c>
      <c r="X164" s="20" t="s">
        <v>133</v>
      </c>
      <c r="Y164" s="20" t="s">
        <v>64</v>
      </c>
      <c r="Z164" s="20" t="s">
        <v>22</v>
      </c>
      <c r="AA164" s="20" t="s">
        <v>14</v>
      </c>
      <c r="AB164" s="20" t="s">
        <v>200</v>
      </c>
      <c r="AC164" s="20" t="s">
        <v>16</v>
      </c>
      <c r="AD164" s="20"/>
      <c r="AE164" s="2">
        <v>0</v>
      </c>
      <c r="AF164" s="2"/>
    </row>
    <row r="165" spans="1:32" x14ac:dyDescent="0.2">
      <c r="A165" s="20" t="s">
        <v>14</v>
      </c>
      <c r="B165" s="20" t="s">
        <v>200</v>
      </c>
      <c r="C165" s="20" t="s">
        <v>16</v>
      </c>
      <c r="D165" s="18" t="s">
        <v>889</v>
      </c>
      <c r="E165" s="20" t="s">
        <v>24</v>
      </c>
      <c r="F165" s="20">
        <v>2</v>
      </c>
      <c r="G165" s="20" t="s">
        <v>205</v>
      </c>
      <c r="H165" s="20" t="s">
        <v>19</v>
      </c>
      <c r="I165" s="20" t="s">
        <v>133</v>
      </c>
      <c r="J165" s="19" t="s">
        <v>893</v>
      </c>
      <c r="K165" s="20" t="s">
        <v>64</v>
      </c>
      <c r="L165" s="20" t="s">
        <v>22</v>
      </c>
      <c r="M165" s="20" t="s">
        <v>202</v>
      </c>
      <c r="N165" s="21">
        <v>164</v>
      </c>
      <c r="O165" s="29">
        <v>45765</v>
      </c>
      <c r="P165" s="29">
        <v>45770</v>
      </c>
      <c r="Q165" s="29">
        <v>45776</v>
      </c>
      <c r="R165" s="29">
        <v>45779</v>
      </c>
      <c r="S165" s="23">
        <f t="shared" si="9"/>
        <v>108</v>
      </c>
      <c r="T165" s="23">
        <f t="shared" si="10"/>
        <v>113</v>
      </c>
      <c r="U165" s="23">
        <f t="shared" si="11"/>
        <v>119</v>
      </c>
      <c r="V165" s="23">
        <f t="shared" si="12"/>
        <v>122</v>
      </c>
      <c r="W165" s="20" t="s">
        <v>19</v>
      </c>
      <c r="X165" s="20" t="s">
        <v>133</v>
      </c>
      <c r="Y165" s="20" t="s">
        <v>64</v>
      </c>
      <c r="Z165" s="20" t="s">
        <v>22</v>
      </c>
      <c r="AA165" s="20" t="s">
        <v>14</v>
      </c>
      <c r="AB165" s="20" t="s">
        <v>200</v>
      </c>
      <c r="AC165" s="20" t="s">
        <v>16</v>
      </c>
      <c r="AD165" s="20"/>
      <c r="AE165" s="2">
        <v>0</v>
      </c>
      <c r="AF165" s="2"/>
    </row>
    <row r="166" spans="1:32" x14ac:dyDescent="0.2">
      <c r="A166" s="20" t="s">
        <v>14</v>
      </c>
      <c r="B166" s="20" t="s">
        <v>200</v>
      </c>
      <c r="C166" s="20" t="s">
        <v>16</v>
      </c>
      <c r="D166" s="18" t="s">
        <v>889</v>
      </c>
      <c r="E166" s="20" t="s">
        <v>17</v>
      </c>
      <c r="F166" s="20">
        <v>3</v>
      </c>
      <c r="G166" s="20" t="s">
        <v>206</v>
      </c>
      <c r="H166" s="20" t="s">
        <v>19</v>
      </c>
      <c r="I166" s="20" t="s">
        <v>133</v>
      </c>
      <c r="J166" s="19" t="s">
        <v>894</v>
      </c>
      <c r="K166" s="20" t="s">
        <v>64</v>
      </c>
      <c r="L166" s="20" t="s">
        <v>22</v>
      </c>
      <c r="M166" s="20" t="s">
        <v>202</v>
      </c>
      <c r="N166" s="21">
        <v>165</v>
      </c>
      <c r="O166" s="29">
        <v>45772</v>
      </c>
      <c r="P166" s="2"/>
      <c r="Q166" s="29">
        <v>45779</v>
      </c>
      <c r="R166" s="29">
        <v>45783</v>
      </c>
      <c r="S166" s="23">
        <f t="shared" si="9"/>
        <v>115</v>
      </c>
      <c r="T166" s="23">
        <f>(U166+S166)/2</f>
        <v>118.5</v>
      </c>
      <c r="U166" s="23">
        <f t="shared" si="11"/>
        <v>122</v>
      </c>
      <c r="V166" s="23">
        <f t="shared" si="12"/>
        <v>126</v>
      </c>
      <c r="W166" s="20" t="s">
        <v>19</v>
      </c>
      <c r="X166" s="20" t="s">
        <v>133</v>
      </c>
      <c r="Y166" s="20" t="s">
        <v>64</v>
      </c>
      <c r="Z166" s="20" t="s">
        <v>22</v>
      </c>
      <c r="AA166" s="20" t="s">
        <v>14</v>
      </c>
      <c r="AB166" s="20" t="s">
        <v>200</v>
      </c>
      <c r="AC166" s="20" t="s">
        <v>16</v>
      </c>
      <c r="AD166" s="20"/>
      <c r="AE166" s="2">
        <v>0</v>
      </c>
      <c r="AF166" s="2"/>
    </row>
    <row r="167" spans="1:32" x14ac:dyDescent="0.2">
      <c r="A167" s="20" t="s">
        <v>14</v>
      </c>
      <c r="B167" s="20" t="s">
        <v>200</v>
      </c>
      <c r="C167" s="20" t="s">
        <v>16</v>
      </c>
      <c r="D167" s="18" t="s">
        <v>889</v>
      </c>
      <c r="E167" s="20" t="s">
        <v>24</v>
      </c>
      <c r="F167" s="20">
        <v>3</v>
      </c>
      <c r="G167" s="20" t="s">
        <v>207</v>
      </c>
      <c r="H167" s="20" t="s">
        <v>19</v>
      </c>
      <c r="I167" s="20" t="s">
        <v>133</v>
      </c>
      <c r="J167" s="19" t="s">
        <v>895</v>
      </c>
      <c r="K167" s="20" t="s">
        <v>64</v>
      </c>
      <c r="L167" s="20" t="s">
        <v>22</v>
      </c>
      <c r="M167" s="20" t="s">
        <v>202</v>
      </c>
      <c r="N167" s="21">
        <v>166</v>
      </c>
      <c r="O167" s="29">
        <v>45762</v>
      </c>
      <c r="P167" s="29">
        <v>45770</v>
      </c>
      <c r="Q167" s="29">
        <v>45776</v>
      </c>
      <c r="R167" s="29">
        <v>45779</v>
      </c>
      <c r="S167" s="23">
        <f t="shared" si="9"/>
        <v>105</v>
      </c>
      <c r="T167" s="23">
        <f t="shared" si="10"/>
        <v>113</v>
      </c>
      <c r="U167" s="23">
        <f t="shared" si="11"/>
        <v>119</v>
      </c>
      <c r="V167" s="23">
        <f t="shared" si="12"/>
        <v>122</v>
      </c>
      <c r="W167" s="20" t="s">
        <v>19</v>
      </c>
      <c r="X167" s="20" t="s">
        <v>133</v>
      </c>
      <c r="Y167" s="20" t="s">
        <v>64</v>
      </c>
      <c r="Z167" s="20" t="s">
        <v>22</v>
      </c>
      <c r="AA167" s="20" t="s">
        <v>14</v>
      </c>
      <c r="AB167" s="20" t="s">
        <v>200</v>
      </c>
      <c r="AC167" s="20" t="s">
        <v>16</v>
      </c>
      <c r="AD167" s="20"/>
      <c r="AE167" s="2">
        <v>0</v>
      </c>
      <c r="AF167" s="2"/>
    </row>
    <row r="168" spans="1:32" x14ac:dyDescent="0.2">
      <c r="A168" s="20" t="s">
        <v>14</v>
      </c>
      <c r="B168" s="20" t="s">
        <v>200</v>
      </c>
      <c r="C168" s="20" t="s">
        <v>16</v>
      </c>
      <c r="D168" s="18" t="s">
        <v>889</v>
      </c>
      <c r="E168" s="20" t="s">
        <v>17</v>
      </c>
      <c r="F168" s="20">
        <v>4</v>
      </c>
      <c r="G168" s="20" t="s">
        <v>208</v>
      </c>
      <c r="H168" s="20" t="s">
        <v>19</v>
      </c>
      <c r="I168" s="20" t="s">
        <v>133</v>
      </c>
      <c r="J168" s="19" t="s">
        <v>896</v>
      </c>
      <c r="K168" s="20" t="s">
        <v>64</v>
      </c>
      <c r="L168" s="20" t="s">
        <v>22</v>
      </c>
      <c r="M168" s="20" t="s">
        <v>202</v>
      </c>
      <c r="N168" s="21">
        <v>167</v>
      </c>
      <c r="O168" s="29">
        <v>45772</v>
      </c>
      <c r="P168" s="29">
        <v>45776</v>
      </c>
      <c r="Q168" s="29">
        <v>45779</v>
      </c>
      <c r="R168" s="29">
        <v>45783</v>
      </c>
      <c r="S168" s="23">
        <f t="shared" si="9"/>
        <v>115</v>
      </c>
      <c r="T168" s="23">
        <f t="shared" si="10"/>
        <v>119</v>
      </c>
      <c r="U168" s="23">
        <f t="shared" si="11"/>
        <v>122</v>
      </c>
      <c r="V168" s="23">
        <f t="shared" si="12"/>
        <v>126</v>
      </c>
      <c r="W168" s="20" t="s">
        <v>19</v>
      </c>
      <c r="X168" s="20" t="s">
        <v>133</v>
      </c>
      <c r="Y168" s="20" t="s">
        <v>64</v>
      </c>
      <c r="Z168" s="20" t="s">
        <v>22</v>
      </c>
      <c r="AA168" s="20" t="s">
        <v>14</v>
      </c>
      <c r="AB168" s="20" t="s">
        <v>200</v>
      </c>
      <c r="AC168" s="20" t="s">
        <v>16</v>
      </c>
      <c r="AD168" s="20"/>
      <c r="AE168" s="2">
        <v>0</v>
      </c>
      <c r="AF168" s="2"/>
    </row>
    <row r="169" spans="1:32" x14ac:dyDescent="0.2">
      <c r="A169" s="20" t="s">
        <v>14</v>
      </c>
      <c r="B169" s="20" t="s">
        <v>200</v>
      </c>
      <c r="C169" s="20" t="s">
        <v>16</v>
      </c>
      <c r="D169" s="18" t="s">
        <v>889</v>
      </c>
      <c r="E169" s="20" t="s">
        <v>24</v>
      </c>
      <c r="F169" s="20">
        <v>4</v>
      </c>
      <c r="G169" s="20" t="s">
        <v>209</v>
      </c>
      <c r="H169" s="20" t="s">
        <v>19</v>
      </c>
      <c r="I169" s="20" t="s">
        <v>133</v>
      </c>
      <c r="J169" s="19" t="s">
        <v>897</v>
      </c>
      <c r="K169" s="20" t="s">
        <v>64</v>
      </c>
      <c r="L169" s="20" t="s">
        <v>22</v>
      </c>
      <c r="M169" s="20" t="s">
        <v>202</v>
      </c>
      <c r="N169" s="21">
        <v>168</v>
      </c>
      <c r="O169" s="29">
        <v>45758</v>
      </c>
      <c r="P169" s="2"/>
      <c r="Q169" s="29">
        <v>45762</v>
      </c>
      <c r="R169" s="29">
        <v>45765</v>
      </c>
      <c r="S169" s="23">
        <f t="shared" si="9"/>
        <v>101</v>
      </c>
      <c r="T169" s="23">
        <f>(U169+S169)/2</f>
        <v>103</v>
      </c>
      <c r="U169" s="23">
        <f t="shared" si="11"/>
        <v>105</v>
      </c>
      <c r="V169" s="23">
        <f t="shared" si="12"/>
        <v>108</v>
      </c>
      <c r="W169" s="20" t="s">
        <v>19</v>
      </c>
      <c r="X169" s="20" t="s">
        <v>133</v>
      </c>
      <c r="Y169" s="20" t="s">
        <v>64</v>
      </c>
      <c r="Z169" s="20" t="s">
        <v>22</v>
      </c>
      <c r="AA169" s="20" t="s">
        <v>14</v>
      </c>
      <c r="AB169" s="20" t="s">
        <v>200</v>
      </c>
      <c r="AC169" s="20" t="s">
        <v>16</v>
      </c>
      <c r="AD169" s="20"/>
      <c r="AE169" s="2">
        <v>0</v>
      </c>
      <c r="AF169" s="2"/>
    </row>
    <row r="170" spans="1:32" x14ac:dyDescent="0.2">
      <c r="A170" s="14" t="s">
        <v>14</v>
      </c>
      <c r="B170" s="14" t="s">
        <v>200</v>
      </c>
      <c r="C170" s="14" t="s">
        <v>32</v>
      </c>
      <c r="D170" s="14" t="s">
        <v>898</v>
      </c>
      <c r="E170" s="14" t="s">
        <v>17</v>
      </c>
      <c r="F170" s="14">
        <v>1</v>
      </c>
      <c r="G170" s="14" t="s">
        <v>210</v>
      </c>
      <c r="H170" s="14" t="s">
        <v>35</v>
      </c>
      <c r="I170" s="14" t="s">
        <v>133</v>
      </c>
      <c r="J170" s="13" t="s">
        <v>899</v>
      </c>
      <c r="K170" s="14" t="s">
        <v>64</v>
      </c>
      <c r="L170" s="14" t="s">
        <v>22</v>
      </c>
      <c r="M170" s="14" t="s">
        <v>202</v>
      </c>
      <c r="N170" s="13">
        <v>169</v>
      </c>
      <c r="O170" s="30">
        <v>45770</v>
      </c>
      <c r="P170" s="30">
        <v>45779</v>
      </c>
      <c r="Q170" s="30">
        <v>45783</v>
      </c>
      <c r="R170" s="30">
        <v>45790</v>
      </c>
      <c r="S170" s="23">
        <f t="shared" si="9"/>
        <v>113</v>
      </c>
      <c r="T170" s="23">
        <f t="shared" si="10"/>
        <v>122</v>
      </c>
      <c r="U170" s="23">
        <f t="shared" si="11"/>
        <v>126</v>
      </c>
      <c r="V170" s="23">
        <f t="shared" si="12"/>
        <v>133</v>
      </c>
      <c r="W170" s="14" t="s">
        <v>35</v>
      </c>
      <c r="X170" s="14" t="s">
        <v>133</v>
      </c>
      <c r="Y170" s="14" t="s">
        <v>64</v>
      </c>
      <c r="Z170" s="14" t="s">
        <v>22</v>
      </c>
      <c r="AA170" s="14" t="s">
        <v>14</v>
      </c>
      <c r="AB170" s="14" t="s">
        <v>200</v>
      </c>
      <c r="AC170" s="14" t="s">
        <v>32</v>
      </c>
      <c r="AD170" s="14"/>
      <c r="AE170" s="1">
        <v>0</v>
      </c>
      <c r="AF170" s="1"/>
    </row>
    <row r="171" spans="1:32" x14ac:dyDescent="0.2">
      <c r="A171" s="14" t="s">
        <v>14</v>
      </c>
      <c r="B171" s="14" t="s">
        <v>200</v>
      </c>
      <c r="C171" s="14" t="s">
        <v>32</v>
      </c>
      <c r="D171" s="14" t="s">
        <v>898</v>
      </c>
      <c r="E171" s="14" t="s">
        <v>24</v>
      </c>
      <c r="F171" s="14">
        <v>1</v>
      </c>
      <c r="G171" s="14" t="s">
        <v>211</v>
      </c>
      <c r="H171" s="14" t="s">
        <v>35</v>
      </c>
      <c r="I171" s="14" t="s">
        <v>133</v>
      </c>
      <c r="J171" s="13" t="s">
        <v>900</v>
      </c>
      <c r="K171" s="14" t="s">
        <v>64</v>
      </c>
      <c r="L171" s="14" t="s">
        <v>22</v>
      </c>
      <c r="M171" s="14" t="s">
        <v>202</v>
      </c>
      <c r="N171" s="13">
        <v>170</v>
      </c>
      <c r="O171" s="30">
        <v>45762</v>
      </c>
      <c r="P171" s="30">
        <v>45770</v>
      </c>
      <c r="Q171" s="30">
        <v>45779</v>
      </c>
      <c r="R171" s="30">
        <v>45783</v>
      </c>
      <c r="S171" s="23">
        <f t="shared" si="9"/>
        <v>105</v>
      </c>
      <c r="T171" s="23">
        <f t="shared" si="10"/>
        <v>113</v>
      </c>
      <c r="U171" s="23">
        <f t="shared" si="11"/>
        <v>122</v>
      </c>
      <c r="V171" s="23">
        <f t="shared" si="12"/>
        <v>126</v>
      </c>
      <c r="W171" s="14" t="s">
        <v>35</v>
      </c>
      <c r="X171" s="14" t="s">
        <v>133</v>
      </c>
      <c r="Y171" s="14" t="s">
        <v>64</v>
      </c>
      <c r="Z171" s="14" t="s">
        <v>22</v>
      </c>
      <c r="AA171" s="14" t="s">
        <v>14</v>
      </c>
      <c r="AB171" s="14" t="s">
        <v>200</v>
      </c>
      <c r="AC171" s="14" t="s">
        <v>32</v>
      </c>
      <c r="AD171" s="14"/>
      <c r="AE171" s="1">
        <v>0</v>
      </c>
      <c r="AF171" s="1"/>
    </row>
    <row r="172" spans="1:32" x14ac:dyDescent="0.2">
      <c r="A172" s="14" t="s">
        <v>14</v>
      </c>
      <c r="B172" s="14" t="s">
        <v>200</v>
      </c>
      <c r="C172" s="14" t="s">
        <v>32</v>
      </c>
      <c r="D172" s="14" t="s">
        <v>898</v>
      </c>
      <c r="E172" s="14" t="s">
        <v>17</v>
      </c>
      <c r="F172" s="14">
        <v>2</v>
      </c>
      <c r="G172" s="14" t="s">
        <v>212</v>
      </c>
      <c r="H172" s="14" t="s">
        <v>35</v>
      </c>
      <c r="I172" s="14" t="s">
        <v>133</v>
      </c>
      <c r="J172" s="13" t="s">
        <v>901</v>
      </c>
      <c r="K172" s="14" t="s">
        <v>64</v>
      </c>
      <c r="L172" s="14" t="s">
        <v>22</v>
      </c>
      <c r="M172" s="14" t="s">
        <v>202</v>
      </c>
      <c r="N172" s="13">
        <v>171</v>
      </c>
      <c r="O172" s="30">
        <v>45762</v>
      </c>
      <c r="P172" s="30">
        <v>45770</v>
      </c>
      <c r="Q172" s="30">
        <v>45779</v>
      </c>
      <c r="R172" s="30">
        <v>45783</v>
      </c>
      <c r="S172" s="23">
        <f t="shared" si="9"/>
        <v>105</v>
      </c>
      <c r="T172" s="23">
        <f t="shared" si="10"/>
        <v>113</v>
      </c>
      <c r="U172" s="23">
        <f t="shared" si="11"/>
        <v>122</v>
      </c>
      <c r="V172" s="23">
        <f t="shared" si="12"/>
        <v>126</v>
      </c>
      <c r="W172" s="14" t="s">
        <v>35</v>
      </c>
      <c r="X172" s="14" t="s">
        <v>133</v>
      </c>
      <c r="Y172" s="14" t="s">
        <v>64</v>
      </c>
      <c r="Z172" s="14" t="s">
        <v>22</v>
      </c>
      <c r="AA172" s="14" t="s">
        <v>14</v>
      </c>
      <c r="AB172" s="14" t="s">
        <v>200</v>
      </c>
      <c r="AC172" s="14" t="s">
        <v>32</v>
      </c>
      <c r="AD172" s="14"/>
      <c r="AE172" s="1">
        <v>0</v>
      </c>
      <c r="AF172" s="1"/>
    </row>
    <row r="173" spans="1:32" x14ac:dyDescent="0.2">
      <c r="A173" s="14" t="s">
        <v>14</v>
      </c>
      <c r="B173" s="14" t="s">
        <v>200</v>
      </c>
      <c r="C173" s="14" t="s">
        <v>32</v>
      </c>
      <c r="D173" s="14" t="s">
        <v>898</v>
      </c>
      <c r="E173" s="14" t="s">
        <v>24</v>
      </c>
      <c r="F173" s="14">
        <v>2</v>
      </c>
      <c r="G173" s="14" t="s">
        <v>213</v>
      </c>
      <c r="H173" s="14" t="s">
        <v>35</v>
      </c>
      <c r="I173" s="14" t="s">
        <v>133</v>
      </c>
      <c r="J173" s="13" t="s">
        <v>902</v>
      </c>
      <c r="K173" s="14" t="s">
        <v>64</v>
      </c>
      <c r="L173" s="14" t="s">
        <v>22</v>
      </c>
      <c r="M173" s="14" t="s">
        <v>202</v>
      </c>
      <c r="N173" s="13">
        <v>172</v>
      </c>
      <c r="O173" s="30">
        <v>45762</v>
      </c>
      <c r="P173" s="30">
        <v>45770</v>
      </c>
      <c r="Q173" s="30">
        <v>45779</v>
      </c>
      <c r="R173" s="30">
        <v>45783</v>
      </c>
      <c r="S173" s="23">
        <f t="shared" si="9"/>
        <v>105</v>
      </c>
      <c r="T173" s="23">
        <f t="shared" si="10"/>
        <v>113</v>
      </c>
      <c r="U173" s="23">
        <f t="shared" si="11"/>
        <v>122</v>
      </c>
      <c r="V173" s="23">
        <f t="shared" si="12"/>
        <v>126</v>
      </c>
      <c r="W173" s="14" t="s">
        <v>35</v>
      </c>
      <c r="X173" s="14" t="s">
        <v>133</v>
      </c>
      <c r="Y173" s="14" t="s">
        <v>64</v>
      </c>
      <c r="Z173" s="14" t="s">
        <v>22</v>
      </c>
      <c r="AA173" s="14" t="s">
        <v>14</v>
      </c>
      <c r="AB173" s="14" t="s">
        <v>200</v>
      </c>
      <c r="AC173" s="14" t="s">
        <v>32</v>
      </c>
      <c r="AD173" s="14"/>
      <c r="AE173" s="1">
        <v>0</v>
      </c>
      <c r="AF173" s="1"/>
    </row>
    <row r="174" spans="1:32" x14ac:dyDescent="0.2">
      <c r="A174" s="14" t="s">
        <v>14</v>
      </c>
      <c r="B174" s="14" t="s">
        <v>200</v>
      </c>
      <c r="C174" s="14" t="s">
        <v>32</v>
      </c>
      <c r="D174" s="14" t="s">
        <v>898</v>
      </c>
      <c r="E174" s="14" t="s">
        <v>17</v>
      </c>
      <c r="F174" s="14">
        <v>3</v>
      </c>
      <c r="G174" s="14" t="s">
        <v>214</v>
      </c>
      <c r="H174" s="14" t="s">
        <v>35</v>
      </c>
      <c r="I174" s="14" t="s">
        <v>133</v>
      </c>
      <c r="J174" s="13" t="s">
        <v>903</v>
      </c>
      <c r="K174" s="14" t="s">
        <v>64</v>
      </c>
      <c r="L174" s="14" t="s">
        <v>22</v>
      </c>
      <c r="M174" s="14" t="s">
        <v>202</v>
      </c>
      <c r="N174" s="13">
        <v>173</v>
      </c>
      <c r="O174" s="30">
        <v>45762</v>
      </c>
      <c r="P174" s="30">
        <v>45770</v>
      </c>
      <c r="Q174" s="30">
        <v>45776</v>
      </c>
      <c r="R174" s="30">
        <v>45779</v>
      </c>
      <c r="S174" s="23">
        <f t="shared" si="9"/>
        <v>105</v>
      </c>
      <c r="T174" s="23">
        <f t="shared" si="10"/>
        <v>113</v>
      </c>
      <c r="U174" s="23">
        <f t="shared" si="11"/>
        <v>119</v>
      </c>
      <c r="V174" s="23">
        <f t="shared" si="12"/>
        <v>122</v>
      </c>
      <c r="W174" s="14" t="s">
        <v>35</v>
      </c>
      <c r="X174" s="14" t="s">
        <v>133</v>
      </c>
      <c r="Y174" s="14" t="s">
        <v>64</v>
      </c>
      <c r="Z174" s="14" t="s">
        <v>22</v>
      </c>
      <c r="AA174" s="14" t="s">
        <v>14</v>
      </c>
      <c r="AB174" s="14" t="s">
        <v>200</v>
      </c>
      <c r="AC174" s="14" t="s">
        <v>32</v>
      </c>
      <c r="AD174" s="14"/>
      <c r="AE174" s="1">
        <v>0</v>
      </c>
      <c r="AF174" s="1"/>
    </row>
    <row r="175" spans="1:32" x14ac:dyDescent="0.2">
      <c r="A175" s="14" t="s">
        <v>14</v>
      </c>
      <c r="B175" s="14" t="s">
        <v>200</v>
      </c>
      <c r="C175" s="14" t="s">
        <v>32</v>
      </c>
      <c r="D175" s="14" t="s">
        <v>898</v>
      </c>
      <c r="E175" s="14" t="s">
        <v>24</v>
      </c>
      <c r="F175" s="14">
        <v>3</v>
      </c>
      <c r="G175" s="14" t="s">
        <v>215</v>
      </c>
      <c r="H175" s="14" t="s">
        <v>35</v>
      </c>
      <c r="I175" s="14" t="s">
        <v>133</v>
      </c>
      <c r="J175" s="13" t="s">
        <v>904</v>
      </c>
      <c r="K175" s="14" t="s">
        <v>64</v>
      </c>
      <c r="L175" s="14" t="s">
        <v>22</v>
      </c>
      <c r="M175" s="14" t="s">
        <v>202</v>
      </c>
      <c r="N175" s="13">
        <v>174</v>
      </c>
      <c r="O175" s="30">
        <v>45755</v>
      </c>
      <c r="P175" s="30">
        <v>45770</v>
      </c>
      <c r="Q175" s="30">
        <v>45776</v>
      </c>
      <c r="R175" s="30">
        <v>45779</v>
      </c>
      <c r="S175" s="23">
        <f t="shared" si="9"/>
        <v>98</v>
      </c>
      <c r="T175" s="23">
        <f t="shared" si="10"/>
        <v>113</v>
      </c>
      <c r="U175" s="23">
        <f t="shared" si="11"/>
        <v>119</v>
      </c>
      <c r="V175" s="23">
        <f t="shared" si="12"/>
        <v>122</v>
      </c>
      <c r="W175" s="14" t="s">
        <v>35</v>
      </c>
      <c r="X175" s="14" t="s">
        <v>133</v>
      </c>
      <c r="Y175" s="14" t="s">
        <v>64</v>
      </c>
      <c r="Z175" s="14" t="s">
        <v>22</v>
      </c>
      <c r="AA175" s="14" t="s">
        <v>14</v>
      </c>
      <c r="AB175" s="14" t="s">
        <v>200</v>
      </c>
      <c r="AC175" s="14" t="s">
        <v>32</v>
      </c>
      <c r="AD175" s="14"/>
      <c r="AE175" s="1">
        <v>0</v>
      </c>
      <c r="AF175" s="1"/>
    </row>
    <row r="176" spans="1:32" x14ac:dyDescent="0.2">
      <c r="A176" s="14" t="s">
        <v>14</v>
      </c>
      <c r="B176" s="14" t="s">
        <v>200</v>
      </c>
      <c r="C176" s="14" t="s">
        <v>32</v>
      </c>
      <c r="D176" s="14" t="s">
        <v>898</v>
      </c>
      <c r="E176" s="14" t="s">
        <v>17</v>
      </c>
      <c r="F176" s="14">
        <v>4</v>
      </c>
      <c r="G176" s="14" t="s">
        <v>216</v>
      </c>
      <c r="H176" s="14" t="s">
        <v>35</v>
      </c>
      <c r="I176" s="14" t="s">
        <v>133</v>
      </c>
      <c r="J176" s="13" t="s">
        <v>905</v>
      </c>
      <c r="K176" s="14" t="s">
        <v>64</v>
      </c>
      <c r="L176" s="14" t="s">
        <v>22</v>
      </c>
      <c r="M176" s="14" t="s">
        <v>202</v>
      </c>
      <c r="N176" s="13">
        <v>175</v>
      </c>
      <c r="O176" s="30">
        <v>45762</v>
      </c>
      <c r="P176" s="30">
        <v>45772</v>
      </c>
      <c r="Q176" s="30">
        <v>45779</v>
      </c>
      <c r="R176" s="30">
        <v>45783</v>
      </c>
      <c r="S176" s="23">
        <f t="shared" si="9"/>
        <v>105</v>
      </c>
      <c r="T176" s="23">
        <f t="shared" si="10"/>
        <v>115</v>
      </c>
      <c r="U176" s="23">
        <f t="shared" si="11"/>
        <v>122</v>
      </c>
      <c r="V176" s="23">
        <f t="shared" si="12"/>
        <v>126</v>
      </c>
      <c r="W176" s="14" t="s">
        <v>35</v>
      </c>
      <c r="X176" s="14" t="s">
        <v>133</v>
      </c>
      <c r="Y176" s="14" t="s">
        <v>64</v>
      </c>
      <c r="Z176" s="14" t="s">
        <v>22</v>
      </c>
      <c r="AA176" s="14" t="s">
        <v>14</v>
      </c>
      <c r="AB176" s="14" t="s">
        <v>200</v>
      </c>
      <c r="AC176" s="14" t="s">
        <v>32</v>
      </c>
      <c r="AD176" s="14"/>
      <c r="AE176" s="1">
        <v>0</v>
      </c>
      <c r="AF176" s="1"/>
    </row>
    <row r="177" spans="1:32" x14ac:dyDescent="0.2">
      <c r="A177" s="14" t="s">
        <v>14</v>
      </c>
      <c r="B177" s="14" t="s">
        <v>200</v>
      </c>
      <c r="C177" s="14" t="s">
        <v>32</v>
      </c>
      <c r="D177" s="14" t="s">
        <v>898</v>
      </c>
      <c r="E177" s="14" t="s">
        <v>24</v>
      </c>
      <c r="F177" s="14">
        <v>4</v>
      </c>
      <c r="G177" s="14" t="s">
        <v>217</v>
      </c>
      <c r="H177" s="14" t="s">
        <v>35</v>
      </c>
      <c r="I177" s="14" t="s">
        <v>133</v>
      </c>
      <c r="J177" s="13" t="s">
        <v>906</v>
      </c>
      <c r="K177" s="14" t="s">
        <v>64</v>
      </c>
      <c r="L177" s="14" t="s">
        <v>22</v>
      </c>
      <c r="M177" s="14" t="s">
        <v>202</v>
      </c>
      <c r="N177" s="13">
        <v>176</v>
      </c>
      <c r="O177" s="30">
        <v>45762</v>
      </c>
      <c r="P177" s="30">
        <v>45770</v>
      </c>
      <c r="Q177" s="30">
        <v>45776</v>
      </c>
      <c r="R177" s="30">
        <v>45779</v>
      </c>
      <c r="S177" s="23">
        <f t="shared" si="9"/>
        <v>105</v>
      </c>
      <c r="T177" s="23">
        <f t="shared" si="10"/>
        <v>113</v>
      </c>
      <c r="U177" s="23">
        <f t="shared" si="11"/>
        <v>119</v>
      </c>
      <c r="V177" s="23">
        <f t="shared" si="12"/>
        <v>122</v>
      </c>
      <c r="W177" s="14" t="s">
        <v>35</v>
      </c>
      <c r="X177" s="14" t="s">
        <v>133</v>
      </c>
      <c r="Y177" s="14" t="s">
        <v>64</v>
      </c>
      <c r="Z177" s="14" t="s">
        <v>22</v>
      </c>
      <c r="AA177" s="14" t="s">
        <v>14</v>
      </c>
      <c r="AB177" s="14" t="s">
        <v>200</v>
      </c>
      <c r="AC177" s="14" t="s">
        <v>32</v>
      </c>
      <c r="AD177" s="14"/>
      <c r="AE177" s="1">
        <v>0</v>
      </c>
      <c r="AF177" s="1"/>
    </row>
    <row r="178" spans="1:32" x14ac:dyDescent="0.2">
      <c r="A178" s="20" t="s">
        <v>14</v>
      </c>
      <c r="B178" s="20" t="s">
        <v>200</v>
      </c>
      <c r="C178" s="20" t="s">
        <v>42</v>
      </c>
      <c r="D178" s="18" t="s">
        <v>907</v>
      </c>
      <c r="E178" s="20" t="s">
        <v>17</v>
      </c>
      <c r="F178" s="20">
        <v>1</v>
      </c>
      <c r="G178" s="20" t="s">
        <v>218</v>
      </c>
      <c r="H178" s="20" t="s">
        <v>19</v>
      </c>
      <c r="I178" s="20" t="s">
        <v>133</v>
      </c>
      <c r="J178" s="19" t="s">
        <v>908</v>
      </c>
      <c r="K178" s="20" t="s">
        <v>64</v>
      </c>
      <c r="L178" s="20" t="s">
        <v>22</v>
      </c>
      <c r="M178" s="20" t="s">
        <v>202</v>
      </c>
      <c r="N178" s="21">
        <v>177</v>
      </c>
      <c r="O178" s="29">
        <v>45762</v>
      </c>
      <c r="P178" s="29">
        <v>45770</v>
      </c>
      <c r="Q178" s="29">
        <v>45776</v>
      </c>
      <c r="R178" s="29">
        <v>45779</v>
      </c>
      <c r="S178" s="23">
        <f t="shared" si="9"/>
        <v>105</v>
      </c>
      <c r="T178" s="23">
        <f t="shared" si="10"/>
        <v>113</v>
      </c>
      <c r="U178" s="23">
        <f t="shared" si="11"/>
        <v>119</v>
      </c>
      <c r="V178" s="23">
        <f t="shared" si="12"/>
        <v>122</v>
      </c>
      <c r="W178" s="20" t="s">
        <v>19</v>
      </c>
      <c r="X178" s="20" t="s">
        <v>133</v>
      </c>
      <c r="Y178" s="20" t="s">
        <v>64</v>
      </c>
      <c r="Z178" s="20" t="s">
        <v>22</v>
      </c>
      <c r="AA178" s="20" t="s">
        <v>14</v>
      </c>
      <c r="AB178" s="20" t="s">
        <v>200</v>
      </c>
      <c r="AC178" s="20" t="s">
        <v>42</v>
      </c>
      <c r="AD178" s="20"/>
      <c r="AE178" s="2">
        <v>0</v>
      </c>
      <c r="AF178" s="2"/>
    </row>
    <row r="179" spans="1:32" x14ac:dyDescent="0.2">
      <c r="A179" s="20" t="s">
        <v>14</v>
      </c>
      <c r="B179" s="20" t="s">
        <v>200</v>
      </c>
      <c r="C179" s="20" t="s">
        <v>42</v>
      </c>
      <c r="D179" s="18" t="s">
        <v>907</v>
      </c>
      <c r="E179" s="20" t="s">
        <v>24</v>
      </c>
      <c r="F179" s="20">
        <v>1</v>
      </c>
      <c r="G179" s="20" t="s">
        <v>219</v>
      </c>
      <c r="H179" s="20" t="s">
        <v>35</v>
      </c>
      <c r="I179" s="20" t="s">
        <v>133</v>
      </c>
      <c r="J179" s="19" t="s">
        <v>909</v>
      </c>
      <c r="K179" s="20" t="s">
        <v>64</v>
      </c>
      <c r="L179" s="20" t="s">
        <v>22</v>
      </c>
      <c r="M179" s="20" t="s">
        <v>202</v>
      </c>
      <c r="N179" s="21">
        <v>178</v>
      </c>
      <c r="O179" s="29">
        <v>45755</v>
      </c>
      <c r="P179" s="29">
        <v>45770</v>
      </c>
      <c r="Q179" s="29">
        <v>45779</v>
      </c>
      <c r="R179" s="29">
        <v>45783</v>
      </c>
      <c r="S179" s="23">
        <f t="shared" si="9"/>
        <v>98</v>
      </c>
      <c r="T179" s="23">
        <f t="shared" si="10"/>
        <v>113</v>
      </c>
      <c r="U179" s="23">
        <f t="shared" si="11"/>
        <v>122</v>
      </c>
      <c r="V179" s="23">
        <f t="shared" si="12"/>
        <v>126</v>
      </c>
      <c r="W179" s="20" t="s">
        <v>35</v>
      </c>
      <c r="X179" s="20" t="s">
        <v>133</v>
      </c>
      <c r="Y179" s="20" t="s">
        <v>64</v>
      </c>
      <c r="Z179" s="20" t="s">
        <v>22</v>
      </c>
      <c r="AA179" s="20" t="s">
        <v>14</v>
      </c>
      <c r="AB179" s="20" t="s">
        <v>200</v>
      </c>
      <c r="AC179" s="20" t="s">
        <v>42</v>
      </c>
      <c r="AD179" s="20"/>
      <c r="AE179" s="2">
        <v>0</v>
      </c>
      <c r="AF179" s="2"/>
    </row>
    <row r="180" spans="1:32" x14ac:dyDescent="0.2">
      <c r="A180" s="20" t="s">
        <v>14</v>
      </c>
      <c r="B180" s="20" t="s">
        <v>200</v>
      </c>
      <c r="C180" s="20" t="s">
        <v>42</v>
      </c>
      <c r="D180" s="18" t="s">
        <v>907</v>
      </c>
      <c r="E180" s="20" t="s">
        <v>17</v>
      </c>
      <c r="F180" s="20">
        <v>2</v>
      </c>
      <c r="G180" s="20" t="s">
        <v>220</v>
      </c>
      <c r="H180" s="20" t="s">
        <v>35</v>
      </c>
      <c r="I180" s="20" t="s">
        <v>133</v>
      </c>
      <c r="J180" s="19" t="s">
        <v>910</v>
      </c>
      <c r="K180" s="20" t="s">
        <v>64</v>
      </c>
      <c r="L180" s="20" t="s">
        <v>22</v>
      </c>
      <c r="M180" s="20" t="s">
        <v>202</v>
      </c>
      <c r="N180" s="21">
        <v>179</v>
      </c>
      <c r="O180" s="29">
        <v>45755</v>
      </c>
      <c r="P180" s="29">
        <v>45772</v>
      </c>
      <c r="Q180" s="29">
        <v>45776</v>
      </c>
      <c r="R180" s="29">
        <v>45779</v>
      </c>
      <c r="S180" s="23">
        <f t="shared" si="9"/>
        <v>98</v>
      </c>
      <c r="T180" s="23">
        <f t="shared" si="10"/>
        <v>115</v>
      </c>
      <c r="U180" s="23">
        <f t="shared" si="11"/>
        <v>119</v>
      </c>
      <c r="V180" s="23">
        <f t="shared" si="12"/>
        <v>122</v>
      </c>
      <c r="W180" s="20" t="s">
        <v>35</v>
      </c>
      <c r="X180" s="20" t="s">
        <v>133</v>
      </c>
      <c r="Y180" s="20" t="s">
        <v>64</v>
      </c>
      <c r="Z180" s="20" t="s">
        <v>22</v>
      </c>
      <c r="AA180" s="20" t="s">
        <v>14</v>
      </c>
      <c r="AB180" s="20" t="s">
        <v>200</v>
      </c>
      <c r="AC180" s="20" t="s">
        <v>42</v>
      </c>
      <c r="AD180" s="20"/>
      <c r="AE180" s="2">
        <v>0</v>
      </c>
      <c r="AF180" s="2"/>
    </row>
    <row r="181" spans="1:32" x14ac:dyDescent="0.2">
      <c r="A181" s="20" t="s">
        <v>14</v>
      </c>
      <c r="B181" s="20" t="s">
        <v>200</v>
      </c>
      <c r="C181" s="20" t="s">
        <v>42</v>
      </c>
      <c r="D181" s="18" t="s">
        <v>907</v>
      </c>
      <c r="E181" s="20" t="s">
        <v>24</v>
      </c>
      <c r="F181" s="20">
        <v>2</v>
      </c>
      <c r="G181" s="20" t="s">
        <v>221</v>
      </c>
      <c r="H181" s="20" t="s">
        <v>19</v>
      </c>
      <c r="I181" s="20" t="s">
        <v>133</v>
      </c>
      <c r="J181" s="19" t="s">
        <v>911</v>
      </c>
      <c r="K181" s="20" t="s">
        <v>64</v>
      </c>
      <c r="L181" s="20" t="s">
        <v>22</v>
      </c>
      <c r="M181" s="20" t="s">
        <v>202</v>
      </c>
      <c r="N181" s="21">
        <v>180</v>
      </c>
      <c r="O181" s="29">
        <v>45762</v>
      </c>
      <c r="P181" s="2"/>
      <c r="Q181" s="29">
        <v>45770</v>
      </c>
      <c r="R181" s="29">
        <v>45776</v>
      </c>
      <c r="S181" s="23">
        <f t="shared" si="9"/>
        <v>105</v>
      </c>
      <c r="T181" s="23">
        <f>(U181+S181)/2</f>
        <v>109</v>
      </c>
      <c r="U181" s="23">
        <f t="shared" si="11"/>
        <v>113</v>
      </c>
      <c r="V181" s="23">
        <f t="shared" si="12"/>
        <v>119</v>
      </c>
      <c r="W181" s="20" t="s">
        <v>19</v>
      </c>
      <c r="X181" s="20" t="s">
        <v>133</v>
      </c>
      <c r="Y181" s="20" t="s">
        <v>64</v>
      </c>
      <c r="Z181" s="20" t="s">
        <v>22</v>
      </c>
      <c r="AA181" s="20" t="s">
        <v>14</v>
      </c>
      <c r="AB181" s="20" t="s">
        <v>200</v>
      </c>
      <c r="AC181" s="20" t="s">
        <v>42</v>
      </c>
      <c r="AD181" s="20"/>
      <c r="AE181" s="2">
        <v>0</v>
      </c>
      <c r="AF181" s="2"/>
    </row>
    <row r="182" spans="1:32" x14ac:dyDescent="0.2">
      <c r="A182" s="20" t="s">
        <v>14</v>
      </c>
      <c r="B182" s="20" t="s">
        <v>200</v>
      </c>
      <c r="C182" s="20" t="s">
        <v>42</v>
      </c>
      <c r="D182" s="18" t="s">
        <v>907</v>
      </c>
      <c r="E182" s="20" t="s">
        <v>17</v>
      </c>
      <c r="F182" s="20">
        <v>3</v>
      </c>
      <c r="G182" s="20" t="s">
        <v>222</v>
      </c>
      <c r="H182" s="20" t="s">
        <v>19</v>
      </c>
      <c r="I182" s="20" t="s">
        <v>133</v>
      </c>
      <c r="J182" s="19" t="s">
        <v>912</v>
      </c>
      <c r="K182" s="20" t="s">
        <v>64</v>
      </c>
      <c r="L182" s="20" t="s">
        <v>22</v>
      </c>
      <c r="M182" s="20" t="s">
        <v>202</v>
      </c>
      <c r="N182" s="21">
        <v>181</v>
      </c>
      <c r="O182" s="29">
        <v>45762</v>
      </c>
      <c r="P182" s="2"/>
      <c r="Q182" s="29">
        <v>45770</v>
      </c>
      <c r="R182" s="29">
        <v>45776</v>
      </c>
      <c r="S182" s="23">
        <f t="shared" si="9"/>
        <v>105</v>
      </c>
      <c r="T182" s="23">
        <f>(U182+S182)/2</f>
        <v>109</v>
      </c>
      <c r="U182" s="23">
        <f t="shared" si="11"/>
        <v>113</v>
      </c>
      <c r="V182" s="23">
        <f t="shared" si="12"/>
        <v>119</v>
      </c>
      <c r="W182" s="20" t="s">
        <v>19</v>
      </c>
      <c r="X182" s="20" t="s">
        <v>133</v>
      </c>
      <c r="Y182" s="20" t="s">
        <v>64</v>
      </c>
      <c r="Z182" s="20" t="s">
        <v>22</v>
      </c>
      <c r="AA182" s="20" t="s">
        <v>14</v>
      </c>
      <c r="AB182" s="20" t="s">
        <v>200</v>
      </c>
      <c r="AC182" s="20" t="s">
        <v>42</v>
      </c>
      <c r="AD182" s="20"/>
      <c r="AE182" s="2">
        <v>0</v>
      </c>
      <c r="AF182" s="2"/>
    </row>
    <row r="183" spans="1:32" x14ac:dyDescent="0.2">
      <c r="A183" s="20" t="s">
        <v>14</v>
      </c>
      <c r="B183" s="20" t="s">
        <v>200</v>
      </c>
      <c r="C183" s="20" t="s">
        <v>42</v>
      </c>
      <c r="D183" s="18" t="s">
        <v>907</v>
      </c>
      <c r="E183" s="20" t="s">
        <v>24</v>
      </c>
      <c r="F183" s="20">
        <v>3</v>
      </c>
      <c r="G183" s="20" t="s">
        <v>223</v>
      </c>
      <c r="H183" s="20" t="s">
        <v>35</v>
      </c>
      <c r="I183" s="20" t="s">
        <v>133</v>
      </c>
      <c r="J183" s="19" t="s">
        <v>913</v>
      </c>
      <c r="K183" s="20" t="s">
        <v>64</v>
      </c>
      <c r="L183" s="20" t="s">
        <v>22</v>
      </c>
      <c r="M183" s="20" t="s">
        <v>202</v>
      </c>
      <c r="N183" s="21">
        <v>182</v>
      </c>
      <c r="O183" s="29">
        <v>45755</v>
      </c>
      <c r="P183" s="29">
        <v>45762</v>
      </c>
      <c r="Q183" s="29">
        <v>45765</v>
      </c>
      <c r="R183" s="29">
        <v>45776</v>
      </c>
      <c r="S183" s="23">
        <f t="shared" si="9"/>
        <v>98</v>
      </c>
      <c r="T183" s="23">
        <f t="shared" si="10"/>
        <v>105</v>
      </c>
      <c r="U183" s="23">
        <f t="shared" si="11"/>
        <v>108</v>
      </c>
      <c r="V183" s="23">
        <f t="shared" si="12"/>
        <v>119</v>
      </c>
      <c r="W183" s="20" t="s">
        <v>35</v>
      </c>
      <c r="X183" s="20" t="s">
        <v>133</v>
      </c>
      <c r="Y183" s="20" t="s">
        <v>64</v>
      </c>
      <c r="Z183" s="20" t="s">
        <v>22</v>
      </c>
      <c r="AA183" s="20" t="s">
        <v>14</v>
      </c>
      <c r="AB183" s="20" t="s">
        <v>200</v>
      </c>
      <c r="AC183" s="20" t="s">
        <v>42</v>
      </c>
      <c r="AD183" s="20"/>
      <c r="AE183" s="2">
        <v>0</v>
      </c>
      <c r="AF183" s="2"/>
    </row>
    <row r="184" spans="1:32" x14ac:dyDescent="0.2">
      <c r="A184" s="20" t="s">
        <v>14</v>
      </c>
      <c r="B184" s="20" t="s">
        <v>200</v>
      </c>
      <c r="C184" s="20" t="s">
        <v>42</v>
      </c>
      <c r="D184" s="18" t="s">
        <v>907</v>
      </c>
      <c r="E184" s="20" t="s">
        <v>17</v>
      </c>
      <c r="F184" s="20">
        <v>4</v>
      </c>
      <c r="G184" s="20" t="s">
        <v>224</v>
      </c>
      <c r="H184" s="20" t="s">
        <v>35</v>
      </c>
      <c r="I184" s="20" t="s">
        <v>133</v>
      </c>
      <c r="J184" s="19" t="s">
        <v>914</v>
      </c>
      <c r="K184" s="20" t="s">
        <v>64</v>
      </c>
      <c r="L184" s="20" t="s">
        <v>22</v>
      </c>
      <c r="M184" s="20" t="s">
        <v>202</v>
      </c>
      <c r="N184" s="21">
        <v>183</v>
      </c>
      <c r="O184" s="29">
        <v>45755</v>
      </c>
      <c r="P184" s="29">
        <v>45762</v>
      </c>
      <c r="Q184" s="29">
        <v>45772</v>
      </c>
      <c r="R184" s="29">
        <v>45776</v>
      </c>
      <c r="S184" s="23">
        <f t="shared" si="9"/>
        <v>98</v>
      </c>
      <c r="T184" s="23">
        <f t="shared" si="10"/>
        <v>105</v>
      </c>
      <c r="U184" s="23">
        <f t="shared" si="11"/>
        <v>115</v>
      </c>
      <c r="V184" s="23">
        <f t="shared" si="12"/>
        <v>119</v>
      </c>
      <c r="W184" s="20" t="s">
        <v>35</v>
      </c>
      <c r="X184" s="20" t="s">
        <v>133</v>
      </c>
      <c r="Y184" s="20" t="s">
        <v>64</v>
      </c>
      <c r="Z184" s="20" t="s">
        <v>22</v>
      </c>
      <c r="AA184" s="20" t="s">
        <v>14</v>
      </c>
      <c r="AB184" s="20" t="s">
        <v>200</v>
      </c>
      <c r="AC184" s="20" t="s">
        <v>42</v>
      </c>
      <c r="AD184" s="20"/>
      <c r="AE184" s="2">
        <v>0</v>
      </c>
      <c r="AF184" s="2"/>
    </row>
    <row r="185" spans="1:32" x14ac:dyDescent="0.2">
      <c r="A185" s="20" t="s">
        <v>14</v>
      </c>
      <c r="B185" s="20" t="s">
        <v>200</v>
      </c>
      <c r="C185" s="20" t="s">
        <v>42</v>
      </c>
      <c r="D185" s="18" t="s">
        <v>907</v>
      </c>
      <c r="E185" s="20" t="s">
        <v>24</v>
      </c>
      <c r="F185" s="20">
        <v>4</v>
      </c>
      <c r="G185" s="20" t="s">
        <v>225</v>
      </c>
      <c r="H185" s="20" t="s">
        <v>19</v>
      </c>
      <c r="I185" s="20" t="s">
        <v>133</v>
      </c>
      <c r="J185" s="19" t="s">
        <v>915</v>
      </c>
      <c r="K185" s="20" t="s">
        <v>64</v>
      </c>
      <c r="L185" s="20" t="s">
        <v>22</v>
      </c>
      <c r="M185" s="20" t="s">
        <v>202</v>
      </c>
      <c r="N185" s="21">
        <v>184</v>
      </c>
      <c r="O185" s="29">
        <v>45762</v>
      </c>
      <c r="P185" s="2"/>
      <c r="Q185" s="29">
        <v>45770</v>
      </c>
      <c r="R185" s="29">
        <v>45776</v>
      </c>
      <c r="S185" s="23">
        <f t="shared" si="9"/>
        <v>105</v>
      </c>
      <c r="T185" s="23">
        <f>(U185+S185)/2</f>
        <v>109</v>
      </c>
      <c r="U185" s="23">
        <f t="shared" si="11"/>
        <v>113</v>
      </c>
      <c r="V185" s="23">
        <f t="shared" si="12"/>
        <v>119</v>
      </c>
      <c r="W185" s="20" t="s">
        <v>19</v>
      </c>
      <c r="X185" s="20" t="s">
        <v>133</v>
      </c>
      <c r="Y185" s="20" t="s">
        <v>64</v>
      </c>
      <c r="Z185" s="20" t="s">
        <v>22</v>
      </c>
      <c r="AA185" s="20" t="s">
        <v>14</v>
      </c>
      <c r="AB185" s="20" t="s">
        <v>200</v>
      </c>
      <c r="AC185" s="20" t="s">
        <v>42</v>
      </c>
      <c r="AD185" s="20"/>
      <c r="AE185" s="2">
        <v>0</v>
      </c>
      <c r="AF185" s="2"/>
    </row>
    <row r="186" spans="1:32" x14ac:dyDescent="0.2">
      <c r="A186" s="14" t="s">
        <v>14</v>
      </c>
      <c r="B186" s="14" t="s">
        <v>200</v>
      </c>
      <c r="C186" s="14" t="s">
        <v>53</v>
      </c>
      <c r="D186" s="14" t="s">
        <v>916</v>
      </c>
      <c r="E186" s="14" t="s">
        <v>17</v>
      </c>
      <c r="F186" s="14">
        <v>1</v>
      </c>
      <c r="G186" s="14" t="s">
        <v>226</v>
      </c>
      <c r="H186" s="14" t="s">
        <v>35</v>
      </c>
      <c r="I186" s="14" t="s">
        <v>133</v>
      </c>
      <c r="J186" s="13" t="s">
        <v>917</v>
      </c>
      <c r="K186" s="14" t="s">
        <v>64</v>
      </c>
      <c r="L186" s="14" t="s">
        <v>44</v>
      </c>
      <c r="M186" s="14" t="s">
        <v>169</v>
      </c>
      <c r="N186" s="13">
        <v>185</v>
      </c>
      <c r="O186" s="30">
        <v>45762</v>
      </c>
      <c r="P186" s="30">
        <v>45776</v>
      </c>
      <c r="Q186" s="30">
        <v>45779</v>
      </c>
      <c r="R186" s="30">
        <v>45783</v>
      </c>
      <c r="S186" s="23">
        <f t="shared" si="9"/>
        <v>105</v>
      </c>
      <c r="T186" s="23">
        <f t="shared" si="10"/>
        <v>119</v>
      </c>
      <c r="U186" s="23">
        <f t="shared" si="11"/>
        <v>122</v>
      </c>
      <c r="V186" s="23">
        <f t="shared" si="12"/>
        <v>126</v>
      </c>
      <c r="W186" s="14" t="s">
        <v>35</v>
      </c>
      <c r="X186" s="14" t="s">
        <v>133</v>
      </c>
      <c r="Y186" s="14" t="s">
        <v>64</v>
      </c>
      <c r="Z186" s="14" t="s">
        <v>44</v>
      </c>
      <c r="AA186" s="14" t="s">
        <v>14</v>
      </c>
      <c r="AB186" s="14" t="s">
        <v>200</v>
      </c>
      <c r="AC186" s="14" t="s">
        <v>53</v>
      </c>
      <c r="AD186" s="14"/>
      <c r="AE186" s="1">
        <v>0</v>
      </c>
      <c r="AF186" s="1"/>
    </row>
    <row r="187" spans="1:32" x14ac:dyDescent="0.2">
      <c r="A187" s="14" t="s">
        <v>14</v>
      </c>
      <c r="B187" s="14" t="s">
        <v>200</v>
      </c>
      <c r="C187" s="14" t="s">
        <v>53</v>
      </c>
      <c r="D187" s="14" t="s">
        <v>916</v>
      </c>
      <c r="E187" s="14" t="s">
        <v>24</v>
      </c>
      <c r="F187" s="14">
        <v>1</v>
      </c>
      <c r="G187" s="14" t="s">
        <v>227</v>
      </c>
      <c r="H187" s="14" t="s">
        <v>35</v>
      </c>
      <c r="I187" s="14" t="s">
        <v>133</v>
      </c>
      <c r="J187" s="13" t="s">
        <v>918</v>
      </c>
      <c r="K187" s="14" t="s">
        <v>64</v>
      </c>
      <c r="L187" s="14" t="s">
        <v>44</v>
      </c>
      <c r="M187" s="14" t="s">
        <v>169</v>
      </c>
      <c r="N187" s="13">
        <v>186</v>
      </c>
      <c r="O187" s="30">
        <v>45776</v>
      </c>
      <c r="P187" s="30">
        <v>45783</v>
      </c>
      <c r="Q187" s="30">
        <v>45786</v>
      </c>
      <c r="R187" s="30">
        <v>45790</v>
      </c>
      <c r="S187" s="23">
        <f t="shared" si="9"/>
        <v>119</v>
      </c>
      <c r="T187" s="23">
        <f t="shared" si="10"/>
        <v>126</v>
      </c>
      <c r="U187" s="23">
        <f t="shared" si="11"/>
        <v>129</v>
      </c>
      <c r="V187" s="23">
        <f t="shared" si="12"/>
        <v>133</v>
      </c>
      <c r="W187" s="14" t="s">
        <v>35</v>
      </c>
      <c r="X187" s="14" t="s">
        <v>133</v>
      </c>
      <c r="Y187" s="14" t="s">
        <v>64</v>
      </c>
      <c r="Z187" s="14" t="s">
        <v>44</v>
      </c>
      <c r="AA187" s="14" t="s">
        <v>14</v>
      </c>
      <c r="AB187" s="14" t="s">
        <v>200</v>
      </c>
      <c r="AC187" s="14" t="s">
        <v>53</v>
      </c>
      <c r="AD187" s="14"/>
      <c r="AE187" s="1">
        <v>0</v>
      </c>
      <c r="AF187" s="1"/>
    </row>
    <row r="188" spans="1:32" x14ac:dyDescent="0.2">
      <c r="A188" s="14" t="s">
        <v>14</v>
      </c>
      <c r="B188" s="14" t="s">
        <v>200</v>
      </c>
      <c r="C188" s="14" t="s">
        <v>53</v>
      </c>
      <c r="D188" s="14" t="s">
        <v>916</v>
      </c>
      <c r="E188" s="14" t="s">
        <v>17</v>
      </c>
      <c r="F188" s="14">
        <v>2</v>
      </c>
      <c r="G188" s="14" t="s">
        <v>228</v>
      </c>
      <c r="H188" s="14" t="s">
        <v>35</v>
      </c>
      <c r="I188" s="14" t="s">
        <v>133</v>
      </c>
      <c r="J188" s="13" t="s">
        <v>919</v>
      </c>
      <c r="K188" s="14" t="s">
        <v>64</v>
      </c>
      <c r="L188" s="14" t="s">
        <v>44</v>
      </c>
      <c r="M188" s="14" t="s">
        <v>169</v>
      </c>
      <c r="N188" s="13">
        <v>187</v>
      </c>
      <c r="O188" s="30">
        <v>45765</v>
      </c>
      <c r="P188" s="30">
        <v>45776</v>
      </c>
      <c r="Q188" s="30">
        <v>45779</v>
      </c>
      <c r="R188" s="30">
        <v>45783</v>
      </c>
      <c r="S188" s="23">
        <f t="shared" si="9"/>
        <v>108</v>
      </c>
      <c r="T188" s="23">
        <f t="shared" si="10"/>
        <v>119</v>
      </c>
      <c r="U188" s="23">
        <f t="shared" si="11"/>
        <v>122</v>
      </c>
      <c r="V188" s="23">
        <f t="shared" si="12"/>
        <v>126</v>
      </c>
      <c r="W188" s="14" t="s">
        <v>35</v>
      </c>
      <c r="X188" s="14" t="s">
        <v>133</v>
      </c>
      <c r="Y188" s="14" t="s">
        <v>64</v>
      </c>
      <c r="Z188" s="14" t="s">
        <v>44</v>
      </c>
      <c r="AA188" s="14" t="s">
        <v>14</v>
      </c>
      <c r="AB188" s="14" t="s">
        <v>200</v>
      </c>
      <c r="AC188" s="14" t="s">
        <v>53</v>
      </c>
      <c r="AD188" s="14"/>
      <c r="AE188" s="1">
        <v>0</v>
      </c>
      <c r="AF188" s="1"/>
    </row>
    <row r="189" spans="1:32" x14ac:dyDescent="0.2">
      <c r="A189" s="14" t="s">
        <v>14</v>
      </c>
      <c r="B189" s="14" t="s">
        <v>200</v>
      </c>
      <c r="C189" s="14" t="s">
        <v>53</v>
      </c>
      <c r="D189" s="14" t="s">
        <v>916</v>
      </c>
      <c r="E189" s="14" t="s">
        <v>24</v>
      </c>
      <c r="F189" s="14">
        <v>2</v>
      </c>
      <c r="G189" s="14" t="s">
        <v>229</v>
      </c>
      <c r="H189" s="14" t="s">
        <v>35</v>
      </c>
      <c r="I189" s="14" t="s">
        <v>133</v>
      </c>
      <c r="J189" s="13" t="s">
        <v>920</v>
      </c>
      <c r="K189" s="14" t="s">
        <v>64</v>
      </c>
      <c r="L189" s="14" t="s">
        <v>44</v>
      </c>
      <c r="M189" s="14" t="s">
        <v>169</v>
      </c>
      <c r="N189" s="13">
        <v>188</v>
      </c>
      <c r="O189" s="30">
        <v>45762</v>
      </c>
      <c r="P189" s="30">
        <v>45765</v>
      </c>
      <c r="Q189" s="30">
        <v>45779</v>
      </c>
      <c r="R189" s="30">
        <v>45783</v>
      </c>
      <c r="S189" s="23">
        <f t="shared" si="9"/>
        <v>105</v>
      </c>
      <c r="T189" s="23">
        <f t="shared" si="10"/>
        <v>108</v>
      </c>
      <c r="U189" s="23">
        <f t="shared" si="11"/>
        <v>122</v>
      </c>
      <c r="V189" s="23">
        <f t="shared" si="12"/>
        <v>126</v>
      </c>
      <c r="W189" s="14" t="s">
        <v>35</v>
      </c>
      <c r="X189" s="14" t="s">
        <v>133</v>
      </c>
      <c r="Y189" s="14" t="s">
        <v>64</v>
      </c>
      <c r="Z189" s="14" t="s">
        <v>44</v>
      </c>
      <c r="AA189" s="14" t="s">
        <v>14</v>
      </c>
      <c r="AB189" s="14" t="s">
        <v>200</v>
      </c>
      <c r="AC189" s="14" t="s">
        <v>53</v>
      </c>
      <c r="AD189" s="14"/>
      <c r="AE189" s="1">
        <v>0</v>
      </c>
      <c r="AF189" s="1"/>
    </row>
    <row r="190" spans="1:32" x14ac:dyDescent="0.2">
      <c r="A190" s="14" t="s">
        <v>14</v>
      </c>
      <c r="B190" s="14" t="s">
        <v>200</v>
      </c>
      <c r="C190" s="14" t="s">
        <v>53</v>
      </c>
      <c r="D190" s="14" t="s">
        <v>916</v>
      </c>
      <c r="E190" s="14" t="s">
        <v>17</v>
      </c>
      <c r="F190" s="14">
        <v>3</v>
      </c>
      <c r="G190" s="14" t="s">
        <v>230</v>
      </c>
      <c r="H190" s="14" t="s">
        <v>35</v>
      </c>
      <c r="I190" s="14" t="s">
        <v>133</v>
      </c>
      <c r="J190" s="13" t="s">
        <v>921</v>
      </c>
      <c r="K190" s="14" t="s">
        <v>64</v>
      </c>
      <c r="L190" s="14" t="s">
        <v>44</v>
      </c>
      <c r="M190" s="14" t="s">
        <v>169</v>
      </c>
      <c r="N190" s="13">
        <v>189</v>
      </c>
      <c r="O190" s="30">
        <v>45779</v>
      </c>
      <c r="P190" s="30">
        <v>45783</v>
      </c>
      <c r="Q190" s="30">
        <v>45790</v>
      </c>
      <c r="R190" s="30">
        <v>45793</v>
      </c>
      <c r="S190" s="23">
        <f t="shared" si="9"/>
        <v>122</v>
      </c>
      <c r="T190" s="23">
        <f t="shared" si="10"/>
        <v>126</v>
      </c>
      <c r="U190" s="23">
        <f t="shared" si="11"/>
        <v>133</v>
      </c>
      <c r="V190" s="23">
        <f t="shared" si="12"/>
        <v>136</v>
      </c>
      <c r="W190" s="14" t="s">
        <v>35</v>
      </c>
      <c r="X190" s="14" t="s">
        <v>133</v>
      </c>
      <c r="Y190" s="14" t="s">
        <v>64</v>
      </c>
      <c r="Z190" s="14" t="s">
        <v>44</v>
      </c>
      <c r="AA190" s="14" t="s">
        <v>14</v>
      </c>
      <c r="AB190" s="14" t="s">
        <v>200</v>
      </c>
      <c r="AC190" s="14" t="s">
        <v>53</v>
      </c>
      <c r="AD190" s="14"/>
      <c r="AE190" s="1">
        <v>0</v>
      </c>
      <c r="AF190" s="1"/>
    </row>
    <row r="191" spans="1:32" x14ac:dyDescent="0.2">
      <c r="A191" s="14" t="s">
        <v>14</v>
      </c>
      <c r="B191" s="14" t="s">
        <v>200</v>
      </c>
      <c r="C191" s="14" t="s">
        <v>53</v>
      </c>
      <c r="D191" s="14" t="s">
        <v>916</v>
      </c>
      <c r="E191" s="14" t="s">
        <v>24</v>
      </c>
      <c r="F191" s="14">
        <v>3</v>
      </c>
      <c r="G191" s="14" t="s">
        <v>231</v>
      </c>
      <c r="H191" s="14" t="s">
        <v>35</v>
      </c>
      <c r="I191" s="14" t="s">
        <v>133</v>
      </c>
      <c r="J191" s="13" t="s">
        <v>922</v>
      </c>
      <c r="K191" s="14" t="s">
        <v>64</v>
      </c>
      <c r="L191" s="14" t="s">
        <v>44</v>
      </c>
      <c r="M191" s="14" t="s">
        <v>169</v>
      </c>
      <c r="N191" s="13">
        <v>190</v>
      </c>
      <c r="O191" s="30">
        <v>45762</v>
      </c>
      <c r="P191" s="30">
        <v>45770</v>
      </c>
      <c r="Q191" s="30">
        <v>45779</v>
      </c>
      <c r="R191" s="30">
        <v>45783</v>
      </c>
      <c r="S191" s="23">
        <f t="shared" si="9"/>
        <v>105</v>
      </c>
      <c r="T191" s="23">
        <f t="shared" si="10"/>
        <v>113</v>
      </c>
      <c r="U191" s="23">
        <f t="shared" si="11"/>
        <v>122</v>
      </c>
      <c r="V191" s="23">
        <f t="shared" si="12"/>
        <v>126</v>
      </c>
      <c r="W191" s="14" t="s">
        <v>35</v>
      </c>
      <c r="X191" s="14" t="s">
        <v>133</v>
      </c>
      <c r="Y191" s="14" t="s">
        <v>64</v>
      </c>
      <c r="Z191" s="14" t="s">
        <v>44</v>
      </c>
      <c r="AA191" s="14" t="s">
        <v>14</v>
      </c>
      <c r="AB191" s="14" t="s">
        <v>200</v>
      </c>
      <c r="AC191" s="14" t="s">
        <v>53</v>
      </c>
      <c r="AD191" s="14"/>
      <c r="AE191" s="1">
        <v>0</v>
      </c>
      <c r="AF191" s="1"/>
    </row>
    <row r="192" spans="1:32" x14ac:dyDescent="0.2">
      <c r="A192" s="14" t="s">
        <v>14</v>
      </c>
      <c r="B192" s="14" t="s">
        <v>200</v>
      </c>
      <c r="C192" s="14" t="s">
        <v>53</v>
      </c>
      <c r="D192" s="14" t="s">
        <v>916</v>
      </c>
      <c r="E192" s="14" t="s">
        <v>17</v>
      </c>
      <c r="F192" s="14">
        <v>4</v>
      </c>
      <c r="G192" s="14" t="s">
        <v>232</v>
      </c>
      <c r="H192" s="14" t="s">
        <v>35</v>
      </c>
      <c r="I192" s="14" t="s">
        <v>133</v>
      </c>
      <c r="J192" s="13" t="s">
        <v>923</v>
      </c>
      <c r="K192" s="14" t="s">
        <v>64</v>
      </c>
      <c r="L192" s="14" t="s">
        <v>44</v>
      </c>
      <c r="M192" s="14" t="s">
        <v>169</v>
      </c>
      <c r="N192" s="13">
        <v>191</v>
      </c>
      <c r="O192" s="30">
        <v>45762</v>
      </c>
      <c r="P192" s="30">
        <v>45770</v>
      </c>
      <c r="Q192" s="30">
        <v>45776</v>
      </c>
      <c r="R192" s="30">
        <v>45779</v>
      </c>
      <c r="S192" s="23">
        <f t="shared" si="9"/>
        <v>105</v>
      </c>
      <c r="T192" s="23">
        <f t="shared" si="10"/>
        <v>113</v>
      </c>
      <c r="U192" s="23">
        <f t="shared" si="11"/>
        <v>119</v>
      </c>
      <c r="V192" s="23">
        <f t="shared" si="12"/>
        <v>122</v>
      </c>
      <c r="W192" s="14" t="s">
        <v>35</v>
      </c>
      <c r="X192" s="14" t="s">
        <v>133</v>
      </c>
      <c r="Y192" s="14" t="s">
        <v>64</v>
      </c>
      <c r="Z192" s="14" t="s">
        <v>44</v>
      </c>
      <c r="AA192" s="14" t="s">
        <v>14</v>
      </c>
      <c r="AB192" s="14" t="s">
        <v>200</v>
      </c>
      <c r="AC192" s="14" t="s">
        <v>53</v>
      </c>
      <c r="AD192" s="14"/>
      <c r="AE192" s="1">
        <v>0</v>
      </c>
      <c r="AF192" s="1"/>
    </row>
    <row r="193" spans="1:32" x14ac:dyDescent="0.2">
      <c r="A193" s="14" t="s">
        <v>14</v>
      </c>
      <c r="B193" s="14" t="s">
        <v>200</v>
      </c>
      <c r="C193" s="14" t="s">
        <v>53</v>
      </c>
      <c r="D193" s="14" t="s">
        <v>916</v>
      </c>
      <c r="E193" s="14" t="s">
        <v>24</v>
      </c>
      <c r="F193" s="14">
        <v>4</v>
      </c>
      <c r="G193" s="14" t="s">
        <v>233</v>
      </c>
      <c r="H193" s="14" t="s">
        <v>35</v>
      </c>
      <c r="I193" s="14" t="s">
        <v>133</v>
      </c>
      <c r="J193" s="13" t="s">
        <v>924</v>
      </c>
      <c r="K193" s="14" t="s">
        <v>64</v>
      </c>
      <c r="L193" s="14" t="s">
        <v>44</v>
      </c>
      <c r="M193" s="14" t="s">
        <v>169</v>
      </c>
      <c r="N193" s="13">
        <v>192</v>
      </c>
      <c r="O193" s="30">
        <v>45762</v>
      </c>
      <c r="P193" s="30">
        <v>45770</v>
      </c>
      <c r="Q193" s="30">
        <v>45776</v>
      </c>
      <c r="R193" s="30">
        <v>45779</v>
      </c>
      <c r="S193" s="23">
        <f t="shared" si="9"/>
        <v>105</v>
      </c>
      <c r="T193" s="23">
        <f t="shared" si="10"/>
        <v>113</v>
      </c>
      <c r="U193" s="23">
        <f t="shared" si="11"/>
        <v>119</v>
      </c>
      <c r="V193" s="23">
        <f t="shared" si="12"/>
        <v>122</v>
      </c>
      <c r="W193" s="14" t="s">
        <v>35</v>
      </c>
      <c r="X193" s="14" t="s">
        <v>133</v>
      </c>
      <c r="Y193" s="14" t="s">
        <v>64</v>
      </c>
      <c r="Z193" s="14" t="s">
        <v>44</v>
      </c>
      <c r="AA193" s="14" t="s">
        <v>14</v>
      </c>
      <c r="AB193" s="14" t="s">
        <v>200</v>
      </c>
      <c r="AC193" s="14" t="s">
        <v>53</v>
      </c>
      <c r="AD193" s="14"/>
      <c r="AE193" s="1">
        <v>0</v>
      </c>
      <c r="AF193" s="1"/>
    </row>
    <row r="194" spans="1:32" x14ac:dyDescent="0.2">
      <c r="A194" s="20" t="s">
        <v>234</v>
      </c>
      <c r="B194" s="20" t="s">
        <v>15</v>
      </c>
      <c r="C194" s="20" t="s">
        <v>16</v>
      </c>
      <c r="D194" s="18" t="s">
        <v>925</v>
      </c>
      <c r="E194" s="20" t="s">
        <v>17</v>
      </c>
      <c r="F194" s="20">
        <v>1</v>
      </c>
      <c r="G194" s="20" t="s">
        <v>235</v>
      </c>
      <c r="H194" s="20" t="s">
        <v>19</v>
      </c>
      <c r="I194" s="20" t="s">
        <v>133</v>
      </c>
      <c r="J194" s="19" t="s">
        <v>926</v>
      </c>
      <c r="K194" s="20" t="s">
        <v>64</v>
      </c>
      <c r="L194" s="20" t="s">
        <v>44</v>
      </c>
      <c r="M194" s="20" t="s">
        <v>169</v>
      </c>
      <c r="N194" s="21">
        <v>193</v>
      </c>
      <c r="O194" s="29">
        <v>45755</v>
      </c>
      <c r="P194" s="2"/>
      <c r="Q194" s="29">
        <v>45762</v>
      </c>
      <c r="R194" s="29">
        <v>45770</v>
      </c>
      <c r="S194" s="23">
        <f t="shared" si="9"/>
        <v>98</v>
      </c>
      <c r="T194" s="23">
        <f>(U194+S194)/2</f>
        <v>101.5</v>
      </c>
      <c r="U194" s="23">
        <f t="shared" si="11"/>
        <v>105</v>
      </c>
      <c r="V194" s="23">
        <f t="shared" si="12"/>
        <v>113</v>
      </c>
      <c r="W194" s="20" t="s">
        <v>19</v>
      </c>
      <c r="X194" s="20" t="s">
        <v>133</v>
      </c>
      <c r="Y194" s="20" t="s">
        <v>64</v>
      </c>
      <c r="Z194" s="20" t="s">
        <v>44</v>
      </c>
      <c r="AA194" s="20" t="s">
        <v>234</v>
      </c>
      <c r="AB194" s="20" t="s">
        <v>15</v>
      </c>
      <c r="AC194" s="20" t="s">
        <v>16</v>
      </c>
      <c r="AD194" s="20"/>
      <c r="AE194" s="2">
        <v>0</v>
      </c>
      <c r="AF194" s="2"/>
    </row>
    <row r="195" spans="1:32" x14ac:dyDescent="0.2">
      <c r="A195" s="20" t="s">
        <v>234</v>
      </c>
      <c r="B195" s="20" t="s">
        <v>15</v>
      </c>
      <c r="C195" s="20" t="s">
        <v>16</v>
      </c>
      <c r="D195" s="18" t="s">
        <v>925</v>
      </c>
      <c r="E195" s="20" t="s">
        <v>24</v>
      </c>
      <c r="F195" s="20">
        <v>1</v>
      </c>
      <c r="G195" s="20" t="s">
        <v>236</v>
      </c>
      <c r="H195" s="20" t="s">
        <v>19</v>
      </c>
      <c r="I195" s="20" t="s">
        <v>133</v>
      </c>
      <c r="J195" s="19" t="s">
        <v>927</v>
      </c>
      <c r="K195" s="20" t="s">
        <v>64</v>
      </c>
      <c r="L195" s="20" t="s">
        <v>44</v>
      </c>
      <c r="M195" s="20" t="s">
        <v>169</v>
      </c>
      <c r="N195" s="21">
        <v>194</v>
      </c>
      <c r="O195" s="29">
        <v>45762</v>
      </c>
      <c r="P195" s="29">
        <v>45765</v>
      </c>
      <c r="Q195" s="29">
        <v>45770</v>
      </c>
      <c r="R195" s="29">
        <v>45776</v>
      </c>
      <c r="S195" s="23">
        <f t="shared" ref="S195:S258" si="13">O195-DATE(YEAR(O195),1,1)+1</f>
        <v>105</v>
      </c>
      <c r="T195" s="23">
        <f t="shared" ref="T195:T258" si="14">P195-DATE(YEAR(P195),1,1)+1</f>
        <v>108</v>
      </c>
      <c r="U195" s="23">
        <f t="shared" ref="U195:U258" si="15">Q195-DATE(YEAR(Q195),1,1)+1</f>
        <v>113</v>
      </c>
      <c r="V195" s="23">
        <f t="shared" ref="V195:V258" si="16">R195-DATE(YEAR(R195),1,1)+1</f>
        <v>119</v>
      </c>
      <c r="W195" s="20" t="s">
        <v>19</v>
      </c>
      <c r="X195" s="20" t="s">
        <v>133</v>
      </c>
      <c r="Y195" s="20" t="s">
        <v>64</v>
      </c>
      <c r="Z195" s="20" t="s">
        <v>44</v>
      </c>
      <c r="AA195" s="20" t="s">
        <v>234</v>
      </c>
      <c r="AB195" s="20" t="s">
        <v>15</v>
      </c>
      <c r="AC195" s="20" t="s">
        <v>16</v>
      </c>
      <c r="AD195" s="20"/>
      <c r="AE195" s="2">
        <v>0</v>
      </c>
      <c r="AF195" s="2"/>
    </row>
    <row r="196" spans="1:32" x14ac:dyDescent="0.2">
      <c r="A196" s="20" t="s">
        <v>234</v>
      </c>
      <c r="B196" s="20" t="s">
        <v>15</v>
      </c>
      <c r="C196" s="20" t="s">
        <v>16</v>
      </c>
      <c r="D196" s="18" t="s">
        <v>925</v>
      </c>
      <c r="E196" s="20" t="s">
        <v>17</v>
      </c>
      <c r="F196" s="20">
        <v>2</v>
      </c>
      <c r="G196" s="20" t="s">
        <v>237</v>
      </c>
      <c r="H196" s="20" t="s">
        <v>19</v>
      </c>
      <c r="I196" s="20" t="s">
        <v>133</v>
      </c>
      <c r="J196" s="19" t="s">
        <v>928</v>
      </c>
      <c r="K196" s="20" t="s">
        <v>64</v>
      </c>
      <c r="L196" s="20" t="s">
        <v>44</v>
      </c>
      <c r="M196" s="20" t="s">
        <v>169</v>
      </c>
      <c r="N196" s="21">
        <v>195</v>
      </c>
      <c r="O196" s="29">
        <v>45762</v>
      </c>
      <c r="P196" s="29">
        <v>45770</v>
      </c>
      <c r="Q196" s="29">
        <v>45776</v>
      </c>
      <c r="R196" s="29">
        <v>45779</v>
      </c>
      <c r="S196" s="23">
        <f t="shared" si="13"/>
        <v>105</v>
      </c>
      <c r="T196" s="23">
        <f t="shared" si="14"/>
        <v>113</v>
      </c>
      <c r="U196" s="23">
        <f t="shared" si="15"/>
        <v>119</v>
      </c>
      <c r="V196" s="23">
        <f t="shared" si="16"/>
        <v>122</v>
      </c>
      <c r="W196" s="20" t="s">
        <v>19</v>
      </c>
      <c r="X196" s="20" t="s">
        <v>133</v>
      </c>
      <c r="Y196" s="20" t="s">
        <v>64</v>
      </c>
      <c r="Z196" s="20" t="s">
        <v>44</v>
      </c>
      <c r="AA196" s="20" t="s">
        <v>234</v>
      </c>
      <c r="AB196" s="20" t="s">
        <v>15</v>
      </c>
      <c r="AC196" s="20" t="s">
        <v>16</v>
      </c>
      <c r="AD196" s="20"/>
      <c r="AE196" s="2">
        <v>0</v>
      </c>
      <c r="AF196" s="2"/>
    </row>
    <row r="197" spans="1:32" x14ac:dyDescent="0.2">
      <c r="A197" s="20" t="s">
        <v>234</v>
      </c>
      <c r="B197" s="20" t="s">
        <v>15</v>
      </c>
      <c r="C197" s="20" t="s">
        <v>16</v>
      </c>
      <c r="D197" s="18" t="s">
        <v>925</v>
      </c>
      <c r="E197" s="20" t="s">
        <v>24</v>
      </c>
      <c r="F197" s="20">
        <v>2</v>
      </c>
      <c r="G197" s="20" t="s">
        <v>238</v>
      </c>
      <c r="H197" s="20" t="s">
        <v>19</v>
      </c>
      <c r="I197" s="20" t="s">
        <v>133</v>
      </c>
      <c r="J197" s="19" t="s">
        <v>929</v>
      </c>
      <c r="K197" s="20" t="s">
        <v>64</v>
      </c>
      <c r="L197" s="20" t="s">
        <v>44</v>
      </c>
      <c r="M197" s="20" t="s">
        <v>169</v>
      </c>
      <c r="N197" s="21">
        <v>196</v>
      </c>
      <c r="O197" s="29">
        <v>45758</v>
      </c>
      <c r="P197" s="29">
        <v>45762</v>
      </c>
      <c r="Q197" s="29">
        <v>45765</v>
      </c>
      <c r="R197" s="29">
        <v>45772</v>
      </c>
      <c r="S197" s="23">
        <f t="shared" si="13"/>
        <v>101</v>
      </c>
      <c r="T197" s="23">
        <f t="shared" si="14"/>
        <v>105</v>
      </c>
      <c r="U197" s="23">
        <f t="shared" si="15"/>
        <v>108</v>
      </c>
      <c r="V197" s="23">
        <f t="shared" si="16"/>
        <v>115</v>
      </c>
      <c r="W197" s="20" t="s">
        <v>19</v>
      </c>
      <c r="X197" s="20" t="s">
        <v>133</v>
      </c>
      <c r="Y197" s="20" t="s">
        <v>64</v>
      </c>
      <c r="Z197" s="20" t="s">
        <v>44</v>
      </c>
      <c r="AA197" s="20" t="s">
        <v>234</v>
      </c>
      <c r="AB197" s="20" t="s">
        <v>15</v>
      </c>
      <c r="AC197" s="20" t="s">
        <v>16</v>
      </c>
      <c r="AD197" s="20"/>
      <c r="AE197" s="2">
        <v>0</v>
      </c>
      <c r="AF197" s="2"/>
    </row>
    <row r="198" spans="1:32" x14ac:dyDescent="0.2">
      <c r="A198" s="20" t="s">
        <v>234</v>
      </c>
      <c r="B198" s="20" t="s">
        <v>15</v>
      </c>
      <c r="C198" s="20" t="s">
        <v>16</v>
      </c>
      <c r="D198" s="18" t="s">
        <v>925</v>
      </c>
      <c r="E198" s="20" t="s">
        <v>17</v>
      </c>
      <c r="F198" s="20">
        <v>3</v>
      </c>
      <c r="G198" s="20" t="s">
        <v>239</v>
      </c>
      <c r="H198" s="20" t="s">
        <v>19</v>
      </c>
      <c r="I198" s="20" t="s">
        <v>133</v>
      </c>
      <c r="J198" s="19" t="s">
        <v>930</v>
      </c>
      <c r="K198" s="20" t="s">
        <v>64</v>
      </c>
      <c r="L198" s="20" t="s">
        <v>44</v>
      </c>
      <c r="M198" s="20" t="s">
        <v>169</v>
      </c>
      <c r="N198" s="21">
        <v>197</v>
      </c>
      <c r="O198" s="29">
        <v>45765</v>
      </c>
      <c r="P198" s="29">
        <v>45770</v>
      </c>
      <c r="Q198" s="29">
        <v>45776</v>
      </c>
      <c r="R198" s="29">
        <v>45779</v>
      </c>
      <c r="S198" s="23">
        <f t="shared" si="13"/>
        <v>108</v>
      </c>
      <c r="T198" s="23">
        <f t="shared" si="14"/>
        <v>113</v>
      </c>
      <c r="U198" s="23">
        <f t="shared" si="15"/>
        <v>119</v>
      </c>
      <c r="V198" s="23">
        <f t="shared" si="16"/>
        <v>122</v>
      </c>
      <c r="W198" s="20" t="s">
        <v>19</v>
      </c>
      <c r="X198" s="20" t="s">
        <v>133</v>
      </c>
      <c r="Y198" s="20" t="s">
        <v>64</v>
      </c>
      <c r="Z198" s="20" t="s">
        <v>44</v>
      </c>
      <c r="AA198" s="20" t="s">
        <v>234</v>
      </c>
      <c r="AB198" s="20" t="s">
        <v>15</v>
      </c>
      <c r="AC198" s="20" t="s">
        <v>16</v>
      </c>
      <c r="AD198" s="20"/>
      <c r="AE198" s="2">
        <v>0</v>
      </c>
      <c r="AF198" s="2"/>
    </row>
    <row r="199" spans="1:32" x14ac:dyDescent="0.2">
      <c r="A199" s="20" t="s">
        <v>234</v>
      </c>
      <c r="B199" s="20" t="s">
        <v>15</v>
      </c>
      <c r="C199" s="20" t="s">
        <v>16</v>
      </c>
      <c r="D199" s="18" t="s">
        <v>925</v>
      </c>
      <c r="E199" s="20" t="s">
        <v>24</v>
      </c>
      <c r="F199" s="20">
        <v>3</v>
      </c>
      <c r="G199" s="20" t="s">
        <v>240</v>
      </c>
      <c r="H199" s="20" t="s">
        <v>19</v>
      </c>
      <c r="I199" s="20" t="s">
        <v>133</v>
      </c>
      <c r="J199" s="19" t="s">
        <v>931</v>
      </c>
      <c r="K199" s="20" t="s">
        <v>64</v>
      </c>
      <c r="L199" s="20" t="s">
        <v>44</v>
      </c>
      <c r="M199" s="20" t="s">
        <v>169</v>
      </c>
      <c r="N199" s="21">
        <v>198</v>
      </c>
      <c r="O199" s="29">
        <v>45762</v>
      </c>
      <c r="P199" s="2"/>
      <c r="Q199" s="29">
        <v>45770</v>
      </c>
      <c r="R199" s="29">
        <v>45776</v>
      </c>
      <c r="S199" s="23">
        <f t="shared" si="13"/>
        <v>105</v>
      </c>
      <c r="T199" s="23">
        <f>(U199+S199)/2</f>
        <v>109</v>
      </c>
      <c r="U199" s="23">
        <f t="shared" si="15"/>
        <v>113</v>
      </c>
      <c r="V199" s="23">
        <f t="shared" si="16"/>
        <v>119</v>
      </c>
      <c r="W199" s="20" t="s">
        <v>19</v>
      </c>
      <c r="X199" s="20" t="s">
        <v>133</v>
      </c>
      <c r="Y199" s="20" t="s">
        <v>64</v>
      </c>
      <c r="Z199" s="20" t="s">
        <v>44</v>
      </c>
      <c r="AA199" s="20" t="s">
        <v>234</v>
      </c>
      <c r="AB199" s="20" t="s">
        <v>15</v>
      </c>
      <c r="AC199" s="20" t="s">
        <v>16</v>
      </c>
      <c r="AD199" s="20"/>
      <c r="AE199" s="2">
        <v>0</v>
      </c>
      <c r="AF199" s="2"/>
    </row>
    <row r="200" spans="1:32" x14ac:dyDescent="0.2">
      <c r="A200" s="20" t="s">
        <v>234</v>
      </c>
      <c r="B200" s="20" t="s">
        <v>15</v>
      </c>
      <c r="C200" s="20" t="s">
        <v>16</v>
      </c>
      <c r="D200" s="18" t="s">
        <v>925</v>
      </c>
      <c r="E200" s="20" t="s">
        <v>17</v>
      </c>
      <c r="F200" s="20">
        <v>4</v>
      </c>
      <c r="G200" s="20" t="s">
        <v>241</v>
      </c>
      <c r="H200" s="20" t="s">
        <v>19</v>
      </c>
      <c r="I200" s="20" t="s">
        <v>133</v>
      </c>
      <c r="J200" s="19" t="s">
        <v>932</v>
      </c>
      <c r="K200" s="20" t="s">
        <v>64</v>
      </c>
      <c r="L200" s="20" t="s">
        <v>44</v>
      </c>
      <c r="M200" s="20" t="s">
        <v>169</v>
      </c>
      <c r="N200" s="21">
        <v>199</v>
      </c>
      <c r="O200" s="29">
        <v>45762</v>
      </c>
      <c r="P200" s="29">
        <v>45765</v>
      </c>
      <c r="Q200" s="29">
        <v>45770</v>
      </c>
      <c r="R200" s="29">
        <v>45772</v>
      </c>
      <c r="S200" s="23">
        <f t="shared" si="13"/>
        <v>105</v>
      </c>
      <c r="T200" s="23">
        <f t="shared" si="14"/>
        <v>108</v>
      </c>
      <c r="U200" s="23">
        <f t="shared" si="15"/>
        <v>113</v>
      </c>
      <c r="V200" s="23">
        <f t="shared" si="16"/>
        <v>115</v>
      </c>
      <c r="W200" s="20" t="s">
        <v>19</v>
      </c>
      <c r="X200" s="20" t="s">
        <v>133</v>
      </c>
      <c r="Y200" s="20" t="s">
        <v>64</v>
      </c>
      <c r="Z200" s="20" t="s">
        <v>44</v>
      </c>
      <c r="AA200" s="20" t="s">
        <v>234</v>
      </c>
      <c r="AB200" s="20" t="s">
        <v>15</v>
      </c>
      <c r="AC200" s="20" t="s">
        <v>16</v>
      </c>
      <c r="AD200" s="20"/>
      <c r="AE200" s="2">
        <v>0</v>
      </c>
      <c r="AF200" s="2"/>
    </row>
    <row r="201" spans="1:32" x14ac:dyDescent="0.2">
      <c r="A201" s="20" t="s">
        <v>234</v>
      </c>
      <c r="B201" s="20" t="s">
        <v>15</v>
      </c>
      <c r="C201" s="20" t="s">
        <v>16</v>
      </c>
      <c r="D201" s="18" t="s">
        <v>925</v>
      </c>
      <c r="E201" s="20" t="s">
        <v>24</v>
      </c>
      <c r="F201" s="20">
        <v>4</v>
      </c>
      <c r="G201" s="20" t="s">
        <v>242</v>
      </c>
      <c r="H201" s="20" t="s">
        <v>19</v>
      </c>
      <c r="I201" s="20" t="s">
        <v>133</v>
      </c>
      <c r="J201" s="19" t="s">
        <v>933</v>
      </c>
      <c r="K201" s="20" t="s">
        <v>64</v>
      </c>
      <c r="L201" s="20" t="s">
        <v>44</v>
      </c>
      <c r="M201" s="20" t="s">
        <v>169</v>
      </c>
      <c r="N201" s="21">
        <v>200</v>
      </c>
      <c r="O201" s="29">
        <v>45765</v>
      </c>
      <c r="P201" s="29">
        <v>45770</v>
      </c>
      <c r="Q201" s="29">
        <v>45772</v>
      </c>
      <c r="R201" s="29">
        <v>45779</v>
      </c>
      <c r="S201" s="23">
        <f t="shared" si="13"/>
        <v>108</v>
      </c>
      <c r="T201" s="23">
        <f t="shared" si="14"/>
        <v>113</v>
      </c>
      <c r="U201" s="23">
        <f t="shared" si="15"/>
        <v>115</v>
      </c>
      <c r="V201" s="23">
        <f t="shared" si="16"/>
        <v>122</v>
      </c>
      <c r="W201" s="20" t="s">
        <v>19</v>
      </c>
      <c r="X201" s="20" t="s">
        <v>133</v>
      </c>
      <c r="Y201" s="20" t="s">
        <v>64</v>
      </c>
      <c r="Z201" s="20" t="s">
        <v>44</v>
      </c>
      <c r="AA201" s="20" t="s">
        <v>234</v>
      </c>
      <c r="AB201" s="20" t="s">
        <v>15</v>
      </c>
      <c r="AC201" s="20" t="s">
        <v>16</v>
      </c>
      <c r="AD201" s="20"/>
      <c r="AE201" s="2">
        <v>0</v>
      </c>
      <c r="AF201" s="2"/>
    </row>
    <row r="202" spans="1:32" x14ac:dyDescent="0.2">
      <c r="A202" s="14" t="s">
        <v>234</v>
      </c>
      <c r="B202" s="14" t="s">
        <v>15</v>
      </c>
      <c r="C202" s="14" t="s">
        <v>32</v>
      </c>
      <c r="D202" s="14" t="s">
        <v>934</v>
      </c>
      <c r="E202" s="14" t="s">
        <v>17</v>
      </c>
      <c r="F202" s="14">
        <v>1</v>
      </c>
      <c r="G202" s="14" t="s">
        <v>243</v>
      </c>
      <c r="H202" s="14" t="s">
        <v>19</v>
      </c>
      <c r="I202" s="14" t="s">
        <v>133</v>
      </c>
      <c r="J202" s="13" t="s">
        <v>935</v>
      </c>
      <c r="K202" s="14" t="s">
        <v>64</v>
      </c>
      <c r="L202" s="14" t="s">
        <v>22</v>
      </c>
      <c r="M202" s="14" t="s">
        <v>202</v>
      </c>
      <c r="N202" s="13">
        <v>201</v>
      </c>
      <c r="O202" s="30">
        <v>45770</v>
      </c>
      <c r="P202" s="30">
        <v>45772</v>
      </c>
      <c r="Q202" s="30">
        <v>45776</v>
      </c>
      <c r="R202" s="30">
        <v>45779</v>
      </c>
      <c r="S202" s="23">
        <f t="shared" si="13"/>
        <v>113</v>
      </c>
      <c r="T202" s="23">
        <f t="shared" si="14"/>
        <v>115</v>
      </c>
      <c r="U202" s="23">
        <f t="shared" si="15"/>
        <v>119</v>
      </c>
      <c r="V202" s="23">
        <f t="shared" si="16"/>
        <v>122</v>
      </c>
      <c r="W202" s="14" t="s">
        <v>19</v>
      </c>
      <c r="X202" s="14" t="s">
        <v>133</v>
      </c>
      <c r="Y202" s="14" t="s">
        <v>64</v>
      </c>
      <c r="Z202" s="14" t="s">
        <v>22</v>
      </c>
      <c r="AA202" s="14" t="s">
        <v>234</v>
      </c>
      <c r="AB202" s="14" t="s">
        <v>15</v>
      </c>
      <c r="AC202" s="14" t="s">
        <v>32</v>
      </c>
      <c r="AD202" s="14"/>
      <c r="AE202" s="1">
        <v>0</v>
      </c>
      <c r="AF202" s="1"/>
    </row>
    <row r="203" spans="1:32" x14ac:dyDescent="0.2">
      <c r="A203" s="14" t="s">
        <v>234</v>
      </c>
      <c r="B203" s="14" t="s">
        <v>15</v>
      </c>
      <c r="C203" s="14" t="s">
        <v>32</v>
      </c>
      <c r="D203" s="14" t="s">
        <v>934</v>
      </c>
      <c r="E203" s="14" t="s">
        <v>24</v>
      </c>
      <c r="F203" s="14">
        <v>1</v>
      </c>
      <c r="G203" s="14" t="s">
        <v>244</v>
      </c>
      <c r="H203" s="14" t="s">
        <v>19</v>
      </c>
      <c r="I203" s="14" t="s">
        <v>133</v>
      </c>
      <c r="J203" s="13" t="s">
        <v>936</v>
      </c>
      <c r="K203" s="14" t="s">
        <v>64</v>
      </c>
      <c r="L203" s="14" t="s">
        <v>22</v>
      </c>
      <c r="M203" s="14" t="s">
        <v>202</v>
      </c>
      <c r="N203" s="13">
        <v>202</v>
      </c>
      <c r="O203" s="30">
        <v>45762</v>
      </c>
      <c r="P203" s="1"/>
      <c r="Q203" s="30">
        <v>45770</v>
      </c>
      <c r="R203" s="30">
        <v>45772</v>
      </c>
      <c r="S203" s="23">
        <f t="shared" si="13"/>
        <v>105</v>
      </c>
      <c r="T203" s="23">
        <f>(U203+S203)/2</f>
        <v>109</v>
      </c>
      <c r="U203" s="23">
        <f t="shared" si="15"/>
        <v>113</v>
      </c>
      <c r="V203" s="23">
        <f t="shared" si="16"/>
        <v>115</v>
      </c>
      <c r="W203" s="14" t="s">
        <v>19</v>
      </c>
      <c r="X203" s="14" t="s">
        <v>133</v>
      </c>
      <c r="Y203" s="14" t="s">
        <v>64</v>
      </c>
      <c r="Z203" s="14" t="s">
        <v>22</v>
      </c>
      <c r="AA203" s="14" t="s">
        <v>234</v>
      </c>
      <c r="AB203" s="14" t="s">
        <v>15</v>
      </c>
      <c r="AC203" s="14" t="s">
        <v>32</v>
      </c>
      <c r="AD203" s="14"/>
      <c r="AE203" s="1">
        <v>0</v>
      </c>
      <c r="AF203" s="1"/>
    </row>
    <row r="204" spans="1:32" x14ac:dyDescent="0.2">
      <c r="A204" s="14" t="s">
        <v>234</v>
      </c>
      <c r="B204" s="14" t="s">
        <v>15</v>
      </c>
      <c r="C204" s="14" t="s">
        <v>32</v>
      </c>
      <c r="D204" s="14" t="s">
        <v>934</v>
      </c>
      <c r="E204" s="14" t="s">
        <v>17</v>
      </c>
      <c r="F204" s="14">
        <v>2</v>
      </c>
      <c r="G204" s="14" t="s">
        <v>245</v>
      </c>
      <c r="H204" s="14" t="s">
        <v>19</v>
      </c>
      <c r="I204" s="14" t="s">
        <v>133</v>
      </c>
      <c r="J204" s="13" t="s">
        <v>937</v>
      </c>
      <c r="K204" s="14" t="s">
        <v>64</v>
      </c>
      <c r="L204" s="14" t="s">
        <v>22</v>
      </c>
      <c r="M204" s="14" t="s">
        <v>202</v>
      </c>
      <c r="N204" s="13">
        <v>203</v>
      </c>
      <c r="O204" s="30">
        <v>45758</v>
      </c>
      <c r="P204" s="30">
        <v>45762</v>
      </c>
      <c r="Q204" s="30">
        <v>45765</v>
      </c>
      <c r="R204" s="30">
        <v>45772</v>
      </c>
      <c r="S204" s="23">
        <f t="shared" si="13"/>
        <v>101</v>
      </c>
      <c r="T204" s="23">
        <f t="shared" si="14"/>
        <v>105</v>
      </c>
      <c r="U204" s="23">
        <f t="shared" si="15"/>
        <v>108</v>
      </c>
      <c r="V204" s="23">
        <f t="shared" si="16"/>
        <v>115</v>
      </c>
      <c r="W204" s="14" t="s">
        <v>19</v>
      </c>
      <c r="X204" s="14" t="s">
        <v>133</v>
      </c>
      <c r="Y204" s="14" t="s">
        <v>64</v>
      </c>
      <c r="Z204" s="14" t="s">
        <v>22</v>
      </c>
      <c r="AA204" s="14" t="s">
        <v>234</v>
      </c>
      <c r="AB204" s="14" t="s">
        <v>15</v>
      </c>
      <c r="AC204" s="14" t="s">
        <v>32</v>
      </c>
      <c r="AD204" s="14"/>
      <c r="AE204" s="1">
        <v>0</v>
      </c>
      <c r="AF204" s="1"/>
    </row>
    <row r="205" spans="1:32" x14ac:dyDescent="0.2">
      <c r="A205" s="14" t="s">
        <v>234</v>
      </c>
      <c r="B205" s="14" t="s">
        <v>15</v>
      </c>
      <c r="C205" s="14" t="s">
        <v>32</v>
      </c>
      <c r="D205" s="14" t="s">
        <v>934</v>
      </c>
      <c r="E205" s="14" t="s">
        <v>24</v>
      </c>
      <c r="F205" s="14">
        <v>2</v>
      </c>
      <c r="G205" s="14" t="s">
        <v>246</v>
      </c>
      <c r="H205" s="14" t="s">
        <v>19</v>
      </c>
      <c r="I205" s="14" t="s">
        <v>133</v>
      </c>
      <c r="J205" s="13" t="s">
        <v>938</v>
      </c>
      <c r="K205" s="14" t="s">
        <v>64</v>
      </c>
      <c r="L205" s="14" t="s">
        <v>22</v>
      </c>
      <c r="M205" s="14" t="s">
        <v>202</v>
      </c>
      <c r="N205" s="13">
        <v>204</v>
      </c>
      <c r="O205" s="30">
        <v>45762</v>
      </c>
      <c r="P205" s="30">
        <v>45770</v>
      </c>
      <c r="Q205" s="30">
        <v>45772</v>
      </c>
      <c r="R205" s="30">
        <v>45779</v>
      </c>
      <c r="S205" s="23">
        <f t="shared" si="13"/>
        <v>105</v>
      </c>
      <c r="T205" s="23">
        <f t="shared" si="14"/>
        <v>113</v>
      </c>
      <c r="U205" s="23">
        <f t="shared" si="15"/>
        <v>115</v>
      </c>
      <c r="V205" s="23">
        <f t="shared" si="16"/>
        <v>122</v>
      </c>
      <c r="W205" s="14" t="s">
        <v>19</v>
      </c>
      <c r="X205" s="14" t="s">
        <v>133</v>
      </c>
      <c r="Y205" s="14" t="s">
        <v>64</v>
      </c>
      <c r="Z205" s="14" t="s">
        <v>22</v>
      </c>
      <c r="AA205" s="14" t="s">
        <v>234</v>
      </c>
      <c r="AB205" s="14" t="s">
        <v>15</v>
      </c>
      <c r="AC205" s="14" t="s">
        <v>32</v>
      </c>
      <c r="AD205" s="14"/>
      <c r="AE205" s="1">
        <v>0</v>
      </c>
      <c r="AF205" s="1"/>
    </row>
    <row r="206" spans="1:32" x14ac:dyDescent="0.2">
      <c r="A206" s="14" t="s">
        <v>234</v>
      </c>
      <c r="B206" s="14" t="s">
        <v>15</v>
      </c>
      <c r="C206" s="14" t="s">
        <v>32</v>
      </c>
      <c r="D206" s="14" t="s">
        <v>934</v>
      </c>
      <c r="E206" s="14" t="s">
        <v>17</v>
      </c>
      <c r="F206" s="14">
        <v>3</v>
      </c>
      <c r="G206" s="14" t="s">
        <v>247</v>
      </c>
      <c r="H206" s="14" t="s">
        <v>19</v>
      </c>
      <c r="I206" s="14" t="s">
        <v>133</v>
      </c>
      <c r="J206" s="13" t="s">
        <v>939</v>
      </c>
      <c r="K206" s="14" t="s">
        <v>64</v>
      </c>
      <c r="L206" s="14" t="s">
        <v>22</v>
      </c>
      <c r="M206" s="14" t="s">
        <v>202</v>
      </c>
      <c r="N206" s="13">
        <v>205</v>
      </c>
      <c r="O206" s="30">
        <v>45755</v>
      </c>
      <c r="P206" s="30">
        <v>45762</v>
      </c>
      <c r="Q206" s="30">
        <v>45770</v>
      </c>
      <c r="R206" s="30">
        <v>45772</v>
      </c>
      <c r="S206" s="23">
        <f t="shared" si="13"/>
        <v>98</v>
      </c>
      <c r="T206" s="23">
        <f t="shared" si="14"/>
        <v>105</v>
      </c>
      <c r="U206" s="23">
        <f t="shared" si="15"/>
        <v>113</v>
      </c>
      <c r="V206" s="23">
        <f t="shared" si="16"/>
        <v>115</v>
      </c>
      <c r="W206" s="14" t="s">
        <v>19</v>
      </c>
      <c r="X206" s="14" t="s">
        <v>133</v>
      </c>
      <c r="Y206" s="14" t="s">
        <v>64</v>
      </c>
      <c r="Z206" s="14" t="s">
        <v>22</v>
      </c>
      <c r="AA206" s="14" t="s">
        <v>234</v>
      </c>
      <c r="AB206" s="14" t="s">
        <v>15</v>
      </c>
      <c r="AC206" s="14" t="s">
        <v>32</v>
      </c>
      <c r="AD206" s="14"/>
      <c r="AE206" s="1">
        <v>0</v>
      </c>
      <c r="AF206" s="1"/>
    </row>
    <row r="207" spans="1:32" x14ac:dyDescent="0.2">
      <c r="A207" s="14" t="s">
        <v>234</v>
      </c>
      <c r="B207" s="14" t="s">
        <v>15</v>
      </c>
      <c r="C207" s="14" t="s">
        <v>32</v>
      </c>
      <c r="D207" s="14" t="s">
        <v>934</v>
      </c>
      <c r="E207" s="14" t="s">
        <v>24</v>
      </c>
      <c r="F207" s="14">
        <v>3</v>
      </c>
      <c r="G207" s="14" t="s">
        <v>248</v>
      </c>
      <c r="H207" s="14" t="s">
        <v>19</v>
      </c>
      <c r="I207" s="14" t="s">
        <v>133</v>
      </c>
      <c r="J207" s="13" t="s">
        <v>940</v>
      </c>
      <c r="K207" s="14" t="s">
        <v>64</v>
      </c>
      <c r="L207" s="14" t="s">
        <v>22</v>
      </c>
      <c r="M207" s="14" t="s">
        <v>202</v>
      </c>
      <c r="N207" s="13">
        <v>206</v>
      </c>
      <c r="O207" s="30">
        <v>45762</v>
      </c>
      <c r="P207" s="30">
        <v>45770</v>
      </c>
      <c r="Q207" s="30">
        <v>45772</v>
      </c>
      <c r="R207" s="30">
        <v>45776</v>
      </c>
      <c r="S207" s="23">
        <f t="shared" si="13"/>
        <v>105</v>
      </c>
      <c r="T207" s="23">
        <f t="shared" si="14"/>
        <v>113</v>
      </c>
      <c r="U207" s="23">
        <f t="shared" si="15"/>
        <v>115</v>
      </c>
      <c r="V207" s="23">
        <f t="shared" si="16"/>
        <v>119</v>
      </c>
      <c r="W207" s="14" t="s">
        <v>19</v>
      </c>
      <c r="X207" s="14" t="s">
        <v>133</v>
      </c>
      <c r="Y207" s="14" t="s">
        <v>64</v>
      </c>
      <c r="Z207" s="14" t="s">
        <v>22</v>
      </c>
      <c r="AA207" s="14" t="s">
        <v>234</v>
      </c>
      <c r="AB207" s="14" t="s">
        <v>15</v>
      </c>
      <c r="AC207" s="14" t="s">
        <v>32</v>
      </c>
      <c r="AD207" s="14"/>
      <c r="AE207" s="1">
        <v>0</v>
      </c>
      <c r="AF207" s="1"/>
    </row>
    <row r="208" spans="1:32" x14ac:dyDescent="0.2">
      <c r="A208" s="14" t="s">
        <v>234</v>
      </c>
      <c r="B208" s="14" t="s">
        <v>15</v>
      </c>
      <c r="C208" s="14" t="s">
        <v>32</v>
      </c>
      <c r="D208" s="14" t="s">
        <v>934</v>
      </c>
      <c r="E208" s="14" t="s">
        <v>17</v>
      </c>
      <c r="F208" s="14">
        <v>4</v>
      </c>
      <c r="G208" s="14" t="s">
        <v>249</v>
      </c>
      <c r="H208" s="14" t="s">
        <v>19</v>
      </c>
      <c r="I208" s="14" t="s">
        <v>133</v>
      </c>
      <c r="J208" s="13" t="s">
        <v>941</v>
      </c>
      <c r="K208" s="14" t="s">
        <v>64</v>
      </c>
      <c r="L208" s="14" t="s">
        <v>22</v>
      </c>
      <c r="M208" s="14" t="s">
        <v>202</v>
      </c>
      <c r="N208" s="13">
        <v>207</v>
      </c>
      <c r="O208" s="30">
        <v>45758</v>
      </c>
      <c r="P208" s="1"/>
      <c r="Q208" s="30">
        <v>45770</v>
      </c>
      <c r="R208" s="30">
        <v>45776</v>
      </c>
      <c r="S208" s="23">
        <f t="shared" si="13"/>
        <v>101</v>
      </c>
      <c r="T208" s="23">
        <f>(U208+S208)/2</f>
        <v>107</v>
      </c>
      <c r="U208" s="23">
        <f t="shared" si="15"/>
        <v>113</v>
      </c>
      <c r="V208" s="23">
        <f t="shared" si="16"/>
        <v>119</v>
      </c>
      <c r="W208" s="14" t="s">
        <v>19</v>
      </c>
      <c r="X208" s="14" t="s">
        <v>133</v>
      </c>
      <c r="Y208" s="14" t="s">
        <v>64</v>
      </c>
      <c r="Z208" s="14" t="s">
        <v>22</v>
      </c>
      <c r="AA208" s="14" t="s">
        <v>234</v>
      </c>
      <c r="AB208" s="14" t="s">
        <v>15</v>
      </c>
      <c r="AC208" s="14" t="s">
        <v>32</v>
      </c>
      <c r="AD208" s="14"/>
      <c r="AE208" s="1">
        <v>0</v>
      </c>
      <c r="AF208" s="1"/>
    </row>
    <row r="209" spans="1:32" x14ac:dyDescent="0.2">
      <c r="A209" s="14" t="s">
        <v>234</v>
      </c>
      <c r="B209" s="14" t="s">
        <v>15</v>
      </c>
      <c r="C209" s="14" t="s">
        <v>32</v>
      </c>
      <c r="D209" s="14" t="s">
        <v>934</v>
      </c>
      <c r="E209" s="14" t="s">
        <v>24</v>
      </c>
      <c r="F209" s="14">
        <v>4</v>
      </c>
      <c r="G209" s="14" t="s">
        <v>250</v>
      </c>
      <c r="H209" s="14" t="s">
        <v>19</v>
      </c>
      <c r="I209" s="14" t="s">
        <v>133</v>
      </c>
      <c r="J209" s="13" t="s">
        <v>942</v>
      </c>
      <c r="K209" s="14" t="s">
        <v>64</v>
      </c>
      <c r="L209" s="14" t="s">
        <v>22</v>
      </c>
      <c r="M209" s="14" t="s">
        <v>202</v>
      </c>
      <c r="N209" s="13">
        <v>208</v>
      </c>
      <c r="O209" s="30">
        <v>45765</v>
      </c>
      <c r="P209" s="30">
        <v>45770</v>
      </c>
      <c r="Q209" s="30">
        <v>45776</v>
      </c>
      <c r="R209" s="30">
        <v>45779</v>
      </c>
      <c r="S209" s="23">
        <f t="shared" si="13"/>
        <v>108</v>
      </c>
      <c r="T209" s="23">
        <f t="shared" si="14"/>
        <v>113</v>
      </c>
      <c r="U209" s="23">
        <f t="shared" si="15"/>
        <v>119</v>
      </c>
      <c r="V209" s="23">
        <f t="shared" si="16"/>
        <v>122</v>
      </c>
      <c r="W209" s="14" t="s">
        <v>19</v>
      </c>
      <c r="X209" s="14" t="s">
        <v>133</v>
      </c>
      <c r="Y209" s="14" t="s">
        <v>64</v>
      </c>
      <c r="Z209" s="14" t="s">
        <v>22</v>
      </c>
      <c r="AA209" s="14" t="s">
        <v>234</v>
      </c>
      <c r="AB209" s="14" t="s">
        <v>15</v>
      </c>
      <c r="AC209" s="14" t="s">
        <v>32</v>
      </c>
      <c r="AD209" s="14"/>
      <c r="AE209" s="1">
        <v>0</v>
      </c>
      <c r="AF209" s="1"/>
    </row>
    <row r="210" spans="1:32" x14ac:dyDescent="0.2">
      <c r="A210" s="20" t="s">
        <v>234</v>
      </c>
      <c r="B210" s="20" t="s">
        <v>15</v>
      </c>
      <c r="C210" s="20" t="s">
        <v>42</v>
      </c>
      <c r="D210" s="18" t="s">
        <v>943</v>
      </c>
      <c r="E210" s="20" t="s">
        <v>17</v>
      </c>
      <c r="F210" s="20">
        <v>1</v>
      </c>
      <c r="G210" s="20" t="s">
        <v>251</v>
      </c>
      <c r="H210" s="20" t="s">
        <v>19</v>
      </c>
      <c r="I210" s="20" t="s">
        <v>133</v>
      </c>
      <c r="J210" s="19" t="s">
        <v>944</v>
      </c>
      <c r="K210" s="20" t="s">
        <v>64</v>
      </c>
      <c r="L210" s="20" t="s">
        <v>44</v>
      </c>
      <c r="M210" s="20" t="s">
        <v>169</v>
      </c>
      <c r="N210" s="21">
        <v>209</v>
      </c>
      <c r="O210" s="29">
        <v>45762</v>
      </c>
      <c r="P210" s="29">
        <v>45770</v>
      </c>
      <c r="Q210" s="29">
        <v>45776</v>
      </c>
      <c r="R210" s="29">
        <v>45779</v>
      </c>
      <c r="S210" s="23">
        <f t="shared" si="13"/>
        <v>105</v>
      </c>
      <c r="T210" s="23">
        <f t="shared" si="14"/>
        <v>113</v>
      </c>
      <c r="U210" s="23">
        <f t="shared" si="15"/>
        <v>119</v>
      </c>
      <c r="V210" s="23">
        <f t="shared" si="16"/>
        <v>122</v>
      </c>
      <c r="W210" s="20" t="s">
        <v>19</v>
      </c>
      <c r="X210" s="20" t="s">
        <v>133</v>
      </c>
      <c r="Y210" s="20" t="s">
        <v>64</v>
      </c>
      <c r="Z210" s="20" t="s">
        <v>44</v>
      </c>
      <c r="AA210" s="20" t="s">
        <v>234</v>
      </c>
      <c r="AB210" s="20" t="s">
        <v>15</v>
      </c>
      <c r="AC210" s="20" t="s">
        <v>42</v>
      </c>
      <c r="AD210" s="20"/>
      <c r="AE210" s="2">
        <v>0</v>
      </c>
      <c r="AF210" s="2"/>
    </row>
    <row r="211" spans="1:32" x14ac:dyDescent="0.2">
      <c r="A211" s="20" t="s">
        <v>234</v>
      </c>
      <c r="B211" s="20" t="s">
        <v>15</v>
      </c>
      <c r="C211" s="20" t="s">
        <v>42</v>
      </c>
      <c r="D211" s="18" t="s">
        <v>943</v>
      </c>
      <c r="E211" s="20" t="s">
        <v>24</v>
      </c>
      <c r="F211" s="20">
        <v>1</v>
      </c>
      <c r="G211" s="20" t="s">
        <v>252</v>
      </c>
      <c r="H211" s="20" t="s">
        <v>35</v>
      </c>
      <c r="I211" s="20" t="s">
        <v>133</v>
      </c>
      <c r="J211" s="19" t="s">
        <v>945</v>
      </c>
      <c r="K211" s="20" t="s">
        <v>64</v>
      </c>
      <c r="L211" s="20" t="s">
        <v>44</v>
      </c>
      <c r="M211" s="20" t="s">
        <v>169</v>
      </c>
      <c r="N211" s="21">
        <v>210</v>
      </c>
      <c r="O211" s="29">
        <v>45755</v>
      </c>
      <c r="P211" s="29">
        <v>45762</v>
      </c>
      <c r="Q211" s="29">
        <v>45776</v>
      </c>
      <c r="R211" s="29">
        <v>45779</v>
      </c>
      <c r="S211" s="23">
        <f t="shared" si="13"/>
        <v>98</v>
      </c>
      <c r="T211" s="23">
        <f t="shared" si="14"/>
        <v>105</v>
      </c>
      <c r="U211" s="23">
        <f t="shared" si="15"/>
        <v>119</v>
      </c>
      <c r="V211" s="23">
        <f t="shared" si="16"/>
        <v>122</v>
      </c>
      <c r="W211" s="20" t="s">
        <v>35</v>
      </c>
      <c r="X211" s="20" t="s">
        <v>133</v>
      </c>
      <c r="Y211" s="20" t="s">
        <v>64</v>
      </c>
      <c r="Z211" s="20" t="s">
        <v>44</v>
      </c>
      <c r="AA211" s="20" t="s">
        <v>234</v>
      </c>
      <c r="AB211" s="20" t="s">
        <v>15</v>
      </c>
      <c r="AC211" s="20" t="s">
        <v>42</v>
      </c>
      <c r="AD211" s="20"/>
      <c r="AE211" s="2">
        <v>0</v>
      </c>
      <c r="AF211" s="2"/>
    </row>
    <row r="212" spans="1:32" x14ac:dyDescent="0.2">
      <c r="A212" s="20" t="s">
        <v>234</v>
      </c>
      <c r="B212" s="20" t="s">
        <v>15</v>
      </c>
      <c r="C212" s="20" t="s">
        <v>42</v>
      </c>
      <c r="D212" s="18" t="s">
        <v>943</v>
      </c>
      <c r="E212" s="20" t="s">
        <v>17</v>
      </c>
      <c r="F212" s="20">
        <v>2</v>
      </c>
      <c r="G212" s="20" t="s">
        <v>253</v>
      </c>
      <c r="H212" s="20" t="s">
        <v>35</v>
      </c>
      <c r="I212" s="20" t="s">
        <v>133</v>
      </c>
      <c r="J212" s="19" t="s">
        <v>946</v>
      </c>
      <c r="K212" s="20" t="s">
        <v>64</v>
      </c>
      <c r="L212" s="20" t="s">
        <v>44</v>
      </c>
      <c r="M212" s="20" t="s">
        <v>169</v>
      </c>
      <c r="N212" s="21">
        <v>211</v>
      </c>
      <c r="O212" s="29">
        <v>45765</v>
      </c>
      <c r="P212" s="29">
        <v>45772</v>
      </c>
      <c r="Q212" s="29">
        <v>45779</v>
      </c>
      <c r="R212" s="29">
        <v>45783</v>
      </c>
      <c r="S212" s="23">
        <f t="shared" si="13"/>
        <v>108</v>
      </c>
      <c r="T212" s="23">
        <f t="shared" si="14"/>
        <v>115</v>
      </c>
      <c r="U212" s="23">
        <f t="shared" si="15"/>
        <v>122</v>
      </c>
      <c r="V212" s="23">
        <f t="shared" si="16"/>
        <v>126</v>
      </c>
      <c r="W212" s="20" t="s">
        <v>35</v>
      </c>
      <c r="X212" s="20" t="s">
        <v>133</v>
      </c>
      <c r="Y212" s="20" t="s">
        <v>64</v>
      </c>
      <c r="Z212" s="20" t="s">
        <v>44</v>
      </c>
      <c r="AA212" s="20" t="s">
        <v>234</v>
      </c>
      <c r="AB212" s="20" t="s">
        <v>15</v>
      </c>
      <c r="AC212" s="20" t="s">
        <v>42</v>
      </c>
      <c r="AD212" s="20"/>
      <c r="AE212" s="2">
        <v>0</v>
      </c>
      <c r="AF212" s="2"/>
    </row>
    <row r="213" spans="1:32" x14ac:dyDescent="0.2">
      <c r="A213" s="20" t="s">
        <v>234</v>
      </c>
      <c r="B213" s="20" t="s">
        <v>15</v>
      </c>
      <c r="C213" s="20" t="s">
        <v>42</v>
      </c>
      <c r="D213" s="18" t="s">
        <v>943</v>
      </c>
      <c r="E213" s="20" t="s">
        <v>24</v>
      </c>
      <c r="F213" s="20">
        <v>2</v>
      </c>
      <c r="G213" s="20" t="s">
        <v>254</v>
      </c>
      <c r="H213" s="20" t="s">
        <v>19</v>
      </c>
      <c r="I213" s="20" t="s">
        <v>133</v>
      </c>
      <c r="J213" s="19" t="s">
        <v>947</v>
      </c>
      <c r="K213" s="20" t="s">
        <v>64</v>
      </c>
      <c r="L213" s="20" t="s">
        <v>44</v>
      </c>
      <c r="M213" s="20" t="s">
        <v>169</v>
      </c>
      <c r="N213" s="21">
        <v>212</v>
      </c>
      <c r="O213" s="29">
        <v>45762</v>
      </c>
      <c r="P213" s="29">
        <v>45770</v>
      </c>
      <c r="Q213" s="29">
        <v>45776</v>
      </c>
      <c r="R213" s="29">
        <v>45779</v>
      </c>
      <c r="S213" s="23">
        <f t="shared" si="13"/>
        <v>105</v>
      </c>
      <c r="T213" s="23">
        <f t="shared" si="14"/>
        <v>113</v>
      </c>
      <c r="U213" s="23">
        <f t="shared" si="15"/>
        <v>119</v>
      </c>
      <c r="V213" s="23">
        <f t="shared" si="16"/>
        <v>122</v>
      </c>
      <c r="W213" s="20" t="s">
        <v>19</v>
      </c>
      <c r="X213" s="20" t="s">
        <v>133</v>
      </c>
      <c r="Y213" s="20" t="s">
        <v>64</v>
      </c>
      <c r="Z213" s="20" t="s">
        <v>44</v>
      </c>
      <c r="AA213" s="20" t="s">
        <v>234</v>
      </c>
      <c r="AB213" s="20" t="s">
        <v>15</v>
      </c>
      <c r="AC213" s="20" t="s">
        <v>42</v>
      </c>
      <c r="AD213" s="20"/>
      <c r="AE213" s="2">
        <v>0</v>
      </c>
      <c r="AF213" s="2"/>
    </row>
    <row r="214" spans="1:32" x14ac:dyDescent="0.2">
      <c r="A214" s="20" t="s">
        <v>234</v>
      </c>
      <c r="B214" s="20" t="s">
        <v>15</v>
      </c>
      <c r="C214" s="20" t="s">
        <v>42</v>
      </c>
      <c r="D214" s="18" t="s">
        <v>943</v>
      </c>
      <c r="E214" s="20" t="s">
        <v>17</v>
      </c>
      <c r="F214" s="20">
        <v>3</v>
      </c>
      <c r="G214" s="20" t="s">
        <v>255</v>
      </c>
      <c r="H214" s="20" t="s">
        <v>19</v>
      </c>
      <c r="I214" s="20" t="s">
        <v>133</v>
      </c>
      <c r="J214" s="19" t="s">
        <v>948</v>
      </c>
      <c r="K214" s="20" t="s">
        <v>64</v>
      </c>
      <c r="L214" s="20" t="s">
        <v>44</v>
      </c>
      <c r="M214" s="20" t="s">
        <v>169</v>
      </c>
      <c r="N214" s="21">
        <v>213</v>
      </c>
      <c r="O214" s="29">
        <v>45762</v>
      </c>
      <c r="P214" s="29">
        <v>45770</v>
      </c>
      <c r="Q214" s="29">
        <v>45772</v>
      </c>
      <c r="R214" s="29">
        <v>45779</v>
      </c>
      <c r="S214" s="23">
        <f t="shared" si="13"/>
        <v>105</v>
      </c>
      <c r="T214" s="23">
        <f t="shared" si="14"/>
        <v>113</v>
      </c>
      <c r="U214" s="23">
        <f t="shared" si="15"/>
        <v>115</v>
      </c>
      <c r="V214" s="23">
        <f t="shared" si="16"/>
        <v>122</v>
      </c>
      <c r="W214" s="20" t="s">
        <v>19</v>
      </c>
      <c r="X214" s="20" t="s">
        <v>133</v>
      </c>
      <c r="Y214" s="20" t="s">
        <v>64</v>
      </c>
      <c r="Z214" s="20" t="s">
        <v>44</v>
      </c>
      <c r="AA214" s="20" t="s">
        <v>234</v>
      </c>
      <c r="AB214" s="20" t="s">
        <v>15</v>
      </c>
      <c r="AC214" s="20" t="s">
        <v>42</v>
      </c>
      <c r="AD214" s="20"/>
      <c r="AE214" s="2">
        <v>0</v>
      </c>
      <c r="AF214" s="2"/>
    </row>
    <row r="215" spans="1:32" x14ac:dyDescent="0.2">
      <c r="A215" s="20" t="s">
        <v>234</v>
      </c>
      <c r="B215" s="20" t="s">
        <v>15</v>
      </c>
      <c r="C215" s="20" t="s">
        <v>42</v>
      </c>
      <c r="D215" s="18" t="s">
        <v>943</v>
      </c>
      <c r="E215" s="20" t="s">
        <v>24</v>
      </c>
      <c r="F215" s="20">
        <v>3</v>
      </c>
      <c r="G215" s="20" t="s">
        <v>256</v>
      </c>
      <c r="H215" s="20" t="s">
        <v>35</v>
      </c>
      <c r="I215" s="20" t="s">
        <v>133</v>
      </c>
      <c r="J215" s="19" t="s">
        <v>949</v>
      </c>
      <c r="K215" s="20" t="s">
        <v>64</v>
      </c>
      <c r="L215" s="20" t="s">
        <v>44</v>
      </c>
      <c r="M215" s="20" t="s">
        <v>169</v>
      </c>
      <c r="N215" s="21">
        <v>214</v>
      </c>
      <c r="O215" s="29">
        <v>45751</v>
      </c>
      <c r="P215" s="29">
        <v>45762</v>
      </c>
      <c r="Q215" s="29">
        <v>45772</v>
      </c>
      <c r="R215" s="29">
        <v>45779</v>
      </c>
      <c r="S215" s="23">
        <f t="shared" si="13"/>
        <v>94</v>
      </c>
      <c r="T215" s="23">
        <f t="shared" si="14"/>
        <v>105</v>
      </c>
      <c r="U215" s="23">
        <f t="shared" si="15"/>
        <v>115</v>
      </c>
      <c r="V215" s="23">
        <f t="shared" si="16"/>
        <v>122</v>
      </c>
      <c r="W215" s="20" t="s">
        <v>35</v>
      </c>
      <c r="X215" s="20" t="s">
        <v>133</v>
      </c>
      <c r="Y215" s="20" t="s">
        <v>64</v>
      </c>
      <c r="Z215" s="20" t="s">
        <v>44</v>
      </c>
      <c r="AA215" s="20" t="s">
        <v>234</v>
      </c>
      <c r="AB215" s="20" t="s">
        <v>15</v>
      </c>
      <c r="AC215" s="20" t="s">
        <v>42</v>
      </c>
      <c r="AD215" s="20"/>
      <c r="AE215" s="2">
        <v>0</v>
      </c>
      <c r="AF215" s="2"/>
    </row>
    <row r="216" spans="1:32" x14ac:dyDescent="0.2">
      <c r="A216" s="20" t="s">
        <v>234</v>
      </c>
      <c r="B216" s="20" t="s">
        <v>15</v>
      </c>
      <c r="C216" s="20" t="s">
        <v>42</v>
      </c>
      <c r="D216" s="18" t="s">
        <v>943</v>
      </c>
      <c r="E216" s="20" t="s">
        <v>17</v>
      </c>
      <c r="F216" s="20">
        <v>4</v>
      </c>
      <c r="G216" s="20" t="s">
        <v>257</v>
      </c>
      <c r="H216" s="20" t="s">
        <v>35</v>
      </c>
      <c r="I216" s="20" t="s">
        <v>133</v>
      </c>
      <c r="J216" s="19" t="s">
        <v>950</v>
      </c>
      <c r="K216" s="20" t="s">
        <v>64</v>
      </c>
      <c r="L216" s="20" t="s">
        <v>44</v>
      </c>
      <c r="M216" s="20" t="s">
        <v>169</v>
      </c>
      <c r="N216" s="21">
        <v>215</v>
      </c>
      <c r="O216" s="29">
        <v>45751</v>
      </c>
      <c r="P216" s="29">
        <v>45762</v>
      </c>
      <c r="Q216" s="29">
        <v>45770</v>
      </c>
      <c r="R216" s="29">
        <v>45776</v>
      </c>
      <c r="S216" s="23">
        <f t="shared" si="13"/>
        <v>94</v>
      </c>
      <c r="T216" s="23">
        <f t="shared" si="14"/>
        <v>105</v>
      </c>
      <c r="U216" s="23">
        <f t="shared" si="15"/>
        <v>113</v>
      </c>
      <c r="V216" s="23">
        <f t="shared" si="16"/>
        <v>119</v>
      </c>
      <c r="W216" s="20" t="s">
        <v>35</v>
      </c>
      <c r="X216" s="20" t="s">
        <v>133</v>
      </c>
      <c r="Y216" s="20" t="s">
        <v>64</v>
      </c>
      <c r="Z216" s="20" t="s">
        <v>44</v>
      </c>
      <c r="AA216" s="20" t="s">
        <v>234</v>
      </c>
      <c r="AB216" s="20" t="s">
        <v>15</v>
      </c>
      <c r="AC216" s="20" t="s">
        <v>42</v>
      </c>
      <c r="AD216" s="20"/>
      <c r="AE216" s="2">
        <v>0</v>
      </c>
      <c r="AF216" s="2"/>
    </row>
    <row r="217" spans="1:32" x14ac:dyDescent="0.2">
      <c r="A217" s="20" t="s">
        <v>234</v>
      </c>
      <c r="B217" s="20" t="s">
        <v>15</v>
      </c>
      <c r="C217" s="20" t="s">
        <v>42</v>
      </c>
      <c r="D217" s="18" t="s">
        <v>943</v>
      </c>
      <c r="E217" s="20" t="s">
        <v>24</v>
      </c>
      <c r="F217" s="20">
        <v>4</v>
      </c>
      <c r="G217" s="20" t="s">
        <v>258</v>
      </c>
      <c r="H217" s="20" t="s">
        <v>19</v>
      </c>
      <c r="I217" s="20" t="s">
        <v>133</v>
      </c>
      <c r="J217" s="19" t="s">
        <v>951</v>
      </c>
      <c r="K217" s="20" t="s">
        <v>64</v>
      </c>
      <c r="L217" s="20" t="s">
        <v>44</v>
      </c>
      <c r="M217" s="20" t="s">
        <v>169</v>
      </c>
      <c r="N217" s="21">
        <v>216</v>
      </c>
      <c r="O217" s="29">
        <v>45758</v>
      </c>
      <c r="P217" s="2"/>
      <c r="Q217" s="29">
        <v>45770</v>
      </c>
      <c r="R217" s="29">
        <v>45776</v>
      </c>
      <c r="S217" s="23">
        <f t="shared" si="13"/>
        <v>101</v>
      </c>
      <c r="T217" s="23">
        <f>(U217+S217)/2</f>
        <v>107</v>
      </c>
      <c r="U217" s="23">
        <f t="shared" si="15"/>
        <v>113</v>
      </c>
      <c r="V217" s="23">
        <f t="shared" si="16"/>
        <v>119</v>
      </c>
      <c r="W217" s="20" t="s">
        <v>19</v>
      </c>
      <c r="X217" s="20" t="s">
        <v>133</v>
      </c>
      <c r="Y217" s="20" t="s">
        <v>64</v>
      </c>
      <c r="Z217" s="20" t="s">
        <v>44</v>
      </c>
      <c r="AA217" s="20" t="s">
        <v>234</v>
      </c>
      <c r="AB217" s="20" t="s">
        <v>15</v>
      </c>
      <c r="AC217" s="20" t="s">
        <v>42</v>
      </c>
      <c r="AD217" s="20"/>
      <c r="AE217" s="2">
        <v>0</v>
      </c>
      <c r="AF217" s="2"/>
    </row>
    <row r="218" spans="1:32" x14ac:dyDescent="0.2">
      <c r="A218" s="14" t="s">
        <v>234</v>
      </c>
      <c r="B218" s="14" t="s">
        <v>15</v>
      </c>
      <c r="C218" s="14" t="s">
        <v>53</v>
      </c>
      <c r="D218" s="14" t="s">
        <v>952</v>
      </c>
      <c r="E218" s="14" t="s">
        <v>17</v>
      </c>
      <c r="F218" s="14">
        <v>1</v>
      </c>
      <c r="G218" s="14" t="s">
        <v>259</v>
      </c>
      <c r="H218" s="14" t="s">
        <v>19</v>
      </c>
      <c r="I218" s="14" t="s">
        <v>133</v>
      </c>
      <c r="J218" s="13" t="s">
        <v>953</v>
      </c>
      <c r="K218" s="14" t="s">
        <v>64</v>
      </c>
      <c r="L218" s="14" t="s">
        <v>22</v>
      </c>
      <c r="M218" s="14" t="s">
        <v>202</v>
      </c>
      <c r="N218" s="13">
        <v>217</v>
      </c>
      <c r="O218" s="30">
        <v>45762</v>
      </c>
      <c r="P218" s="1"/>
      <c r="Q218" s="30">
        <v>45770</v>
      </c>
      <c r="R218" s="30">
        <v>45776</v>
      </c>
      <c r="S218" s="23">
        <f t="shared" si="13"/>
        <v>105</v>
      </c>
      <c r="T218" s="23">
        <f>(U218+S218)/2</f>
        <v>109</v>
      </c>
      <c r="U218" s="23">
        <f t="shared" si="15"/>
        <v>113</v>
      </c>
      <c r="V218" s="23">
        <f t="shared" si="16"/>
        <v>119</v>
      </c>
      <c r="W218" s="14" t="s">
        <v>19</v>
      </c>
      <c r="X218" s="14" t="s">
        <v>133</v>
      </c>
      <c r="Y218" s="14" t="s">
        <v>64</v>
      </c>
      <c r="Z218" s="14" t="s">
        <v>22</v>
      </c>
      <c r="AA218" s="14" t="s">
        <v>234</v>
      </c>
      <c r="AB218" s="14" t="s">
        <v>15</v>
      </c>
      <c r="AC218" s="14" t="s">
        <v>53</v>
      </c>
      <c r="AD218" s="14"/>
      <c r="AE218" s="1">
        <v>0</v>
      </c>
      <c r="AF218" s="1"/>
    </row>
    <row r="219" spans="1:32" x14ac:dyDescent="0.2">
      <c r="A219" s="14" t="s">
        <v>234</v>
      </c>
      <c r="B219" s="14" t="s">
        <v>15</v>
      </c>
      <c r="C219" s="14" t="s">
        <v>53</v>
      </c>
      <c r="D219" s="14" t="s">
        <v>952</v>
      </c>
      <c r="E219" s="14" t="s">
        <v>24</v>
      </c>
      <c r="F219" s="14">
        <v>1</v>
      </c>
      <c r="G219" s="14" t="s">
        <v>260</v>
      </c>
      <c r="H219" s="14" t="s">
        <v>35</v>
      </c>
      <c r="I219" s="14" t="s">
        <v>133</v>
      </c>
      <c r="J219" s="13" t="s">
        <v>954</v>
      </c>
      <c r="K219" s="14" t="s">
        <v>64</v>
      </c>
      <c r="L219" s="14" t="s">
        <v>22</v>
      </c>
      <c r="M219" s="14" t="s">
        <v>202</v>
      </c>
      <c r="N219" s="13">
        <v>218</v>
      </c>
      <c r="O219" s="30">
        <v>45762</v>
      </c>
      <c r="P219" s="30">
        <v>45770</v>
      </c>
      <c r="Q219" s="30">
        <v>45776</v>
      </c>
      <c r="R219" s="30">
        <v>45779</v>
      </c>
      <c r="S219" s="23">
        <f t="shared" si="13"/>
        <v>105</v>
      </c>
      <c r="T219" s="23">
        <f t="shared" si="14"/>
        <v>113</v>
      </c>
      <c r="U219" s="23">
        <f t="shared" si="15"/>
        <v>119</v>
      </c>
      <c r="V219" s="23">
        <f t="shared" si="16"/>
        <v>122</v>
      </c>
      <c r="W219" s="14" t="s">
        <v>35</v>
      </c>
      <c r="X219" s="14" t="s">
        <v>133</v>
      </c>
      <c r="Y219" s="14" t="s">
        <v>64</v>
      </c>
      <c r="Z219" s="14" t="s">
        <v>22</v>
      </c>
      <c r="AA219" s="14" t="s">
        <v>234</v>
      </c>
      <c r="AB219" s="14" t="s">
        <v>15</v>
      </c>
      <c r="AC219" s="14" t="s">
        <v>53</v>
      </c>
      <c r="AD219" s="14"/>
      <c r="AE219" s="1">
        <v>0</v>
      </c>
      <c r="AF219" s="1"/>
    </row>
    <row r="220" spans="1:32" x14ac:dyDescent="0.2">
      <c r="A220" s="14" t="s">
        <v>234</v>
      </c>
      <c r="B220" s="14" t="s">
        <v>15</v>
      </c>
      <c r="C220" s="14" t="s">
        <v>53</v>
      </c>
      <c r="D220" s="14" t="s">
        <v>952</v>
      </c>
      <c r="E220" s="14" t="s">
        <v>17</v>
      </c>
      <c r="F220" s="14">
        <v>2</v>
      </c>
      <c r="G220" s="14" t="s">
        <v>261</v>
      </c>
      <c r="H220" s="14" t="s">
        <v>35</v>
      </c>
      <c r="I220" s="14" t="s">
        <v>133</v>
      </c>
      <c r="J220" s="13" t="s">
        <v>955</v>
      </c>
      <c r="K220" s="14" t="s">
        <v>64</v>
      </c>
      <c r="L220" s="14" t="s">
        <v>22</v>
      </c>
      <c r="M220" s="14" t="s">
        <v>202</v>
      </c>
      <c r="N220" s="13">
        <v>219</v>
      </c>
      <c r="O220" s="30">
        <v>45772</v>
      </c>
      <c r="P220" s="30">
        <v>45779</v>
      </c>
      <c r="Q220" s="30">
        <v>45783</v>
      </c>
      <c r="R220" s="30">
        <v>45790</v>
      </c>
      <c r="S220" s="23">
        <f t="shared" si="13"/>
        <v>115</v>
      </c>
      <c r="T220" s="23">
        <f t="shared" si="14"/>
        <v>122</v>
      </c>
      <c r="U220" s="23">
        <f t="shared" si="15"/>
        <v>126</v>
      </c>
      <c r="V220" s="23">
        <f t="shared" si="16"/>
        <v>133</v>
      </c>
      <c r="W220" s="14" t="s">
        <v>35</v>
      </c>
      <c r="X220" s="14" t="s">
        <v>133</v>
      </c>
      <c r="Y220" s="14" t="s">
        <v>64</v>
      </c>
      <c r="Z220" s="14" t="s">
        <v>22</v>
      </c>
      <c r="AA220" s="14" t="s">
        <v>234</v>
      </c>
      <c r="AB220" s="14" t="s">
        <v>15</v>
      </c>
      <c r="AC220" s="14" t="s">
        <v>53</v>
      </c>
      <c r="AD220" s="14"/>
      <c r="AE220" s="1">
        <v>0</v>
      </c>
      <c r="AF220" s="1"/>
    </row>
    <row r="221" spans="1:32" x14ac:dyDescent="0.2">
      <c r="A221" s="14" t="s">
        <v>234</v>
      </c>
      <c r="B221" s="14" t="s">
        <v>15</v>
      </c>
      <c r="C221" s="14" t="s">
        <v>53</v>
      </c>
      <c r="D221" s="14" t="s">
        <v>952</v>
      </c>
      <c r="E221" s="14" t="s">
        <v>24</v>
      </c>
      <c r="F221" s="14">
        <v>2</v>
      </c>
      <c r="G221" s="14" t="s">
        <v>262</v>
      </c>
      <c r="H221" s="14" t="s">
        <v>19</v>
      </c>
      <c r="I221" s="14" t="s">
        <v>133</v>
      </c>
      <c r="J221" s="13" t="s">
        <v>956</v>
      </c>
      <c r="K221" s="14" t="s">
        <v>64</v>
      </c>
      <c r="L221" s="14" t="s">
        <v>22</v>
      </c>
      <c r="M221" s="14" t="s">
        <v>202</v>
      </c>
      <c r="N221" s="13">
        <v>220</v>
      </c>
      <c r="O221" s="30">
        <v>45762</v>
      </c>
      <c r="P221" s="30">
        <v>45772</v>
      </c>
      <c r="Q221" s="30">
        <v>45776</v>
      </c>
      <c r="R221" s="30">
        <v>45779</v>
      </c>
      <c r="S221" s="23">
        <f t="shared" si="13"/>
        <v>105</v>
      </c>
      <c r="T221" s="23">
        <f t="shared" si="14"/>
        <v>115</v>
      </c>
      <c r="U221" s="23">
        <f t="shared" si="15"/>
        <v>119</v>
      </c>
      <c r="V221" s="23">
        <f t="shared" si="16"/>
        <v>122</v>
      </c>
      <c r="W221" s="14" t="s">
        <v>19</v>
      </c>
      <c r="X221" s="14" t="s">
        <v>133</v>
      </c>
      <c r="Y221" s="14" t="s">
        <v>64</v>
      </c>
      <c r="Z221" s="14" t="s">
        <v>22</v>
      </c>
      <c r="AA221" s="14" t="s">
        <v>234</v>
      </c>
      <c r="AB221" s="14" t="s">
        <v>15</v>
      </c>
      <c r="AC221" s="14" t="s">
        <v>53</v>
      </c>
      <c r="AD221" s="14"/>
      <c r="AE221" s="1">
        <v>0</v>
      </c>
      <c r="AF221" s="1"/>
    </row>
    <row r="222" spans="1:32" x14ac:dyDescent="0.2">
      <c r="A222" s="14" t="s">
        <v>234</v>
      </c>
      <c r="B222" s="14" t="s">
        <v>15</v>
      </c>
      <c r="C222" s="14" t="s">
        <v>53</v>
      </c>
      <c r="D222" s="14" t="s">
        <v>952</v>
      </c>
      <c r="E222" s="14" t="s">
        <v>17</v>
      </c>
      <c r="F222" s="14">
        <v>3</v>
      </c>
      <c r="G222" s="14" t="s">
        <v>263</v>
      </c>
      <c r="H222" s="14" t="s">
        <v>19</v>
      </c>
      <c r="I222" s="14" t="s">
        <v>133</v>
      </c>
      <c r="J222" s="13" t="s">
        <v>957</v>
      </c>
      <c r="K222" s="14" t="s">
        <v>64</v>
      </c>
      <c r="L222" s="14" t="s">
        <v>22</v>
      </c>
      <c r="M222" s="14" t="s">
        <v>202</v>
      </c>
      <c r="N222" s="13">
        <v>221</v>
      </c>
      <c r="O222" s="30">
        <v>45762</v>
      </c>
      <c r="P222" s="30">
        <v>45770</v>
      </c>
      <c r="Q222" s="30">
        <v>45776</v>
      </c>
      <c r="R222" s="30">
        <v>45779</v>
      </c>
      <c r="S222" s="23">
        <f t="shared" si="13"/>
        <v>105</v>
      </c>
      <c r="T222" s="23">
        <f t="shared" si="14"/>
        <v>113</v>
      </c>
      <c r="U222" s="23">
        <f t="shared" si="15"/>
        <v>119</v>
      </c>
      <c r="V222" s="23">
        <f t="shared" si="16"/>
        <v>122</v>
      </c>
      <c r="W222" s="14" t="s">
        <v>19</v>
      </c>
      <c r="X222" s="14" t="s">
        <v>133</v>
      </c>
      <c r="Y222" s="14" t="s">
        <v>64</v>
      </c>
      <c r="Z222" s="14" t="s">
        <v>22</v>
      </c>
      <c r="AA222" s="14" t="s">
        <v>234</v>
      </c>
      <c r="AB222" s="14" t="s">
        <v>15</v>
      </c>
      <c r="AC222" s="14" t="s">
        <v>53</v>
      </c>
      <c r="AD222" s="14"/>
      <c r="AE222" s="1">
        <v>0</v>
      </c>
      <c r="AF222" s="1"/>
    </row>
    <row r="223" spans="1:32" x14ac:dyDescent="0.2">
      <c r="A223" s="14" t="s">
        <v>234</v>
      </c>
      <c r="B223" s="14" t="s">
        <v>15</v>
      </c>
      <c r="C223" s="14" t="s">
        <v>53</v>
      </c>
      <c r="D223" s="14" t="s">
        <v>952</v>
      </c>
      <c r="E223" s="14" t="s">
        <v>24</v>
      </c>
      <c r="F223" s="14">
        <v>3</v>
      </c>
      <c r="G223" s="14" t="s">
        <v>264</v>
      </c>
      <c r="H223" s="14" t="s">
        <v>35</v>
      </c>
      <c r="I223" s="14" t="s">
        <v>133</v>
      </c>
      <c r="J223" s="13" t="s">
        <v>958</v>
      </c>
      <c r="K223" s="14" t="s">
        <v>64</v>
      </c>
      <c r="L223" s="14" t="s">
        <v>22</v>
      </c>
      <c r="M223" s="14" t="s">
        <v>202</v>
      </c>
      <c r="N223" s="13">
        <v>222</v>
      </c>
      <c r="O223" s="30">
        <v>45755</v>
      </c>
      <c r="P223" s="30">
        <v>45762</v>
      </c>
      <c r="Q223" s="30">
        <v>45770</v>
      </c>
      <c r="R223" s="30">
        <v>45779</v>
      </c>
      <c r="S223" s="23">
        <f t="shared" si="13"/>
        <v>98</v>
      </c>
      <c r="T223" s="23">
        <f t="shared" si="14"/>
        <v>105</v>
      </c>
      <c r="U223" s="23">
        <f t="shared" si="15"/>
        <v>113</v>
      </c>
      <c r="V223" s="23">
        <f t="shared" si="16"/>
        <v>122</v>
      </c>
      <c r="W223" s="14" t="s">
        <v>35</v>
      </c>
      <c r="X223" s="14" t="s">
        <v>133</v>
      </c>
      <c r="Y223" s="14" t="s">
        <v>64</v>
      </c>
      <c r="Z223" s="14" t="s">
        <v>22</v>
      </c>
      <c r="AA223" s="14" t="s">
        <v>234</v>
      </c>
      <c r="AB223" s="14" t="s">
        <v>15</v>
      </c>
      <c r="AC223" s="14" t="s">
        <v>53</v>
      </c>
      <c r="AD223" s="14"/>
      <c r="AE223" s="1">
        <v>0</v>
      </c>
      <c r="AF223" s="1"/>
    </row>
    <row r="224" spans="1:32" x14ac:dyDescent="0.2">
      <c r="A224" s="14" t="s">
        <v>234</v>
      </c>
      <c r="B224" s="14" t="s">
        <v>15</v>
      </c>
      <c r="C224" s="14" t="s">
        <v>53</v>
      </c>
      <c r="D224" s="14" t="s">
        <v>952</v>
      </c>
      <c r="E224" s="14" t="s">
        <v>17</v>
      </c>
      <c r="F224" s="14">
        <v>4</v>
      </c>
      <c r="G224" s="14" t="s">
        <v>265</v>
      </c>
      <c r="H224" s="14" t="s">
        <v>35</v>
      </c>
      <c r="I224" s="14" t="s">
        <v>133</v>
      </c>
      <c r="J224" s="13" t="s">
        <v>959</v>
      </c>
      <c r="K224" s="14" t="s">
        <v>64</v>
      </c>
      <c r="L224" s="14" t="s">
        <v>22</v>
      </c>
      <c r="M224" s="14" t="s">
        <v>202</v>
      </c>
      <c r="N224" s="13">
        <v>223</v>
      </c>
      <c r="O224" s="30">
        <v>45751</v>
      </c>
      <c r="P224" s="30">
        <v>45755</v>
      </c>
      <c r="Q224" s="30">
        <v>45758</v>
      </c>
      <c r="R224" s="30">
        <v>45772</v>
      </c>
      <c r="S224" s="23">
        <f t="shared" si="13"/>
        <v>94</v>
      </c>
      <c r="T224" s="23">
        <f t="shared" si="14"/>
        <v>98</v>
      </c>
      <c r="U224" s="23">
        <f t="shared" si="15"/>
        <v>101</v>
      </c>
      <c r="V224" s="23">
        <f t="shared" si="16"/>
        <v>115</v>
      </c>
      <c r="W224" s="14" t="s">
        <v>35</v>
      </c>
      <c r="X224" s="14" t="s">
        <v>133</v>
      </c>
      <c r="Y224" s="14" t="s">
        <v>64</v>
      </c>
      <c r="Z224" s="14" t="s">
        <v>22</v>
      </c>
      <c r="AA224" s="14" t="s">
        <v>234</v>
      </c>
      <c r="AB224" s="14" t="s">
        <v>15</v>
      </c>
      <c r="AC224" s="14" t="s">
        <v>53</v>
      </c>
      <c r="AD224" s="14"/>
      <c r="AE224" s="1">
        <v>0</v>
      </c>
      <c r="AF224" s="1"/>
    </row>
    <row r="225" spans="1:32" x14ac:dyDescent="0.2">
      <c r="A225" s="14" t="s">
        <v>234</v>
      </c>
      <c r="B225" s="14" t="s">
        <v>15</v>
      </c>
      <c r="C225" s="14" t="s">
        <v>53</v>
      </c>
      <c r="D225" s="14" t="s">
        <v>952</v>
      </c>
      <c r="E225" s="14" t="s">
        <v>24</v>
      </c>
      <c r="F225" s="14">
        <v>4</v>
      </c>
      <c r="G225" s="14" t="s">
        <v>266</v>
      </c>
      <c r="H225" s="14" t="s">
        <v>19</v>
      </c>
      <c r="I225" s="14" t="s">
        <v>133</v>
      </c>
      <c r="J225" s="13" t="s">
        <v>960</v>
      </c>
      <c r="K225" s="14" t="s">
        <v>64</v>
      </c>
      <c r="L225" s="14" t="s">
        <v>22</v>
      </c>
      <c r="M225" s="14" t="s">
        <v>202</v>
      </c>
      <c r="N225" s="13">
        <v>224</v>
      </c>
      <c r="O225" s="30">
        <v>45762</v>
      </c>
      <c r="P225" s="30">
        <v>45770</v>
      </c>
      <c r="Q225" s="30">
        <v>45772</v>
      </c>
      <c r="R225" s="30">
        <v>45779</v>
      </c>
      <c r="S225" s="23">
        <f t="shared" si="13"/>
        <v>105</v>
      </c>
      <c r="T225" s="23">
        <f t="shared" si="14"/>
        <v>113</v>
      </c>
      <c r="U225" s="23">
        <f t="shared" si="15"/>
        <v>115</v>
      </c>
      <c r="V225" s="23">
        <f t="shared" si="16"/>
        <v>122</v>
      </c>
      <c r="W225" s="14" t="s">
        <v>19</v>
      </c>
      <c r="X225" s="14" t="s">
        <v>133</v>
      </c>
      <c r="Y225" s="14" t="s">
        <v>64</v>
      </c>
      <c r="Z225" s="14" t="s">
        <v>22</v>
      </c>
      <c r="AA225" s="14" t="s">
        <v>234</v>
      </c>
      <c r="AB225" s="14" t="s">
        <v>15</v>
      </c>
      <c r="AC225" s="14" t="s">
        <v>53</v>
      </c>
      <c r="AD225" s="14"/>
      <c r="AE225" s="1">
        <v>0</v>
      </c>
      <c r="AF225" s="1"/>
    </row>
    <row r="226" spans="1:32" x14ac:dyDescent="0.2">
      <c r="A226" s="20" t="s">
        <v>234</v>
      </c>
      <c r="B226" s="20" t="s">
        <v>62</v>
      </c>
      <c r="C226" s="20" t="s">
        <v>16</v>
      </c>
      <c r="D226" s="18" t="s">
        <v>961</v>
      </c>
      <c r="E226" s="20" t="s">
        <v>17</v>
      </c>
      <c r="F226" s="20">
        <v>1</v>
      </c>
      <c r="G226" s="20" t="s">
        <v>267</v>
      </c>
      <c r="H226" s="20" t="s">
        <v>19</v>
      </c>
      <c r="I226" s="20" t="s">
        <v>133</v>
      </c>
      <c r="J226" s="19" t="s">
        <v>962</v>
      </c>
      <c r="K226" s="20" t="s">
        <v>21</v>
      </c>
      <c r="L226" s="20" t="s">
        <v>44</v>
      </c>
      <c r="M226" s="20" t="s">
        <v>143</v>
      </c>
      <c r="N226" s="21">
        <v>225</v>
      </c>
      <c r="O226" s="29">
        <v>45772</v>
      </c>
      <c r="P226" s="29">
        <v>45776</v>
      </c>
      <c r="Q226" s="29">
        <v>45779</v>
      </c>
      <c r="R226" s="29">
        <v>45783</v>
      </c>
      <c r="S226" s="23">
        <f t="shared" si="13"/>
        <v>115</v>
      </c>
      <c r="T226" s="23">
        <f t="shared" si="14"/>
        <v>119</v>
      </c>
      <c r="U226" s="23">
        <f t="shared" si="15"/>
        <v>122</v>
      </c>
      <c r="V226" s="23">
        <f t="shared" si="16"/>
        <v>126</v>
      </c>
      <c r="W226" s="20" t="s">
        <v>19</v>
      </c>
      <c r="X226" s="20" t="s">
        <v>133</v>
      </c>
      <c r="Y226" s="20" t="s">
        <v>21</v>
      </c>
      <c r="Z226" s="20" t="s">
        <v>44</v>
      </c>
      <c r="AA226" s="20" t="s">
        <v>234</v>
      </c>
      <c r="AB226" s="20" t="s">
        <v>62</v>
      </c>
      <c r="AC226" s="20" t="s">
        <v>16</v>
      </c>
      <c r="AD226" s="20"/>
      <c r="AE226" s="2">
        <v>0</v>
      </c>
      <c r="AF226" s="2"/>
    </row>
    <row r="227" spans="1:32" x14ac:dyDescent="0.2">
      <c r="A227" s="20" t="s">
        <v>234</v>
      </c>
      <c r="B227" s="20" t="s">
        <v>62</v>
      </c>
      <c r="C227" s="20" t="s">
        <v>16</v>
      </c>
      <c r="D227" s="18" t="s">
        <v>961</v>
      </c>
      <c r="E227" s="20" t="s">
        <v>24</v>
      </c>
      <c r="F227" s="20">
        <v>1</v>
      </c>
      <c r="G227" s="20" t="s">
        <v>268</v>
      </c>
      <c r="H227" s="20" t="s">
        <v>19</v>
      </c>
      <c r="I227" s="20" t="s">
        <v>133</v>
      </c>
      <c r="J227" s="19" t="s">
        <v>963</v>
      </c>
      <c r="K227" s="20" t="s">
        <v>21</v>
      </c>
      <c r="L227" s="20" t="s">
        <v>44</v>
      </c>
      <c r="M227" s="20" t="s">
        <v>143</v>
      </c>
      <c r="N227" s="21">
        <v>226</v>
      </c>
      <c r="O227" s="29">
        <v>45762</v>
      </c>
      <c r="P227" s="29">
        <v>45772</v>
      </c>
      <c r="Q227" s="29">
        <v>45776</v>
      </c>
      <c r="R227" s="29">
        <v>45779</v>
      </c>
      <c r="S227" s="23">
        <f t="shared" si="13"/>
        <v>105</v>
      </c>
      <c r="T227" s="23">
        <f t="shared" si="14"/>
        <v>115</v>
      </c>
      <c r="U227" s="23">
        <f t="shared" si="15"/>
        <v>119</v>
      </c>
      <c r="V227" s="23">
        <f t="shared" si="16"/>
        <v>122</v>
      </c>
      <c r="W227" s="20" t="s">
        <v>19</v>
      </c>
      <c r="X227" s="20" t="s">
        <v>133</v>
      </c>
      <c r="Y227" s="20" t="s">
        <v>21</v>
      </c>
      <c r="Z227" s="20" t="s">
        <v>44</v>
      </c>
      <c r="AA227" s="20" t="s">
        <v>234</v>
      </c>
      <c r="AB227" s="20" t="s">
        <v>62</v>
      </c>
      <c r="AC227" s="20" t="s">
        <v>16</v>
      </c>
      <c r="AD227" s="20"/>
      <c r="AE227" s="2">
        <v>0</v>
      </c>
      <c r="AF227" s="2"/>
    </row>
    <row r="228" spans="1:32" x14ac:dyDescent="0.2">
      <c r="A228" s="20" t="s">
        <v>234</v>
      </c>
      <c r="B228" s="20" t="s">
        <v>62</v>
      </c>
      <c r="C228" s="20" t="s">
        <v>16</v>
      </c>
      <c r="D228" s="18" t="s">
        <v>961</v>
      </c>
      <c r="E228" s="20" t="s">
        <v>17</v>
      </c>
      <c r="F228" s="20">
        <v>2</v>
      </c>
      <c r="G228" s="20" t="s">
        <v>269</v>
      </c>
      <c r="H228" s="20" t="s">
        <v>19</v>
      </c>
      <c r="I228" s="20" t="s">
        <v>133</v>
      </c>
      <c r="J228" s="19" t="s">
        <v>964</v>
      </c>
      <c r="K228" s="20" t="s">
        <v>21</v>
      </c>
      <c r="L228" s="20" t="s">
        <v>44</v>
      </c>
      <c r="M228" s="20" t="s">
        <v>143</v>
      </c>
      <c r="N228" s="21">
        <v>227</v>
      </c>
      <c r="O228" s="29">
        <v>45762</v>
      </c>
      <c r="P228" s="29">
        <v>45765</v>
      </c>
      <c r="Q228" s="29">
        <v>45770</v>
      </c>
      <c r="R228" s="29">
        <v>45772</v>
      </c>
      <c r="S228" s="23">
        <f t="shared" si="13"/>
        <v>105</v>
      </c>
      <c r="T228" s="23">
        <f t="shared" si="14"/>
        <v>108</v>
      </c>
      <c r="U228" s="23">
        <f t="shared" si="15"/>
        <v>113</v>
      </c>
      <c r="V228" s="23">
        <f t="shared" si="16"/>
        <v>115</v>
      </c>
      <c r="W228" s="20" t="s">
        <v>19</v>
      </c>
      <c r="X228" s="20" t="s">
        <v>133</v>
      </c>
      <c r="Y228" s="20" t="s">
        <v>21</v>
      </c>
      <c r="Z228" s="20" t="s">
        <v>44</v>
      </c>
      <c r="AA228" s="20" t="s">
        <v>234</v>
      </c>
      <c r="AB228" s="20" t="s">
        <v>62</v>
      </c>
      <c r="AC228" s="20" t="s">
        <v>16</v>
      </c>
      <c r="AD228" s="20"/>
      <c r="AE228" s="2">
        <v>0</v>
      </c>
      <c r="AF228" s="2"/>
    </row>
    <row r="229" spans="1:32" x14ac:dyDescent="0.2">
      <c r="A229" s="20" t="s">
        <v>234</v>
      </c>
      <c r="B229" s="20" t="s">
        <v>62</v>
      </c>
      <c r="C229" s="20" t="s">
        <v>16</v>
      </c>
      <c r="D229" s="18" t="s">
        <v>961</v>
      </c>
      <c r="E229" s="20" t="s">
        <v>24</v>
      </c>
      <c r="F229" s="20">
        <v>2</v>
      </c>
      <c r="G229" s="20" t="s">
        <v>270</v>
      </c>
      <c r="H229" s="20" t="s">
        <v>19</v>
      </c>
      <c r="I229" s="20" t="s">
        <v>133</v>
      </c>
      <c r="J229" s="19" t="s">
        <v>965</v>
      </c>
      <c r="K229" s="20" t="s">
        <v>21</v>
      </c>
      <c r="L229" s="20" t="s">
        <v>44</v>
      </c>
      <c r="M229" s="20" t="s">
        <v>143</v>
      </c>
      <c r="N229" s="21">
        <v>228</v>
      </c>
      <c r="O229" s="29">
        <v>45770</v>
      </c>
      <c r="P229" s="29">
        <v>45772</v>
      </c>
      <c r="Q229" s="29">
        <v>45779</v>
      </c>
      <c r="R229" s="29">
        <v>45783</v>
      </c>
      <c r="S229" s="23">
        <f t="shared" si="13"/>
        <v>113</v>
      </c>
      <c r="T229" s="23">
        <f t="shared" si="14"/>
        <v>115</v>
      </c>
      <c r="U229" s="23">
        <f t="shared" si="15"/>
        <v>122</v>
      </c>
      <c r="V229" s="23">
        <f t="shared" si="16"/>
        <v>126</v>
      </c>
      <c r="W229" s="20" t="s">
        <v>19</v>
      </c>
      <c r="X229" s="20" t="s">
        <v>133</v>
      </c>
      <c r="Y229" s="20" t="s">
        <v>21</v>
      </c>
      <c r="Z229" s="20" t="s">
        <v>44</v>
      </c>
      <c r="AA229" s="20" t="s">
        <v>234</v>
      </c>
      <c r="AB229" s="20" t="s">
        <v>62</v>
      </c>
      <c r="AC229" s="20" t="s">
        <v>16</v>
      </c>
      <c r="AD229" s="20"/>
      <c r="AE229" s="2">
        <v>0</v>
      </c>
      <c r="AF229" s="2"/>
    </row>
    <row r="230" spans="1:32" x14ac:dyDescent="0.2">
      <c r="A230" s="20" t="s">
        <v>234</v>
      </c>
      <c r="B230" s="20" t="s">
        <v>62</v>
      </c>
      <c r="C230" s="20" t="s">
        <v>16</v>
      </c>
      <c r="D230" s="18" t="s">
        <v>961</v>
      </c>
      <c r="E230" s="20" t="s">
        <v>17</v>
      </c>
      <c r="F230" s="20">
        <v>3</v>
      </c>
      <c r="G230" s="20" t="s">
        <v>271</v>
      </c>
      <c r="H230" s="20" t="s">
        <v>19</v>
      </c>
      <c r="I230" s="20" t="s">
        <v>133</v>
      </c>
      <c r="J230" s="19" t="s">
        <v>966</v>
      </c>
      <c r="K230" s="20" t="s">
        <v>21</v>
      </c>
      <c r="L230" s="20" t="s">
        <v>44</v>
      </c>
      <c r="M230" s="20" t="s">
        <v>143</v>
      </c>
      <c r="N230" s="21">
        <v>229</v>
      </c>
      <c r="O230" s="29">
        <v>45762</v>
      </c>
      <c r="P230" s="29">
        <v>45770</v>
      </c>
      <c r="Q230" s="29">
        <v>45772</v>
      </c>
      <c r="R230" s="29">
        <v>45779</v>
      </c>
      <c r="S230" s="23">
        <f t="shared" si="13"/>
        <v>105</v>
      </c>
      <c r="T230" s="23">
        <f t="shared" si="14"/>
        <v>113</v>
      </c>
      <c r="U230" s="23">
        <f t="shared" si="15"/>
        <v>115</v>
      </c>
      <c r="V230" s="23">
        <f t="shared" si="16"/>
        <v>122</v>
      </c>
      <c r="W230" s="20" t="s">
        <v>19</v>
      </c>
      <c r="X230" s="20" t="s">
        <v>133</v>
      </c>
      <c r="Y230" s="20" t="s">
        <v>21</v>
      </c>
      <c r="Z230" s="20" t="s">
        <v>44</v>
      </c>
      <c r="AA230" s="20" t="s">
        <v>234</v>
      </c>
      <c r="AB230" s="20" t="s">
        <v>62</v>
      </c>
      <c r="AC230" s="20" t="s">
        <v>16</v>
      </c>
      <c r="AD230" s="20"/>
      <c r="AE230" s="2">
        <v>0</v>
      </c>
      <c r="AF230" s="2"/>
    </row>
    <row r="231" spans="1:32" x14ac:dyDescent="0.2">
      <c r="A231" s="20" t="s">
        <v>234</v>
      </c>
      <c r="B231" s="20" t="s">
        <v>62</v>
      </c>
      <c r="C231" s="20" t="s">
        <v>16</v>
      </c>
      <c r="D231" s="18" t="s">
        <v>961</v>
      </c>
      <c r="E231" s="20" t="s">
        <v>24</v>
      </c>
      <c r="F231" s="20">
        <v>3</v>
      </c>
      <c r="G231" s="20" t="s">
        <v>272</v>
      </c>
      <c r="H231" s="20" t="s">
        <v>19</v>
      </c>
      <c r="I231" s="20" t="s">
        <v>133</v>
      </c>
      <c r="J231" s="19" t="s">
        <v>967</v>
      </c>
      <c r="K231" s="20" t="s">
        <v>21</v>
      </c>
      <c r="L231" s="20" t="s">
        <v>44</v>
      </c>
      <c r="M231" s="20" t="s">
        <v>143</v>
      </c>
      <c r="N231" s="21">
        <v>230</v>
      </c>
      <c r="O231" s="29">
        <v>45762</v>
      </c>
      <c r="P231" s="29">
        <v>45765</v>
      </c>
      <c r="Q231" s="29">
        <v>45770</v>
      </c>
      <c r="R231" s="29">
        <v>45776</v>
      </c>
      <c r="S231" s="23">
        <f t="shared" si="13"/>
        <v>105</v>
      </c>
      <c r="T231" s="23">
        <f t="shared" si="14"/>
        <v>108</v>
      </c>
      <c r="U231" s="23">
        <f t="shared" si="15"/>
        <v>113</v>
      </c>
      <c r="V231" s="23">
        <f t="shared" si="16"/>
        <v>119</v>
      </c>
      <c r="W231" s="20" t="s">
        <v>19</v>
      </c>
      <c r="X231" s="20" t="s">
        <v>133</v>
      </c>
      <c r="Y231" s="20" t="s">
        <v>21</v>
      </c>
      <c r="Z231" s="20" t="s">
        <v>44</v>
      </c>
      <c r="AA231" s="20" t="s">
        <v>234</v>
      </c>
      <c r="AB231" s="20" t="s">
        <v>62</v>
      </c>
      <c r="AC231" s="20" t="s">
        <v>16</v>
      </c>
      <c r="AD231" s="20"/>
      <c r="AE231" s="2">
        <v>0</v>
      </c>
      <c r="AF231" s="2"/>
    </row>
    <row r="232" spans="1:32" x14ac:dyDescent="0.2">
      <c r="A232" s="20" t="s">
        <v>234</v>
      </c>
      <c r="B232" s="20" t="s">
        <v>62</v>
      </c>
      <c r="C232" s="20" t="s">
        <v>16</v>
      </c>
      <c r="D232" s="18" t="s">
        <v>961</v>
      </c>
      <c r="E232" s="20" t="s">
        <v>17</v>
      </c>
      <c r="F232" s="20">
        <v>4</v>
      </c>
      <c r="G232" s="20" t="s">
        <v>273</v>
      </c>
      <c r="H232" s="20" t="s">
        <v>19</v>
      </c>
      <c r="I232" s="20" t="s">
        <v>133</v>
      </c>
      <c r="J232" s="19" t="s">
        <v>968</v>
      </c>
      <c r="K232" s="20" t="s">
        <v>21</v>
      </c>
      <c r="L232" s="20" t="s">
        <v>44</v>
      </c>
      <c r="M232" s="20" t="s">
        <v>143</v>
      </c>
      <c r="N232" s="21">
        <v>231</v>
      </c>
      <c r="O232" s="29">
        <v>45758</v>
      </c>
      <c r="P232" s="29">
        <v>45762</v>
      </c>
      <c r="Q232" s="29">
        <v>45765</v>
      </c>
      <c r="R232" s="29">
        <v>45772</v>
      </c>
      <c r="S232" s="23">
        <f t="shared" si="13"/>
        <v>101</v>
      </c>
      <c r="T232" s="23">
        <f t="shared" si="14"/>
        <v>105</v>
      </c>
      <c r="U232" s="23">
        <f t="shared" si="15"/>
        <v>108</v>
      </c>
      <c r="V232" s="23">
        <f t="shared" si="16"/>
        <v>115</v>
      </c>
      <c r="W232" s="20" t="s">
        <v>19</v>
      </c>
      <c r="X232" s="20" t="s">
        <v>133</v>
      </c>
      <c r="Y232" s="20" t="s">
        <v>21</v>
      </c>
      <c r="Z232" s="20" t="s">
        <v>44</v>
      </c>
      <c r="AA232" s="20" t="s">
        <v>234</v>
      </c>
      <c r="AB232" s="20" t="s">
        <v>62</v>
      </c>
      <c r="AC232" s="20" t="s">
        <v>16</v>
      </c>
      <c r="AD232" s="20"/>
      <c r="AE232" s="2">
        <v>0</v>
      </c>
      <c r="AF232" s="2"/>
    </row>
    <row r="233" spans="1:32" x14ac:dyDescent="0.2">
      <c r="A233" s="20" t="s">
        <v>234</v>
      </c>
      <c r="B233" s="20" t="s">
        <v>62</v>
      </c>
      <c r="C233" s="20" t="s">
        <v>16</v>
      </c>
      <c r="D233" s="18" t="s">
        <v>961</v>
      </c>
      <c r="E233" s="20" t="s">
        <v>24</v>
      </c>
      <c r="F233" s="20">
        <v>4</v>
      </c>
      <c r="G233" s="20" t="s">
        <v>274</v>
      </c>
      <c r="H233" s="20" t="s">
        <v>19</v>
      </c>
      <c r="I233" s="20" t="s">
        <v>133</v>
      </c>
      <c r="J233" s="19" t="s">
        <v>969</v>
      </c>
      <c r="K233" s="20" t="s">
        <v>21</v>
      </c>
      <c r="L233" s="20" t="s">
        <v>44</v>
      </c>
      <c r="M233" s="20" t="s">
        <v>143</v>
      </c>
      <c r="N233" s="21">
        <v>232</v>
      </c>
      <c r="O233" s="29">
        <v>45762</v>
      </c>
      <c r="P233" s="29">
        <v>45765</v>
      </c>
      <c r="Q233" s="29">
        <v>45770</v>
      </c>
      <c r="R233" s="29">
        <v>45776</v>
      </c>
      <c r="S233" s="23">
        <f t="shared" si="13"/>
        <v>105</v>
      </c>
      <c r="T233" s="23">
        <f t="shared" si="14"/>
        <v>108</v>
      </c>
      <c r="U233" s="23">
        <f t="shared" si="15"/>
        <v>113</v>
      </c>
      <c r="V233" s="23">
        <f t="shared" si="16"/>
        <v>119</v>
      </c>
      <c r="W233" s="20" t="s">
        <v>19</v>
      </c>
      <c r="X233" s="20" t="s">
        <v>133</v>
      </c>
      <c r="Y233" s="20" t="s">
        <v>21</v>
      </c>
      <c r="Z233" s="20" t="s">
        <v>44</v>
      </c>
      <c r="AA233" s="20" t="s">
        <v>234</v>
      </c>
      <c r="AB233" s="20" t="s">
        <v>62</v>
      </c>
      <c r="AC233" s="20" t="s">
        <v>16</v>
      </c>
      <c r="AD233" s="20"/>
      <c r="AE233" s="2">
        <v>0</v>
      </c>
      <c r="AF233" s="2"/>
    </row>
    <row r="234" spans="1:32" x14ac:dyDescent="0.2">
      <c r="A234" s="14" t="s">
        <v>234</v>
      </c>
      <c r="B234" s="14" t="s">
        <v>62</v>
      </c>
      <c r="C234" s="14" t="s">
        <v>32</v>
      </c>
      <c r="D234" s="14" t="s">
        <v>970</v>
      </c>
      <c r="E234" s="14" t="s">
        <v>17</v>
      </c>
      <c r="F234" s="14">
        <v>1</v>
      </c>
      <c r="G234" s="14" t="s">
        <v>275</v>
      </c>
      <c r="H234" s="14" t="s">
        <v>19</v>
      </c>
      <c r="I234" s="14" t="s">
        <v>133</v>
      </c>
      <c r="J234" s="13" t="s">
        <v>971</v>
      </c>
      <c r="K234" s="14" t="s">
        <v>21</v>
      </c>
      <c r="L234" s="14" t="s">
        <v>44</v>
      </c>
      <c r="M234" s="14" t="s">
        <v>143</v>
      </c>
      <c r="N234" s="13">
        <v>233</v>
      </c>
      <c r="O234" s="30">
        <v>45765</v>
      </c>
      <c r="P234" s="30">
        <v>45776</v>
      </c>
      <c r="Q234" s="30">
        <v>45779</v>
      </c>
      <c r="R234" s="30">
        <v>45783</v>
      </c>
      <c r="S234" s="23">
        <f t="shared" si="13"/>
        <v>108</v>
      </c>
      <c r="T234" s="23">
        <f t="shared" si="14"/>
        <v>119</v>
      </c>
      <c r="U234" s="23">
        <f t="shared" si="15"/>
        <v>122</v>
      </c>
      <c r="V234" s="23">
        <f t="shared" si="16"/>
        <v>126</v>
      </c>
      <c r="W234" s="14" t="s">
        <v>19</v>
      </c>
      <c r="X234" s="14" t="s">
        <v>133</v>
      </c>
      <c r="Y234" s="14" t="s">
        <v>21</v>
      </c>
      <c r="Z234" s="14" t="s">
        <v>44</v>
      </c>
      <c r="AA234" s="14" t="s">
        <v>234</v>
      </c>
      <c r="AB234" s="14" t="s">
        <v>62</v>
      </c>
      <c r="AC234" s="14" t="s">
        <v>32</v>
      </c>
      <c r="AD234" s="14"/>
      <c r="AE234" s="1">
        <v>0</v>
      </c>
      <c r="AF234" s="1"/>
    </row>
    <row r="235" spans="1:32" x14ac:dyDescent="0.2">
      <c r="A235" s="14" t="s">
        <v>234</v>
      </c>
      <c r="B235" s="14" t="s">
        <v>62</v>
      </c>
      <c r="C235" s="14" t="s">
        <v>32</v>
      </c>
      <c r="D235" s="14" t="s">
        <v>970</v>
      </c>
      <c r="E235" s="14" t="s">
        <v>24</v>
      </c>
      <c r="F235" s="14">
        <v>1</v>
      </c>
      <c r="G235" s="14" t="s">
        <v>276</v>
      </c>
      <c r="H235" s="14" t="s">
        <v>35</v>
      </c>
      <c r="I235" s="14" t="s">
        <v>133</v>
      </c>
      <c r="J235" s="13" t="s">
        <v>972</v>
      </c>
      <c r="K235" s="14" t="s">
        <v>21</v>
      </c>
      <c r="L235" s="14" t="s">
        <v>44</v>
      </c>
      <c r="M235" s="14" t="s">
        <v>143</v>
      </c>
      <c r="N235" s="13">
        <v>234</v>
      </c>
      <c r="O235" s="30">
        <v>45762</v>
      </c>
      <c r="P235" s="30">
        <v>45772</v>
      </c>
      <c r="Q235" s="30">
        <v>45779</v>
      </c>
      <c r="R235" s="30">
        <v>45783</v>
      </c>
      <c r="S235" s="23">
        <f t="shared" si="13"/>
        <v>105</v>
      </c>
      <c r="T235" s="23">
        <f t="shared" si="14"/>
        <v>115</v>
      </c>
      <c r="U235" s="23">
        <f t="shared" si="15"/>
        <v>122</v>
      </c>
      <c r="V235" s="23">
        <f t="shared" si="16"/>
        <v>126</v>
      </c>
      <c r="W235" s="14" t="s">
        <v>35</v>
      </c>
      <c r="X235" s="14" t="s">
        <v>133</v>
      </c>
      <c r="Y235" s="14" t="s">
        <v>21</v>
      </c>
      <c r="Z235" s="14" t="s">
        <v>44</v>
      </c>
      <c r="AA235" s="14" t="s">
        <v>234</v>
      </c>
      <c r="AB235" s="14" t="s">
        <v>62</v>
      </c>
      <c r="AC235" s="14" t="s">
        <v>32</v>
      </c>
      <c r="AD235" s="14"/>
      <c r="AE235" s="1">
        <v>0</v>
      </c>
      <c r="AF235" s="1"/>
    </row>
    <row r="236" spans="1:32" x14ac:dyDescent="0.2">
      <c r="A236" s="14" t="s">
        <v>234</v>
      </c>
      <c r="B236" s="14" t="s">
        <v>62</v>
      </c>
      <c r="C236" s="14" t="s">
        <v>32</v>
      </c>
      <c r="D236" s="14" t="s">
        <v>970</v>
      </c>
      <c r="E236" s="14" t="s">
        <v>17</v>
      </c>
      <c r="F236" s="14">
        <v>2</v>
      </c>
      <c r="G236" s="14" t="s">
        <v>277</v>
      </c>
      <c r="H236" s="14" t="s">
        <v>35</v>
      </c>
      <c r="I236" s="14" t="s">
        <v>133</v>
      </c>
      <c r="J236" s="13" t="s">
        <v>973</v>
      </c>
      <c r="K236" s="14" t="s">
        <v>21</v>
      </c>
      <c r="L236" s="14" t="s">
        <v>44</v>
      </c>
      <c r="M236" s="14" t="s">
        <v>143</v>
      </c>
      <c r="N236" s="13">
        <v>235</v>
      </c>
      <c r="O236" s="30">
        <v>45770</v>
      </c>
      <c r="P236" s="30">
        <v>45779</v>
      </c>
      <c r="Q236" s="1"/>
      <c r="R236" s="30">
        <v>45783</v>
      </c>
      <c r="S236" s="23">
        <f t="shared" si="13"/>
        <v>113</v>
      </c>
      <c r="T236" s="23">
        <f t="shared" si="14"/>
        <v>122</v>
      </c>
      <c r="U236" s="23">
        <f>(V236+T236)/2</f>
        <v>124</v>
      </c>
      <c r="V236" s="23">
        <f t="shared" si="16"/>
        <v>126</v>
      </c>
      <c r="W236" s="14" t="s">
        <v>35</v>
      </c>
      <c r="X236" s="14" t="s">
        <v>133</v>
      </c>
      <c r="Y236" s="14" t="s">
        <v>21</v>
      </c>
      <c r="Z236" s="14" t="s">
        <v>44</v>
      </c>
      <c r="AA236" s="14" t="s">
        <v>234</v>
      </c>
      <c r="AB236" s="14" t="s">
        <v>62</v>
      </c>
      <c r="AC236" s="14" t="s">
        <v>32</v>
      </c>
      <c r="AD236" s="14"/>
      <c r="AE236" s="1">
        <v>0</v>
      </c>
      <c r="AF236" s="1"/>
    </row>
    <row r="237" spans="1:32" x14ac:dyDescent="0.2">
      <c r="A237" s="14" t="s">
        <v>234</v>
      </c>
      <c r="B237" s="14" t="s">
        <v>62</v>
      </c>
      <c r="C237" s="14" t="s">
        <v>32</v>
      </c>
      <c r="D237" s="14" t="s">
        <v>970</v>
      </c>
      <c r="E237" s="14" t="s">
        <v>24</v>
      </c>
      <c r="F237" s="14">
        <v>2</v>
      </c>
      <c r="G237" s="14" t="s">
        <v>278</v>
      </c>
      <c r="H237" s="14" t="s">
        <v>19</v>
      </c>
      <c r="I237" s="14" t="s">
        <v>133</v>
      </c>
      <c r="J237" s="13" t="s">
        <v>974</v>
      </c>
      <c r="K237" s="14" t="s">
        <v>21</v>
      </c>
      <c r="L237" s="14" t="s">
        <v>44</v>
      </c>
      <c r="M237" s="14" t="s">
        <v>143</v>
      </c>
      <c r="N237" s="13">
        <v>236</v>
      </c>
      <c r="O237" s="30">
        <v>45762</v>
      </c>
      <c r="P237" s="30">
        <v>45772</v>
      </c>
      <c r="Q237" s="30">
        <v>45776</v>
      </c>
      <c r="R237" s="30">
        <v>45779</v>
      </c>
      <c r="S237" s="23">
        <f t="shared" si="13"/>
        <v>105</v>
      </c>
      <c r="T237" s="23">
        <f t="shared" si="14"/>
        <v>115</v>
      </c>
      <c r="U237" s="23">
        <f t="shared" si="15"/>
        <v>119</v>
      </c>
      <c r="V237" s="23">
        <f t="shared" si="16"/>
        <v>122</v>
      </c>
      <c r="W237" s="14" t="s">
        <v>19</v>
      </c>
      <c r="X237" s="14" t="s">
        <v>133</v>
      </c>
      <c r="Y237" s="14" t="s">
        <v>21</v>
      </c>
      <c r="Z237" s="14" t="s">
        <v>44</v>
      </c>
      <c r="AA237" s="14" t="s">
        <v>234</v>
      </c>
      <c r="AB237" s="14" t="s">
        <v>62</v>
      </c>
      <c r="AC237" s="14" t="s">
        <v>32</v>
      </c>
      <c r="AD237" s="14"/>
      <c r="AE237" s="1">
        <v>0</v>
      </c>
      <c r="AF237" s="1"/>
    </row>
    <row r="238" spans="1:32" x14ac:dyDescent="0.2">
      <c r="A238" s="14" t="s">
        <v>234</v>
      </c>
      <c r="B238" s="14" t="s">
        <v>62</v>
      </c>
      <c r="C238" s="14" t="s">
        <v>32</v>
      </c>
      <c r="D238" s="14" t="s">
        <v>970</v>
      </c>
      <c r="E238" s="14" t="s">
        <v>17</v>
      </c>
      <c r="F238" s="14">
        <v>3</v>
      </c>
      <c r="G238" s="14" t="s">
        <v>279</v>
      </c>
      <c r="H238" s="14" t="s">
        <v>19</v>
      </c>
      <c r="I238" s="14" t="s">
        <v>133</v>
      </c>
      <c r="J238" s="13" t="s">
        <v>975</v>
      </c>
      <c r="K238" s="14" t="s">
        <v>21</v>
      </c>
      <c r="L238" s="14" t="s">
        <v>44</v>
      </c>
      <c r="M238" s="14" t="s">
        <v>143</v>
      </c>
      <c r="N238" s="13">
        <v>237</v>
      </c>
      <c r="O238" s="30">
        <v>45762</v>
      </c>
      <c r="P238" s="1"/>
      <c r="Q238" s="30">
        <v>45770</v>
      </c>
      <c r="R238" s="30">
        <v>45776</v>
      </c>
      <c r="S238" s="23">
        <f t="shared" si="13"/>
        <v>105</v>
      </c>
      <c r="T238" s="23">
        <f>(U238+S238)/2</f>
        <v>109</v>
      </c>
      <c r="U238" s="23">
        <f t="shared" si="15"/>
        <v>113</v>
      </c>
      <c r="V238" s="23">
        <f t="shared" si="16"/>
        <v>119</v>
      </c>
      <c r="W238" s="14" t="s">
        <v>19</v>
      </c>
      <c r="X238" s="14" t="s">
        <v>133</v>
      </c>
      <c r="Y238" s="14" t="s">
        <v>21</v>
      </c>
      <c r="Z238" s="14" t="s">
        <v>44</v>
      </c>
      <c r="AA238" s="14" t="s">
        <v>234</v>
      </c>
      <c r="AB238" s="14" t="s">
        <v>62</v>
      </c>
      <c r="AC238" s="14" t="s">
        <v>32</v>
      </c>
      <c r="AD238" s="14"/>
      <c r="AE238" s="1">
        <v>0</v>
      </c>
      <c r="AF238" s="1"/>
    </row>
    <row r="239" spans="1:32" x14ac:dyDescent="0.2">
      <c r="A239" s="14" t="s">
        <v>234</v>
      </c>
      <c r="B239" s="14" t="s">
        <v>62</v>
      </c>
      <c r="C239" s="14" t="s">
        <v>32</v>
      </c>
      <c r="D239" s="14" t="s">
        <v>970</v>
      </c>
      <c r="E239" s="14" t="s">
        <v>24</v>
      </c>
      <c r="F239" s="14">
        <v>3</v>
      </c>
      <c r="G239" s="14" t="s">
        <v>280</v>
      </c>
      <c r="H239" s="14" t="s">
        <v>35</v>
      </c>
      <c r="I239" s="14" t="s">
        <v>133</v>
      </c>
      <c r="J239" s="13" t="s">
        <v>976</v>
      </c>
      <c r="K239" s="14" t="s">
        <v>21</v>
      </c>
      <c r="L239" s="14" t="s">
        <v>44</v>
      </c>
      <c r="M239" s="14" t="s">
        <v>143</v>
      </c>
      <c r="N239" s="13">
        <v>238</v>
      </c>
      <c r="O239" s="30">
        <v>45748</v>
      </c>
      <c r="P239" s="30">
        <v>45762</v>
      </c>
      <c r="Q239" s="30">
        <v>45765</v>
      </c>
      <c r="R239" s="30">
        <v>45772</v>
      </c>
      <c r="S239" s="23">
        <f t="shared" si="13"/>
        <v>91</v>
      </c>
      <c r="T239" s="23">
        <f t="shared" si="14"/>
        <v>105</v>
      </c>
      <c r="U239" s="23">
        <f t="shared" si="15"/>
        <v>108</v>
      </c>
      <c r="V239" s="23">
        <f t="shared" si="16"/>
        <v>115</v>
      </c>
      <c r="W239" s="14" t="s">
        <v>35</v>
      </c>
      <c r="X239" s="14" t="s">
        <v>133</v>
      </c>
      <c r="Y239" s="14" t="s">
        <v>21</v>
      </c>
      <c r="Z239" s="14" t="s">
        <v>44</v>
      </c>
      <c r="AA239" s="14" t="s">
        <v>234</v>
      </c>
      <c r="AB239" s="14" t="s">
        <v>62</v>
      </c>
      <c r="AC239" s="14" t="s">
        <v>32</v>
      </c>
      <c r="AD239" s="14"/>
      <c r="AE239" s="1">
        <v>0</v>
      </c>
      <c r="AF239" s="1"/>
    </row>
    <row r="240" spans="1:32" x14ac:dyDescent="0.2">
      <c r="A240" s="14" t="s">
        <v>234</v>
      </c>
      <c r="B240" s="14" t="s">
        <v>62</v>
      </c>
      <c r="C240" s="14" t="s">
        <v>32</v>
      </c>
      <c r="D240" s="14" t="s">
        <v>970</v>
      </c>
      <c r="E240" s="14" t="s">
        <v>17</v>
      </c>
      <c r="F240" s="14">
        <v>4</v>
      </c>
      <c r="G240" s="14" t="s">
        <v>281</v>
      </c>
      <c r="H240" s="14" t="s">
        <v>35</v>
      </c>
      <c r="I240" s="14" t="s">
        <v>133</v>
      </c>
      <c r="J240" s="13" t="s">
        <v>977</v>
      </c>
      <c r="K240" s="14" t="s">
        <v>21</v>
      </c>
      <c r="L240" s="14" t="s">
        <v>44</v>
      </c>
      <c r="M240" s="14" t="s">
        <v>143</v>
      </c>
      <c r="N240" s="13">
        <v>239</v>
      </c>
      <c r="O240" s="30">
        <v>45765</v>
      </c>
      <c r="P240" s="30">
        <v>45772</v>
      </c>
      <c r="Q240" s="30">
        <v>45779</v>
      </c>
      <c r="R240" s="30">
        <v>45783</v>
      </c>
      <c r="S240" s="23">
        <f t="shared" si="13"/>
        <v>108</v>
      </c>
      <c r="T240" s="23">
        <f t="shared" si="14"/>
        <v>115</v>
      </c>
      <c r="U240" s="23">
        <f t="shared" si="15"/>
        <v>122</v>
      </c>
      <c r="V240" s="23">
        <f t="shared" si="16"/>
        <v>126</v>
      </c>
      <c r="W240" s="14" t="s">
        <v>35</v>
      </c>
      <c r="X240" s="14" t="s">
        <v>133</v>
      </c>
      <c r="Y240" s="14" t="s">
        <v>21</v>
      </c>
      <c r="Z240" s="14" t="s">
        <v>44</v>
      </c>
      <c r="AA240" s="14" t="s">
        <v>234</v>
      </c>
      <c r="AB240" s="14" t="s">
        <v>62</v>
      </c>
      <c r="AC240" s="14" t="s">
        <v>32</v>
      </c>
      <c r="AD240" s="14"/>
      <c r="AE240" s="1">
        <v>0</v>
      </c>
      <c r="AF240" s="1"/>
    </row>
    <row r="241" spans="1:32" x14ac:dyDescent="0.2">
      <c r="A241" s="14" t="s">
        <v>234</v>
      </c>
      <c r="B241" s="14" t="s">
        <v>62</v>
      </c>
      <c r="C241" s="14" t="s">
        <v>32</v>
      </c>
      <c r="D241" s="14" t="s">
        <v>970</v>
      </c>
      <c r="E241" s="14" t="s">
        <v>24</v>
      </c>
      <c r="F241" s="14">
        <v>4</v>
      </c>
      <c r="G241" s="14" t="s">
        <v>282</v>
      </c>
      <c r="H241" s="14" t="s">
        <v>19</v>
      </c>
      <c r="I241" s="14" t="s">
        <v>133</v>
      </c>
      <c r="J241" s="13" t="s">
        <v>978</v>
      </c>
      <c r="K241" s="14" t="s">
        <v>21</v>
      </c>
      <c r="L241" s="14" t="s">
        <v>44</v>
      </c>
      <c r="M241" s="14" t="s">
        <v>143</v>
      </c>
      <c r="N241" s="13">
        <v>240</v>
      </c>
      <c r="O241" s="30">
        <v>45762</v>
      </c>
      <c r="P241" s="30">
        <v>45770</v>
      </c>
      <c r="Q241" s="30">
        <v>45772</v>
      </c>
      <c r="R241" s="30">
        <v>45779</v>
      </c>
      <c r="S241" s="23">
        <f t="shared" si="13"/>
        <v>105</v>
      </c>
      <c r="T241" s="23">
        <f t="shared" si="14"/>
        <v>113</v>
      </c>
      <c r="U241" s="23">
        <f t="shared" si="15"/>
        <v>115</v>
      </c>
      <c r="V241" s="23">
        <f t="shared" si="16"/>
        <v>122</v>
      </c>
      <c r="W241" s="14" t="s">
        <v>19</v>
      </c>
      <c r="X241" s="14" t="s">
        <v>133</v>
      </c>
      <c r="Y241" s="14" t="s">
        <v>21</v>
      </c>
      <c r="Z241" s="14" t="s">
        <v>44</v>
      </c>
      <c r="AA241" s="14" t="s">
        <v>234</v>
      </c>
      <c r="AB241" s="14" t="s">
        <v>62</v>
      </c>
      <c r="AC241" s="14" t="s">
        <v>32</v>
      </c>
      <c r="AD241" s="14"/>
      <c r="AE241" s="1">
        <v>0</v>
      </c>
      <c r="AF241" s="1"/>
    </row>
    <row r="242" spans="1:32" x14ac:dyDescent="0.2">
      <c r="A242" s="20" t="s">
        <v>234</v>
      </c>
      <c r="B242" s="20" t="s">
        <v>62</v>
      </c>
      <c r="C242" s="20" t="s">
        <v>42</v>
      </c>
      <c r="D242" s="18" t="s">
        <v>979</v>
      </c>
      <c r="E242" s="20" t="s">
        <v>17</v>
      </c>
      <c r="F242" s="20">
        <v>1</v>
      </c>
      <c r="G242" s="20" t="s">
        <v>283</v>
      </c>
      <c r="H242" s="20" t="s">
        <v>19</v>
      </c>
      <c r="I242" s="20" t="s">
        <v>133</v>
      </c>
      <c r="J242" s="19" t="s">
        <v>980</v>
      </c>
      <c r="K242" s="20" t="s">
        <v>21</v>
      </c>
      <c r="L242" s="20" t="s">
        <v>22</v>
      </c>
      <c r="M242" s="20" t="s">
        <v>134</v>
      </c>
      <c r="N242" s="21">
        <v>241</v>
      </c>
      <c r="O242" s="29">
        <v>45758</v>
      </c>
      <c r="P242" s="29">
        <v>45762</v>
      </c>
      <c r="Q242" s="29">
        <v>45770</v>
      </c>
      <c r="R242" s="29">
        <v>45772</v>
      </c>
      <c r="S242" s="23">
        <f t="shared" si="13"/>
        <v>101</v>
      </c>
      <c r="T242" s="23">
        <f t="shared" si="14"/>
        <v>105</v>
      </c>
      <c r="U242" s="23">
        <f t="shared" si="15"/>
        <v>113</v>
      </c>
      <c r="V242" s="23">
        <f t="shared" si="16"/>
        <v>115</v>
      </c>
      <c r="W242" s="20" t="s">
        <v>19</v>
      </c>
      <c r="X242" s="20" t="s">
        <v>133</v>
      </c>
      <c r="Y242" s="20" t="s">
        <v>21</v>
      </c>
      <c r="Z242" s="20" t="s">
        <v>22</v>
      </c>
      <c r="AA242" s="20" t="s">
        <v>234</v>
      </c>
      <c r="AB242" s="20" t="s">
        <v>62</v>
      </c>
      <c r="AC242" s="20" t="s">
        <v>42</v>
      </c>
      <c r="AD242" s="20"/>
      <c r="AE242" s="2">
        <v>0</v>
      </c>
      <c r="AF242" s="2"/>
    </row>
    <row r="243" spans="1:32" x14ac:dyDescent="0.2">
      <c r="A243" s="20" t="s">
        <v>234</v>
      </c>
      <c r="B243" s="20" t="s">
        <v>62</v>
      </c>
      <c r="C243" s="20" t="s">
        <v>42</v>
      </c>
      <c r="D243" s="18" t="s">
        <v>979</v>
      </c>
      <c r="E243" s="20" t="s">
        <v>24</v>
      </c>
      <c r="F243" s="20">
        <v>1</v>
      </c>
      <c r="G243" s="20" t="s">
        <v>284</v>
      </c>
      <c r="H243" s="20" t="s">
        <v>35</v>
      </c>
      <c r="I243" s="20" t="s">
        <v>133</v>
      </c>
      <c r="J243" s="19" t="s">
        <v>981</v>
      </c>
      <c r="K243" s="20" t="s">
        <v>21</v>
      </c>
      <c r="L243" s="20" t="s">
        <v>22</v>
      </c>
      <c r="M243" s="20" t="s">
        <v>134</v>
      </c>
      <c r="N243" s="21">
        <v>242</v>
      </c>
      <c r="O243" s="29">
        <v>45748</v>
      </c>
      <c r="P243" s="29">
        <v>45755</v>
      </c>
      <c r="Q243" s="29">
        <v>45765</v>
      </c>
      <c r="R243" s="29">
        <v>45776</v>
      </c>
      <c r="S243" s="23">
        <f t="shared" si="13"/>
        <v>91</v>
      </c>
      <c r="T243" s="23">
        <f t="shared" si="14"/>
        <v>98</v>
      </c>
      <c r="U243" s="23">
        <f t="shared" si="15"/>
        <v>108</v>
      </c>
      <c r="V243" s="23">
        <f t="shared" si="16"/>
        <v>119</v>
      </c>
      <c r="W243" s="20" t="s">
        <v>35</v>
      </c>
      <c r="X243" s="20" t="s">
        <v>133</v>
      </c>
      <c r="Y243" s="20" t="s">
        <v>21</v>
      </c>
      <c r="Z243" s="20" t="s">
        <v>22</v>
      </c>
      <c r="AA243" s="20" t="s">
        <v>234</v>
      </c>
      <c r="AB243" s="20" t="s">
        <v>62</v>
      </c>
      <c r="AC243" s="20" t="s">
        <v>42</v>
      </c>
      <c r="AD243" s="20"/>
      <c r="AE243" s="2">
        <v>0</v>
      </c>
      <c r="AF243" s="2"/>
    </row>
    <row r="244" spans="1:32" x14ac:dyDescent="0.2">
      <c r="A244" s="20" t="s">
        <v>234</v>
      </c>
      <c r="B244" s="20" t="s">
        <v>62</v>
      </c>
      <c r="C244" s="20" t="s">
        <v>42</v>
      </c>
      <c r="D244" s="18" t="s">
        <v>979</v>
      </c>
      <c r="E244" s="20" t="s">
        <v>17</v>
      </c>
      <c r="F244" s="20">
        <v>2</v>
      </c>
      <c r="G244" s="20" t="s">
        <v>285</v>
      </c>
      <c r="H244" s="20" t="s">
        <v>35</v>
      </c>
      <c r="I244" s="20" t="s">
        <v>133</v>
      </c>
      <c r="J244" s="19" t="s">
        <v>982</v>
      </c>
      <c r="K244" s="20" t="s">
        <v>21</v>
      </c>
      <c r="L244" s="20" t="s">
        <v>22</v>
      </c>
      <c r="M244" s="20" t="s">
        <v>134</v>
      </c>
      <c r="N244" s="21">
        <v>243</v>
      </c>
      <c r="O244" s="29">
        <v>45751</v>
      </c>
      <c r="P244" s="29">
        <v>45762</v>
      </c>
      <c r="Q244" s="29">
        <v>45765</v>
      </c>
      <c r="R244" s="29">
        <v>45776</v>
      </c>
      <c r="S244" s="23">
        <f t="shared" si="13"/>
        <v>94</v>
      </c>
      <c r="T244" s="23">
        <f t="shared" si="14"/>
        <v>105</v>
      </c>
      <c r="U244" s="23">
        <f t="shared" si="15"/>
        <v>108</v>
      </c>
      <c r="V244" s="23">
        <f t="shared" si="16"/>
        <v>119</v>
      </c>
      <c r="W244" s="20" t="s">
        <v>35</v>
      </c>
      <c r="X244" s="20" t="s">
        <v>133</v>
      </c>
      <c r="Y244" s="20" t="s">
        <v>21</v>
      </c>
      <c r="Z244" s="20" t="s">
        <v>22</v>
      </c>
      <c r="AA244" s="20" t="s">
        <v>234</v>
      </c>
      <c r="AB244" s="20" t="s">
        <v>62</v>
      </c>
      <c r="AC244" s="20" t="s">
        <v>42</v>
      </c>
      <c r="AD244" s="20"/>
      <c r="AE244" s="2">
        <v>0</v>
      </c>
      <c r="AF244" s="2"/>
    </row>
    <row r="245" spans="1:32" x14ac:dyDescent="0.2">
      <c r="A245" s="20" t="s">
        <v>234</v>
      </c>
      <c r="B245" s="20" t="s">
        <v>62</v>
      </c>
      <c r="C245" s="20" t="s">
        <v>42</v>
      </c>
      <c r="D245" s="18" t="s">
        <v>979</v>
      </c>
      <c r="E245" s="20" t="s">
        <v>24</v>
      </c>
      <c r="F245" s="20">
        <v>2</v>
      </c>
      <c r="G245" s="20" t="s">
        <v>286</v>
      </c>
      <c r="H245" s="20" t="s">
        <v>19</v>
      </c>
      <c r="I245" s="20" t="s">
        <v>133</v>
      </c>
      <c r="J245" s="19" t="s">
        <v>983</v>
      </c>
      <c r="K245" s="20" t="s">
        <v>21</v>
      </c>
      <c r="L245" s="20" t="s">
        <v>22</v>
      </c>
      <c r="M245" s="20" t="s">
        <v>134</v>
      </c>
      <c r="N245" s="21">
        <v>244</v>
      </c>
      <c r="O245" s="29">
        <v>45762</v>
      </c>
      <c r="P245" s="29">
        <v>45770</v>
      </c>
      <c r="Q245" s="29">
        <v>45776</v>
      </c>
      <c r="R245" s="29">
        <v>45779</v>
      </c>
      <c r="S245" s="23">
        <f t="shared" si="13"/>
        <v>105</v>
      </c>
      <c r="T245" s="23">
        <f t="shared" si="14"/>
        <v>113</v>
      </c>
      <c r="U245" s="23">
        <f t="shared" si="15"/>
        <v>119</v>
      </c>
      <c r="V245" s="23">
        <f t="shared" si="16"/>
        <v>122</v>
      </c>
      <c r="W245" s="20" t="s">
        <v>19</v>
      </c>
      <c r="X245" s="20" t="s">
        <v>133</v>
      </c>
      <c r="Y245" s="20" t="s">
        <v>21</v>
      </c>
      <c r="Z245" s="20" t="s">
        <v>22</v>
      </c>
      <c r="AA245" s="20" t="s">
        <v>234</v>
      </c>
      <c r="AB245" s="20" t="s">
        <v>62</v>
      </c>
      <c r="AC245" s="20" t="s">
        <v>42</v>
      </c>
      <c r="AD245" s="20"/>
      <c r="AE245" s="2">
        <v>0</v>
      </c>
      <c r="AF245" s="2"/>
    </row>
    <row r="246" spans="1:32" x14ac:dyDescent="0.2">
      <c r="A246" s="20" t="s">
        <v>234</v>
      </c>
      <c r="B246" s="20" t="s">
        <v>62</v>
      </c>
      <c r="C246" s="20" t="s">
        <v>42</v>
      </c>
      <c r="D246" s="18" t="s">
        <v>979</v>
      </c>
      <c r="E246" s="20" t="s">
        <v>17</v>
      </c>
      <c r="F246" s="20">
        <v>3</v>
      </c>
      <c r="G246" s="20" t="s">
        <v>287</v>
      </c>
      <c r="H246" s="20" t="s">
        <v>19</v>
      </c>
      <c r="I246" s="20" t="s">
        <v>133</v>
      </c>
      <c r="J246" s="19" t="s">
        <v>984</v>
      </c>
      <c r="K246" s="20" t="s">
        <v>21</v>
      </c>
      <c r="L246" s="20" t="s">
        <v>22</v>
      </c>
      <c r="M246" s="20" t="s">
        <v>134</v>
      </c>
      <c r="N246" s="21">
        <v>245</v>
      </c>
      <c r="O246" s="29">
        <v>45758</v>
      </c>
      <c r="P246" s="29">
        <v>45762</v>
      </c>
      <c r="Q246" s="29">
        <v>45765</v>
      </c>
      <c r="R246" s="29">
        <v>45772</v>
      </c>
      <c r="S246" s="23">
        <f t="shared" si="13"/>
        <v>101</v>
      </c>
      <c r="T246" s="23">
        <f t="shared" si="14"/>
        <v>105</v>
      </c>
      <c r="U246" s="23">
        <f t="shared" si="15"/>
        <v>108</v>
      </c>
      <c r="V246" s="23">
        <f t="shared" si="16"/>
        <v>115</v>
      </c>
      <c r="W246" s="20" t="s">
        <v>19</v>
      </c>
      <c r="X246" s="20" t="s">
        <v>133</v>
      </c>
      <c r="Y246" s="20" t="s">
        <v>21</v>
      </c>
      <c r="Z246" s="20" t="s">
        <v>22</v>
      </c>
      <c r="AA246" s="20" t="s">
        <v>234</v>
      </c>
      <c r="AB246" s="20" t="s">
        <v>62</v>
      </c>
      <c r="AC246" s="20" t="s">
        <v>42</v>
      </c>
      <c r="AD246" s="20"/>
      <c r="AE246" s="2">
        <v>0</v>
      </c>
      <c r="AF246" s="2"/>
    </row>
    <row r="247" spans="1:32" x14ac:dyDescent="0.2">
      <c r="A247" s="20" t="s">
        <v>234</v>
      </c>
      <c r="B247" s="20" t="s">
        <v>62</v>
      </c>
      <c r="C247" s="20" t="s">
        <v>42</v>
      </c>
      <c r="D247" s="18" t="s">
        <v>979</v>
      </c>
      <c r="E247" s="20" t="s">
        <v>24</v>
      </c>
      <c r="F247" s="20">
        <v>3</v>
      </c>
      <c r="G247" s="20" t="s">
        <v>288</v>
      </c>
      <c r="H247" s="20" t="s">
        <v>35</v>
      </c>
      <c r="I247" s="20" t="s">
        <v>133</v>
      </c>
      <c r="J247" s="19" t="s">
        <v>985</v>
      </c>
      <c r="K247" s="20" t="s">
        <v>21</v>
      </c>
      <c r="L247" s="20" t="s">
        <v>22</v>
      </c>
      <c r="M247" s="20" t="s">
        <v>134</v>
      </c>
      <c r="N247" s="21">
        <v>246</v>
      </c>
      <c r="O247" s="29">
        <v>45762</v>
      </c>
      <c r="P247" s="29">
        <v>45770</v>
      </c>
      <c r="Q247" s="29">
        <v>45776</v>
      </c>
      <c r="R247" s="29">
        <v>45783</v>
      </c>
      <c r="S247" s="23">
        <f t="shared" si="13"/>
        <v>105</v>
      </c>
      <c r="T247" s="23">
        <f t="shared" si="14"/>
        <v>113</v>
      </c>
      <c r="U247" s="23">
        <f t="shared" si="15"/>
        <v>119</v>
      </c>
      <c r="V247" s="23">
        <f t="shared" si="16"/>
        <v>126</v>
      </c>
      <c r="W247" s="20" t="s">
        <v>35</v>
      </c>
      <c r="X247" s="20" t="s">
        <v>133</v>
      </c>
      <c r="Y247" s="20" t="s">
        <v>21</v>
      </c>
      <c r="Z247" s="20" t="s">
        <v>22</v>
      </c>
      <c r="AA247" s="20" t="s">
        <v>234</v>
      </c>
      <c r="AB247" s="20" t="s">
        <v>62</v>
      </c>
      <c r="AC247" s="20" t="s">
        <v>42</v>
      </c>
      <c r="AD247" s="20"/>
      <c r="AE247" s="2">
        <v>0</v>
      </c>
      <c r="AF247" s="2"/>
    </row>
    <row r="248" spans="1:32" x14ac:dyDescent="0.2">
      <c r="A248" s="20" t="s">
        <v>234</v>
      </c>
      <c r="B248" s="20" t="s">
        <v>62</v>
      </c>
      <c r="C248" s="20" t="s">
        <v>42</v>
      </c>
      <c r="D248" s="18" t="s">
        <v>979</v>
      </c>
      <c r="E248" s="20" t="s">
        <v>17</v>
      </c>
      <c r="F248" s="20">
        <v>4</v>
      </c>
      <c r="G248" s="20" t="s">
        <v>289</v>
      </c>
      <c r="H248" s="20" t="s">
        <v>35</v>
      </c>
      <c r="I248" s="20" t="s">
        <v>133</v>
      </c>
      <c r="J248" s="19" t="s">
        <v>986</v>
      </c>
      <c r="K248" s="20" t="s">
        <v>21</v>
      </c>
      <c r="L248" s="20" t="s">
        <v>22</v>
      </c>
      <c r="M248" s="20" t="s">
        <v>134</v>
      </c>
      <c r="N248" s="21">
        <v>247</v>
      </c>
      <c r="O248" s="29">
        <v>45751</v>
      </c>
      <c r="P248" s="29">
        <v>45758</v>
      </c>
      <c r="Q248" s="29">
        <v>45765</v>
      </c>
      <c r="R248" s="29">
        <v>45772</v>
      </c>
      <c r="S248" s="23">
        <f t="shared" si="13"/>
        <v>94</v>
      </c>
      <c r="T248" s="23">
        <f t="shared" si="14"/>
        <v>101</v>
      </c>
      <c r="U248" s="23">
        <f t="shared" si="15"/>
        <v>108</v>
      </c>
      <c r="V248" s="23">
        <f t="shared" si="16"/>
        <v>115</v>
      </c>
      <c r="W248" s="20" t="s">
        <v>35</v>
      </c>
      <c r="X248" s="20" t="s">
        <v>133</v>
      </c>
      <c r="Y248" s="20" t="s">
        <v>21</v>
      </c>
      <c r="Z248" s="20" t="s">
        <v>22</v>
      </c>
      <c r="AA248" s="20" t="s">
        <v>234</v>
      </c>
      <c r="AB248" s="20" t="s">
        <v>62</v>
      </c>
      <c r="AC248" s="20" t="s">
        <v>42</v>
      </c>
      <c r="AD248" s="20"/>
      <c r="AE248" s="2">
        <v>0</v>
      </c>
      <c r="AF248" s="2"/>
    </row>
    <row r="249" spans="1:32" x14ac:dyDescent="0.2">
      <c r="A249" s="20" t="s">
        <v>234</v>
      </c>
      <c r="B249" s="20" t="s">
        <v>62</v>
      </c>
      <c r="C249" s="20" t="s">
        <v>42</v>
      </c>
      <c r="D249" s="18" t="s">
        <v>979</v>
      </c>
      <c r="E249" s="20" t="s">
        <v>24</v>
      </c>
      <c r="F249" s="20">
        <v>4</v>
      </c>
      <c r="G249" s="20" t="s">
        <v>290</v>
      </c>
      <c r="H249" s="20" t="s">
        <v>19</v>
      </c>
      <c r="I249" s="20" t="s">
        <v>133</v>
      </c>
      <c r="J249" s="19" t="s">
        <v>987</v>
      </c>
      <c r="K249" s="20" t="s">
        <v>21</v>
      </c>
      <c r="L249" s="20" t="s">
        <v>22</v>
      </c>
      <c r="M249" s="20" t="s">
        <v>134</v>
      </c>
      <c r="N249" s="21">
        <v>248</v>
      </c>
      <c r="O249" s="29">
        <v>45770</v>
      </c>
      <c r="P249" s="29">
        <v>45772</v>
      </c>
      <c r="Q249" s="29">
        <v>45776</v>
      </c>
      <c r="R249" s="29">
        <v>45779</v>
      </c>
      <c r="S249" s="23">
        <f t="shared" si="13"/>
        <v>113</v>
      </c>
      <c r="T249" s="23">
        <f t="shared" si="14"/>
        <v>115</v>
      </c>
      <c r="U249" s="23">
        <f t="shared" si="15"/>
        <v>119</v>
      </c>
      <c r="V249" s="23">
        <f t="shared" si="16"/>
        <v>122</v>
      </c>
      <c r="W249" s="20" t="s">
        <v>19</v>
      </c>
      <c r="X249" s="20" t="s">
        <v>133</v>
      </c>
      <c r="Y249" s="20" t="s">
        <v>21</v>
      </c>
      <c r="Z249" s="20" t="s">
        <v>22</v>
      </c>
      <c r="AA249" s="20" t="s">
        <v>234</v>
      </c>
      <c r="AB249" s="20" t="s">
        <v>62</v>
      </c>
      <c r="AC249" s="20" t="s">
        <v>42</v>
      </c>
      <c r="AD249" s="20"/>
      <c r="AE249" s="2">
        <v>0</v>
      </c>
      <c r="AF249" s="2"/>
    </row>
    <row r="250" spans="1:32" x14ac:dyDescent="0.2">
      <c r="A250" s="14" t="s">
        <v>234</v>
      </c>
      <c r="B250" s="14" t="s">
        <v>62</v>
      </c>
      <c r="C250" s="14" t="s">
        <v>53</v>
      </c>
      <c r="D250" s="14" t="s">
        <v>988</v>
      </c>
      <c r="E250" s="14" t="s">
        <v>17</v>
      </c>
      <c r="F250" s="14">
        <v>1</v>
      </c>
      <c r="G250" s="14" t="s">
        <v>291</v>
      </c>
      <c r="H250" s="14" t="s">
        <v>35</v>
      </c>
      <c r="I250" s="14" t="s">
        <v>133</v>
      </c>
      <c r="J250" s="13" t="s">
        <v>989</v>
      </c>
      <c r="K250" s="14" t="s">
        <v>21</v>
      </c>
      <c r="L250" s="14" t="s">
        <v>44</v>
      </c>
      <c r="M250" s="14" t="s">
        <v>143</v>
      </c>
      <c r="N250" s="13">
        <v>249</v>
      </c>
      <c r="O250" s="30">
        <v>45779</v>
      </c>
      <c r="P250" s="30">
        <v>45783</v>
      </c>
      <c r="Q250" s="30">
        <v>45793</v>
      </c>
      <c r="R250" s="30">
        <v>45797</v>
      </c>
      <c r="S250" s="23">
        <f t="shared" si="13"/>
        <v>122</v>
      </c>
      <c r="T250" s="23">
        <f t="shared" si="14"/>
        <v>126</v>
      </c>
      <c r="U250" s="23">
        <f t="shared" si="15"/>
        <v>136</v>
      </c>
      <c r="V250" s="23">
        <f t="shared" si="16"/>
        <v>140</v>
      </c>
      <c r="W250" s="14" t="s">
        <v>35</v>
      </c>
      <c r="X250" s="14" t="s">
        <v>133</v>
      </c>
      <c r="Y250" s="14" t="s">
        <v>21</v>
      </c>
      <c r="Z250" s="14" t="s">
        <v>44</v>
      </c>
      <c r="AA250" s="14" t="s">
        <v>234</v>
      </c>
      <c r="AB250" s="14" t="s">
        <v>62</v>
      </c>
      <c r="AC250" s="14" t="s">
        <v>53</v>
      </c>
      <c r="AD250" s="14"/>
      <c r="AE250" s="1">
        <v>0</v>
      </c>
      <c r="AF250" s="1"/>
    </row>
    <row r="251" spans="1:32" x14ac:dyDescent="0.2">
      <c r="A251" s="14" t="s">
        <v>234</v>
      </c>
      <c r="B251" s="14" t="s">
        <v>62</v>
      </c>
      <c r="C251" s="14" t="s">
        <v>53</v>
      </c>
      <c r="D251" s="14" t="s">
        <v>988</v>
      </c>
      <c r="E251" s="14" t="s">
        <v>24</v>
      </c>
      <c r="F251" s="14">
        <v>1</v>
      </c>
      <c r="G251" s="14" t="s">
        <v>292</v>
      </c>
      <c r="H251" s="14" t="s">
        <v>35</v>
      </c>
      <c r="I251" s="14" t="s">
        <v>133</v>
      </c>
      <c r="J251" s="13" t="s">
        <v>990</v>
      </c>
      <c r="K251" s="14" t="s">
        <v>21</v>
      </c>
      <c r="L251" s="14" t="s">
        <v>44</v>
      </c>
      <c r="M251" s="14" t="s">
        <v>143</v>
      </c>
      <c r="N251" s="13">
        <v>250</v>
      </c>
      <c r="O251" s="30">
        <v>45779</v>
      </c>
      <c r="P251" s="30">
        <v>45783</v>
      </c>
      <c r="Q251" s="30">
        <v>45790</v>
      </c>
      <c r="R251" s="30">
        <v>45793</v>
      </c>
      <c r="S251" s="23">
        <f t="shared" si="13"/>
        <v>122</v>
      </c>
      <c r="T251" s="23">
        <f t="shared" si="14"/>
        <v>126</v>
      </c>
      <c r="U251" s="23">
        <f t="shared" si="15"/>
        <v>133</v>
      </c>
      <c r="V251" s="23">
        <f t="shared" si="16"/>
        <v>136</v>
      </c>
      <c r="W251" s="14" t="s">
        <v>35</v>
      </c>
      <c r="X251" s="14" t="s">
        <v>133</v>
      </c>
      <c r="Y251" s="14" t="s">
        <v>21</v>
      </c>
      <c r="Z251" s="14" t="s">
        <v>44</v>
      </c>
      <c r="AA251" s="14" t="s">
        <v>234</v>
      </c>
      <c r="AB251" s="14" t="s">
        <v>62</v>
      </c>
      <c r="AC251" s="14" t="s">
        <v>53</v>
      </c>
      <c r="AD251" s="14"/>
      <c r="AE251" s="1">
        <v>0</v>
      </c>
      <c r="AF251" s="1"/>
    </row>
    <row r="252" spans="1:32" x14ac:dyDescent="0.2">
      <c r="A252" s="14" t="s">
        <v>234</v>
      </c>
      <c r="B252" s="14" t="s">
        <v>62</v>
      </c>
      <c r="C252" s="14" t="s">
        <v>53</v>
      </c>
      <c r="D252" s="14" t="s">
        <v>988</v>
      </c>
      <c r="E252" s="14" t="s">
        <v>17</v>
      </c>
      <c r="F252" s="14">
        <v>2</v>
      </c>
      <c r="G252" s="14" t="s">
        <v>293</v>
      </c>
      <c r="H252" s="14" t="s">
        <v>35</v>
      </c>
      <c r="I252" s="14" t="s">
        <v>133</v>
      </c>
      <c r="J252" s="13" t="s">
        <v>991</v>
      </c>
      <c r="K252" s="14" t="s">
        <v>21</v>
      </c>
      <c r="L252" s="14" t="s">
        <v>44</v>
      </c>
      <c r="M252" s="14" t="s">
        <v>143</v>
      </c>
      <c r="N252" s="13">
        <v>251</v>
      </c>
      <c r="O252" s="30">
        <v>45770</v>
      </c>
      <c r="P252" s="30">
        <v>45779</v>
      </c>
      <c r="Q252" s="30">
        <v>45783</v>
      </c>
      <c r="R252" s="30">
        <v>45786</v>
      </c>
      <c r="S252" s="23">
        <f t="shared" si="13"/>
        <v>113</v>
      </c>
      <c r="T252" s="23">
        <f t="shared" si="14"/>
        <v>122</v>
      </c>
      <c r="U252" s="23">
        <f t="shared" si="15"/>
        <v>126</v>
      </c>
      <c r="V252" s="23">
        <f t="shared" si="16"/>
        <v>129</v>
      </c>
      <c r="W252" s="14" t="s">
        <v>35</v>
      </c>
      <c r="X252" s="14" t="s">
        <v>133</v>
      </c>
      <c r="Y252" s="14" t="s">
        <v>21</v>
      </c>
      <c r="Z252" s="14" t="s">
        <v>44</v>
      </c>
      <c r="AA252" s="14" t="s">
        <v>234</v>
      </c>
      <c r="AB252" s="14" t="s">
        <v>62</v>
      </c>
      <c r="AC252" s="14" t="s">
        <v>53</v>
      </c>
      <c r="AD252" s="14"/>
      <c r="AE252" s="1">
        <v>0</v>
      </c>
      <c r="AF252" s="1"/>
    </row>
    <row r="253" spans="1:32" x14ac:dyDescent="0.2">
      <c r="A253" s="14" t="s">
        <v>234</v>
      </c>
      <c r="B253" s="14" t="s">
        <v>62</v>
      </c>
      <c r="C253" s="14" t="s">
        <v>53</v>
      </c>
      <c r="D253" s="14" t="s">
        <v>988</v>
      </c>
      <c r="E253" s="14" t="s">
        <v>24</v>
      </c>
      <c r="F253" s="14">
        <v>2</v>
      </c>
      <c r="G253" s="14" t="s">
        <v>294</v>
      </c>
      <c r="H253" s="14" t="s">
        <v>35</v>
      </c>
      <c r="I253" s="14" t="s">
        <v>133</v>
      </c>
      <c r="J253" s="13" t="s">
        <v>992</v>
      </c>
      <c r="K253" s="14" t="s">
        <v>21</v>
      </c>
      <c r="L253" s="14" t="s">
        <v>44</v>
      </c>
      <c r="M253" s="14" t="s">
        <v>143</v>
      </c>
      <c r="N253" s="13">
        <v>252</v>
      </c>
      <c r="O253" s="30">
        <v>45762</v>
      </c>
      <c r="P253" s="30">
        <v>45770</v>
      </c>
      <c r="Q253" s="1"/>
      <c r="R253" s="30">
        <v>45779</v>
      </c>
      <c r="S253" s="23">
        <f t="shared" si="13"/>
        <v>105</v>
      </c>
      <c r="T253" s="23">
        <f t="shared" si="14"/>
        <v>113</v>
      </c>
      <c r="U253" s="23">
        <f>(V253+T253)/2</f>
        <v>117.5</v>
      </c>
      <c r="V253" s="23">
        <f t="shared" si="16"/>
        <v>122</v>
      </c>
      <c r="W253" s="14" t="s">
        <v>35</v>
      </c>
      <c r="X253" s="14" t="s">
        <v>133</v>
      </c>
      <c r="Y253" s="14" t="s">
        <v>21</v>
      </c>
      <c r="Z253" s="14" t="s">
        <v>44</v>
      </c>
      <c r="AA253" s="14" t="s">
        <v>234</v>
      </c>
      <c r="AB253" s="14" t="s">
        <v>62</v>
      </c>
      <c r="AC253" s="14" t="s">
        <v>53</v>
      </c>
      <c r="AD253" s="14"/>
      <c r="AE253" s="1">
        <v>0</v>
      </c>
      <c r="AF253" s="1"/>
    </row>
    <row r="254" spans="1:32" x14ac:dyDescent="0.2">
      <c r="A254" s="14" t="s">
        <v>234</v>
      </c>
      <c r="B254" s="14" t="s">
        <v>62</v>
      </c>
      <c r="C254" s="14" t="s">
        <v>53</v>
      </c>
      <c r="D254" s="14" t="s">
        <v>988</v>
      </c>
      <c r="E254" s="14" t="s">
        <v>17</v>
      </c>
      <c r="F254" s="14">
        <v>3</v>
      </c>
      <c r="G254" s="14" t="s">
        <v>295</v>
      </c>
      <c r="H254" s="14" t="s">
        <v>35</v>
      </c>
      <c r="I254" s="14" t="s">
        <v>133</v>
      </c>
      <c r="J254" s="13" t="s">
        <v>993</v>
      </c>
      <c r="K254" s="14" t="s">
        <v>21</v>
      </c>
      <c r="L254" s="14" t="s">
        <v>44</v>
      </c>
      <c r="M254" s="14" t="s">
        <v>143</v>
      </c>
      <c r="N254" s="13">
        <v>253</v>
      </c>
      <c r="O254" s="30">
        <v>45751</v>
      </c>
      <c r="P254" s="30">
        <v>45762</v>
      </c>
      <c r="Q254" s="30">
        <v>45772</v>
      </c>
      <c r="R254" s="30">
        <v>45779</v>
      </c>
      <c r="S254" s="23">
        <f t="shared" si="13"/>
        <v>94</v>
      </c>
      <c r="T254" s="23">
        <f t="shared" si="14"/>
        <v>105</v>
      </c>
      <c r="U254" s="23">
        <f t="shared" si="15"/>
        <v>115</v>
      </c>
      <c r="V254" s="23">
        <f t="shared" si="16"/>
        <v>122</v>
      </c>
      <c r="W254" s="14" t="s">
        <v>35</v>
      </c>
      <c r="X254" s="14" t="s">
        <v>133</v>
      </c>
      <c r="Y254" s="14" t="s">
        <v>21</v>
      </c>
      <c r="Z254" s="14" t="s">
        <v>44</v>
      </c>
      <c r="AA254" s="14" t="s">
        <v>234</v>
      </c>
      <c r="AB254" s="14" t="s">
        <v>62</v>
      </c>
      <c r="AC254" s="14" t="s">
        <v>53</v>
      </c>
      <c r="AD254" s="14"/>
      <c r="AE254" s="1">
        <v>0</v>
      </c>
      <c r="AF254" s="1"/>
    </row>
    <row r="255" spans="1:32" x14ac:dyDescent="0.2">
      <c r="A255" s="14" t="s">
        <v>234</v>
      </c>
      <c r="B255" s="14" t="s">
        <v>62</v>
      </c>
      <c r="C255" s="14" t="s">
        <v>53</v>
      </c>
      <c r="D255" s="14" t="s">
        <v>988</v>
      </c>
      <c r="E255" s="14" t="s">
        <v>24</v>
      </c>
      <c r="F255" s="14">
        <v>3</v>
      </c>
      <c r="G255" s="14" t="s">
        <v>296</v>
      </c>
      <c r="H255" s="14" t="s">
        <v>35</v>
      </c>
      <c r="I255" s="14" t="s">
        <v>133</v>
      </c>
      <c r="J255" s="13" t="s">
        <v>994</v>
      </c>
      <c r="K255" s="14" t="s">
        <v>21</v>
      </c>
      <c r="L255" s="14" t="s">
        <v>44</v>
      </c>
      <c r="M255" s="14" t="s">
        <v>143</v>
      </c>
      <c r="N255" s="13">
        <v>254</v>
      </c>
      <c r="O255" s="30">
        <v>45751</v>
      </c>
      <c r="P255" s="30">
        <v>45762</v>
      </c>
      <c r="Q255" s="30">
        <v>45772</v>
      </c>
      <c r="R255" s="30">
        <v>45779</v>
      </c>
      <c r="S255" s="23">
        <f t="shared" si="13"/>
        <v>94</v>
      </c>
      <c r="T255" s="23">
        <f t="shared" si="14"/>
        <v>105</v>
      </c>
      <c r="U255" s="23">
        <f t="shared" si="15"/>
        <v>115</v>
      </c>
      <c r="V255" s="23">
        <f t="shared" si="16"/>
        <v>122</v>
      </c>
      <c r="W255" s="14" t="s">
        <v>35</v>
      </c>
      <c r="X255" s="14" t="s">
        <v>133</v>
      </c>
      <c r="Y255" s="14" t="s">
        <v>21</v>
      </c>
      <c r="Z255" s="14" t="s">
        <v>44</v>
      </c>
      <c r="AA255" s="14" t="s">
        <v>234</v>
      </c>
      <c r="AB255" s="14" t="s">
        <v>62</v>
      </c>
      <c r="AC255" s="14" t="s">
        <v>53</v>
      </c>
      <c r="AD255" s="14"/>
      <c r="AE255" s="1">
        <v>0</v>
      </c>
      <c r="AF255" s="1"/>
    </row>
    <row r="256" spans="1:32" x14ac:dyDescent="0.2">
      <c r="A256" s="14" t="s">
        <v>234</v>
      </c>
      <c r="B256" s="14" t="s">
        <v>62</v>
      </c>
      <c r="C256" s="14" t="s">
        <v>53</v>
      </c>
      <c r="D256" s="14" t="s">
        <v>988</v>
      </c>
      <c r="E256" s="14" t="s">
        <v>17</v>
      </c>
      <c r="F256" s="14">
        <v>4</v>
      </c>
      <c r="G256" s="14" t="s">
        <v>297</v>
      </c>
      <c r="H256" s="14" t="s">
        <v>35</v>
      </c>
      <c r="I256" s="14" t="s">
        <v>133</v>
      </c>
      <c r="J256" s="13" t="s">
        <v>995</v>
      </c>
      <c r="K256" s="14" t="s">
        <v>21</v>
      </c>
      <c r="L256" s="14" t="s">
        <v>44</v>
      </c>
      <c r="M256" s="14" t="s">
        <v>143</v>
      </c>
      <c r="N256" s="13">
        <v>255</v>
      </c>
      <c r="O256" s="30">
        <v>45762</v>
      </c>
      <c r="P256" s="30">
        <v>45770</v>
      </c>
      <c r="Q256" s="30">
        <v>45779</v>
      </c>
      <c r="R256" s="30">
        <v>45783</v>
      </c>
      <c r="S256" s="23">
        <f t="shared" si="13"/>
        <v>105</v>
      </c>
      <c r="T256" s="23">
        <f t="shared" si="14"/>
        <v>113</v>
      </c>
      <c r="U256" s="23">
        <f t="shared" si="15"/>
        <v>122</v>
      </c>
      <c r="V256" s="23">
        <f t="shared" si="16"/>
        <v>126</v>
      </c>
      <c r="W256" s="14" t="s">
        <v>35</v>
      </c>
      <c r="X256" s="14" t="s">
        <v>133</v>
      </c>
      <c r="Y256" s="14" t="s">
        <v>21</v>
      </c>
      <c r="Z256" s="14" t="s">
        <v>44</v>
      </c>
      <c r="AA256" s="14" t="s">
        <v>234</v>
      </c>
      <c r="AB256" s="14" t="s">
        <v>62</v>
      </c>
      <c r="AC256" s="14" t="s">
        <v>53</v>
      </c>
      <c r="AD256" s="14"/>
      <c r="AE256" s="1">
        <v>0</v>
      </c>
      <c r="AF256" s="1"/>
    </row>
    <row r="257" spans="1:32" x14ac:dyDescent="0.2">
      <c r="A257" s="14" t="s">
        <v>234</v>
      </c>
      <c r="B257" s="14" t="s">
        <v>62</v>
      </c>
      <c r="C257" s="14" t="s">
        <v>53</v>
      </c>
      <c r="D257" s="14" t="s">
        <v>988</v>
      </c>
      <c r="E257" s="14" t="s">
        <v>24</v>
      </c>
      <c r="F257" s="14">
        <v>4</v>
      </c>
      <c r="G257" s="14" t="s">
        <v>298</v>
      </c>
      <c r="H257" s="14" t="s">
        <v>35</v>
      </c>
      <c r="I257" s="14" t="s">
        <v>133</v>
      </c>
      <c r="J257" s="13" t="s">
        <v>996</v>
      </c>
      <c r="K257" s="14" t="s">
        <v>21</v>
      </c>
      <c r="L257" s="14" t="s">
        <v>44</v>
      </c>
      <c r="M257" s="14" t="s">
        <v>143</v>
      </c>
      <c r="N257" s="13">
        <v>256</v>
      </c>
      <c r="O257" s="30">
        <v>45755</v>
      </c>
      <c r="P257" s="30">
        <v>45762</v>
      </c>
      <c r="Q257" s="30">
        <v>45770</v>
      </c>
      <c r="R257" s="30">
        <v>45776</v>
      </c>
      <c r="S257" s="23">
        <f t="shared" si="13"/>
        <v>98</v>
      </c>
      <c r="T257" s="23">
        <f t="shared" si="14"/>
        <v>105</v>
      </c>
      <c r="U257" s="23">
        <f t="shared" si="15"/>
        <v>113</v>
      </c>
      <c r="V257" s="23">
        <f t="shared" si="16"/>
        <v>119</v>
      </c>
      <c r="W257" s="14" t="s">
        <v>35</v>
      </c>
      <c r="X257" s="14" t="s">
        <v>133</v>
      </c>
      <c r="Y257" s="14" t="s">
        <v>21</v>
      </c>
      <c r="Z257" s="14" t="s">
        <v>44</v>
      </c>
      <c r="AA257" s="14" t="s">
        <v>234</v>
      </c>
      <c r="AB257" s="14" t="s">
        <v>62</v>
      </c>
      <c r="AC257" s="14" t="s">
        <v>53</v>
      </c>
      <c r="AD257" s="14"/>
      <c r="AE257" s="1">
        <v>0</v>
      </c>
      <c r="AF257" s="1"/>
    </row>
    <row r="258" spans="1:32" x14ac:dyDescent="0.2">
      <c r="A258" s="20" t="s">
        <v>234</v>
      </c>
      <c r="B258" s="20" t="s">
        <v>98</v>
      </c>
      <c r="C258" s="20" t="s">
        <v>16</v>
      </c>
      <c r="D258" s="18" t="s">
        <v>997</v>
      </c>
      <c r="E258" s="20" t="s">
        <v>17</v>
      </c>
      <c r="F258" s="20">
        <v>1</v>
      </c>
      <c r="G258" s="20" t="s">
        <v>299</v>
      </c>
      <c r="H258" s="20" t="s">
        <v>35</v>
      </c>
      <c r="I258" s="20" t="s">
        <v>133</v>
      </c>
      <c r="J258" s="19" t="s">
        <v>998</v>
      </c>
      <c r="K258" s="20" t="s">
        <v>64</v>
      </c>
      <c r="L258" s="20" t="s">
        <v>22</v>
      </c>
      <c r="M258" s="20" t="s">
        <v>202</v>
      </c>
      <c r="N258" s="21">
        <v>257</v>
      </c>
      <c r="O258" s="29">
        <v>45762</v>
      </c>
      <c r="P258" s="29">
        <v>45779</v>
      </c>
      <c r="Q258" s="29">
        <v>45783</v>
      </c>
      <c r="R258" s="29">
        <v>45786</v>
      </c>
      <c r="S258" s="23">
        <f t="shared" si="13"/>
        <v>105</v>
      </c>
      <c r="T258" s="23">
        <f t="shared" si="14"/>
        <v>122</v>
      </c>
      <c r="U258" s="23">
        <f t="shared" si="15"/>
        <v>126</v>
      </c>
      <c r="V258" s="23">
        <f t="shared" si="16"/>
        <v>129</v>
      </c>
      <c r="W258" s="20" t="s">
        <v>35</v>
      </c>
      <c r="X258" s="20" t="s">
        <v>133</v>
      </c>
      <c r="Y258" s="20" t="s">
        <v>64</v>
      </c>
      <c r="Z258" s="20" t="s">
        <v>22</v>
      </c>
      <c r="AA258" s="20" t="s">
        <v>234</v>
      </c>
      <c r="AB258" s="20" t="s">
        <v>98</v>
      </c>
      <c r="AC258" s="20" t="s">
        <v>16</v>
      </c>
      <c r="AD258" s="20"/>
      <c r="AE258" s="2">
        <v>0</v>
      </c>
      <c r="AF258" s="2"/>
    </row>
    <row r="259" spans="1:32" x14ac:dyDescent="0.2">
      <c r="A259" s="20" t="s">
        <v>234</v>
      </c>
      <c r="B259" s="20" t="s">
        <v>98</v>
      </c>
      <c r="C259" s="20" t="s">
        <v>16</v>
      </c>
      <c r="D259" s="18" t="s">
        <v>997</v>
      </c>
      <c r="E259" s="20" t="s">
        <v>24</v>
      </c>
      <c r="F259" s="20">
        <v>1</v>
      </c>
      <c r="G259" s="20" t="s">
        <v>300</v>
      </c>
      <c r="H259" s="20" t="s">
        <v>35</v>
      </c>
      <c r="I259" s="20" t="s">
        <v>133</v>
      </c>
      <c r="J259" s="19" t="s">
        <v>999</v>
      </c>
      <c r="K259" s="20" t="s">
        <v>64</v>
      </c>
      <c r="L259" s="20" t="s">
        <v>22</v>
      </c>
      <c r="M259" s="20" t="s">
        <v>202</v>
      </c>
      <c r="N259" s="21">
        <v>258</v>
      </c>
      <c r="O259" s="29">
        <v>45751</v>
      </c>
      <c r="P259" s="29">
        <v>45762</v>
      </c>
      <c r="Q259" s="29">
        <v>45765</v>
      </c>
      <c r="R259" s="29">
        <v>45776</v>
      </c>
      <c r="S259" s="23">
        <f t="shared" ref="S259:S322" si="17">O259-DATE(YEAR(O259),1,1)+1</f>
        <v>94</v>
      </c>
      <c r="T259" s="23">
        <f t="shared" ref="T259:T322" si="18">P259-DATE(YEAR(P259),1,1)+1</f>
        <v>105</v>
      </c>
      <c r="U259" s="23">
        <f t="shared" ref="U259:U322" si="19">Q259-DATE(YEAR(Q259),1,1)+1</f>
        <v>108</v>
      </c>
      <c r="V259" s="23">
        <f t="shared" ref="V259:V322" si="20">R259-DATE(YEAR(R259),1,1)+1</f>
        <v>119</v>
      </c>
      <c r="W259" s="20" t="s">
        <v>35</v>
      </c>
      <c r="X259" s="20" t="s">
        <v>133</v>
      </c>
      <c r="Y259" s="20" t="s">
        <v>64</v>
      </c>
      <c r="Z259" s="20" t="s">
        <v>22</v>
      </c>
      <c r="AA259" s="20" t="s">
        <v>234</v>
      </c>
      <c r="AB259" s="20" t="s">
        <v>98</v>
      </c>
      <c r="AC259" s="20" t="s">
        <v>16</v>
      </c>
      <c r="AD259" s="20"/>
      <c r="AE259" s="2">
        <v>0</v>
      </c>
      <c r="AF259" s="2"/>
    </row>
    <row r="260" spans="1:32" x14ac:dyDescent="0.2">
      <c r="A260" s="20" t="s">
        <v>234</v>
      </c>
      <c r="B260" s="20" t="s">
        <v>98</v>
      </c>
      <c r="C260" s="20" t="s">
        <v>16</v>
      </c>
      <c r="D260" s="18" t="s">
        <v>997</v>
      </c>
      <c r="E260" s="20" t="s">
        <v>17</v>
      </c>
      <c r="F260" s="20">
        <v>2</v>
      </c>
      <c r="G260" s="20" t="s">
        <v>301</v>
      </c>
      <c r="H260" s="20" t="s">
        <v>35</v>
      </c>
      <c r="I260" s="20" t="s">
        <v>133</v>
      </c>
      <c r="J260" s="19" t="s">
        <v>1000</v>
      </c>
      <c r="K260" s="20" t="s">
        <v>64</v>
      </c>
      <c r="L260" s="20" t="s">
        <v>22</v>
      </c>
      <c r="M260" s="20" t="s">
        <v>202</v>
      </c>
      <c r="N260" s="21">
        <v>259</v>
      </c>
      <c r="O260" s="29">
        <v>45772</v>
      </c>
      <c r="P260" s="29">
        <v>45776</v>
      </c>
      <c r="Q260" s="29">
        <v>45779</v>
      </c>
      <c r="R260" s="29">
        <v>45783</v>
      </c>
      <c r="S260" s="23">
        <f t="shared" si="17"/>
        <v>115</v>
      </c>
      <c r="T260" s="23">
        <f t="shared" si="18"/>
        <v>119</v>
      </c>
      <c r="U260" s="23">
        <f t="shared" si="19"/>
        <v>122</v>
      </c>
      <c r="V260" s="23">
        <f t="shared" si="20"/>
        <v>126</v>
      </c>
      <c r="W260" s="20" t="s">
        <v>35</v>
      </c>
      <c r="X260" s="20" t="s">
        <v>133</v>
      </c>
      <c r="Y260" s="20" t="s">
        <v>64</v>
      </c>
      <c r="Z260" s="20" t="s">
        <v>22</v>
      </c>
      <c r="AA260" s="20" t="s">
        <v>234</v>
      </c>
      <c r="AB260" s="20" t="s">
        <v>98</v>
      </c>
      <c r="AC260" s="20" t="s">
        <v>16</v>
      </c>
      <c r="AD260" s="20"/>
      <c r="AE260" s="2">
        <v>0</v>
      </c>
      <c r="AF260" s="2"/>
    </row>
    <row r="261" spans="1:32" x14ac:dyDescent="0.2">
      <c r="A261" s="20" t="s">
        <v>234</v>
      </c>
      <c r="B261" s="20" t="s">
        <v>98</v>
      </c>
      <c r="C261" s="20" t="s">
        <v>16</v>
      </c>
      <c r="D261" s="18" t="s">
        <v>997</v>
      </c>
      <c r="E261" s="20" t="s">
        <v>24</v>
      </c>
      <c r="F261" s="20">
        <v>2</v>
      </c>
      <c r="G261" s="20" t="s">
        <v>302</v>
      </c>
      <c r="H261" s="20" t="s">
        <v>35</v>
      </c>
      <c r="I261" s="20" t="s">
        <v>133</v>
      </c>
      <c r="J261" s="19" t="s">
        <v>1001</v>
      </c>
      <c r="K261" s="20" t="s">
        <v>64</v>
      </c>
      <c r="L261" s="20" t="s">
        <v>22</v>
      </c>
      <c r="M261" s="20" t="s">
        <v>202</v>
      </c>
      <c r="N261" s="21">
        <v>260</v>
      </c>
      <c r="O261" s="29">
        <v>45762</v>
      </c>
      <c r="P261" s="29">
        <v>45770</v>
      </c>
      <c r="Q261" s="29">
        <v>45779</v>
      </c>
      <c r="R261" s="29">
        <v>45783</v>
      </c>
      <c r="S261" s="23">
        <f t="shared" si="17"/>
        <v>105</v>
      </c>
      <c r="T261" s="23">
        <f t="shared" si="18"/>
        <v>113</v>
      </c>
      <c r="U261" s="23">
        <f t="shared" si="19"/>
        <v>122</v>
      </c>
      <c r="V261" s="23">
        <f t="shared" si="20"/>
        <v>126</v>
      </c>
      <c r="W261" s="20" t="s">
        <v>35</v>
      </c>
      <c r="X261" s="20" t="s">
        <v>133</v>
      </c>
      <c r="Y261" s="20" t="s">
        <v>64</v>
      </c>
      <c r="Z261" s="20" t="s">
        <v>22</v>
      </c>
      <c r="AA261" s="20" t="s">
        <v>234</v>
      </c>
      <c r="AB261" s="20" t="s">
        <v>98</v>
      </c>
      <c r="AC261" s="20" t="s">
        <v>16</v>
      </c>
      <c r="AD261" s="20"/>
      <c r="AE261" s="2">
        <v>0</v>
      </c>
      <c r="AF261" s="2"/>
    </row>
    <row r="262" spans="1:32" x14ac:dyDescent="0.2">
      <c r="A262" s="20" t="s">
        <v>234</v>
      </c>
      <c r="B262" s="20" t="s">
        <v>98</v>
      </c>
      <c r="C262" s="20" t="s">
        <v>16</v>
      </c>
      <c r="D262" s="18" t="s">
        <v>997</v>
      </c>
      <c r="E262" s="20" t="s">
        <v>17</v>
      </c>
      <c r="F262" s="20">
        <v>3</v>
      </c>
      <c r="G262" s="20" t="s">
        <v>303</v>
      </c>
      <c r="H262" s="20" t="s">
        <v>35</v>
      </c>
      <c r="I262" s="20" t="s">
        <v>133</v>
      </c>
      <c r="J262" s="19" t="s">
        <v>1002</v>
      </c>
      <c r="K262" s="20" t="s">
        <v>64</v>
      </c>
      <c r="L262" s="20" t="s">
        <v>22</v>
      </c>
      <c r="M262" s="20" t="s">
        <v>202</v>
      </c>
      <c r="N262" s="21">
        <v>261</v>
      </c>
      <c r="O262" s="29">
        <v>45758</v>
      </c>
      <c r="P262" s="29">
        <v>45762</v>
      </c>
      <c r="Q262" s="29">
        <v>45765</v>
      </c>
      <c r="R262" s="29">
        <v>45776</v>
      </c>
      <c r="S262" s="23">
        <f t="shared" si="17"/>
        <v>101</v>
      </c>
      <c r="T262" s="23">
        <f t="shared" si="18"/>
        <v>105</v>
      </c>
      <c r="U262" s="23">
        <f t="shared" si="19"/>
        <v>108</v>
      </c>
      <c r="V262" s="23">
        <f t="shared" si="20"/>
        <v>119</v>
      </c>
      <c r="W262" s="20" t="s">
        <v>35</v>
      </c>
      <c r="X262" s="20" t="s">
        <v>133</v>
      </c>
      <c r="Y262" s="20" t="s">
        <v>64</v>
      </c>
      <c r="Z262" s="20" t="s">
        <v>22</v>
      </c>
      <c r="AA262" s="20" t="s">
        <v>234</v>
      </c>
      <c r="AB262" s="20" t="s">
        <v>98</v>
      </c>
      <c r="AC262" s="20" t="s">
        <v>16</v>
      </c>
      <c r="AD262" s="20"/>
      <c r="AE262" s="2">
        <v>0</v>
      </c>
      <c r="AF262" s="2"/>
    </row>
    <row r="263" spans="1:32" x14ac:dyDescent="0.2">
      <c r="A263" s="20" t="s">
        <v>234</v>
      </c>
      <c r="B263" s="20" t="s">
        <v>98</v>
      </c>
      <c r="C263" s="20" t="s">
        <v>16</v>
      </c>
      <c r="D263" s="18" t="s">
        <v>997</v>
      </c>
      <c r="E263" s="20" t="s">
        <v>24</v>
      </c>
      <c r="F263" s="20">
        <v>3</v>
      </c>
      <c r="G263" s="20" t="s">
        <v>304</v>
      </c>
      <c r="H263" s="20" t="s">
        <v>35</v>
      </c>
      <c r="I263" s="20" t="s">
        <v>133</v>
      </c>
      <c r="J263" s="19" t="s">
        <v>1003</v>
      </c>
      <c r="K263" s="20" t="s">
        <v>64</v>
      </c>
      <c r="L263" s="20" t="s">
        <v>22</v>
      </c>
      <c r="M263" s="20" t="s">
        <v>202</v>
      </c>
      <c r="N263" s="21">
        <v>262</v>
      </c>
      <c r="O263" s="29">
        <v>45762</v>
      </c>
      <c r="P263" s="29">
        <v>45772</v>
      </c>
      <c r="Q263" s="29">
        <v>45779</v>
      </c>
      <c r="R263" s="29">
        <v>45783</v>
      </c>
      <c r="S263" s="23">
        <f t="shared" si="17"/>
        <v>105</v>
      </c>
      <c r="T263" s="23">
        <f t="shared" si="18"/>
        <v>115</v>
      </c>
      <c r="U263" s="23">
        <f t="shared" si="19"/>
        <v>122</v>
      </c>
      <c r="V263" s="23">
        <f t="shared" si="20"/>
        <v>126</v>
      </c>
      <c r="W263" s="20" t="s">
        <v>35</v>
      </c>
      <c r="X263" s="20" t="s">
        <v>133</v>
      </c>
      <c r="Y263" s="20" t="s">
        <v>64</v>
      </c>
      <c r="Z263" s="20" t="s">
        <v>22</v>
      </c>
      <c r="AA263" s="20" t="s">
        <v>234</v>
      </c>
      <c r="AB263" s="20" t="s">
        <v>98</v>
      </c>
      <c r="AC263" s="20" t="s">
        <v>16</v>
      </c>
      <c r="AD263" s="20"/>
      <c r="AE263" s="2">
        <v>0</v>
      </c>
      <c r="AF263" s="2"/>
    </row>
    <row r="264" spans="1:32" x14ac:dyDescent="0.2">
      <c r="A264" s="20" t="s">
        <v>234</v>
      </c>
      <c r="B264" s="20" t="s">
        <v>98</v>
      </c>
      <c r="C264" s="20" t="s">
        <v>16</v>
      </c>
      <c r="D264" s="18" t="s">
        <v>997</v>
      </c>
      <c r="E264" s="20" t="s">
        <v>17</v>
      </c>
      <c r="F264" s="20">
        <v>4</v>
      </c>
      <c r="G264" s="20" t="s">
        <v>305</v>
      </c>
      <c r="H264" s="20" t="s">
        <v>35</v>
      </c>
      <c r="I264" s="20" t="s">
        <v>133</v>
      </c>
      <c r="J264" s="19" t="s">
        <v>1004</v>
      </c>
      <c r="K264" s="20" t="s">
        <v>64</v>
      </c>
      <c r="L264" s="20" t="s">
        <v>22</v>
      </c>
      <c r="M264" s="20" t="s">
        <v>202</v>
      </c>
      <c r="N264" s="21">
        <v>263</v>
      </c>
      <c r="O264" s="29">
        <v>45762</v>
      </c>
      <c r="P264" s="29">
        <v>45770</v>
      </c>
      <c r="Q264" s="29">
        <v>45776</v>
      </c>
      <c r="R264" s="29">
        <v>45779</v>
      </c>
      <c r="S264" s="23">
        <f t="shared" si="17"/>
        <v>105</v>
      </c>
      <c r="T264" s="23">
        <f t="shared" si="18"/>
        <v>113</v>
      </c>
      <c r="U264" s="23">
        <f t="shared" si="19"/>
        <v>119</v>
      </c>
      <c r="V264" s="23">
        <f t="shared" si="20"/>
        <v>122</v>
      </c>
      <c r="W264" s="20" t="s">
        <v>35</v>
      </c>
      <c r="X264" s="20" t="s">
        <v>133</v>
      </c>
      <c r="Y264" s="20" t="s">
        <v>64</v>
      </c>
      <c r="Z264" s="20" t="s">
        <v>22</v>
      </c>
      <c r="AA264" s="20" t="s">
        <v>234</v>
      </c>
      <c r="AB264" s="20" t="s">
        <v>98</v>
      </c>
      <c r="AC264" s="20" t="s">
        <v>16</v>
      </c>
      <c r="AD264" s="20"/>
      <c r="AE264" s="2">
        <v>0</v>
      </c>
      <c r="AF264" s="2"/>
    </row>
    <row r="265" spans="1:32" x14ac:dyDescent="0.2">
      <c r="A265" s="20" t="s">
        <v>234</v>
      </c>
      <c r="B265" s="20" t="s">
        <v>98</v>
      </c>
      <c r="C265" s="20" t="s">
        <v>16</v>
      </c>
      <c r="D265" s="18" t="s">
        <v>997</v>
      </c>
      <c r="E265" s="20" t="s">
        <v>24</v>
      </c>
      <c r="F265" s="20">
        <v>4</v>
      </c>
      <c r="G265" s="20" t="s">
        <v>306</v>
      </c>
      <c r="H265" s="20" t="s">
        <v>35</v>
      </c>
      <c r="I265" s="20" t="s">
        <v>133</v>
      </c>
      <c r="J265" s="19" t="s">
        <v>1005</v>
      </c>
      <c r="K265" s="20" t="s">
        <v>64</v>
      </c>
      <c r="L265" s="20" t="s">
        <v>22</v>
      </c>
      <c r="M265" s="20" t="s">
        <v>202</v>
      </c>
      <c r="N265" s="21">
        <v>264</v>
      </c>
      <c r="O265" s="29">
        <v>45770</v>
      </c>
      <c r="P265" s="29">
        <v>45779</v>
      </c>
      <c r="Q265" s="29">
        <v>45783</v>
      </c>
      <c r="R265" s="29">
        <v>45786</v>
      </c>
      <c r="S265" s="23">
        <f t="shared" si="17"/>
        <v>113</v>
      </c>
      <c r="T265" s="23">
        <f t="shared" si="18"/>
        <v>122</v>
      </c>
      <c r="U265" s="23">
        <f t="shared" si="19"/>
        <v>126</v>
      </c>
      <c r="V265" s="23">
        <f t="shared" si="20"/>
        <v>129</v>
      </c>
      <c r="W265" s="20" t="s">
        <v>35</v>
      </c>
      <c r="X265" s="20" t="s">
        <v>133</v>
      </c>
      <c r="Y265" s="20" t="s">
        <v>64</v>
      </c>
      <c r="Z265" s="20" t="s">
        <v>22</v>
      </c>
      <c r="AA265" s="20" t="s">
        <v>234</v>
      </c>
      <c r="AB265" s="20" t="s">
        <v>98</v>
      </c>
      <c r="AC265" s="20" t="s">
        <v>16</v>
      </c>
      <c r="AD265" s="20"/>
      <c r="AE265" s="2">
        <v>0</v>
      </c>
      <c r="AF265" s="2"/>
    </row>
    <row r="266" spans="1:32" x14ac:dyDescent="0.2">
      <c r="A266" s="14" t="s">
        <v>234</v>
      </c>
      <c r="B266" s="14" t="s">
        <v>98</v>
      </c>
      <c r="C266" s="14" t="s">
        <v>32</v>
      </c>
      <c r="D266" s="14" t="s">
        <v>1006</v>
      </c>
      <c r="E266" s="14" t="s">
        <v>17</v>
      </c>
      <c r="F266" s="14">
        <v>1</v>
      </c>
      <c r="G266" s="14" t="s">
        <v>307</v>
      </c>
      <c r="H266" s="14" t="s">
        <v>35</v>
      </c>
      <c r="I266" s="14" t="s">
        <v>133</v>
      </c>
      <c r="J266" s="13" t="s">
        <v>1007</v>
      </c>
      <c r="K266" s="14" t="s">
        <v>64</v>
      </c>
      <c r="L266" s="14" t="s">
        <v>44</v>
      </c>
      <c r="M266" s="14" t="s">
        <v>169</v>
      </c>
      <c r="N266" s="13">
        <v>265</v>
      </c>
      <c r="O266" s="30">
        <v>45765</v>
      </c>
      <c r="P266" s="30">
        <v>45779</v>
      </c>
      <c r="Q266" s="30">
        <v>45783</v>
      </c>
      <c r="R266" s="30">
        <v>45786</v>
      </c>
      <c r="S266" s="23">
        <f t="shared" si="17"/>
        <v>108</v>
      </c>
      <c r="T266" s="23">
        <f t="shared" si="18"/>
        <v>122</v>
      </c>
      <c r="U266" s="23">
        <f t="shared" si="19"/>
        <v>126</v>
      </c>
      <c r="V266" s="23">
        <f t="shared" si="20"/>
        <v>129</v>
      </c>
      <c r="W266" s="14" t="s">
        <v>35</v>
      </c>
      <c r="X266" s="14" t="s">
        <v>133</v>
      </c>
      <c r="Y266" s="14" t="s">
        <v>64</v>
      </c>
      <c r="Z266" s="14" t="s">
        <v>44</v>
      </c>
      <c r="AA266" s="14" t="s">
        <v>234</v>
      </c>
      <c r="AB266" s="14" t="s">
        <v>98</v>
      </c>
      <c r="AC266" s="14" t="s">
        <v>32</v>
      </c>
      <c r="AD266" s="14"/>
      <c r="AE266" s="1">
        <v>0</v>
      </c>
      <c r="AF266" s="1"/>
    </row>
    <row r="267" spans="1:32" x14ac:dyDescent="0.2">
      <c r="A267" s="14" t="s">
        <v>234</v>
      </c>
      <c r="B267" s="14" t="s">
        <v>98</v>
      </c>
      <c r="C267" s="14" t="s">
        <v>32</v>
      </c>
      <c r="D267" s="14" t="s">
        <v>1006</v>
      </c>
      <c r="E267" s="14" t="s">
        <v>24</v>
      </c>
      <c r="F267" s="14">
        <v>1</v>
      </c>
      <c r="G267" s="14" t="s">
        <v>308</v>
      </c>
      <c r="H267" s="14" t="s">
        <v>35</v>
      </c>
      <c r="I267" s="14" t="s">
        <v>133</v>
      </c>
      <c r="J267" s="13" t="s">
        <v>1008</v>
      </c>
      <c r="K267" s="14" t="s">
        <v>64</v>
      </c>
      <c r="L267" s="14" t="s">
        <v>44</v>
      </c>
      <c r="M267" s="14" t="s">
        <v>169</v>
      </c>
      <c r="N267" s="13">
        <v>266</v>
      </c>
      <c r="O267" s="30">
        <v>45762</v>
      </c>
      <c r="P267" s="30">
        <v>45779</v>
      </c>
      <c r="Q267" s="30">
        <v>45783</v>
      </c>
      <c r="R267" s="30">
        <v>45786</v>
      </c>
      <c r="S267" s="23">
        <f t="shared" si="17"/>
        <v>105</v>
      </c>
      <c r="T267" s="23">
        <f t="shared" si="18"/>
        <v>122</v>
      </c>
      <c r="U267" s="23">
        <f t="shared" si="19"/>
        <v>126</v>
      </c>
      <c r="V267" s="23">
        <f t="shared" si="20"/>
        <v>129</v>
      </c>
      <c r="W267" s="14" t="s">
        <v>35</v>
      </c>
      <c r="X267" s="14" t="s">
        <v>133</v>
      </c>
      <c r="Y267" s="14" t="s">
        <v>64</v>
      </c>
      <c r="Z267" s="14" t="s">
        <v>44</v>
      </c>
      <c r="AA267" s="14" t="s">
        <v>234</v>
      </c>
      <c r="AB267" s="14" t="s">
        <v>98</v>
      </c>
      <c r="AC267" s="14" t="s">
        <v>32</v>
      </c>
      <c r="AD267" s="14"/>
      <c r="AE267" s="1">
        <v>0</v>
      </c>
      <c r="AF267" s="1"/>
    </row>
    <row r="268" spans="1:32" x14ac:dyDescent="0.2">
      <c r="A268" s="14" t="s">
        <v>234</v>
      </c>
      <c r="B268" s="14" t="s">
        <v>98</v>
      </c>
      <c r="C268" s="14" t="s">
        <v>32</v>
      </c>
      <c r="D268" s="14" t="s">
        <v>1006</v>
      </c>
      <c r="E268" s="14" t="s">
        <v>17</v>
      </c>
      <c r="F268" s="14">
        <v>2</v>
      </c>
      <c r="G268" s="14" t="s">
        <v>309</v>
      </c>
      <c r="H268" s="14" t="s">
        <v>35</v>
      </c>
      <c r="I268" s="14" t="s">
        <v>133</v>
      </c>
      <c r="J268" s="13" t="s">
        <v>1009</v>
      </c>
      <c r="K268" s="14" t="s">
        <v>64</v>
      </c>
      <c r="L268" s="14" t="s">
        <v>44</v>
      </c>
      <c r="M268" s="14" t="s">
        <v>169</v>
      </c>
      <c r="N268" s="13">
        <v>267</v>
      </c>
      <c r="O268" s="30">
        <v>45755</v>
      </c>
      <c r="P268" s="30">
        <v>45765</v>
      </c>
      <c r="Q268" s="30">
        <v>45776</v>
      </c>
      <c r="R268" s="30">
        <v>45779</v>
      </c>
      <c r="S268" s="23">
        <f t="shared" si="17"/>
        <v>98</v>
      </c>
      <c r="T268" s="23">
        <f t="shared" si="18"/>
        <v>108</v>
      </c>
      <c r="U268" s="23">
        <f t="shared" si="19"/>
        <v>119</v>
      </c>
      <c r="V268" s="23">
        <f t="shared" si="20"/>
        <v>122</v>
      </c>
      <c r="W268" s="14" t="s">
        <v>35</v>
      </c>
      <c r="X268" s="14" t="s">
        <v>133</v>
      </c>
      <c r="Y268" s="14" t="s">
        <v>64</v>
      </c>
      <c r="Z268" s="14" t="s">
        <v>44</v>
      </c>
      <c r="AA268" s="14" t="s">
        <v>234</v>
      </c>
      <c r="AB268" s="14" t="s">
        <v>98</v>
      </c>
      <c r="AC268" s="14" t="s">
        <v>32</v>
      </c>
      <c r="AD268" s="14"/>
      <c r="AE268" s="1">
        <v>0</v>
      </c>
      <c r="AF268" s="1"/>
    </row>
    <row r="269" spans="1:32" x14ac:dyDescent="0.2">
      <c r="A269" s="14" t="s">
        <v>234</v>
      </c>
      <c r="B269" s="14" t="s">
        <v>98</v>
      </c>
      <c r="C269" s="14" t="s">
        <v>32</v>
      </c>
      <c r="D269" s="14" t="s">
        <v>1006</v>
      </c>
      <c r="E269" s="14" t="s">
        <v>24</v>
      </c>
      <c r="F269" s="14">
        <v>2</v>
      </c>
      <c r="G269" s="14" t="s">
        <v>310</v>
      </c>
      <c r="H269" s="14" t="s">
        <v>35</v>
      </c>
      <c r="I269" s="14" t="s">
        <v>133</v>
      </c>
      <c r="J269" s="13" t="s">
        <v>1010</v>
      </c>
      <c r="K269" s="14" t="s">
        <v>64</v>
      </c>
      <c r="L269" s="14" t="s">
        <v>44</v>
      </c>
      <c r="M269" s="14" t="s">
        <v>169</v>
      </c>
      <c r="N269" s="13">
        <v>268</v>
      </c>
      <c r="O269" s="30">
        <v>45755</v>
      </c>
      <c r="P269" s="30">
        <v>45762</v>
      </c>
      <c r="Q269" s="30">
        <v>45772</v>
      </c>
      <c r="R269" s="30">
        <v>45776</v>
      </c>
      <c r="S269" s="23">
        <f t="shared" si="17"/>
        <v>98</v>
      </c>
      <c r="T269" s="23">
        <f t="shared" si="18"/>
        <v>105</v>
      </c>
      <c r="U269" s="23">
        <f t="shared" si="19"/>
        <v>115</v>
      </c>
      <c r="V269" s="23">
        <f t="shared" si="20"/>
        <v>119</v>
      </c>
      <c r="W269" s="14" t="s">
        <v>35</v>
      </c>
      <c r="X269" s="14" t="s">
        <v>133</v>
      </c>
      <c r="Y269" s="14" t="s">
        <v>64</v>
      </c>
      <c r="Z269" s="14" t="s">
        <v>44</v>
      </c>
      <c r="AA269" s="14" t="s">
        <v>234</v>
      </c>
      <c r="AB269" s="14" t="s">
        <v>98</v>
      </c>
      <c r="AC269" s="14" t="s">
        <v>32</v>
      </c>
      <c r="AD269" s="14"/>
      <c r="AE269" s="1">
        <v>0</v>
      </c>
      <c r="AF269" s="1"/>
    </row>
    <row r="270" spans="1:32" x14ac:dyDescent="0.2">
      <c r="A270" s="14" t="s">
        <v>234</v>
      </c>
      <c r="B270" s="14" t="s">
        <v>98</v>
      </c>
      <c r="C270" s="14" t="s">
        <v>32</v>
      </c>
      <c r="D270" s="14" t="s">
        <v>1006</v>
      </c>
      <c r="E270" s="14" t="s">
        <v>17</v>
      </c>
      <c r="F270" s="14">
        <v>3</v>
      </c>
      <c r="G270" s="14" t="s">
        <v>311</v>
      </c>
      <c r="H270" s="14" t="s">
        <v>35</v>
      </c>
      <c r="I270" s="14" t="s">
        <v>133</v>
      </c>
      <c r="J270" s="13" t="s">
        <v>1011</v>
      </c>
      <c r="K270" s="14" t="s">
        <v>64</v>
      </c>
      <c r="L270" s="14" t="s">
        <v>44</v>
      </c>
      <c r="M270" s="14" t="s">
        <v>169</v>
      </c>
      <c r="N270" s="13">
        <v>269</v>
      </c>
      <c r="O270" s="30">
        <v>45762</v>
      </c>
      <c r="P270" s="30">
        <v>45770</v>
      </c>
      <c r="Q270" s="30">
        <v>45779</v>
      </c>
      <c r="R270" s="30">
        <v>45783</v>
      </c>
      <c r="S270" s="23">
        <f t="shared" si="17"/>
        <v>105</v>
      </c>
      <c r="T270" s="23">
        <f t="shared" si="18"/>
        <v>113</v>
      </c>
      <c r="U270" s="23">
        <f t="shared" si="19"/>
        <v>122</v>
      </c>
      <c r="V270" s="23">
        <f t="shared" si="20"/>
        <v>126</v>
      </c>
      <c r="W270" s="14" t="s">
        <v>35</v>
      </c>
      <c r="X270" s="14" t="s">
        <v>133</v>
      </c>
      <c r="Y270" s="14" t="s">
        <v>64</v>
      </c>
      <c r="Z270" s="14" t="s">
        <v>44</v>
      </c>
      <c r="AA270" s="14" t="s">
        <v>234</v>
      </c>
      <c r="AB270" s="14" t="s">
        <v>98</v>
      </c>
      <c r="AC270" s="14" t="s">
        <v>32</v>
      </c>
      <c r="AD270" s="14"/>
      <c r="AE270" s="1">
        <v>0</v>
      </c>
      <c r="AF270" s="1"/>
    </row>
    <row r="271" spans="1:32" x14ac:dyDescent="0.2">
      <c r="A271" s="14" t="s">
        <v>234</v>
      </c>
      <c r="B271" s="14" t="s">
        <v>98</v>
      </c>
      <c r="C271" s="14" t="s">
        <v>32</v>
      </c>
      <c r="D271" s="14" t="s">
        <v>1006</v>
      </c>
      <c r="E271" s="14" t="s">
        <v>24</v>
      </c>
      <c r="F271" s="14">
        <v>3</v>
      </c>
      <c r="G271" s="14" t="s">
        <v>312</v>
      </c>
      <c r="H271" s="14" t="s">
        <v>35</v>
      </c>
      <c r="I271" s="14" t="s">
        <v>133</v>
      </c>
      <c r="J271" s="13" t="s">
        <v>1012</v>
      </c>
      <c r="K271" s="14" t="s">
        <v>64</v>
      </c>
      <c r="L271" s="14" t="s">
        <v>44</v>
      </c>
      <c r="M271" s="14" t="s">
        <v>169</v>
      </c>
      <c r="N271" s="13">
        <v>270</v>
      </c>
      <c r="O271" s="30">
        <v>45758</v>
      </c>
      <c r="P271" s="30">
        <v>45765</v>
      </c>
      <c r="Q271" s="30">
        <v>45776</v>
      </c>
      <c r="R271" s="30">
        <v>45779</v>
      </c>
      <c r="S271" s="23">
        <f t="shared" si="17"/>
        <v>101</v>
      </c>
      <c r="T271" s="23">
        <f t="shared" si="18"/>
        <v>108</v>
      </c>
      <c r="U271" s="23">
        <f t="shared" si="19"/>
        <v>119</v>
      </c>
      <c r="V271" s="23">
        <f t="shared" si="20"/>
        <v>122</v>
      </c>
      <c r="W271" s="14" t="s">
        <v>35</v>
      </c>
      <c r="X271" s="14" t="s">
        <v>133</v>
      </c>
      <c r="Y271" s="14" t="s">
        <v>64</v>
      </c>
      <c r="Z271" s="14" t="s">
        <v>44</v>
      </c>
      <c r="AA271" s="14" t="s">
        <v>234</v>
      </c>
      <c r="AB271" s="14" t="s">
        <v>98</v>
      </c>
      <c r="AC271" s="14" t="s">
        <v>32</v>
      </c>
      <c r="AD271" s="14"/>
      <c r="AE271" s="1">
        <v>0</v>
      </c>
      <c r="AF271" s="1"/>
    </row>
    <row r="272" spans="1:32" x14ac:dyDescent="0.2">
      <c r="A272" s="14" t="s">
        <v>234</v>
      </c>
      <c r="B272" s="14" t="s">
        <v>98</v>
      </c>
      <c r="C272" s="14" t="s">
        <v>32</v>
      </c>
      <c r="D272" s="14" t="s">
        <v>1006</v>
      </c>
      <c r="E272" s="14" t="s">
        <v>17</v>
      </c>
      <c r="F272" s="14">
        <v>4</v>
      </c>
      <c r="G272" s="14" t="s">
        <v>313</v>
      </c>
      <c r="H272" s="14" t="s">
        <v>35</v>
      </c>
      <c r="I272" s="14" t="s">
        <v>133</v>
      </c>
      <c r="J272" s="13" t="s">
        <v>1013</v>
      </c>
      <c r="K272" s="14" t="s">
        <v>64</v>
      </c>
      <c r="L272" s="14" t="s">
        <v>44</v>
      </c>
      <c r="M272" s="14" t="s">
        <v>169</v>
      </c>
      <c r="N272" s="13">
        <v>271</v>
      </c>
      <c r="O272" s="30">
        <v>45762</v>
      </c>
      <c r="P272" s="30">
        <v>45770</v>
      </c>
      <c r="Q272" s="30">
        <v>45776</v>
      </c>
      <c r="R272" s="30">
        <v>45779</v>
      </c>
      <c r="S272" s="23">
        <f t="shared" si="17"/>
        <v>105</v>
      </c>
      <c r="T272" s="23">
        <f t="shared" si="18"/>
        <v>113</v>
      </c>
      <c r="U272" s="23">
        <f t="shared" si="19"/>
        <v>119</v>
      </c>
      <c r="V272" s="23">
        <f t="shared" si="20"/>
        <v>122</v>
      </c>
      <c r="W272" s="14" t="s">
        <v>35</v>
      </c>
      <c r="X272" s="14" t="s">
        <v>133</v>
      </c>
      <c r="Y272" s="14" t="s">
        <v>64</v>
      </c>
      <c r="Z272" s="14" t="s">
        <v>44</v>
      </c>
      <c r="AA272" s="14" t="s">
        <v>234</v>
      </c>
      <c r="AB272" s="14" t="s">
        <v>98</v>
      </c>
      <c r="AC272" s="14" t="s">
        <v>32</v>
      </c>
      <c r="AD272" s="14"/>
      <c r="AE272" s="1">
        <v>0</v>
      </c>
      <c r="AF272" s="1"/>
    </row>
    <row r="273" spans="1:32" x14ac:dyDescent="0.2">
      <c r="A273" s="14" t="s">
        <v>234</v>
      </c>
      <c r="B273" s="14" t="s">
        <v>98</v>
      </c>
      <c r="C273" s="14" t="s">
        <v>32</v>
      </c>
      <c r="D273" s="14" t="s">
        <v>1006</v>
      </c>
      <c r="E273" s="14" t="s">
        <v>24</v>
      </c>
      <c r="F273" s="14">
        <v>4</v>
      </c>
      <c r="G273" s="14" t="s">
        <v>314</v>
      </c>
      <c r="H273" s="14" t="s">
        <v>35</v>
      </c>
      <c r="I273" s="14" t="s">
        <v>133</v>
      </c>
      <c r="J273" s="13" t="s">
        <v>1014</v>
      </c>
      <c r="K273" s="14" t="s">
        <v>64</v>
      </c>
      <c r="L273" s="14" t="s">
        <v>44</v>
      </c>
      <c r="M273" s="14" t="s">
        <v>169</v>
      </c>
      <c r="N273" s="13">
        <v>272</v>
      </c>
      <c r="O273" s="30">
        <v>45755</v>
      </c>
      <c r="P273" s="30">
        <v>45770</v>
      </c>
      <c r="Q273" s="30">
        <v>45776</v>
      </c>
      <c r="R273" s="30">
        <v>45779</v>
      </c>
      <c r="S273" s="23">
        <f t="shared" si="17"/>
        <v>98</v>
      </c>
      <c r="T273" s="23">
        <f t="shared" si="18"/>
        <v>113</v>
      </c>
      <c r="U273" s="23">
        <f t="shared" si="19"/>
        <v>119</v>
      </c>
      <c r="V273" s="23">
        <f t="shared" si="20"/>
        <v>122</v>
      </c>
      <c r="W273" s="14" t="s">
        <v>35</v>
      </c>
      <c r="X273" s="14" t="s">
        <v>133</v>
      </c>
      <c r="Y273" s="14" t="s">
        <v>64</v>
      </c>
      <c r="Z273" s="14" t="s">
        <v>44</v>
      </c>
      <c r="AA273" s="14" t="s">
        <v>234</v>
      </c>
      <c r="AB273" s="14" t="s">
        <v>98</v>
      </c>
      <c r="AC273" s="14" t="s">
        <v>32</v>
      </c>
      <c r="AD273" s="14"/>
      <c r="AE273" s="1">
        <v>0</v>
      </c>
      <c r="AF273" s="1"/>
    </row>
    <row r="274" spans="1:32" x14ac:dyDescent="0.2">
      <c r="A274" s="20" t="s">
        <v>234</v>
      </c>
      <c r="B274" s="20" t="s">
        <v>98</v>
      </c>
      <c r="C274" s="20" t="s">
        <v>42</v>
      </c>
      <c r="D274" s="18" t="s">
        <v>1015</v>
      </c>
      <c r="E274" s="20" t="s">
        <v>17</v>
      </c>
      <c r="F274" s="20">
        <v>1</v>
      </c>
      <c r="G274" s="20" t="s">
        <v>315</v>
      </c>
      <c r="H274" s="20" t="s">
        <v>19</v>
      </c>
      <c r="I274" s="20" t="s">
        <v>133</v>
      </c>
      <c r="J274" s="19" t="s">
        <v>1016</v>
      </c>
      <c r="K274" s="20" t="s">
        <v>21</v>
      </c>
      <c r="L274" s="20" t="s">
        <v>22</v>
      </c>
      <c r="M274" s="20" t="s">
        <v>134</v>
      </c>
      <c r="N274" s="21">
        <v>273</v>
      </c>
      <c r="O274" s="29">
        <v>45770</v>
      </c>
      <c r="P274" s="29">
        <v>45776</v>
      </c>
      <c r="Q274" s="2"/>
      <c r="R274" s="29">
        <v>45779</v>
      </c>
      <c r="S274" s="23">
        <f t="shared" si="17"/>
        <v>113</v>
      </c>
      <c r="T274" s="23">
        <f t="shared" si="18"/>
        <v>119</v>
      </c>
      <c r="U274" s="23">
        <f>(V274+T274)/2</f>
        <v>120.5</v>
      </c>
      <c r="V274" s="23">
        <f t="shared" si="20"/>
        <v>122</v>
      </c>
      <c r="W274" s="20" t="s">
        <v>19</v>
      </c>
      <c r="X274" s="20" t="s">
        <v>133</v>
      </c>
      <c r="Y274" s="20" t="s">
        <v>21</v>
      </c>
      <c r="Z274" s="20" t="s">
        <v>22</v>
      </c>
      <c r="AA274" s="20" t="s">
        <v>234</v>
      </c>
      <c r="AB274" s="20" t="s">
        <v>98</v>
      </c>
      <c r="AC274" s="20" t="s">
        <v>42</v>
      </c>
      <c r="AD274" s="20"/>
      <c r="AE274" s="2">
        <v>0</v>
      </c>
      <c r="AF274" s="2"/>
    </row>
    <row r="275" spans="1:32" x14ac:dyDescent="0.2">
      <c r="A275" s="20" t="s">
        <v>234</v>
      </c>
      <c r="B275" s="20" t="s">
        <v>98</v>
      </c>
      <c r="C275" s="20" t="s">
        <v>42</v>
      </c>
      <c r="D275" s="18" t="s">
        <v>1015</v>
      </c>
      <c r="E275" s="20" t="s">
        <v>24</v>
      </c>
      <c r="F275" s="20">
        <v>1</v>
      </c>
      <c r="G275" s="20" t="s">
        <v>316</v>
      </c>
      <c r="H275" s="20" t="s">
        <v>19</v>
      </c>
      <c r="I275" s="20" t="s">
        <v>133</v>
      </c>
      <c r="J275" s="19" t="s">
        <v>1017</v>
      </c>
      <c r="K275" s="20" t="s">
        <v>21</v>
      </c>
      <c r="L275" s="20" t="s">
        <v>22</v>
      </c>
      <c r="M275" s="20" t="s">
        <v>134</v>
      </c>
      <c r="N275" s="21">
        <v>274</v>
      </c>
      <c r="O275" s="29">
        <v>45762</v>
      </c>
      <c r="P275" s="29">
        <v>45776</v>
      </c>
      <c r="Q275" s="29">
        <v>45779</v>
      </c>
      <c r="R275" s="29">
        <v>45783</v>
      </c>
      <c r="S275" s="23">
        <f t="shared" si="17"/>
        <v>105</v>
      </c>
      <c r="T275" s="23">
        <f t="shared" si="18"/>
        <v>119</v>
      </c>
      <c r="U275" s="23">
        <f t="shared" si="19"/>
        <v>122</v>
      </c>
      <c r="V275" s="23">
        <f t="shared" si="20"/>
        <v>126</v>
      </c>
      <c r="W275" s="20" t="s">
        <v>19</v>
      </c>
      <c r="X275" s="20" t="s">
        <v>133</v>
      </c>
      <c r="Y275" s="20" t="s">
        <v>21</v>
      </c>
      <c r="Z275" s="20" t="s">
        <v>22</v>
      </c>
      <c r="AA275" s="20" t="s">
        <v>234</v>
      </c>
      <c r="AB275" s="20" t="s">
        <v>98</v>
      </c>
      <c r="AC275" s="20" t="s">
        <v>42</v>
      </c>
      <c r="AD275" s="20"/>
      <c r="AE275" s="2">
        <v>2</v>
      </c>
      <c r="AF275" s="2" t="s">
        <v>1018</v>
      </c>
    </row>
    <row r="276" spans="1:32" x14ac:dyDescent="0.2">
      <c r="A276" s="20" t="s">
        <v>234</v>
      </c>
      <c r="B276" s="20" t="s">
        <v>98</v>
      </c>
      <c r="C276" s="20" t="s">
        <v>42</v>
      </c>
      <c r="D276" s="18" t="s">
        <v>1015</v>
      </c>
      <c r="E276" s="20" t="s">
        <v>17</v>
      </c>
      <c r="F276" s="20">
        <v>2</v>
      </c>
      <c r="G276" s="20" t="s">
        <v>317</v>
      </c>
      <c r="H276" s="20" t="s">
        <v>19</v>
      </c>
      <c r="I276" s="20" t="s">
        <v>133</v>
      </c>
      <c r="J276" s="19" t="s">
        <v>1019</v>
      </c>
      <c r="K276" s="20" t="s">
        <v>21</v>
      </c>
      <c r="L276" s="20" t="s">
        <v>22</v>
      </c>
      <c r="M276" s="20" t="s">
        <v>134</v>
      </c>
      <c r="N276" s="21">
        <v>275</v>
      </c>
      <c r="O276" s="29">
        <v>45770</v>
      </c>
      <c r="P276" s="29">
        <v>45776</v>
      </c>
      <c r="Q276" s="29">
        <v>45779</v>
      </c>
      <c r="R276" s="29">
        <v>45783</v>
      </c>
      <c r="S276" s="23">
        <f t="shared" si="17"/>
        <v>113</v>
      </c>
      <c r="T276" s="23">
        <f t="shared" si="18"/>
        <v>119</v>
      </c>
      <c r="U276" s="23">
        <f t="shared" si="19"/>
        <v>122</v>
      </c>
      <c r="V276" s="23">
        <f t="shared" si="20"/>
        <v>126</v>
      </c>
      <c r="W276" s="20" t="s">
        <v>19</v>
      </c>
      <c r="X276" s="20" t="s">
        <v>133</v>
      </c>
      <c r="Y276" s="20" t="s">
        <v>21</v>
      </c>
      <c r="Z276" s="20" t="s">
        <v>22</v>
      </c>
      <c r="AA276" s="20" t="s">
        <v>234</v>
      </c>
      <c r="AB276" s="20" t="s">
        <v>98</v>
      </c>
      <c r="AC276" s="20" t="s">
        <v>42</v>
      </c>
      <c r="AD276" s="20"/>
      <c r="AE276" s="2">
        <v>0</v>
      </c>
      <c r="AF276" s="2"/>
    </row>
    <row r="277" spans="1:32" x14ac:dyDescent="0.2">
      <c r="A277" s="20" t="s">
        <v>234</v>
      </c>
      <c r="B277" s="20" t="s">
        <v>98</v>
      </c>
      <c r="C277" s="20" t="s">
        <v>42</v>
      </c>
      <c r="D277" s="18" t="s">
        <v>1015</v>
      </c>
      <c r="E277" s="20" t="s">
        <v>24</v>
      </c>
      <c r="F277" s="20">
        <v>2</v>
      </c>
      <c r="G277" s="20" t="s">
        <v>318</v>
      </c>
      <c r="H277" s="20" t="s">
        <v>19</v>
      </c>
      <c r="I277" s="20" t="s">
        <v>133</v>
      </c>
      <c r="J277" s="19" t="s">
        <v>1020</v>
      </c>
      <c r="K277" s="20" t="s">
        <v>21</v>
      </c>
      <c r="L277" s="20" t="s">
        <v>22</v>
      </c>
      <c r="M277" s="20" t="s">
        <v>134</v>
      </c>
      <c r="N277" s="21">
        <v>276</v>
      </c>
      <c r="O277" s="29">
        <v>45758</v>
      </c>
      <c r="P277" s="29">
        <v>45762</v>
      </c>
      <c r="Q277" s="29">
        <v>45770</v>
      </c>
      <c r="R277" s="29">
        <v>45772</v>
      </c>
      <c r="S277" s="23">
        <f t="shared" si="17"/>
        <v>101</v>
      </c>
      <c r="T277" s="23">
        <f t="shared" si="18"/>
        <v>105</v>
      </c>
      <c r="U277" s="23">
        <f t="shared" si="19"/>
        <v>113</v>
      </c>
      <c r="V277" s="23">
        <f t="shared" si="20"/>
        <v>115</v>
      </c>
      <c r="W277" s="20" t="s">
        <v>19</v>
      </c>
      <c r="X277" s="20" t="s">
        <v>133</v>
      </c>
      <c r="Y277" s="20" t="s">
        <v>21</v>
      </c>
      <c r="Z277" s="20" t="s">
        <v>22</v>
      </c>
      <c r="AA277" s="20" t="s">
        <v>234</v>
      </c>
      <c r="AB277" s="20" t="s">
        <v>98</v>
      </c>
      <c r="AC277" s="20" t="s">
        <v>42</v>
      </c>
      <c r="AD277" s="20"/>
      <c r="AE277" s="2">
        <v>2</v>
      </c>
      <c r="AF277" s="2" t="s">
        <v>1021</v>
      </c>
    </row>
    <row r="278" spans="1:32" x14ac:dyDescent="0.2">
      <c r="A278" s="20" t="s">
        <v>234</v>
      </c>
      <c r="B278" s="20" t="s">
        <v>98</v>
      </c>
      <c r="C278" s="20" t="s">
        <v>42</v>
      </c>
      <c r="D278" s="18" t="s">
        <v>1015</v>
      </c>
      <c r="E278" s="20" t="s">
        <v>17</v>
      </c>
      <c r="F278" s="20">
        <v>3</v>
      </c>
      <c r="G278" s="20" t="s">
        <v>319</v>
      </c>
      <c r="H278" s="20" t="s">
        <v>19</v>
      </c>
      <c r="I278" s="20" t="s">
        <v>133</v>
      </c>
      <c r="J278" s="19" t="s">
        <v>1022</v>
      </c>
      <c r="K278" s="20" t="s">
        <v>21</v>
      </c>
      <c r="L278" s="20" t="s">
        <v>22</v>
      </c>
      <c r="M278" s="20" t="s">
        <v>134</v>
      </c>
      <c r="N278" s="21">
        <v>277</v>
      </c>
      <c r="O278" s="29">
        <v>45758</v>
      </c>
      <c r="P278" s="29">
        <v>45762</v>
      </c>
      <c r="Q278" s="29">
        <v>45765</v>
      </c>
      <c r="R278" s="29">
        <v>45770</v>
      </c>
      <c r="S278" s="23">
        <f t="shared" si="17"/>
        <v>101</v>
      </c>
      <c r="T278" s="23">
        <f t="shared" si="18"/>
        <v>105</v>
      </c>
      <c r="U278" s="23">
        <f t="shared" si="19"/>
        <v>108</v>
      </c>
      <c r="V278" s="23">
        <f t="shared" si="20"/>
        <v>113</v>
      </c>
      <c r="W278" s="20" t="s">
        <v>19</v>
      </c>
      <c r="X278" s="20" t="s">
        <v>133</v>
      </c>
      <c r="Y278" s="20" t="s">
        <v>21</v>
      </c>
      <c r="Z278" s="20" t="s">
        <v>22</v>
      </c>
      <c r="AA278" s="20" t="s">
        <v>234</v>
      </c>
      <c r="AB278" s="20" t="s">
        <v>98</v>
      </c>
      <c r="AC278" s="20" t="s">
        <v>42</v>
      </c>
      <c r="AD278" s="20"/>
      <c r="AE278" s="2">
        <v>0</v>
      </c>
      <c r="AF278" s="2"/>
    </row>
    <row r="279" spans="1:32" x14ac:dyDescent="0.2">
      <c r="A279" s="20" t="s">
        <v>234</v>
      </c>
      <c r="B279" s="20" t="s">
        <v>98</v>
      </c>
      <c r="C279" s="20" t="s">
        <v>42</v>
      </c>
      <c r="D279" s="18" t="s">
        <v>1015</v>
      </c>
      <c r="E279" s="20" t="s">
        <v>24</v>
      </c>
      <c r="F279" s="20">
        <v>3</v>
      </c>
      <c r="G279" s="20" t="s">
        <v>320</v>
      </c>
      <c r="H279" s="20" t="s">
        <v>19</v>
      </c>
      <c r="I279" s="20" t="s">
        <v>133</v>
      </c>
      <c r="J279" s="19" t="s">
        <v>1023</v>
      </c>
      <c r="K279" s="20" t="s">
        <v>21</v>
      </c>
      <c r="L279" s="20" t="s">
        <v>22</v>
      </c>
      <c r="M279" s="20" t="s">
        <v>134</v>
      </c>
      <c r="N279" s="21">
        <v>278</v>
      </c>
      <c r="O279" s="29">
        <v>45770</v>
      </c>
      <c r="P279" s="29">
        <v>45776</v>
      </c>
      <c r="Q279" s="29">
        <v>45779</v>
      </c>
      <c r="R279" s="29">
        <v>45783</v>
      </c>
      <c r="S279" s="23">
        <f t="shared" si="17"/>
        <v>113</v>
      </c>
      <c r="T279" s="23">
        <f t="shared" si="18"/>
        <v>119</v>
      </c>
      <c r="U279" s="23">
        <f t="shared" si="19"/>
        <v>122</v>
      </c>
      <c r="V279" s="23">
        <f t="shared" si="20"/>
        <v>126</v>
      </c>
      <c r="W279" s="20" t="s">
        <v>19</v>
      </c>
      <c r="X279" s="20" t="s">
        <v>133</v>
      </c>
      <c r="Y279" s="20" t="s">
        <v>21</v>
      </c>
      <c r="Z279" s="20" t="s">
        <v>22</v>
      </c>
      <c r="AA279" s="20" t="s">
        <v>234</v>
      </c>
      <c r="AB279" s="20" t="s">
        <v>98</v>
      </c>
      <c r="AC279" s="20" t="s">
        <v>42</v>
      </c>
      <c r="AD279" s="20"/>
      <c r="AE279" s="2">
        <v>0</v>
      </c>
      <c r="AF279" s="2"/>
    </row>
    <row r="280" spans="1:32" x14ac:dyDescent="0.2">
      <c r="A280" s="20" t="s">
        <v>234</v>
      </c>
      <c r="B280" s="20" t="s">
        <v>98</v>
      </c>
      <c r="C280" s="20" t="s">
        <v>42</v>
      </c>
      <c r="D280" s="18" t="s">
        <v>1015</v>
      </c>
      <c r="E280" s="20" t="s">
        <v>17</v>
      </c>
      <c r="F280" s="20">
        <v>4</v>
      </c>
      <c r="G280" s="20" t="s">
        <v>321</v>
      </c>
      <c r="H280" s="20" t="s">
        <v>19</v>
      </c>
      <c r="I280" s="20" t="s">
        <v>133</v>
      </c>
      <c r="J280" s="19" t="s">
        <v>1024</v>
      </c>
      <c r="K280" s="20" t="s">
        <v>21</v>
      </c>
      <c r="L280" s="20" t="s">
        <v>22</v>
      </c>
      <c r="M280" s="20" t="s">
        <v>134</v>
      </c>
      <c r="N280" s="21">
        <v>279</v>
      </c>
      <c r="O280" s="29">
        <v>45755</v>
      </c>
      <c r="P280" s="29">
        <v>45765</v>
      </c>
      <c r="Q280" s="29">
        <v>45770</v>
      </c>
      <c r="R280" s="29">
        <v>45772</v>
      </c>
      <c r="S280" s="23">
        <f t="shared" si="17"/>
        <v>98</v>
      </c>
      <c r="T280" s="23">
        <f t="shared" si="18"/>
        <v>108</v>
      </c>
      <c r="U280" s="23">
        <f t="shared" si="19"/>
        <v>113</v>
      </c>
      <c r="V280" s="23">
        <f t="shared" si="20"/>
        <v>115</v>
      </c>
      <c r="W280" s="20" t="s">
        <v>19</v>
      </c>
      <c r="X280" s="20" t="s">
        <v>133</v>
      </c>
      <c r="Y280" s="20" t="s">
        <v>21</v>
      </c>
      <c r="Z280" s="20" t="s">
        <v>22</v>
      </c>
      <c r="AA280" s="20" t="s">
        <v>234</v>
      </c>
      <c r="AB280" s="20" t="s">
        <v>98</v>
      </c>
      <c r="AC280" s="20" t="s">
        <v>42</v>
      </c>
      <c r="AD280" s="20"/>
      <c r="AE280" s="2">
        <v>0</v>
      </c>
      <c r="AF280" s="2"/>
    </row>
    <row r="281" spans="1:32" x14ac:dyDescent="0.2">
      <c r="A281" s="20" t="s">
        <v>234</v>
      </c>
      <c r="B281" s="20" t="s">
        <v>98</v>
      </c>
      <c r="C281" s="20" t="s">
        <v>42</v>
      </c>
      <c r="D281" s="18" t="s">
        <v>1015</v>
      </c>
      <c r="E281" s="20" t="s">
        <v>24</v>
      </c>
      <c r="F281" s="20">
        <v>4</v>
      </c>
      <c r="G281" s="20" t="s">
        <v>322</v>
      </c>
      <c r="H281" s="20" t="s">
        <v>19</v>
      </c>
      <c r="I281" s="20" t="s">
        <v>133</v>
      </c>
      <c r="J281" s="19" t="s">
        <v>1025</v>
      </c>
      <c r="K281" s="20" t="s">
        <v>21</v>
      </c>
      <c r="L281" s="20" t="s">
        <v>22</v>
      </c>
      <c r="M281" s="20" t="s">
        <v>134</v>
      </c>
      <c r="N281" s="21">
        <v>280</v>
      </c>
      <c r="O281" s="29">
        <v>45762</v>
      </c>
      <c r="P281" s="29">
        <v>45770</v>
      </c>
      <c r="Q281" s="29">
        <v>45776</v>
      </c>
      <c r="R281" s="29">
        <v>45779</v>
      </c>
      <c r="S281" s="23">
        <f t="shared" si="17"/>
        <v>105</v>
      </c>
      <c r="T281" s="23">
        <f t="shared" si="18"/>
        <v>113</v>
      </c>
      <c r="U281" s="23">
        <f t="shared" si="19"/>
        <v>119</v>
      </c>
      <c r="V281" s="23">
        <f t="shared" si="20"/>
        <v>122</v>
      </c>
      <c r="W281" s="20" t="s">
        <v>19</v>
      </c>
      <c r="X281" s="20" t="s">
        <v>133</v>
      </c>
      <c r="Y281" s="20" t="s">
        <v>21</v>
      </c>
      <c r="Z281" s="20" t="s">
        <v>22</v>
      </c>
      <c r="AA281" s="20" t="s">
        <v>234</v>
      </c>
      <c r="AB281" s="20" t="s">
        <v>98</v>
      </c>
      <c r="AC281" s="20" t="s">
        <v>42</v>
      </c>
      <c r="AD281" s="20"/>
      <c r="AE281" s="2">
        <v>0</v>
      </c>
      <c r="AF281" s="2"/>
    </row>
    <row r="282" spans="1:32" x14ac:dyDescent="0.2">
      <c r="A282" s="14" t="s">
        <v>234</v>
      </c>
      <c r="B282" s="14" t="s">
        <v>98</v>
      </c>
      <c r="C282" s="14" t="s">
        <v>53</v>
      </c>
      <c r="D282" s="14" t="s">
        <v>1026</v>
      </c>
      <c r="E282" s="14" t="s">
        <v>17</v>
      </c>
      <c r="F282" s="14">
        <v>1</v>
      </c>
      <c r="G282" s="14" t="s">
        <v>323</v>
      </c>
      <c r="H282" s="14" t="s">
        <v>35</v>
      </c>
      <c r="I282" s="14" t="s">
        <v>133</v>
      </c>
      <c r="J282" s="13" t="s">
        <v>1027</v>
      </c>
      <c r="K282" s="14" t="s">
        <v>21</v>
      </c>
      <c r="L282" s="14" t="s">
        <v>22</v>
      </c>
      <c r="M282" s="14" t="s">
        <v>134</v>
      </c>
      <c r="N282" s="13">
        <v>281</v>
      </c>
      <c r="O282" s="30">
        <v>45762</v>
      </c>
      <c r="P282" s="30">
        <v>45765</v>
      </c>
      <c r="Q282" s="30">
        <v>45776</v>
      </c>
      <c r="R282" s="30">
        <v>45779</v>
      </c>
      <c r="S282" s="23">
        <f t="shared" si="17"/>
        <v>105</v>
      </c>
      <c r="T282" s="23">
        <f t="shared" si="18"/>
        <v>108</v>
      </c>
      <c r="U282" s="23">
        <f t="shared" si="19"/>
        <v>119</v>
      </c>
      <c r="V282" s="23">
        <f t="shared" si="20"/>
        <v>122</v>
      </c>
      <c r="W282" s="14" t="s">
        <v>35</v>
      </c>
      <c r="X282" s="14" t="s">
        <v>133</v>
      </c>
      <c r="Y282" s="14" t="s">
        <v>21</v>
      </c>
      <c r="Z282" s="14" t="s">
        <v>22</v>
      </c>
      <c r="AA282" s="14" t="s">
        <v>234</v>
      </c>
      <c r="AB282" s="14" t="s">
        <v>98</v>
      </c>
      <c r="AC282" s="14" t="s">
        <v>53</v>
      </c>
      <c r="AD282" s="14"/>
      <c r="AE282" s="1">
        <v>0</v>
      </c>
      <c r="AF282" s="1"/>
    </row>
    <row r="283" spans="1:32" x14ac:dyDescent="0.2">
      <c r="A283" s="14" t="s">
        <v>234</v>
      </c>
      <c r="B283" s="14" t="s">
        <v>98</v>
      </c>
      <c r="C283" s="14" t="s">
        <v>53</v>
      </c>
      <c r="D283" s="14" t="s">
        <v>1026</v>
      </c>
      <c r="E283" s="14" t="s">
        <v>24</v>
      </c>
      <c r="F283" s="14">
        <v>1</v>
      </c>
      <c r="G283" s="14" t="s">
        <v>324</v>
      </c>
      <c r="H283" s="14" t="s">
        <v>35</v>
      </c>
      <c r="I283" s="14" t="s">
        <v>133</v>
      </c>
      <c r="J283" s="13" t="s">
        <v>1028</v>
      </c>
      <c r="K283" s="14" t="s">
        <v>21</v>
      </c>
      <c r="L283" s="14" t="s">
        <v>22</v>
      </c>
      <c r="M283" s="14" t="s">
        <v>134</v>
      </c>
      <c r="N283" s="13">
        <v>282</v>
      </c>
      <c r="O283" s="30">
        <v>45755</v>
      </c>
      <c r="P283" s="30">
        <v>45770</v>
      </c>
      <c r="Q283" s="1"/>
      <c r="R283" s="30">
        <v>45779</v>
      </c>
      <c r="S283" s="23">
        <f t="shared" si="17"/>
        <v>98</v>
      </c>
      <c r="T283" s="23">
        <f t="shared" si="18"/>
        <v>113</v>
      </c>
      <c r="U283" s="23">
        <f>(V283+T283)/2</f>
        <v>117.5</v>
      </c>
      <c r="V283" s="23">
        <f t="shared" si="20"/>
        <v>122</v>
      </c>
      <c r="W283" s="14" t="s">
        <v>35</v>
      </c>
      <c r="X283" s="14" t="s">
        <v>133</v>
      </c>
      <c r="Y283" s="14" t="s">
        <v>21</v>
      </c>
      <c r="Z283" s="14" t="s">
        <v>22</v>
      </c>
      <c r="AA283" s="14" t="s">
        <v>234</v>
      </c>
      <c r="AB283" s="14" t="s">
        <v>98</v>
      </c>
      <c r="AC283" s="14" t="s">
        <v>53</v>
      </c>
      <c r="AD283" s="14"/>
      <c r="AE283" s="1">
        <v>0</v>
      </c>
      <c r="AF283" s="1"/>
    </row>
    <row r="284" spans="1:32" x14ac:dyDescent="0.2">
      <c r="A284" s="14" t="s">
        <v>234</v>
      </c>
      <c r="B284" s="14" t="s">
        <v>98</v>
      </c>
      <c r="C284" s="14" t="s">
        <v>53</v>
      </c>
      <c r="D284" s="14" t="s">
        <v>1026</v>
      </c>
      <c r="E284" s="14" t="s">
        <v>17</v>
      </c>
      <c r="F284" s="14">
        <v>2</v>
      </c>
      <c r="G284" s="14" t="s">
        <v>325</v>
      </c>
      <c r="H284" s="14" t="s">
        <v>35</v>
      </c>
      <c r="I284" s="14" t="s">
        <v>133</v>
      </c>
      <c r="J284" s="13" t="s">
        <v>1029</v>
      </c>
      <c r="K284" s="14" t="s">
        <v>21</v>
      </c>
      <c r="L284" s="14" t="s">
        <v>22</v>
      </c>
      <c r="M284" s="14" t="s">
        <v>134</v>
      </c>
      <c r="N284" s="13">
        <v>283</v>
      </c>
      <c r="O284" s="30">
        <v>45762</v>
      </c>
      <c r="P284" s="30">
        <v>45772</v>
      </c>
      <c r="Q284" s="1"/>
      <c r="R284" s="30">
        <v>45779</v>
      </c>
      <c r="S284" s="23">
        <f t="shared" si="17"/>
        <v>105</v>
      </c>
      <c r="T284" s="23">
        <f t="shared" si="18"/>
        <v>115</v>
      </c>
      <c r="U284" s="23">
        <f>(V284+T284)/2</f>
        <v>118.5</v>
      </c>
      <c r="V284" s="23">
        <f t="shared" si="20"/>
        <v>122</v>
      </c>
      <c r="W284" s="14" t="s">
        <v>35</v>
      </c>
      <c r="X284" s="14" t="s">
        <v>133</v>
      </c>
      <c r="Y284" s="14" t="s">
        <v>21</v>
      </c>
      <c r="Z284" s="14" t="s">
        <v>22</v>
      </c>
      <c r="AA284" s="14" t="s">
        <v>234</v>
      </c>
      <c r="AB284" s="14" t="s">
        <v>98</v>
      </c>
      <c r="AC284" s="14" t="s">
        <v>53</v>
      </c>
      <c r="AD284" s="14"/>
      <c r="AE284" s="1">
        <v>0</v>
      </c>
      <c r="AF284" s="1"/>
    </row>
    <row r="285" spans="1:32" x14ac:dyDescent="0.2">
      <c r="A285" s="14" t="s">
        <v>234</v>
      </c>
      <c r="B285" s="14" t="s">
        <v>98</v>
      </c>
      <c r="C285" s="14" t="s">
        <v>53</v>
      </c>
      <c r="D285" s="14" t="s">
        <v>1026</v>
      </c>
      <c r="E285" s="14" t="s">
        <v>24</v>
      </c>
      <c r="F285" s="14">
        <v>2</v>
      </c>
      <c r="G285" s="14" t="s">
        <v>326</v>
      </c>
      <c r="H285" s="14" t="s">
        <v>35</v>
      </c>
      <c r="I285" s="14" t="s">
        <v>133</v>
      </c>
      <c r="J285" s="13" t="s">
        <v>1030</v>
      </c>
      <c r="K285" s="14" t="s">
        <v>21</v>
      </c>
      <c r="L285" s="14" t="s">
        <v>22</v>
      </c>
      <c r="M285" s="14" t="s">
        <v>134</v>
      </c>
      <c r="N285" s="13">
        <v>284</v>
      </c>
      <c r="O285" s="30">
        <v>45762</v>
      </c>
      <c r="P285" s="30">
        <v>45772</v>
      </c>
      <c r="Q285" s="30">
        <v>45779</v>
      </c>
      <c r="R285" s="30">
        <v>45783</v>
      </c>
      <c r="S285" s="23">
        <f t="shared" si="17"/>
        <v>105</v>
      </c>
      <c r="T285" s="23">
        <f t="shared" si="18"/>
        <v>115</v>
      </c>
      <c r="U285" s="23">
        <f t="shared" si="19"/>
        <v>122</v>
      </c>
      <c r="V285" s="23">
        <f t="shared" si="20"/>
        <v>126</v>
      </c>
      <c r="W285" s="14" t="s">
        <v>35</v>
      </c>
      <c r="X285" s="14" t="s">
        <v>133</v>
      </c>
      <c r="Y285" s="14" t="s">
        <v>21</v>
      </c>
      <c r="Z285" s="14" t="s">
        <v>22</v>
      </c>
      <c r="AA285" s="14" t="s">
        <v>234</v>
      </c>
      <c r="AB285" s="14" t="s">
        <v>98</v>
      </c>
      <c r="AC285" s="14" t="s">
        <v>53</v>
      </c>
      <c r="AD285" s="14"/>
      <c r="AE285" s="1">
        <v>0</v>
      </c>
      <c r="AF285" s="1"/>
    </row>
    <row r="286" spans="1:32" x14ac:dyDescent="0.2">
      <c r="A286" s="14" t="s">
        <v>234</v>
      </c>
      <c r="B286" s="14" t="s">
        <v>98</v>
      </c>
      <c r="C286" s="14" t="s">
        <v>53</v>
      </c>
      <c r="D286" s="14" t="s">
        <v>1026</v>
      </c>
      <c r="E286" s="14" t="s">
        <v>17</v>
      </c>
      <c r="F286" s="14">
        <v>3</v>
      </c>
      <c r="G286" s="14" t="s">
        <v>327</v>
      </c>
      <c r="H286" s="14" t="s">
        <v>35</v>
      </c>
      <c r="I286" s="14" t="s">
        <v>133</v>
      </c>
      <c r="J286" s="13" t="s">
        <v>1031</v>
      </c>
      <c r="K286" s="14" t="s">
        <v>21</v>
      </c>
      <c r="L286" s="14" t="s">
        <v>22</v>
      </c>
      <c r="M286" s="14" t="s">
        <v>134</v>
      </c>
      <c r="N286" s="13">
        <v>285</v>
      </c>
      <c r="O286" s="30">
        <v>45755</v>
      </c>
      <c r="P286" s="30">
        <v>45762</v>
      </c>
      <c r="Q286" s="30">
        <v>45776</v>
      </c>
      <c r="R286" s="30">
        <v>45779</v>
      </c>
      <c r="S286" s="23">
        <f t="shared" si="17"/>
        <v>98</v>
      </c>
      <c r="T286" s="23">
        <f t="shared" si="18"/>
        <v>105</v>
      </c>
      <c r="U286" s="23">
        <f t="shared" si="19"/>
        <v>119</v>
      </c>
      <c r="V286" s="23">
        <f t="shared" si="20"/>
        <v>122</v>
      </c>
      <c r="W286" s="14" t="s">
        <v>35</v>
      </c>
      <c r="X286" s="14" t="s">
        <v>133</v>
      </c>
      <c r="Y286" s="14" t="s">
        <v>21</v>
      </c>
      <c r="Z286" s="14" t="s">
        <v>22</v>
      </c>
      <c r="AA286" s="14" t="s">
        <v>234</v>
      </c>
      <c r="AB286" s="14" t="s">
        <v>98</v>
      </c>
      <c r="AC286" s="14" t="s">
        <v>53</v>
      </c>
      <c r="AD286" s="14"/>
      <c r="AE286" s="1">
        <v>0</v>
      </c>
      <c r="AF286" s="1"/>
    </row>
    <row r="287" spans="1:32" x14ac:dyDescent="0.2">
      <c r="A287" s="14" t="s">
        <v>234</v>
      </c>
      <c r="B287" s="14" t="s">
        <v>98</v>
      </c>
      <c r="C287" s="14" t="s">
        <v>53</v>
      </c>
      <c r="D287" s="14" t="s">
        <v>1026</v>
      </c>
      <c r="E287" s="14" t="s">
        <v>24</v>
      </c>
      <c r="F287" s="14">
        <v>3</v>
      </c>
      <c r="G287" s="14" t="s">
        <v>328</v>
      </c>
      <c r="H287" s="14" t="s">
        <v>35</v>
      </c>
      <c r="I287" s="14" t="s">
        <v>133</v>
      </c>
      <c r="J287" s="13" t="s">
        <v>1032</v>
      </c>
      <c r="K287" s="14" t="s">
        <v>21</v>
      </c>
      <c r="L287" s="14" t="s">
        <v>22</v>
      </c>
      <c r="M287" s="14" t="s">
        <v>134</v>
      </c>
      <c r="N287" s="13">
        <v>286</v>
      </c>
      <c r="O287" s="30">
        <v>45755</v>
      </c>
      <c r="P287" s="30">
        <v>45762</v>
      </c>
      <c r="Q287" s="30">
        <v>45770</v>
      </c>
      <c r="R287" s="30">
        <v>45776</v>
      </c>
      <c r="S287" s="23">
        <f t="shared" si="17"/>
        <v>98</v>
      </c>
      <c r="T287" s="23">
        <f t="shared" si="18"/>
        <v>105</v>
      </c>
      <c r="U287" s="23">
        <f t="shared" si="19"/>
        <v>113</v>
      </c>
      <c r="V287" s="23">
        <f t="shared" si="20"/>
        <v>119</v>
      </c>
      <c r="W287" s="14" t="s">
        <v>35</v>
      </c>
      <c r="X287" s="14" t="s">
        <v>133</v>
      </c>
      <c r="Y287" s="14" t="s">
        <v>21</v>
      </c>
      <c r="Z287" s="14" t="s">
        <v>22</v>
      </c>
      <c r="AA287" s="14" t="s">
        <v>234</v>
      </c>
      <c r="AB287" s="14" t="s">
        <v>98</v>
      </c>
      <c r="AC287" s="14" t="s">
        <v>53</v>
      </c>
      <c r="AD287" s="14"/>
      <c r="AE287" s="1">
        <v>0</v>
      </c>
      <c r="AF287" s="1"/>
    </row>
    <row r="288" spans="1:32" x14ac:dyDescent="0.2">
      <c r="A288" s="14" t="s">
        <v>234</v>
      </c>
      <c r="B288" s="14" t="s">
        <v>98</v>
      </c>
      <c r="C288" s="14" t="s">
        <v>53</v>
      </c>
      <c r="D288" s="14" t="s">
        <v>1026</v>
      </c>
      <c r="E288" s="14" t="s">
        <v>17</v>
      </c>
      <c r="F288" s="14">
        <v>4</v>
      </c>
      <c r="G288" s="14" t="s">
        <v>329</v>
      </c>
      <c r="H288" s="14" t="s">
        <v>35</v>
      </c>
      <c r="I288" s="14" t="s">
        <v>133</v>
      </c>
      <c r="J288" s="13" t="s">
        <v>1033</v>
      </c>
      <c r="K288" s="14" t="s">
        <v>21</v>
      </c>
      <c r="L288" s="14" t="s">
        <v>22</v>
      </c>
      <c r="M288" s="14" t="s">
        <v>134</v>
      </c>
      <c r="N288" s="13">
        <v>287</v>
      </c>
      <c r="O288" s="30">
        <v>45765</v>
      </c>
      <c r="P288" s="30">
        <v>45776</v>
      </c>
      <c r="Q288" s="30">
        <v>45779</v>
      </c>
      <c r="R288" s="30">
        <v>45783</v>
      </c>
      <c r="S288" s="23">
        <f t="shared" si="17"/>
        <v>108</v>
      </c>
      <c r="T288" s="23">
        <f t="shared" si="18"/>
        <v>119</v>
      </c>
      <c r="U288" s="23">
        <f t="shared" si="19"/>
        <v>122</v>
      </c>
      <c r="V288" s="23">
        <f t="shared" si="20"/>
        <v>126</v>
      </c>
      <c r="W288" s="14" t="s">
        <v>35</v>
      </c>
      <c r="X288" s="14" t="s">
        <v>133</v>
      </c>
      <c r="Y288" s="14" t="s">
        <v>21</v>
      </c>
      <c r="Z288" s="14" t="s">
        <v>22</v>
      </c>
      <c r="AA288" s="14" t="s">
        <v>234</v>
      </c>
      <c r="AB288" s="14" t="s">
        <v>98</v>
      </c>
      <c r="AC288" s="14" t="s">
        <v>53</v>
      </c>
      <c r="AD288" s="14"/>
      <c r="AE288" s="1">
        <v>0</v>
      </c>
      <c r="AF288" s="1"/>
    </row>
    <row r="289" spans="1:32" x14ac:dyDescent="0.2">
      <c r="A289" s="14" t="s">
        <v>234</v>
      </c>
      <c r="B289" s="14" t="s">
        <v>98</v>
      </c>
      <c r="C289" s="14" t="s">
        <v>53</v>
      </c>
      <c r="D289" s="14" t="s">
        <v>1026</v>
      </c>
      <c r="E289" s="14" t="s">
        <v>24</v>
      </c>
      <c r="F289" s="14">
        <v>4</v>
      </c>
      <c r="G289" s="14" t="s">
        <v>330</v>
      </c>
      <c r="H289" s="14" t="s">
        <v>35</v>
      </c>
      <c r="I289" s="14" t="s">
        <v>133</v>
      </c>
      <c r="J289" s="13" t="s">
        <v>1034</v>
      </c>
      <c r="K289" s="14" t="s">
        <v>21</v>
      </c>
      <c r="L289" s="14" t="s">
        <v>22</v>
      </c>
      <c r="M289" s="14" t="s">
        <v>134</v>
      </c>
      <c r="N289" s="13">
        <v>288</v>
      </c>
      <c r="O289" s="30">
        <v>45762</v>
      </c>
      <c r="P289" s="30">
        <v>45770</v>
      </c>
      <c r="Q289" s="30">
        <v>45776</v>
      </c>
      <c r="R289" s="30">
        <v>45779</v>
      </c>
      <c r="S289" s="23">
        <f t="shared" si="17"/>
        <v>105</v>
      </c>
      <c r="T289" s="23">
        <f t="shared" si="18"/>
        <v>113</v>
      </c>
      <c r="U289" s="23">
        <f t="shared" si="19"/>
        <v>119</v>
      </c>
      <c r="V289" s="23">
        <f t="shared" si="20"/>
        <v>122</v>
      </c>
      <c r="W289" s="14" t="s">
        <v>35</v>
      </c>
      <c r="X289" s="14" t="s">
        <v>133</v>
      </c>
      <c r="Y289" s="14" t="s">
        <v>21</v>
      </c>
      <c r="Z289" s="14" t="s">
        <v>22</v>
      </c>
      <c r="AA289" s="14" t="s">
        <v>234</v>
      </c>
      <c r="AB289" s="14" t="s">
        <v>98</v>
      </c>
      <c r="AC289" s="14" t="s">
        <v>53</v>
      </c>
      <c r="AD289" s="14"/>
      <c r="AE289" s="1">
        <v>0</v>
      </c>
      <c r="AF289" s="1"/>
    </row>
    <row r="290" spans="1:32" x14ac:dyDescent="0.2">
      <c r="A290" s="20" t="s">
        <v>234</v>
      </c>
      <c r="B290" s="20" t="s">
        <v>131</v>
      </c>
      <c r="C290" s="20" t="s">
        <v>16</v>
      </c>
      <c r="D290" s="18" t="s">
        <v>1035</v>
      </c>
      <c r="E290" s="20" t="s">
        <v>17</v>
      </c>
      <c r="F290" s="20">
        <v>1</v>
      </c>
      <c r="G290" s="20" t="s">
        <v>331</v>
      </c>
      <c r="H290" s="20" t="s">
        <v>35</v>
      </c>
      <c r="I290" s="20" t="s">
        <v>20</v>
      </c>
      <c r="J290" s="19" t="s">
        <v>1036</v>
      </c>
      <c r="K290" s="20" t="s">
        <v>64</v>
      </c>
      <c r="L290" s="20" t="s">
        <v>44</v>
      </c>
      <c r="M290" s="20" t="s">
        <v>65</v>
      </c>
      <c r="N290" s="21">
        <v>289</v>
      </c>
      <c r="O290" s="29">
        <v>45751</v>
      </c>
      <c r="P290" s="29">
        <v>45762</v>
      </c>
      <c r="Q290" s="29">
        <v>45765</v>
      </c>
      <c r="R290" s="29">
        <v>45776</v>
      </c>
      <c r="S290" s="23">
        <f t="shared" si="17"/>
        <v>94</v>
      </c>
      <c r="T290" s="23">
        <f t="shared" si="18"/>
        <v>105</v>
      </c>
      <c r="U290" s="23">
        <f t="shared" si="19"/>
        <v>108</v>
      </c>
      <c r="V290" s="23">
        <f t="shared" si="20"/>
        <v>119</v>
      </c>
      <c r="W290" s="20" t="s">
        <v>35</v>
      </c>
      <c r="X290" s="20" t="s">
        <v>20</v>
      </c>
      <c r="Y290" s="20" t="s">
        <v>64</v>
      </c>
      <c r="Z290" s="20" t="s">
        <v>44</v>
      </c>
      <c r="AA290" s="20" t="s">
        <v>234</v>
      </c>
      <c r="AB290" s="20" t="s">
        <v>131</v>
      </c>
      <c r="AC290" s="20" t="s">
        <v>16</v>
      </c>
      <c r="AD290" s="20"/>
      <c r="AE290" s="2">
        <v>0</v>
      </c>
      <c r="AF290" s="2"/>
    </row>
    <row r="291" spans="1:32" x14ac:dyDescent="0.2">
      <c r="A291" s="20" t="s">
        <v>234</v>
      </c>
      <c r="B291" s="20" t="s">
        <v>131</v>
      </c>
      <c r="C291" s="20" t="s">
        <v>16</v>
      </c>
      <c r="D291" s="18" t="s">
        <v>1035</v>
      </c>
      <c r="E291" s="20" t="s">
        <v>24</v>
      </c>
      <c r="F291" s="20">
        <v>1</v>
      </c>
      <c r="G291" s="20" t="s">
        <v>332</v>
      </c>
      <c r="H291" s="20" t="s">
        <v>35</v>
      </c>
      <c r="I291" s="20" t="s">
        <v>20</v>
      </c>
      <c r="J291" s="19" t="s">
        <v>1037</v>
      </c>
      <c r="K291" s="20" t="s">
        <v>64</v>
      </c>
      <c r="L291" s="20" t="s">
        <v>44</v>
      </c>
      <c r="M291" s="20" t="s">
        <v>65</v>
      </c>
      <c r="N291" s="21">
        <v>290</v>
      </c>
      <c r="O291" s="29">
        <v>45751</v>
      </c>
      <c r="P291" s="29">
        <v>45770</v>
      </c>
      <c r="Q291" s="29">
        <v>45776</v>
      </c>
      <c r="R291" s="29">
        <v>45779</v>
      </c>
      <c r="S291" s="23">
        <f t="shared" si="17"/>
        <v>94</v>
      </c>
      <c r="T291" s="23">
        <f t="shared" si="18"/>
        <v>113</v>
      </c>
      <c r="U291" s="23">
        <f t="shared" si="19"/>
        <v>119</v>
      </c>
      <c r="V291" s="23">
        <f t="shared" si="20"/>
        <v>122</v>
      </c>
      <c r="W291" s="20" t="s">
        <v>35</v>
      </c>
      <c r="X291" s="20" t="s">
        <v>20</v>
      </c>
      <c r="Y291" s="20" t="s">
        <v>64</v>
      </c>
      <c r="Z291" s="20" t="s">
        <v>44</v>
      </c>
      <c r="AA291" s="20" t="s">
        <v>234</v>
      </c>
      <c r="AB291" s="20" t="s">
        <v>131</v>
      </c>
      <c r="AC291" s="20" t="s">
        <v>16</v>
      </c>
      <c r="AD291" s="20"/>
      <c r="AE291" s="2">
        <v>0</v>
      </c>
      <c r="AF291" s="2"/>
    </row>
    <row r="292" spans="1:32" x14ac:dyDescent="0.2">
      <c r="A292" s="20" t="s">
        <v>234</v>
      </c>
      <c r="B292" s="20" t="s">
        <v>131</v>
      </c>
      <c r="C292" s="20" t="s">
        <v>16</v>
      </c>
      <c r="D292" s="18" t="s">
        <v>1035</v>
      </c>
      <c r="E292" s="20" t="s">
        <v>17</v>
      </c>
      <c r="F292" s="20">
        <v>2</v>
      </c>
      <c r="G292" s="20" t="s">
        <v>333</v>
      </c>
      <c r="H292" s="20" t="s">
        <v>35</v>
      </c>
      <c r="I292" s="20" t="s">
        <v>20</v>
      </c>
      <c r="J292" s="19" t="s">
        <v>1038</v>
      </c>
      <c r="K292" s="20" t="s">
        <v>64</v>
      </c>
      <c r="L292" s="20" t="s">
        <v>44</v>
      </c>
      <c r="M292" s="20" t="s">
        <v>65</v>
      </c>
      <c r="N292" s="21">
        <v>291</v>
      </c>
      <c r="O292" s="29">
        <v>45751</v>
      </c>
      <c r="P292" s="29">
        <v>45762</v>
      </c>
      <c r="Q292" s="29">
        <v>45770</v>
      </c>
      <c r="R292" s="29">
        <v>45776</v>
      </c>
      <c r="S292" s="23">
        <f t="shared" si="17"/>
        <v>94</v>
      </c>
      <c r="T292" s="23">
        <f t="shared" si="18"/>
        <v>105</v>
      </c>
      <c r="U292" s="23">
        <f t="shared" si="19"/>
        <v>113</v>
      </c>
      <c r="V292" s="23">
        <f t="shared" si="20"/>
        <v>119</v>
      </c>
      <c r="W292" s="20" t="s">
        <v>35</v>
      </c>
      <c r="X292" s="20" t="s">
        <v>20</v>
      </c>
      <c r="Y292" s="20" t="s">
        <v>64</v>
      </c>
      <c r="Z292" s="20" t="s">
        <v>44</v>
      </c>
      <c r="AA292" s="20" t="s">
        <v>234</v>
      </c>
      <c r="AB292" s="20" t="s">
        <v>131</v>
      </c>
      <c r="AC292" s="20" t="s">
        <v>16</v>
      </c>
      <c r="AD292" s="20"/>
      <c r="AE292" s="2">
        <v>0</v>
      </c>
      <c r="AF292" s="2"/>
    </row>
    <row r="293" spans="1:32" x14ac:dyDescent="0.2">
      <c r="A293" s="20" t="s">
        <v>234</v>
      </c>
      <c r="B293" s="20" t="s">
        <v>131</v>
      </c>
      <c r="C293" s="20" t="s">
        <v>16</v>
      </c>
      <c r="D293" s="18" t="s">
        <v>1035</v>
      </c>
      <c r="E293" s="20" t="s">
        <v>24</v>
      </c>
      <c r="F293" s="20">
        <v>2</v>
      </c>
      <c r="G293" s="20" t="s">
        <v>334</v>
      </c>
      <c r="H293" s="20" t="s">
        <v>35</v>
      </c>
      <c r="I293" s="20" t="s">
        <v>20</v>
      </c>
      <c r="J293" s="19" t="s">
        <v>1039</v>
      </c>
      <c r="K293" s="20" t="s">
        <v>64</v>
      </c>
      <c r="L293" s="20" t="s">
        <v>44</v>
      </c>
      <c r="M293" s="20" t="s">
        <v>65</v>
      </c>
      <c r="N293" s="21">
        <v>292</v>
      </c>
      <c r="O293" s="29">
        <v>45755</v>
      </c>
      <c r="P293" s="29">
        <v>45770</v>
      </c>
      <c r="Q293" s="29">
        <v>45776</v>
      </c>
      <c r="R293" s="29">
        <v>45779</v>
      </c>
      <c r="S293" s="23">
        <f t="shared" si="17"/>
        <v>98</v>
      </c>
      <c r="T293" s="23">
        <f t="shared" si="18"/>
        <v>113</v>
      </c>
      <c r="U293" s="23">
        <f t="shared" si="19"/>
        <v>119</v>
      </c>
      <c r="V293" s="23">
        <f t="shared" si="20"/>
        <v>122</v>
      </c>
      <c r="W293" s="20" t="s">
        <v>35</v>
      </c>
      <c r="X293" s="20" t="s">
        <v>20</v>
      </c>
      <c r="Y293" s="20" t="s">
        <v>64</v>
      </c>
      <c r="Z293" s="20" t="s">
        <v>44</v>
      </c>
      <c r="AA293" s="20" t="s">
        <v>234</v>
      </c>
      <c r="AB293" s="20" t="s">
        <v>131</v>
      </c>
      <c r="AC293" s="20" t="s">
        <v>16</v>
      </c>
      <c r="AD293" s="20"/>
      <c r="AE293" s="2">
        <v>0</v>
      </c>
      <c r="AF293" s="2"/>
    </row>
    <row r="294" spans="1:32" x14ac:dyDescent="0.2">
      <c r="A294" s="20" t="s">
        <v>234</v>
      </c>
      <c r="B294" s="20" t="s">
        <v>131</v>
      </c>
      <c r="C294" s="20" t="s">
        <v>16</v>
      </c>
      <c r="D294" s="18" t="s">
        <v>1035</v>
      </c>
      <c r="E294" s="20" t="s">
        <v>17</v>
      </c>
      <c r="F294" s="20">
        <v>3</v>
      </c>
      <c r="G294" s="20" t="s">
        <v>335</v>
      </c>
      <c r="H294" s="20" t="s">
        <v>35</v>
      </c>
      <c r="I294" s="20" t="s">
        <v>20</v>
      </c>
      <c r="J294" s="19" t="s">
        <v>1040</v>
      </c>
      <c r="K294" s="20" t="s">
        <v>64</v>
      </c>
      <c r="L294" s="20" t="s">
        <v>44</v>
      </c>
      <c r="M294" s="20" t="s">
        <v>65</v>
      </c>
      <c r="N294" s="21">
        <v>293</v>
      </c>
      <c r="O294" s="29">
        <v>45751</v>
      </c>
      <c r="P294" s="29">
        <v>45762</v>
      </c>
      <c r="Q294" s="29">
        <v>45765</v>
      </c>
      <c r="R294" s="29">
        <v>45776</v>
      </c>
      <c r="S294" s="23">
        <f t="shared" si="17"/>
        <v>94</v>
      </c>
      <c r="T294" s="23">
        <f t="shared" si="18"/>
        <v>105</v>
      </c>
      <c r="U294" s="23">
        <f t="shared" si="19"/>
        <v>108</v>
      </c>
      <c r="V294" s="23">
        <f t="shared" si="20"/>
        <v>119</v>
      </c>
      <c r="W294" s="20" t="s">
        <v>35</v>
      </c>
      <c r="X294" s="20" t="s">
        <v>20</v>
      </c>
      <c r="Y294" s="20" t="s">
        <v>64</v>
      </c>
      <c r="Z294" s="20" t="s">
        <v>44</v>
      </c>
      <c r="AA294" s="20" t="s">
        <v>234</v>
      </c>
      <c r="AB294" s="20" t="s">
        <v>131</v>
      </c>
      <c r="AC294" s="20" t="s">
        <v>16</v>
      </c>
      <c r="AD294" s="20"/>
      <c r="AE294" s="2">
        <v>0</v>
      </c>
      <c r="AF294" s="2"/>
    </row>
    <row r="295" spans="1:32" x14ac:dyDescent="0.2">
      <c r="A295" s="20" t="s">
        <v>234</v>
      </c>
      <c r="B295" s="20" t="s">
        <v>131</v>
      </c>
      <c r="C295" s="20" t="s">
        <v>16</v>
      </c>
      <c r="D295" s="18" t="s">
        <v>1035</v>
      </c>
      <c r="E295" s="20" t="s">
        <v>24</v>
      </c>
      <c r="F295" s="20">
        <v>3</v>
      </c>
      <c r="G295" s="20" t="s">
        <v>336</v>
      </c>
      <c r="H295" s="20" t="s">
        <v>35</v>
      </c>
      <c r="I295" s="20" t="s">
        <v>20</v>
      </c>
      <c r="J295" s="19" t="s">
        <v>1041</v>
      </c>
      <c r="K295" s="20" t="s">
        <v>64</v>
      </c>
      <c r="L295" s="20" t="s">
        <v>44</v>
      </c>
      <c r="M295" s="20" t="s">
        <v>65</v>
      </c>
      <c r="N295" s="21">
        <v>294</v>
      </c>
      <c r="O295" s="29">
        <v>45755</v>
      </c>
      <c r="P295" s="29">
        <v>45762</v>
      </c>
      <c r="Q295" s="29">
        <v>45772</v>
      </c>
      <c r="R295" s="29">
        <v>45779</v>
      </c>
      <c r="S295" s="23">
        <f t="shared" si="17"/>
        <v>98</v>
      </c>
      <c r="T295" s="23">
        <f t="shared" si="18"/>
        <v>105</v>
      </c>
      <c r="U295" s="23">
        <f t="shared" si="19"/>
        <v>115</v>
      </c>
      <c r="V295" s="23">
        <f t="shared" si="20"/>
        <v>122</v>
      </c>
      <c r="W295" s="20" t="s">
        <v>35</v>
      </c>
      <c r="X295" s="20" t="s">
        <v>20</v>
      </c>
      <c r="Y295" s="20" t="s">
        <v>64</v>
      </c>
      <c r="Z295" s="20" t="s">
        <v>44</v>
      </c>
      <c r="AA295" s="20" t="s">
        <v>234</v>
      </c>
      <c r="AB295" s="20" t="s">
        <v>131</v>
      </c>
      <c r="AC295" s="20" t="s">
        <v>16</v>
      </c>
      <c r="AD295" s="20"/>
      <c r="AE295" s="2">
        <v>0</v>
      </c>
      <c r="AF295" s="2"/>
    </row>
    <row r="296" spans="1:32" x14ac:dyDescent="0.2">
      <c r="A296" s="20" t="s">
        <v>234</v>
      </c>
      <c r="B296" s="20" t="s">
        <v>131</v>
      </c>
      <c r="C296" s="20" t="s">
        <v>16</v>
      </c>
      <c r="D296" s="18" t="s">
        <v>1035</v>
      </c>
      <c r="E296" s="20" t="s">
        <v>17</v>
      </c>
      <c r="F296" s="20">
        <v>4</v>
      </c>
      <c r="G296" s="20" t="s">
        <v>337</v>
      </c>
      <c r="H296" s="20" t="s">
        <v>35</v>
      </c>
      <c r="I296" s="20" t="s">
        <v>20</v>
      </c>
      <c r="J296" s="19" t="s">
        <v>1042</v>
      </c>
      <c r="K296" s="20" t="s">
        <v>64</v>
      </c>
      <c r="L296" s="20" t="s">
        <v>44</v>
      </c>
      <c r="M296" s="20" t="s">
        <v>65</v>
      </c>
      <c r="N296" s="21">
        <v>295</v>
      </c>
      <c r="O296" s="29">
        <v>45758</v>
      </c>
      <c r="P296" s="29">
        <v>45770</v>
      </c>
      <c r="Q296" s="29">
        <v>45779</v>
      </c>
      <c r="R296" s="29">
        <v>45783</v>
      </c>
      <c r="S296" s="23">
        <f t="shared" si="17"/>
        <v>101</v>
      </c>
      <c r="T296" s="23">
        <f t="shared" si="18"/>
        <v>113</v>
      </c>
      <c r="U296" s="23">
        <f t="shared" si="19"/>
        <v>122</v>
      </c>
      <c r="V296" s="23">
        <f t="shared" si="20"/>
        <v>126</v>
      </c>
      <c r="W296" s="20" t="s">
        <v>35</v>
      </c>
      <c r="X296" s="20" t="s">
        <v>20</v>
      </c>
      <c r="Y296" s="20" t="s">
        <v>64</v>
      </c>
      <c r="Z296" s="20" t="s">
        <v>44</v>
      </c>
      <c r="AA296" s="20" t="s">
        <v>234</v>
      </c>
      <c r="AB296" s="20" t="s">
        <v>131</v>
      </c>
      <c r="AC296" s="20" t="s">
        <v>16</v>
      </c>
      <c r="AD296" s="20"/>
      <c r="AE296" s="2">
        <v>0</v>
      </c>
      <c r="AF296" s="2"/>
    </row>
    <row r="297" spans="1:32" x14ac:dyDescent="0.2">
      <c r="A297" s="20" t="s">
        <v>234</v>
      </c>
      <c r="B297" s="20" t="s">
        <v>131</v>
      </c>
      <c r="C297" s="20" t="s">
        <v>16</v>
      </c>
      <c r="D297" s="18" t="s">
        <v>1035</v>
      </c>
      <c r="E297" s="20" t="s">
        <v>24</v>
      </c>
      <c r="F297" s="20">
        <v>4</v>
      </c>
      <c r="G297" s="20" t="s">
        <v>338</v>
      </c>
      <c r="H297" s="20" t="s">
        <v>35</v>
      </c>
      <c r="I297" s="20" t="s">
        <v>20</v>
      </c>
      <c r="J297" s="19" t="s">
        <v>1043</v>
      </c>
      <c r="K297" s="20" t="s">
        <v>64</v>
      </c>
      <c r="L297" s="20" t="s">
        <v>44</v>
      </c>
      <c r="M297" s="20" t="s">
        <v>65</v>
      </c>
      <c r="N297" s="21">
        <v>296</v>
      </c>
      <c r="O297" s="29">
        <v>45751</v>
      </c>
      <c r="P297" s="29">
        <v>45755</v>
      </c>
      <c r="Q297" s="29">
        <v>45760</v>
      </c>
      <c r="R297" s="29">
        <v>45770</v>
      </c>
      <c r="S297" s="23">
        <f t="shared" si="17"/>
        <v>94</v>
      </c>
      <c r="T297" s="23">
        <f t="shared" si="18"/>
        <v>98</v>
      </c>
      <c r="U297" s="23">
        <f t="shared" si="19"/>
        <v>103</v>
      </c>
      <c r="V297" s="23">
        <f t="shared" si="20"/>
        <v>113</v>
      </c>
      <c r="W297" s="20" t="s">
        <v>35</v>
      </c>
      <c r="X297" s="20" t="s">
        <v>20</v>
      </c>
      <c r="Y297" s="20" t="s">
        <v>64</v>
      </c>
      <c r="Z297" s="20" t="s">
        <v>44</v>
      </c>
      <c r="AA297" s="20" t="s">
        <v>234</v>
      </c>
      <c r="AB297" s="20" t="s">
        <v>131</v>
      </c>
      <c r="AC297" s="20" t="s">
        <v>16</v>
      </c>
      <c r="AD297" s="20"/>
      <c r="AE297" s="2">
        <v>0</v>
      </c>
      <c r="AF297" s="2"/>
    </row>
    <row r="298" spans="1:32" x14ac:dyDescent="0.2">
      <c r="A298" s="14" t="s">
        <v>234</v>
      </c>
      <c r="B298" s="14" t="s">
        <v>131</v>
      </c>
      <c r="C298" s="14" t="s">
        <v>32</v>
      </c>
      <c r="D298" s="14" t="s">
        <v>1044</v>
      </c>
      <c r="E298" s="14" t="s">
        <v>17</v>
      </c>
      <c r="F298" s="14">
        <v>1</v>
      </c>
      <c r="G298" s="14" t="s">
        <v>339</v>
      </c>
      <c r="H298" s="14" t="s">
        <v>19</v>
      </c>
      <c r="I298" s="14" t="s">
        <v>20</v>
      </c>
      <c r="J298" s="13" t="s">
        <v>1045</v>
      </c>
      <c r="K298" s="14" t="s">
        <v>64</v>
      </c>
      <c r="L298" s="14" t="s">
        <v>44</v>
      </c>
      <c r="M298" s="14" t="s">
        <v>65</v>
      </c>
      <c r="N298" s="13">
        <v>297</v>
      </c>
      <c r="O298" s="30">
        <v>45762</v>
      </c>
      <c r="P298" s="30">
        <v>45770</v>
      </c>
      <c r="Q298" s="30">
        <v>45776</v>
      </c>
      <c r="R298" s="30">
        <v>45779</v>
      </c>
      <c r="S298" s="23">
        <f t="shared" si="17"/>
        <v>105</v>
      </c>
      <c r="T298" s="23">
        <f t="shared" si="18"/>
        <v>113</v>
      </c>
      <c r="U298" s="23">
        <f t="shared" si="19"/>
        <v>119</v>
      </c>
      <c r="V298" s="23">
        <f t="shared" si="20"/>
        <v>122</v>
      </c>
      <c r="W298" s="14" t="s">
        <v>19</v>
      </c>
      <c r="X298" s="14" t="s">
        <v>20</v>
      </c>
      <c r="Y298" s="14" t="s">
        <v>64</v>
      </c>
      <c r="Z298" s="14" t="s">
        <v>44</v>
      </c>
      <c r="AA298" s="14" t="s">
        <v>234</v>
      </c>
      <c r="AB298" s="14" t="s">
        <v>131</v>
      </c>
      <c r="AC298" s="14" t="s">
        <v>32</v>
      </c>
      <c r="AD298" s="14"/>
      <c r="AE298" s="1">
        <v>0</v>
      </c>
      <c r="AF298" s="1"/>
    </row>
    <row r="299" spans="1:32" x14ac:dyDescent="0.2">
      <c r="A299" s="14" t="s">
        <v>234</v>
      </c>
      <c r="B299" s="14" t="s">
        <v>131</v>
      </c>
      <c r="C299" s="14" t="s">
        <v>32</v>
      </c>
      <c r="D299" s="14" t="s">
        <v>1044</v>
      </c>
      <c r="E299" s="14" t="s">
        <v>24</v>
      </c>
      <c r="F299" s="14">
        <v>1</v>
      </c>
      <c r="G299" s="14" t="s">
        <v>340</v>
      </c>
      <c r="H299" s="14" t="s">
        <v>35</v>
      </c>
      <c r="I299" s="14" t="s">
        <v>20</v>
      </c>
      <c r="J299" s="13" t="s">
        <v>1046</v>
      </c>
      <c r="K299" s="14" t="s">
        <v>64</v>
      </c>
      <c r="L299" s="14" t="s">
        <v>44</v>
      </c>
      <c r="M299" s="14" t="s">
        <v>65</v>
      </c>
      <c r="N299" s="13">
        <v>298</v>
      </c>
      <c r="O299" s="30">
        <v>45762</v>
      </c>
      <c r="P299" s="30">
        <v>45765</v>
      </c>
      <c r="Q299" s="30">
        <v>45776</v>
      </c>
      <c r="R299" s="30">
        <v>45779</v>
      </c>
      <c r="S299" s="23">
        <f t="shared" si="17"/>
        <v>105</v>
      </c>
      <c r="T299" s="23">
        <f t="shared" si="18"/>
        <v>108</v>
      </c>
      <c r="U299" s="23">
        <f t="shared" si="19"/>
        <v>119</v>
      </c>
      <c r="V299" s="23">
        <f t="shared" si="20"/>
        <v>122</v>
      </c>
      <c r="W299" s="14" t="s">
        <v>35</v>
      </c>
      <c r="X299" s="14" t="s">
        <v>20</v>
      </c>
      <c r="Y299" s="14" t="s">
        <v>64</v>
      </c>
      <c r="Z299" s="14" t="s">
        <v>44</v>
      </c>
      <c r="AA299" s="14" t="s">
        <v>234</v>
      </c>
      <c r="AB299" s="14" t="s">
        <v>131</v>
      </c>
      <c r="AC299" s="14" t="s">
        <v>32</v>
      </c>
      <c r="AD299" s="14"/>
      <c r="AE299" s="1">
        <v>0</v>
      </c>
      <c r="AF299" s="1"/>
    </row>
    <row r="300" spans="1:32" x14ac:dyDescent="0.2">
      <c r="A300" s="14" t="s">
        <v>234</v>
      </c>
      <c r="B300" s="14" t="s">
        <v>131</v>
      </c>
      <c r="C300" s="14" t="s">
        <v>32</v>
      </c>
      <c r="D300" s="14" t="s">
        <v>1044</v>
      </c>
      <c r="E300" s="14" t="s">
        <v>17</v>
      </c>
      <c r="F300" s="14">
        <v>2</v>
      </c>
      <c r="G300" s="14" t="s">
        <v>341</v>
      </c>
      <c r="H300" s="14" t="s">
        <v>35</v>
      </c>
      <c r="I300" s="14" t="s">
        <v>20</v>
      </c>
      <c r="J300" s="13" t="s">
        <v>1047</v>
      </c>
      <c r="K300" s="14" t="s">
        <v>64</v>
      </c>
      <c r="L300" s="14" t="s">
        <v>44</v>
      </c>
      <c r="M300" s="14" t="s">
        <v>65</v>
      </c>
      <c r="N300" s="13">
        <v>299</v>
      </c>
      <c r="O300" s="30">
        <v>45755</v>
      </c>
      <c r="P300" s="30">
        <v>45770</v>
      </c>
      <c r="Q300" s="1"/>
      <c r="R300" s="30">
        <v>45776</v>
      </c>
      <c r="S300" s="23">
        <f t="shared" si="17"/>
        <v>98</v>
      </c>
      <c r="T300" s="23">
        <f t="shared" si="18"/>
        <v>113</v>
      </c>
      <c r="U300" s="23">
        <f>(V300+T300)/2</f>
        <v>116</v>
      </c>
      <c r="V300" s="23">
        <f t="shared" si="20"/>
        <v>119</v>
      </c>
      <c r="W300" s="14" t="s">
        <v>35</v>
      </c>
      <c r="X300" s="14" t="s">
        <v>20</v>
      </c>
      <c r="Y300" s="14" t="s">
        <v>64</v>
      </c>
      <c r="Z300" s="14" t="s">
        <v>44</v>
      </c>
      <c r="AA300" s="14" t="s">
        <v>234</v>
      </c>
      <c r="AB300" s="14" t="s">
        <v>131</v>
      </c>
      <c r="AC300" s="14" t="s">
        <v>32</v>
      </c>
      <c r="AD300" s="14"/>
      <c r="AE300" s="1">
        <v>0</v>
      </c>
      <c r="AF300" s="1"/>
    </row>
    <row r="301" spans="1:32" x14ac:dyDescent="0.2">
      <c r="A301" s="14" t="s">
        <v>234</v>
      </c>
      <c r="B301" s="14" t="s">
        <v>131</v>
      </c>
      <c r="C301" s="14" t="s">
        <v>32</v>
      </c>
      <c r="D301" s="14" t="s">
        <v>1044</v>
      </c>
      <c r="E301" s="14" t="s">
        <v>24</v>
      </c>
      <c r="F301" s="14">
        <v>2</v>
      </c>
      <c r="G301" s="14" t="s">
        <v>342</v>
      </c>
      <c r="H301" s="14" t="s">
        <v>19</v>
      </c>
      <c r="I301" s="14" t="s">
        <v>20</v>
      </c>
      <c r="J301" s="13" t="s">
        <v>1048</v>
      </c>
      <c r="K301" s="14" t="s">
        <v>64</v>
      </c>
      <c r="L301" s="14" t="s">
        <v>44</v>
      </c>
      <c r="M301" s="14" t="s">
        <v>65</v>
      </c>
      <c r="N301" s="13">
        <v>300</v>
      </c>
      <c r="O301" s="30">
        <v>45762</v>
      </c>
      <c r="P301" s="30">
        <v>45765</v>
      </c>
      <c r="Q301" s="30">
        <v>45770</v>
      </c>
      <c r="R301" s="30">
        <v>45772</v>
      </c>
      <c r="S301" s="23">
        <f t="shared" si="17"/>
        <v>105</v>
      </c>
      <c r="T301" s="23">
        <f t="shared" si="18"/>
        <v>108</v>
      </c>
      <c r="U301" s="23">
        <f t="shared" si="19"/>
        <v>113</v>
      </c>
      <c r="V301" s="23">
        <f t="shared" si="20"/>
        <v>115</v>
      </c>
      <c r="W301" s="14" t="s">
        <v>19</v>
      </c>
      <c r="X301" s="14" t="s">
        <v>20</v>
      </c>
      <c r="Y301" s="14" t="s">
        <v>64</v>
      </c>
      <c r="Z301" s="14" t="s">
        <v>44</v>
      </c>
      <c r="AA301" s="14" t="s">
        <v>234</v>
      </c>
      <c r="AB301" s="14" t="s">
        <v>131</v>
      </c>
      <c r="AC301" s="14" t="s">
        <v>32</v>
      </c>
      <c r="AD301" s="14"/>
      <c r="AE301" s="1">
        <v>0</v>
      </c>
      <c r="AF301" s="1"/>
    </row>
    <row r="302" spans="1:32" x14ac:dyDescent="0.2">
      <c r="A302" s="14" t="s">
        <v>234</v>
      </c>
      <c r="B302" s="14" t="s">
        <v>131</v>
      </c>
      <c r="C302" s="14" t="s">
        <v>32</v>
      </c>
      <c r="D302" s="14" t="s">
        <v>1044</v>
      </c>
      <c r="E302" s="14" t="s">
        <v>17</v>
      </c>
      <c r="F302" s="14">
        <v>3</v>
      </c>
      <c r="G302" s="14" t="s">
        <v>343</v>
      </c>
      <c r="H302" s="14" t="s">
        <v>19</v>
      </c>
      <c r="I302" s="14" t="s">
        <v>20</v>
      </c>
      <c r="J302" s="13" t="s">
        <v>1049</v>
      </c>
      <c r="K302" s="14" t="s">
        <v>64</v>
      </c>
      <c r="L302" s="14" t="s">
        <v>44</v>
      </c>
      <c r="M302" s="14" t="s">
        <v>65</v>
      </c>
      <c r="N302" s="13">
        <v>301</v>
      </c>
      <c r="O302" s="30">
        <v>45762</v>
      </c>
      <c r="P302" s="30">
        <v>45770</v>
      </c>
      <c r="Q302" s="30">
        <v>45776</v>
      </c>
      <c r="R302" s="30">
        <v>45779</v>
      </c>
      <c r="S302" s="23">
        <f t="shared" si="17"/>
        <v>105</v>
      </c>
      <c r="T302" s="23">
        <f t="shared" si="18"/>
        <v>113</v>
      </c>
      <c r="U302" s="23">
        <f t="shared" si="19"/>
        <v>119</v>
      </c>
      <c r="V302" s="23">
        <f t="shared" si="20"/>
        <v>122</v>
      </c>
      <c r="W302" s="14" t="s">
        <v>19</v>
      </c>
      <c r="X302" s="14" t="s">
        <v>20</v>
      </c>
      <c r="Y302" s="14" t="s">
        <v>64</v>
      </c>
      <c r="Z302" s="14" t="s">
        <v>44</v>
      </c>
      <c r="AA302" s="14" t="s">
        <v>234</v>
      </c>
      <c r="AB302" s="14" t="s">
        <v>131</v>
      </c>
      <c r="AC302" s="14" t="s">
        <v>32</v>
      </c>
      <c r="AD302" s="14"/>
      <c r="AE302" s="1">
        <v>0</v>
      </c>
      <c r="AF302" s="1"/>
    </row>
    <row r="303" spans="1:32" x14ac:dyDescent="0.2">
      <c r="A303" s="14" t="s">
        <v>234</v>
      </c>
      <c r="B303" s="14" t="s">
        <v>131</v>
      </c>
      <c r="C303" s="14" t="s">
        <v>32</v>
      </c>
      <c r="D303" s="14" t="s">
        <v>1044</v>
      </c>
      <c r="E303" s="14" t="s">
        <v>24</v>
      </c>
      <c r="F303" s="14">
        <v>3</v>
      </c>
      <c r="G303" s="14" t="s">
        <v>344</v>
      </c>
      <c r="H303" s="14" t="s">
        <v>35</v>
      </c>
      <c r="I303" s="14" t="s">
        <v>20</v>
      </c>
      <c r="J303" s="13" t="s">
        <v>1050</v>
      </c>
      <c r="K303" s="14" t="s">
        <v>64</v>
      </c>
      <c r="L303" s="14" t="s">
        <v>44</v>
      </c>
      <c r="M303" s="14" t="s">
        <v>65</v>
      </c>
      <c r="N303" s="13">
        <v>302</v>
      </c>
      <c r="O303" s="30">
        <v>45748</v>
      </c>
      <c r="P303" s="30">
        <v>45762</v>
      </c>
      <c r="Q303" s="30">
        <v>45770</v>
      </c>
      <c r="R303" s="30">
        <v>45776</v>
      </c>
      <c r="S303" s="23">
        <f t="shared" si="17"/>
        <v>91</v>
      </c>
      <c r="T303" s="23">
        <f t="shared" si="18"/>
        <v>105</v>
      </c>
      <c r="U303" s="23">
        <f t="shared" si="19"/>
        <v>113</v>
      </c>
      <c r="V303" s="23">
        <f t="shared" si="20"/>
        <v>119</v>
      </c>
      <c r="W303" s="14" t="s">
        <v>35</v>
      </c>
      <c r="X303" s="14" t="s">
        <v>20</v>
      </c>
      <c r="Y303" s="14" t="s">
        <v>64</v>
      </c>
      <c r="Z303" s="14" t="s">
        <v>44</v>
      </c>
      <c r="AA303" s="14" t="s">
        <v>234</v>
      </c>
      <c r="AB303" s="14" t="s">
        <v>131</v>
      </c>
      <c r="AC303" s="14" t="s">
        <v>32</v>
      </c>
      <c r="AD303" s="14"/>
      <c r="AE303" s="1">
        <v>0</v>
      </c>
      <c r="AF303" s="1"/>
    </row>
    <row r="304" spans="1:32" x14ac:dyDescent="0.2">
      <c r="A304" s="14" t="s">
        <v>234</v>
      </c>
      <c r="B304" s="14" t="s">
        <v>131</v>
      </c>
      <c r="C304" s="14" t="s">
        <v>32</v>
      </c>
      <c r="D304" s="14" t="s">
        <v>1044</v>
      </c>
      <c r="E304" s="14" t="s">
        <v>17</v>
      </c>
      <c r="F304" s="14">
        <v>4</v>
      </c>
      <c r="G304" s="14" t="s">
        <v>345</v>
      </c>
      <c r="H304" s="14" t="s">
        <v>35</v>
      </c>
      <c r="I304" s="14" t="s">
        <v>20</v>
      </c>
      <c r="J304" s="13" t="s">
        <v>1051</v>
      </c>
      <c r="K304" s="14" t="s">
        <v>64</v>
      </c>
      <c r="L304" s="14" t="s">
        <v>44</v>
      </c>
      <c r="M304" s="14" t="s">
        <v>65</v>
      </c>
      <c r="N304" s="13">
        <v>303</v>
      </c>
      <c r="O304" s="30">
        <v>45762</v>
      </c>
      <c r="P304" s="30">
        <v>45770</v>
      </c>
      <c r="Q304" s="30">
        <v>45776</v>
      </c>
      <c r="R304" s="30">
        <v>45779</v>
      </c>
      <c r="S304" s="23">
        <f t="shared" si="17"/>
        <v>105</v>
      </c>
      <c r="T304" s="23">
        <f t="shared" si="18"/>
        <v>113</v>
      </c>
      <c r="U304" s="23">
        <f t="shared" si="19"/>
        <v>119</v>
      </c>
      <c r="V304" s="23">
        <f t="shared" si="20"/>
        <v>122</v>
      </c>
      <c r="W304" s="14" t="s">
        <v>35</v>
      </c>
      <c r="X304" s="14" t="s">
        <v>20</v>
      </c>
      <c r="Y304" s="14" t="s">
        <v>64</v>
      </c>
      <c r="Z304" s="14" t="s">
        <v>44</v>
      </c>
      <c r="AA304" s="14" t="s">
        <v>234</v>
      </c>
      <c r="AB304" s="14" t="s">
        <v>131</v>
      </c>
      <c r="AC304" s="14" t="s">
        <v>32</v>
      </c>
      <c r="AD304" s="14"/>
      <c r="AE304" s="1">
        <v>0</v>
      </c>
      <c r="AF304" s="1"/>
    </row>
    <row r="305" spans="1:32" x14ac:dyDescent="0.2">
      <c r="A305" s="14" t="s">
        <v>234</v>
      </c>
      <c r="B305" s="14" t="s">
        <v>131</v>
      </c>
      <c r="C305" s="14" t="s">
        <v>32</v>
      </c>
      <c r="D305" s="14" t="s">
        <v>1044</v>
      </c>
      <c r="E305" s="14" t="s">
        <v>24</v>
      </c>
      <c r="F305" s="14">
        <v>4</v>
      </c>
      <c r="G305" s="14" t="s">
        <v>346</v>
      </c>
      <c r="H305" s="14" t="s">
        <v>19</v>
      </c>
      <c r="I305" s="14" t="s">
        <v>20</v>
      </c>
      <c r="J305" s="13" t="s">
        <v>1052</v>
      </c>
      <c r="K305" s="14" t="s">
        <v>64</v>
      </c>
      <c r="L305" s="14" t="s">
        <v>44</v>
      </c>
      <c r="M305" s="14" t="s">
        <v>65</v>
      </c>
      <c r="N305" s="13">
        <v>304</v>
      </c>
      <c r="O305" s="30">
        <v>45762</v>
      </c>
      <c r="P305" s="30">
        <v>45765</v>
      </c>
      <c r="Q305" s="30">
        <v>45770</v>
      </c>
      <c r="R305" s="30">
        <v>45772</v>
      </c>
      <c r="S305" s="23">
        <f t="shared" si="17"/>
        <v>105</v>
      </c>
      <c r="T305" s="23">
        <f t="shared" si="18"/>
        <v>108</v>
      </c>
      <c r="U305" s="23">
        <f t="shared" si="19"/>
        <v>113</v>
      </c>
      <c r="V305" s="23">
        <f t="shared" si="20"/>
        <v>115</v>
      </c>
      <c r="W305" s="14" t="s">
        <v>19</v>
      </c>
      <c r="X305" s="14" t="s">
        <v>20</v>
      </c>
      <c r="Y305" s="14" t="s">
        <v>64</v>
      </c>
      <c r="Z305" s="14" t="s">
        <v>44</v>
      </c>
      <c r="AA305" s="14" t="s">
        <v>234</v>
      </c>
      <c r="AB305" s="14" t="s">
        <v>131</v>
      </c>
      <c r="AC305" s="14" t="s">
        <v>32</v>
      </c>
      <c r="AD305" s="14"/>
      <c r="AE305" s="1">
        <v>0</v>
      </c>
      <c r="AF305" s="1"/>
    </row>
    <row r="306" spans="1:32" x14ac:dyDescent="0.2">
      <c r="A306" s="20" t="s">
        <v>234</v>
      </c>
      <c r="B306" s="20" t="s">
        <v>131</v>
      </c>
      <c r="C306" s="20" t="s">
        <v>42</v>
      </c>
      <c r="D306" s="18" t="s">
        <v>1053</v>
      </c>
      <c r="E306" s="20" t="s">
        <v>17</v>
      </c>
      <c r="F306" s="20">
        <v>1</v>
      </c>
      <c r="G306" s="20" t="s">
        <v>347</v>
      </c>
      <c r="H306" s="20" t="s">
        <v>19</v>
      </c>
      <c r="I306" s="20" t="s">
        <v>20</v>
      </c>
      <c r="J306" s="19" t="s">
        <v>1054</v>
      </c>
      <c r="K306" s="20" t="s">
        <v>21</v>
      </c>
      <c r="L306" s="20" t="s">
        <v>22</v>
      </c>
      <c r="M306" s="20" t="s">
        <v>23</v>
      </c>
      <c r="N306" s="21">
        <v>305</v>
      </c>
      <c r="O306" s="29">
        <v>45758</v>
      </c>
      <c r="P306" s="29"/>
      <c r="Q306" s="29">
        <v>45770</v>
      </c>
      <c r="R306" s="29">
        <v>45772</v>
      </c>
      <c r="S306" s="23">
        <f t="shared" si="17"/>
        <v>101</v>
      </c>
      <c r="T306" s="23">
        <f>(U306+S306)/2</f>
        <v>107</v>
      </c>
      <c r="U306" s="23">
        <f t="shared" si="19"/>
        <v>113</v>
      </c>
      <c r="V306" s="23">
        <f t="shared" si="20"/>
        <v>115</v>
      </c>
      <c r="W306" s="20" t="s">
        <v>19</v>
      </c>
      <c r="X306" s="20" t="s">
        <v>20</v>
      </c>
      <c r="Y306" s="20" t="s">
        <v>21</v>
      </c>
      <c r="Z306" s="20" t="s">
        <v>22</v>
      </c>
      <c r="AA306" s="20" t="s">
        <v>234</v>
      </c>
      <c r="AB306" s="20" t="s">
        <v>131</v>
      </c>
      <c r="AC306" s="20" t="s">
        <v>42</v>
      </c>
      <c r="AD306" s="20"/>
      <c r="AE306" s="2">
        <v>0</v>
      </c>
      <c r="AF306" s="2"/>
    </row>
    <row r="307" spans="1:32" x14ac:dyDescent="0.2">
      <c r="A307" s="20" t="s">
        <v>234</v>
      </c>
      <c r="B307" s="20" t="s">
        <v>131</v>
      </c>
      <c r="C307" s="20" t="s">
        <v>42</v>
      </c>
      <c r="D307" s="18" t="s">
        <v>1053</v>
      </c>
      <c r="E307" s="20" t="s">
        <v>24</v>
      </c>
      <c r="F307" s="20">
        <v>1</v>
      </c>
      <c r="G307" s="20" t="s">
        <v>348</v>
      </c>
      <c r="H307" s="20" t="s">
        <v>19</v>
      </c>
      <c r="I307" s="20" t="s">
        <v>20</v>
      </c>
      <c r="J307" s="19" t="s">
        <v>1055</v>
      </c>
      <c r="K307" s="20" t="s">
        <v>21</v>
      </c>
      <c r="L307" s="20" t="s">
        <v>22</v>
      </c>
      <c r="M307" s="20" t="s">
        <v>23</v>
      </c>
      <c r="N307" s="21">
        <v>306</v>
      </c>
      <c r="O307" s="29">
        <v>45762</v>
      </c>
      <c r="P307" s="29">
        <v>45770</v>
      </c>
      <c r="Q307" s="29">
        <v>45776</v>
      </c>
      <c r="R307" s="29">
        <v>45779</v>
      </c>
      <c r="S307" s="23">
        <f t="shared" si="17"/>
        <v>105</v>
      </c>
      <c r="T307" s="23">
        <f t="shared" si="18"/>
        <v>113</v>
      </c>
      <c r="U307" s="23">
        <f t="shared" si="19"/>
        <v>119</v>
      </c>
      <c r="V307" s="23">
        <f t="shared" si="20"/>
        <v>122</v>
      </c>
      <c r="W307" s="20" t="s">
        <v>19</v>
      </c>
      <c r="X307" s="20" t="s">
        <v>20</v>
      </c>
      <c r="Y307" s="20" t="s">
        <v>21</v>
      </c>
      <c r="Z307" s="20" t="s">
        <v>22</v>
      </c>
      <c r="AA307" s="20" t="s">
        <v>234</v>
      </c>
      <c r="AB307" s="20" t="s">
        <v>131</v>
      </c>
      <c r="AC307" s="20" t="s">
        <v>42</v>
      </c>
      <c r="AD307" s="20"/>
      <c r="AE307" s="2">
        <v>0</v>
      </c>
      <c r="AF307" s="2"/>
    </row>
    <row r="308" spans="1:32" x14ac:dyDescent="0.2">
      <c r="A308" s="20" t="s">
        <v>234</v>
      </c>
      <c r="B308" s="20" t="s">
        <v>131</v>
      </c>
      <c r="C308" s="20" t="s">
        <v>42</v>
      </c>
      <c r="D308" s="18" t="s">
        <v>1053</v>
      </c>
      <c r="E308" s="20" t="s">
        <v>17</v>
      </c>
      <c r="F308" s="20">
        <v>2</v>
      </c>
      <c r="G308" s="20" t="s">
        <v>349</v>
      </c>
      <c r="H308" s="20" t="s">
        <v>19</v>
      </c>
      <c r="I308" s="20" t="s">
        <v>20</v>
      </c>
      <c r="J308" s="19" t="s">
        <v>1056</v>
      </c>
      <c r="K308" s="20" t="s">
        <v>21</v>
      </c>
      <c r="L308" s="20" t="s">
        <v>22</v>
      </c>
      <c r="M308" s="20" t="s">
        <v>23</v>
      </c>
      <c r="N308" s="21">
        <v>307</v>
      </c>
      <c r="O308" s="29">
        <v>45765</v>
      </c>
      <c r="P308" s="29">
        <v>45772</v>
      </c>
      <c r="Q308" s="29">
        <v>45776</v>
      </c>
      <c r="R308" s="29">
        <v>45779</v>
      </c>
      <c r="S308" s="23">
        <f t="shared" si="17"/>
        <v>108</v>
      </c>
      <c r="T308" s="23">
        <f t="shared" si="18"/>
        <v>115</v>
      </c>
      <c r="U308" s="23">
        <f t="shared" si="19"/>
        <v>119</v>
      </c>
      <c r="V308" s="23">
        <f t="shared" si="20"/>
        <v>122</v>
      </c>
      <c r="W308" s="20" t="s">
        <v>19</v>
      </c>
      <c r="X308" s="20" t="s">
        <v>20</v>
      </c>
      <c r="Y308" s="20" t="s">
        <v>21</v>
      </c>
      <c r="Z308" s="20" t="s">
        <v>22</v>
      </c>
      <c r="AA308" s="20" t="s">
        <v>234</v>
      </c>
      <c r="AB308" s="20" t="s">
        <v>131</v>
      </c>
      <c r="AC308" s="20" t="s">
        <v>42</v>
      </c>
      <c r="AD308" s="20"/>
      <c r="AE308" s="2">
        <v>0</v>
      </c>
      <c r="AF308" s="2"/>
    </row>
    <row r="309" spans="1:32" x14ac:dyDescent="0.2">
      <c r="A309" s="20" t="s">
        <v>234</v>
      </c>
      <c r="B309" s="20" t="s">
        <v>131</v>
      </c>
      <c r="C309" s="20" t="s">
        <v>42</v>
      </c>
      <c r="D309" s="18" t="s">
        <v>1053</v>
      </c>
      <c r="E309" s="20" t="s">
        <v>24</v>
      </c>
      <c r="F309" s="20">
        <v>2</v>
      </c>
      <c r="G309" s="20" t="s">
        <v>350</v>
      </c>
      <c r="H309" s="20" t="s">
        <v>19</v>
      </c>
      <c r="I309" s="20" t="s">
        <v>20</v>
      </c>
      <c r="J309" s="19" t="s">
        <v>1057</v>
      </c>
      <c r="K309" s="20" t="s">
        <v>21</v>
      </c>
      <c r="L309" s="20" t="s">
        <v>22</v>
      </c>
      <c r="M309" s="20" t="s">
        <v>23</v>
      </c>
      <c r="N309" s="21">
        <v>308</v>
      </c>
      <c r="O309" s="29">
        <v>45765</v>
      </c>
      <c r="P309" s="29">
        <v>45776</v>
      </c>
      <c r="Q309" s="29">
        <v>45779</v>
      </c>
      <c r="R309" s="29">
        <v>45783</v>
      </c>
      <c r="S309" s="23">
        <f t="shared" si="17"/>
        <v>108</v>
      </c>
      <c r="T309" s="23">
        <f t="shared" si="18"/>
        <v>119</v>
      </c>
      <c r="U309" s="23">
        <f t="shared" si="19"/>
        <v>122</v>
      </c>
      <c r="V309" s="23">
        <f t="shared" si="20"/>
        <v>126</v>
      </c>
      <c r="W309" s="20" t="s">
        <v>19</v>
      </c>
      <c r="X309" s="20" t="s">
        <v>20</v>
      </c>
      <c r="Y309" s="20" t="s">
        <v>21</v>
      </c>
      <c r="Z309" s="20" t="s">
        <v>22</v>
      </c>
      <c r="AA309" s="20" t="s">
        <v>234</v>
      </c>
      <c r="AB309" s="20" t="s">
        <v>131</v>
      </c>
      <c r="AC309" s="20" t="s">
        <v>42</v>
      </c>
      <c r="AD309" s="20"/>
      <c r="AE309" s="2">
        <v>0</v>
      </c>
      <c r="AF309" s="2"/>
    </row>
    <row r="310" spans="1:32" x14ac:dyDescent="0.2">
      <c r="A310" s="20" t="s">
        <v>234</v>
      </c>
      <c r="B310" s="20" t="s">
        <v>131</v>
      </c>
      <c r="C310" s="20" t="s">
        <v>42</v>
      </c>
      <c r="D310" s="18" t="s">
        <v>1053</v>
      </c>
      <c r="E310" s="20" t="s">
        <v>17</v>
      </c>
      <c r="F310" s="20">
        <v>3</v>
      </c>
      <c r="G310" s="20" t="s">
        <v>351</v>
      </c>
      <c r="H310" s="20" t="s">
        <v>19</v>
      </c>
      <c r="I310" s="20" t="s">
        <v>20</v>
      </c>
      <c r="J310" s="19" t="s">
        <v>1058</v>
      </c>
      <c r="K310" s="20" t="s">
        <v>21</v>
      </c>
      <c r="L310" s="20" t="s">
        <v>22</v>
      </c>
      <c r="M310" s="20" t="s">
        <v>23</v>
      </c>
      <c r="N310" s="21">
        <v>309</v>
      </c>
      <c r="O310" s="29">
        <v>45762</v>
      </c>
      <c r="P310" s="29">
        <v>45770</v>
      </c>
      <c r="Q310" s="29">
        <v>45772</v>
      </c>
      <c r="R310" s="29">
        <v>45776</v>
      </c>
      <c r="S310" s="23">
        <f t="shared" si="17"/>
        <v>105</v>
      </c>
      <c r="T310" s="23">
        <f t="shared" si="18"/>
        <v>113</v>
      </c>
      <c r="U310" s="23">
        <f t="shared" si="19"/>
        <v>115</v>
      </c>
      <c r="V310" s="23">
        <f t="shared" si="20"/>
        <v>119</v>
      </c>
      <c r="W310" s="20" t="s">
        <v>19</v>
      </c>
      <c r="X310" s="20" t="s">
        <v>20</v>
      </c>
      <c r="Y310" s="20" t="s">
        <v>21</v>
      </c>
      <c r="Z310" s="20" t="s">
        <v>22</v>
      </c>
      <c r="AA310" s="20" t="s">
        <v>234</v>
      </c>
      <c r="AB310" s="20" t="s">
        <v>131</v>
      </c>
      <c r="AC310" s="20" t="s">
        <v>42</v>
      </c>
      <c r="AD310" s="20"/>
      <c r="AE310" s="2">
        <v>0</v>
      </c>
      <c r="AF310" s="2"/>
    </row>
    <row r="311" spans="1:32" x14ac:dyDescent="0.2">
      <c r="A311" s="20" t="s">
        <v>234</v>
      </c>
      <c r="B311" s="20" t="s">
        <v>131</v>
      </c>
      <c r="C311" s="20" t="s">
        <v>42</v>
      </c>
      <c r="D311" s="18" t="s">
        <v>1053</v>
      </c>
      <c r="E311" s="20" t="s">
        <v>24</v>
      </c>
      <c r="F311" s="20">
        <v>3</v>
      </c>
      <c r="G311" s="20" t="s">
        <v>352</v>
      </c>
      <c r="H311" s="20" t="s">
        <v>19</v>
      </c>
      <c r="I311" s="20" t="s">
        <v>20</v>
      </c>
      <c r="J311" s="19" t="s">
        <v>1059</v>
      </c>
      <c r="K311" s="20" t="s">
        <v>21</v>
      </c>
      <c r="L311" s="20" t="s">
        <v>22</v>
      </c>
      <c r="M311" s="20" t="s">
        <v>23</v>
      </c>
      <c r="N311" s="21">
        <v>310</v>
      </c>
      <c r="O311" s="29">
        <v>45762</v>
      </c>
      <c r="P311" s="2"/>
      <c r="Q311" s="29">
        <v>45770</v>
      </c>
      <c r="R311" s="29">
        <v>45776</v>
      </c>
      <c r="S311" s="23">
        <f t="shared" si="17"/>
        <v>105</v>
      </c>
      <c r="T311" s="23">
        <f>(U311+S311)/2</f>
        <v>109</v>
      </c>
      <c r="U311" s="23">
        <f t="shared" si="19"/>
        <v>113</v>
      </c>
      <c r="V311" s="23">
        <f t="shared" si="20"/>
        <v>119</v>
      </c>
      <c r="W311" s="20" t="s">
        <v>19</v>
      </c>
      <c r="X311" s="20" t="s">
        <v>20</v>
      </c>
      <c r="Y311" s="20" t="s">
        <v>21</v>
      </c>
      <c r="Z311" s="20" t="s">
        <v>22</v>
      </c>
      <c r="AA311" s="20" t="s">
        <v>234</v>
      </c>
      <c r="AB311" s="20" t="s">
        <v>131</v>
      </c>
      <c r="AC311" s="20" t="s">
        <v>42</v>
      </c>
      <c r="AD311" s="20"/>
      <c r="AE311" s="2">
        <v>0</v>
      </c>
      <c r="AF311" s="2"/>
    </row>
    <row r="312" spans="1:32" x14ac:dyDescent="0.2">
      <c r="A312" s="20" t="s">
        <v>234</v>
      </c>
      <c r="B312" s="20" t="s">
        <v>131</v>
      </c>
      <c r="C312" s="20" t="s">
        <v>42</v>
      </c>
      <c r="D312" s="18" t="s">
        <v>1053</v>
      </c>
      <c r="E312" s="20" t="s">
        <v>17</v>
      </c>
      <c r="F312" s="20">
        <v>4</v>
      </c>
      <c r="G312" s="20" t="s">
        <v>353</v>
      </c>
      <c r="H312" s="20" t="s">
        <v>19</v>
      </c>
      <c r="I312" s="20" t="s">
        <v>20</v>
      </c>
      <c r="J312" s="19" t="s">
        <v>1060</v>
      </c>
      <c r="K312" s="20" t="s">
        <v>21</v>
      </c>
      <c r="L312" s="20" t="s">
        <v>22</v>
      </c>
      <c r="M312" s="20" t="s">
        <v>23</v>
      </c>
      <c r="N312" s="21">
        <v>311</v>
      </c>
      <c r="O312" s="29">
        <v>45770</v>
      </c>
      <c r="P312" s="29">
        <v>45776</v>
      </c>
      <c r="Q312" s="29">
        <v>45779</v>
      </c>
      <c r="R312" s="29">
        <v>45783</v>
      </c>
      <c r="S312" s="23">
        <f t="shared" si="17"/>
        <v>113</v>
      </c>
      <c r="T312" s="23">
        <f t="shared" si="18"/>
        <v>119</v>
      </c>
      <c r="U312" s="23">
        <f t="shared" si="19"/>
        <v>122</v>
      </c>
      <c r="V312" s="23">
        <f t="shared" si="20"/>
        <v>126</v>
      </c>
      <c r="W312" s="20" t="s">
        <v>19</v>
      </c>
      <c r="X312" s="20" t="s">
        <v>20</v>
      </c>
      <c r="Y312" s="20" t="s">
        <v>21</v>
      </c>
      <c r="Z312" s="20" t="s">
        <v>22</v>
      </c>
      <c r="AA312" s="20" t="s">
        <v>234</v>
      </c>
      <c r="AB312" s="20" t="s">
        <v>131</v>
      </c>
      <c r="AC312" s="20" t="s">
        <v>42</v>
      </c>
      <c r="AD312" s="20"/>
      <c r="AE312" s="2">
        <v>0</v>
      </c>
      <c r="AF312" s="2"/>
    </row>
    <row r="313" spans="1:32" x14ac:dyDescent="0.2">
      <c r="A313" s="20" t="s">
        <v>234</v>
      </c>
      <c r="B313" s="20" t="s">
        <v>131</v>
      </c>
      <c r="C313" s="20" t="s">
        <v>42</v>
      </c>
      <c r="D313" s="18" t="s">
        <v>1053</v>
      </c>
      <c r="E313" s="20" t="s">
        <v>24</v>
      </c>
      <c r="F313" s="20">
        <v>4</v>
      </c>
      <c r="G313" s="20" t="s">
        <v>354</v>
      </c>
      <c r="H313" s="20" t="s">
        <v>19</v>
      </c>
      <c r="I313" s="20" t="s">
        <v>20</v>
      </c>
      <c r="J313" s="19" t="s">
        <v>1061</v>
      </c>
      <c r="K313" s="20" t="s">
        <v>21</v>
      </c>
      <c r="L313" s="20" t="s">
        <v>22</v>
      </c>
      <c r="M313" s="20" t="s">
        <v>23</v>
      </c>
      <c r="N313" s="21">
        <v>312</v>
      </c>
      <c r="O313" s="29">
        <v>45758</v>
      </c>
      <c r="P313" s="29">
        <v>45765</v>
      </c>
      <c r="Q313" s="29">
        <v>45770</v>
      </c>
      <c r="R313" s="29">
        <v>45772</v>
      </c>
      <c r="S313" s="23">
        <f t="shared" si="17"/>
        <v>101</v>
      </c>
      <c r="T313" s="23">
        <f t="shared" si="18"/>
        <v>108</v>
      </c>
      <c r="U313" s="23">
        <f t="shared" si="19"/>
        <v>113</v>
      </c>
      <c r="V313" s="23">
        <f t="shared" si="20"/>
        <v>115</v>
      </c>
      <c r="W313" s="20" t="s">
        <v>19</v>
      </c>
      <c r="X313" s="20" t="s">
        <v>20</v>
      </c>
      <c r="Y313" s="20" t="s">
        <v>21</v>
      </c>
      <c r="Z313" s="20" t="s">
        <v>22</v>
      </c>
      <c r="AA313" s="20" t="s">
        <v>234</v>
      </c>
      <c r="AB313" s="20" t="s">
        <v>131</v>
      </c>
      <c r="AC313" s="20" t="s">
        <v>42</v>
      </c>
      <c r="AD313" s="20"/>
      <c r="AE313" s="2">
        <v>0</v>
      </c>
      <c r="AF313" s="2"/>
    </row>
    <row r="314" spans="1:32" x14ac:dyDescent="0.2">
      <c r="A314" s="14" t="s">
        <v>234</v>
      </c>
      <c r="B314" s="14" t="s">
        <v>131</v>
      </c>
      <c r="C314" s="14" t="s">
        <v>53</v>
      </c>
      <c r="D314" s="14" t="s">
        <v>1062</v>
      </c>
      <c r="E314" s="14" t="s">
        <v>17</v>
      </c>
      <c r="F314" s="14">
        <v>1</v>
      </c>
      <c r="G314" s="14" t="s">
        <v>355</v>
      </c>
      <c r="H314" s="14" t="s">
        <v>35</v>
      </c>
      <c r="I314" s="14" t="s">
        <v>20</v>
      </c>
      <c r="J314" s="13" t="s">
        <v>1063</v>
      </c>
      <c r="K314" s="14" t="s">
        <v>21</v>
      </c>
      <c r="L314" s="14" t="s">
        <v>44</v>
      </c>
      <c r="M314" s="14" t="s">
        <v>45</v>
      </c>
      <c r="N314" s="13">
        <v>313</v>
      </c>
      <c r="O314" s="30">
        <v>45762</v>
      </c>
      <c r="P314" s="30">
        <v>45765</v>
      </c>
      <c r="Q314" s="30">
        <v>45776</v>
      </c>
      <c r="R314" s="30">
        <v>45779</v>
      </c>
      <c r="S314" s="23">
        <f t="shared" si="17"/>
        <v>105</v>
      </c>
      <c r="T314" s="23">
        <f t="shared" si="18"/>
        <v>108</v>
      </c>
      <c r="U314" s="23">
        <f t="shared" si="19"/>
        <v>119</v>
      </c>
      <c r="V314" s="23">
        <f t="shared" si="20"/>
        <v>122</v>
      </c>
      <c r="W314" s="14" t="s">
        <v>35</v>
      </c>
      <c r="X314" s="14" t="s">
        <v>20</v>
      </c>
      <c r="Y314" s="14" t="s">
        <v>21</v>
      </c>
      <c r="Z314" s="14" t="s">
        <v>44</v>
      </c>
      <c r="AA314" s="14" t="s">
        <v>234</v>
      </c>
      <c r="AB314" s="14" t="s">
        <v>131</v>
      </c>
      <c r="AC314" s="14" t="s">
        <v>53</v>
      </c>
      <c r="AD314" s="14"/>
      <c r="AE314" s="1">
        <v>0</v>
      </c>
      <c r="AF314" s="1"/>
    </row>
    <row r="315" spans="1:32" x14ac:dyDescent="0.2">
      <c r="A315" s="14" t="s">
        <v>234</v>
      </c>
      <c r="B315" s="14" t="s">
        <v>131</v>
      </c>
      <c r="C315" s="14" t="s">
        <v>53</v>
      </c>
      <c r="D315" s="14" t="s">
        <v>1062</v>
      </c>
      <c r="E315" s="14" t="s">
        <v>24</v>
      </c>
      <c r="F315" s="14">
        <v>1</v>
      </c>
      <c r="G315" s="14" t="s">
        <v>356</v>
      </c>
      <c r="H315" s="14" t="s">
        <v>35</v>
      </c>
      <c r="I315" s="14" t="s">
        <v>20</v>
      </c>
      <c r="J315" s="13" t="s">
        <v>1064</v>
      </c>
      <c r="K315" s="14" t="s">
        <v>21</v>
      </c>
      <c r="L315" s="14" t="s">
        <v>44</v>
      </c>
      <c r="M315" s="14" t="s">
        <v>45</v>
      </c>
      <c r="N315" s="13">
        <v>314</v>
      </c>
      <c r="O315" s="30">
        <v>45765</v>
      </c>
      <c r="P315" s="30">
        <v>45776</v>
      </c>
      <c r="Q315" s="30">
        <v>45779</v>
      </c>
      <c r="R315" s="30">
        <v>45786</v>
      </c>
      <c r="S315" s="23">
        <f t="shared" si="17"/>
        <v>108</v>
      </c>
      <c r="T315" s="23">
        <f t="shared" si="18"/>
        <v>119</v>
      </c>
      <c r="U315" s="23">
        <f t="shared" si="19"/>
        <v>122</v>
      </c>
      <c r="V315" s="23">
        <f t="shared" si="20"/>
        <v>129</v>
      </c>
      <c r="W315" s="14" t="s">
        <v>35</v>
      </c>
      <c r="X315" s="14" t="s">
        <v>20</v>
      </c>
      <c r="Y315" s="14" t="s">
        <v>21</v>
      </c>
      <c r="Z315" s="14" t="s">
        <v>44</v>
      </c>
      <c r="AA315" s="14" t="s">
        <v>234</v>
      </c>
      <c r="AB315" s="14" t="s">
        <v>131</v>
      </c>
      <c r="AC315" s="14" t="s">
        <v>53</v>
      </c>
      <c r="AD315" s="14"/>
      <c r="AE315" s="1">
        <v>0</v>
      </c>
      <c r="AF315" s="1"/>
    </row>
    <row r="316" spans="1:32" x14ac:dyDescent="0.2">
      <c r="A316" s="14" t="s">
        <v>234</v>
      </c>
      <c r="B316" s="14" t="s">
        <v>131</v>
      </c>
      <c r="C316" s="14" t="s">
        <v>53</v>
      </c>
      <c r="D316" s="14" t="s">
        <v>1062</v>
      </c>
      <c r="E316" s="14" t="s">
        <v>17</v>
      </c>
      <c r="F316" s="14">
        <v>2</v>
      </c>
      <c r="G316" s="14" t="s">
        <v>357</v>
      </c>
      <c r="H316" s="14" t="s">
        <v>35</v>
      </c>
      <c r="I316" s="14" t="s">
        <v>20</v>
      </c>
      <c r="J316" s="13" t="s">
        <v>1065</v>
      </c>
      <c r="K316" s="14" t="s">
        <v>21</v>
      </c>
      <c r="L316" s="14" t="s">
        <v>44</v>
      </c>
      <c r="M316" s="14" t="s">
        <v>45</v>
      </c>
      <c r="N316" s="13">
        <v>315</v>
      </c>
      <c r="O316" s="30">
        <v>45751</v>
      </c>
      <c r="P316" s="30">
        <v>45762</v>
      </c>
      <c r="Q316" s="30">
        <v>45765</v>
      </c>
      <c r="R316" s="30">
        <v>45772</v>
      </c>
      <c r="S316" s="23">
        <f t="shared" si="17"/>
        <v>94</v>
      </c>
      <c r="T316" s="23">
        <f t="shared" si="18"/>
        <v>105</v>
      </c>
      <c r="U316" s="23">
        <f t="shared" si="19"/>
        <v>108</v>
      </c>
      <c r="V316" s="23">
        <f t="shared" si="20"/>
        <v>115</v>
      </c>
      <c r="W316" s="14" t="s">
        <v>35</v>
      </c>
      <c r="X316" s="14" t="s">
        <v>20</v>
      </c>
      <c r="Y316" s="14" t="s">
        <v>21</v>
      </c>
      <c r="Z316" s="14" t="s">
        <v>44</v>
      </c>
      <c r="AA316" s="14" t="s">
        <v>234</v>
      </c>
      <c r="AB316" s="14" t="s">
        <v>131</v>
      </c>
      <c r="AC316" s="14" t="s">
        <v>53</v>
      </c>
      <c r="AD316" s="14"/>
      <c r="AE316" s="1">
        <v>0</v>
      </c>
      <c r="AF316" s="1"/>
    </row>
    <row r="317" spans="1:32" x14ac:dyDescent="0.2">
      <c r="A317" s="14" t="s">
        <v>234</v>
      </c>
      <c r="B317" s="14" t="s">
        <v>131</v>
      </c>
      <c r="C317" s="14" t="s">
        <v>53</v>
      </c>
      <c r="D317" s="14" t="s">
        <v>1062</v>
      </c>
      <c r="E317" s="14" t="s">
        <v>24</v>
      </c>
      <c r="F317" s="14">
        <v>2</v>
      </c>
      <c r="G317" s="14" t="s">
        <v>358</v>
      </c>
      <c r="H317" s="14" t="s">
        <v>35</v>
      </c>
      <c r="I317" s="14" t="s">
        <v>20</v>
      </c>
      <c r="J317" s="13" t="s">
        <v>1066</v>
      </c>
      <c r="K317" s="14" t="s">
        <v>21</v>
      </c>
      <c r="L317" s="14" t="s">
        <v>44</v>
      </c>
      <c r="M317" s="14" t="s">
        <v>45</v>
      </c>
      <c r="N317" s="13">
        <v>316</v>
      </c>
      <c r="O317" s="30">
        <v>45772</v>
      </c>
      <c r="P317" s="30">
        <v>45779</v>
      </c>
      <c r="Q317" s="30">
        <v>45783</v>
      </c>
      <c r="R317" s="30">
        <v>45786</v>
      </c>
      <c r="S317" s="23">
        <f t="shared" si="17"/>
        <v>115</v>
      </c>
      <c r="T317" s="23">
        <f t="shared" si="18"/>
        <v>122</v>
      </c>
      <c r="U317" s="23">
        <f t="shared" si="19"/>
        <v>126</v>
      </c>
      <c r="V317" s="23">
        <f t="shared" si="20"/>
        <v>129</v>
      </c>
      <c r="W317" s="14" t="s">
        <v>35</v>
      </c>
      <c r="X317" s="14" t="s">
        <v>20</v>
      </c>
      <c r="Y317" s="14" t="s">
        <v>21</v>
      </c>
      <c r="Z317" s="14" t="s">
        <v>44</v>
      </c>
      <c r="AA317" s="14" t="s">
        <v>234</v>
      </c>
      <c r="AB317" s="14" t="s">
        <v>131</v>
      </c>
      <c r="AC317" s="14" t="s">
        <v>53</v>
      </c>
      <c r="AD317" s="14"/>
      <c r="AE317" s="1">
        <v>0</v>
      </c>
      <c r="AF317" s="1"/>
    </row>
    <row r="318" spans="1:32" x14ac:dyDescent="0.2">
      <c r="A318" s="14" t="s">
        <v>234</v>
      </c>
      <c r="B318" s="14" t="s">
        <v>131</v>
      </c>
      <c r="C318" s="14" t="s">
        <v>53</v>
      </c>
      <c r="D318" s="14" t="s">
        <v>1062</v>
      </c>
      <c r="E318" s="14" t="s">
        <v>17</v>
      </c>
      <c r="F318" s="14">
        <v>3</v>
      </c>
      <c r="G318" s="14" t="s">
        <v>359</v>
      </c>
      <c r="H318" s="14" t="s">
        <v>35</v>
      </c>
      <c r="I318" s="14" t="s">
        <v>20</v>
      </c>
      <c r="J318" s="13" t="s">
        <v>1067</v>
      </c>
      <c r="K318" s="14" t="s">
        <v>21</v>
      </c>
      <c r="L318" s="14" t="s">
        <v>44</v>
      </c>
      <c r="M318" s="14" t="s">
        <v>45</v>
      </c>
      <c r="N318" s="13">
        <v>317</v>
      </c>
      <c r="O318" s="30">
        <v>45755</v>
      </c>
      <c r="P318" s="30">
        <v>45762</v>
      </c>
      <c r="Q318" s="30">
        <v>45776</v>
      </c>
      <c r="R318" s="30">
        <v>45779</v>
      </c>
      <c r="S318" s="23">
        <f t="shared" si="17"/>
        <v>98</v>
      </c>
      <c r="T318" s="23">
        <f t="shared" si="18"/>
        <v>105</v>
      </c>
      <c r="U318" s="23">
        <f t="shared" si="19"/>
        <v>119</v>
      </c>
      <c r="V318" s="23">
        <f t="shared" si="20"/>
        <v>122</v>
      </c>
      <c r="W318" s="14" t="s">
        <v>35</v>
      </c>
      <c r="X318" s="14" t="s">
        <v>20</v>
      </c>
      <c r="Y318" s="14" t="s">
        <v>21</v>
      </c>
      <c r="Z318" s="14" t="s">
        <v>44</v>
      </c>
      <c r="AA318" s="14" t="s">
        <v>234</v>
      </c>
      <c r="AB318" s="14" t="s">
        <v>131</v>
      </c>
      <c r="AC318" s="14" t="s">
        <v>53</v>
      </c>
      <c r="AD318" s="14"/>
      <c r="AE318" s="1">
        <v>0</v>
      </c>
      <c r="AF318" s="1"/>
    </row>
    <row r="319" spans="1:32" x14ac:dyDescent="0.2">
      <c r="A319" s="14" t="s">
        <v>234</v>
      </c>
      <c r="B319" s="14" t="s">
        <v>131</v>
      </c>
      <c r="C319" s="14" t="s">
        <v>53</v>
      </c>
      <c r="D319" s="14" t="s">
        <v>1062</v>
      </c>
      <c r="E319" s="14" t="s">
        <v>24</v>
      </c>
      <c r="F319" s="14">
        <v>3</v>
      </c>
      <c r="G319" s="14" t="s">
        <v>360</v>
      </c>
      <c r="H319" s="14" t="s">
        <v>35</v>
      </c>
      <c r="I319" s="14" t="s">
        <v>20</v>
      </c>
      <c r="J319" s="13" t="s">
        <v>1068</v>
      </c>
      <c r="K319" s="14" t="s">
        <v>21</v>
      </c>
      <c r="L319" s="14" t="s">
        <v>44</v>
      </c>
      <c r="M319" s="14" t="s">
        <v>45</v>
      </c>
      <c r="N319" s="13">
        <v>318</v>
      </c>
      <c r="O319" s="30">
        <v>45762</v>
      </c>
      <c r="P319" s="30">
        <v>45765</v>
      </c>
      <c r="Q319" s="30">
        <v>45776</v>
      </c>
      <c r="R319" s="30">
        <v>45779</v>
      </c>
      <c r="S319" s="23">
        <f t="shared" si="17"/>
        <v>105</v>
      </c>
      <c r="T319" s="23">
        <f t="shared" si="18"/>
        <v>108</v>
      </c>
      <c r="U319" s="23">
        <f t="shared" si="19"/>
        <v>119</v>
      </c>
      <c r="V319" s="23">
        <f t="shared" si="20"/>
        <v>122</v>
      </c>
      <c r="W319" s="14" t="s">
        <v>35</v>
      </c>
      <c r="X319" s="14" t="s">
        <v>20</v>
      </c>
      <c r="Y319" s="14" t="s">
        <v>21</v>
      </c>
      <c r="Z319" s="14" t="s">
        <v>44</v>
      </c>
      <c r="AA319" s="14" t="s">
        <v>234</v>
      </c>
      <c r="AB319" s="14" t="s">
        <v>131</v>
      </c>
      <c r="AC319" s="14" t="s">
        <v>53</v>
      </c>
      <c r="AD319" s="14"/>
      <c r="AE319" s="1">
        <v>0</v>
      </c>
      <c r="AF319" s="1"/>
    </row>
    <row r="320" spans="1:32" x14ac:dyDescent="0.2">
      <c r="A320" s="14" t="s">
        <v>234</v>
      </c>
      <c r="B320" s="14" t="s">
        <v>131</v>
      </c>
      <c r="C320" s="14" t="s">
        <v>53</v>
      </c>
      <c r="D320" s="14" t="s">
        <v>1062</v>
      </c>
      <c r="E320" s="14" t="s">
        <v>17</v>
      </c>
      <c r="F320" s="14">
        <v>4</v>
      </c>
      <c r="G320" s="14" t="s">
        <v>361</v>
      </c>
      <c r="H320" s="14" t="s">
        <v>35</v>
      </c>
      <c r="I320" s="14" t="s">
        <v>20</v>
      </c>
      <c r="J320" s="13" t="s">
        <v>1069</v>
      </c>
      <c r="K320" s="14" t="s">
        <v>21</v>
      </c>
      <c r="L320" s="14" t="s">
        <v>44</v>
      </c>
      <c r="M320" s="14" t="s">
        <v>45</v>
      </c>
      <c r="N320" s="13">
        <v>319</v>
      </c>
      <c r="O320" s="30">
        <v>45770</v>
      </c>
      <c r="P320" s="1"/>
      <c r="Q320" s="30">
        <v>45779</v>
      </c>
      <c r="R320" s="30">
        <v>45783</v>
      </c>
      <c r="S320" s="23">
        <f t="shared" si="17"/>
        <v>113</v>
      </c>
      <c r="T320" s="23">
        <f>(U320+S320)/2</f>
        <v>117.5</v>
      </c>
      <c r="U320" s="23">
        <f t="shared" si="19"/>
        <v>122</v>
      </c>
      <c r="V320" s="23">
        <f t="shared" si="20"/>
        <v>126</v>
      </c>
      <c r="W320" s="14" t="s">
        <v>35</v>
      </c>
      <c r="X320" s="14" t="s">
        <v>20</v>
      </c>
      <c r="Y320" s="14" t="s">
        <v>21</v>
      </c>
      <c r="Z320" s="14" t="s">
        <v>44</v>
      </c>
      <c r="AA320" s="14" t="s">
        <v>234</v>
      </c>
      <c r="AB320" s="14" t="s">
        <v>131</v>
      </c>
      <c r="AC320" s="14" t="s">
        <v>53</v>
      </c>
      <c r="AD320" s="14"/>
      <c r="AE320" s="1">
        <v>0</v>
      </c>
      <c r="AF320" s="1"/>
    </row>
    <row r="321" spans="1:32" x14ac:dyDescent="0.2">
      <c r="A321" s="14" t="s">
        <v>234</v>
      </c>
      <c r="B321" s="14" t="s">
        <v>131</v>
      </c>
      <c r="C321" s="14" t="s">
        <v>53</v>
      </c>
      <c r="D321" s="14" t="s">
        <v>1062</v>
      </c>
      <c r="E321" s="14" t="s">
        <v>24</v>
      </c>
      <c r="F321" s="14">
        <v>4</v>
      </c>
      <c r="G321" s="14" t="s">
        <v>362</v>
      </c>
      <c r="H321" s="14" t="s">
        <v>35</v>
      </c>
      <c r="I321" s="14" t="s">
        <v>20</v>
      </c>
      <c r="J321" s="13" t="s">
        <v>1070</v>
      </c>
      <c r="K321" s="14" t="s">
        <v>21</v>
      </c>
      <c r="L321" s="14" t="s">
        <v>44</v>
      </c>
      <c r="M321" s="14" t="s">
        <v>45</v>
      </c>
      <c r="N321" s="13">
        <v>320</v>
      </c>
      <c r="O321" s="30">
        <v>45762</v>
      </c>
      <c r="P321" s="30">
        <v>45770</v>
      </c>
      <c r="Q321" s="30">
        <v>45779</v>
      </c>
      <c r="R321" s="30">
        <v>45783</v>
      </c>
      <c r="S321" s="23">
        <f t="shared" si="17"/>
        <v>105</v>
      </c>
      <c r="T321" s="23">
        <f t="shared" si="18"/>
        <v>113</v>
      </c>
      <c r="U321" s="23">
        <f t="shared" si="19"/>
        <v>122</v>
      </c>
      <c r="V321" s="23">
        <f t="shared" si="20"/>
        <v>126</v>
      </c>
      <c r="W321" s="14" t="s">
        <v>35</v>
      </c>
      <c r="X321" s="14" t="s">
        <v>20</v>
      </c>
      <c r="Y321" s="14" t="s">
        <v>21</v>
      </c>
      <c r="Z321" s="14" t="s">
        <v>44</v>
      </c>
      <c r="AA321" s="14" t="s">
        <v>234</v>
      </c>
      <c r="AB321" s="14" t="s">
        <v>131</v>
      </c>
      <c r="AC321" s="14" t="s">
        <v>53</v>
      </c>
      <c r="AD321" s="14"/>
      <c r="AE321" s="1">
        <v>0</v>
      </c>
      <c r="AF321" s="1"/>
    </row>
    <row r="322" spans="1:32" x14ac:dyDescent="0.2">
      <c r="A322" s="20" t="s">
        <v>234</v>
      </c>
      <c r="B322" s="20" t="s">
        <v>167</v>
      </c>
      <c r="C322" s="20" t="s">
        <v>16</v>
      </c>
      <c r="D322" s="18" t="s">
        <v>1071</v>
      </c>
      <c r="E322" s="20" t="s">
        <v>17</v>
      </c>
      <c r="F322" s="20">
        <v>1</v>
      </c>
      <c r="G322" s="20" t="s">
        <v>363</v>
      </c>
      <c r="H322" s="20" t="s">
        <v>19</v>
      </c>
      <c r="I322" s="20" t="s">
        <v>20</v>
      </c>
      <c r="J322" s="19" t="s">
        <v>1072</v>
      </c>
      <c r="K322" s="20" t="s">
        <v>64</v>
      </c>
      <c r="L322" s="20" t="s">
        <v>22</v>
      </c>
      <c r="M322" s="20" t="s">
        <v>74</v>
      </c>
      <c r="N322" s="21">
        <v>321</v>
      </c>
      <c r="O322" s="29">
        <v>45762</v>
      </c>
      <c r="P322" s="29">
        <v>45776</v>
      </c>
      <c r="Q322" s="29">
        <v>45779</v>
      </c>
      <c r="R322" s="29">
        <v>45783</v>
      </c>
      <c r="S322" s="23">
        <f t="shared" si="17"/>
        <v>105</v>
      </c>
      <c r="T322" s="23">
        <f t="shared" si="18"/>
        <v>119</v>
      </c>
      <c r="U322" s="23">
        <f t="shared" si="19"/>
        <v>122</v>
      </c>
      <c r="V322" s="23">
        <f t="shared" si="20"/>
        <v>126</v>
      </c>
      <c r="W322" s="20" t="s">
        <v>19</v>
      </c>
      <c r="X322" s="20" t="s">
        <v>20</v>
      </c>
      <c r="Y322" s="20" t="s">
        <v>64</v>
      </c>
      <c r="Z322" s="20" t="s">
        <v>22</v>
      </c>
      <c r="AA322" s="20" t="s">
        <v>234</v>
      </c>
      <c r="AB322" s="20" t="s">
        <v>167</v>
      </c>
      <c r="AC322" s="20" t="s">
        <v>16</v>
      </c>
      <c r="AD322" s="20"/>
      <c r="AE322" s="2">
        <v>0</v>
      </c>
      <c r="AF322" s="2"/>
    </row>
    <row r="323" spans="1:32" x14ac:dyDescent="0.2">
      <c r="A323" s="20" t="s">
        <v>234</v>
      </c>
      <c r="B323" s="20" t="s">
        <v>167</v>
      </c>
      <c r="C323" s="20" t="s">
        <v>16</v>
      </c>
      <c r="D323" s="18" t="s">
        <v>1071</v>
      </c>
      <c r="E323" s="20" t="s">
        <v>24</v>
      </c>
      <c r="F323" s="20">
        <v>1</v>
      </c>
      <c r="G323" s="20" t="s">
        <v>364</v>
      </c>
      <c r="H323" s="20" t="s">
        <v>19</v>
      </c>
      <c r="I323" s="20" t="s">
        <v>20</v>
      </c>
      <c r="J323" s="19" t="s">
        <v>1073</v>
      </c>
      <c r="K323" s="20" t="s">
        <v>64</v>
      </c>
      <c r="L323" s="20" t="s">
        <v>22</v>
      </c>
      <c r="M323" s="20" t="s">
        <v>74</v>
      </c>
      <c r="N323" s="21">
        <v>322</v>
      </c>
      <c r="O323" s="29">
        <v>45758</v>
      </c>
      <c r="P323" s="29">
        <v>45762</v>
      </c>
      <c r="Q323" s="2"/>
      <c r="R323" s="29">
        <v>45770</v>
      </c>
      <c r="S323" s="23">
        <f t="shared" ref="S323:S386" si="21">O323-DATE(YEAR(O323),1,1)+1</f>
        <v>101</v>
      </c>
      <c r="T323" s="23">
        <f t="shared" ref="T323:T385" si="22">P323-DATE(YEAR(P323),1,1)+1</f>
        <v>105</v>
      </c>
      <c r="U323" s="23">
        <f>(V323+T323)/2</f>
        <v>109</v>
      </c>
      <c r="V323" s="23">
        <f t="shared" ref="V323:V386" si="23">R323-DATE(YEAR(R323),1,1)+1</f>
        <v>113</v>
      </c>
      <c r="W323" s="20" t="s">
        <v>19</v>
      </c>
      <c r="X323" s="20" t="s">
        <v>20</v>
      </c>
      <c r="Y323" s="20" t="s">
        <v>64</v>
      </c>
      <c r="Z323" s="20" t="s">
        <v>22</v>
      </c>
      <c r="AA323" s="20" t="s">
        <v>234</v>
      </c>
      <c r="AB323" s="20" t="s">
        <v>167</v>
      </c>
      <c r="AC323" s="20" t="s">
        <v>16</v>
      </c>
      <c r="AD323" s="20"/>
      <c r="AE323" s="2">
        <v>0</v>
      </c>
      <c r="AF323" s="2"/>
    </row>
    <row r="324" spans="1:32" x14ac:dyDescent="0.2">
      <c r="A324" s="20" t="s">
        <v>234</v>
      </c>
      <c r="B324" s="20" t="s">
        <v>167</v>
      </c>
      <c r="C324" s="20" t="s">
        <v>16</v>
      </c>
      <c r="D324" s="18" t="s">
        <v>1071</v>
      </c>
      <c r="E324" s="20" t="s">
        <v>17</v>
      </c>
      <c r="F324" s="20">
        <v>2</v>
      </c>
      <c r="G324" s="20" t="s">
        <v>365</v>
      </c>
      <c r="H324" s="20" t="s">
        <v>19</v>
      </c>
      <c r="I324" s="20" t="s">
        <v>20</v>
      </c>
      <c r="J324" s="19" t="s">
        <v>1074</v>
      </c>
      <c r="K324" s="20" t="s">
        <v>64</v>
      </c>
      <c r="L324" s="20" t="s">
        <v>22</v>
      </c>
      <c r="M324" s="20" t="s">
        <v>74</v>
      </c>
      <c r="N324" s="21">
        <v>323</v>
      </c>
      <c r="O324" s="29">
        <v>45762</v>
      </c>
      <c r="P324" s="29">
        <v>45765</v>
      </c>
      <c r="Q324" s="29">
        <v>45770</v>
      </c>
      <c r="R324" s="29">
        <v>45776</v>
      </c>
      <c r="S324" s="23">
        <f t="shared" si="21"/>
        <v>105</v>
      </c>
      <c r="T324" s="23">
        <f t="shared" si="22"/>
        <v>108</v>
      </c>
      <c r="U324" s="23">
        <f t="shared" ref="U324:U386" si="24">Q324-DATE(YEAR(Q324),1,1)+1</f>
        <v>113</v>
      </c>
      <c r="V324" s="23">
        <f t="shared" si="23"/>
        <v>119</v>
      </c>
      <c r="W324" s="20" t="s">
        <v>19</v>
      </c>
      <c r="X324" s="20" t="s">
        <v>20</v>
      </c>
      <c r="Y324" s="20" t="s">
        <v>64</v>
      </c>
      <c r="Z324" s="20" t="s">
        <v>22</v>
      </c>
      <c r="AA324" s="20" t="s">
        <v>234</v>
      </c>
      <c r="AB324" s="20" t="s">
        <v>167</v>
      </c>
      <c r="AC324" s="20" t="s">
        <v>16</v>
      </c>
      <c r="AD324" s="20"/>
      <c r="AE324" s="2">
        <v>0</v>
      </c>
      <c r="AF324" s="2"/>
    </row>
    <row r="325" spans="1:32" x14ac:dyDescent="0.2">
      <c r="A325" s="20" t="s">
        <v>234</v>
      </c>
      <c r="B325" s="20" t="s">
        <v>167</v>
      </c>
      <c r="C325" s="20" t="s">
        <v>16</v>
      </c>
      <c r="D325" s="18" t="s">
        <v>1071</v>
      </c>
      <c r="E325" s="20" t="s">
        <v>24</v>
      </c>
      <c r="F325" s="20">
        <v>2</v>
      </c>
      <c r="G325" s="20" t="s">
        <v>366</v>
      </c>
      <c r="H325" s="20" t="s">
        <v>19</v>
      </c>
      <c r="I325" s="20" t="s">
        <v>20</v>
      </c>
      <c r="J325" s="19" t="s">
        <v>1075</v>
      </c>
      <c r="K325" s="20" t="s">
        <v>64</v>
      </c>
      <c r="L325" s="20" t="s">
        <v>22</v>
      </c>
      <c r="M325" s="20" t="s">
        <v>74</v>
      </c>
      <c r="N325" s="21">
        <v>324</v>
      </c>
      <c r="O325" s="29">
        <v>45758</v>
      </c>
      <c r="P325" s="29">
        <v>45765</v>
      </c>
      <c r="Q325" s="29">
        <v>45770</v>
      </c>
      <c r="R325" s="29">
        <v>45772</v>
      </c>
      <c r="S325" s="23">
        <f t="shared" si="21"/>
        <v>101</v>
      </c>
      <c r="T325" s="23">
        <f t="shared" si="22"/>
        <v>108</v>
      </c>
      <c r="U325" s="23">
        <f t="shared" si="24"/>
        <v>113</v>
      </c>
      <c r="V325" s="23">
        <f t="shared" si="23"/>
        <v>115</v>
      </c>
      <c r="W325" s="20" t="s">
        <v>19</v>
      </c>
      <c r="X325" s="20" t="s">
        <v>20</v>
      </c>
      <c r="Y325" s="20" t="s">
        <v>64</v>
      </c>
      <c r="Z325" s="20" t="s">
        <v>22</v>
      </c>
      <c r="AA325" s="20" t="s">
        <v>234</v>
      </c>
      <c r="AB325" s="20" t="s">
        <v>167</v>
      </c>
      <c r="AC325" s="20" t="s">
        <v>16</v>
      </c>
      <c r="AD325" s="20"/>
      <c r="AE325" s="2">
        <v>0</v>
      </c>
      <c r="AF325" s="2"/>
    </row>
    <row r="326" spans="1:32" x14ac:dyDescent="0.2">
      <c r="A326" s="20" t="s">
        <v>234</v>
      </c>
      <c r="B326" s="20" t="s">
        <v>167</v>
      </c>
      <c r="C326" s="20" t="s">
        <v>16</v>
      </c>
      <c r="D326" s="18" t="s">
        <v>1071</v>
      </c>
      <c r="E326" s="20" t="s">
        <v>17</v>
      </c>
      <c r="F326" s="20">
        <v>3</v>
      </c>
      <c r="G326" s="20" t="s">
        <v>367</v>
      </c>
      <c r="H326" s="20" t="s">
        <v>19</v>
      </c>
      <c r="I326" s="20" t="s">
        <v>20</v>
      </c>
      <c r="J326" s="19" t="s">
        <v>1076</v>
      </c>
      <c r="K326" s="20" t="s">
        <v>64</v>
      </c>
      <c r="L326" s="20" t="s">
        <v>22</v>
      </c>
      <c r="M326" s="20" t="s">
        <v>74</v>
      </c>
      <c r="N326" s="21">
        <v>325</v>
      </c>
      <c r="O326" s="29">
        <v>45776</v>
      </c>
      <c r="P326" s="2"/>
      <c r="Q326" s="29">
        <v>45779</v>
      </c>
      <c r="R326" s="29">
        <v>45783</v>
      </c>
      <c r="S326" s="23">
        <f t="shared" si="21"/>
        <v>119</v>
      </c>
      <c r="T326" s="23">
        <f>(U326+S326)/2</f>
        <v>120.5</v>
      </c>
      <c r="U326" s="23">
        <f t="shared" si="24"/>
        <v>122</v>
      </c>
      <c r="V326" s="23">
        <f t="shared" si="23"/>
        <v>126</v>
      </c>
      <c r="W326" s="20" t="s">
        <v>19</v>
      </c>
      <c r="X326" s="20" t="s">
        <v>20</v>
      </c>
      <c r="Y326" s="20" t="s">
        <v>64</v>
      </c>
      <c r="Z326" s="20" t="s">
        <v>22</v>
      </c>
      <c r="AA326" s="20" t="s">
        <v>234</v>
      </c>
      <c r="AB326" s="20" t="s">
        <v>167</v>
      </c>
      <c r="AC326" s="20" t="s">
        <v>16</v>
      </c>
      <c r="AD326" s="20"/>
      <c r="AE326" s="2">
        <v>0</v>
      </c>
      <c r="AF326" s="2"/>
    </row>
    <row r="327" spans="1:32" x14ac:dyDescent="0.2">
      <c r="A327" s="20" t="s">
        <v>234</v>
      </c>
      <c r="B327" s="20" t="s">
        <v>167</v>
      </c>
      <c r="C327" s="20" t="s">
        <v>16</v>
      </c>
      <c r="D327" s="18" t="s">
        <v>1071</v>
      </c>
      <c r="E327" s="20" t="s">
        <v>24</v>
      </c>
      <c r="F327" s="20">
        <v>3</v>
      </c>
      <c r="G327" s="20" t="s">
        <v>368</v>
      </c>
      <c r="H327" s="20" t="s">
        <v>19</v>
      </c>
      <c r="I327" s="20" t="s">
        <v>20</v>
      </c>
      <c r="J327" s="19" t="s">
        <v>1077</v>
      </c>
      <c r="K327" s="20" t="s">
        <v>64</v>
      </c>
      <c r="L327" s="20" t="s">
        <v>22</v>
      </c>
      <c r="M327" s="20" t="s">
        <v>74</v>
      </c>
      <c r="N327" s="21">
        <v>326</v>
      </c>
      <c r="O327" s="29">
        <v>45762</v>
      </c>
      <c r="P327" s="29">
        <v>45770</v>
      </c>
      <c r="Q327" s="29">
        <v>45772</v>
      </c>
      <c r="R327" s="29">
        <v>45779</v>
      </c>
      <c r="S327" s="23">
        <f t="shared" si="21"/>
        <v>105</v>
      </c>
      <c r="T327" s="23">
        <f t="shared" si="22"/>
        <v>113</v>
      </c>
      <c r="U327" s="23">
        <f t="shared" si="24"/>
        <v>115</v>
      </c>
      <c r="V327" s="23">
        <f t="shared" si="23"/>
        <v>122</v>
      </c>
      <c r="W327" s="20" t="s">
        <v>19</v>
      </c>
      <c r="X327" s="20" t="s">
        <v>20</v>
      </c>
      <c r="Y327" s="20" t="s">
        <v>64</v>
      </c>
      <c r="Z327" s="20" t="s">
        <v>22</v>
      </c>
      <c r="AA327" s="20" t="s">
        <v>234</v>
      </c>
      <c r="AB327" s="20" t="s">
        <v>167</v>
      </c>
      <c r="AC327" s="20" t="s">
        <v>16</v>
      </c>
      <c r="AD327" s="20"/>
      <c r="AE327" s="2">
        <v>0</v>
      </c>
      <c r="AF327" s="2"/>
    </row>
    <row r="328" spans="1:32" x14ac:dyDescent="0.2">
      <c r="A328" s="20" t="s">
        <v>234</v>
      </c>
      <c r="B328" s="20" t="s">
        <v>167</v>
      </c>
      <c r="C328" s="20" t="s">
        <v>16</v>
      </c>
      <c r="D328" s="18" t="s">
        <v>1071</v>
      </c>
      <c r="E328" s="20" t="s">
        <v>17</v>
      </c>
      <c r="F328" s="20">
        <v>4</v>
      </c>
      <c r="G328" s="20" t="s">
        <v>369</v>
      </c>
      <c r="H328" s="20" t="s">
        <v>19</v>
      </c>
      <c r="I328" s="20" t="s">
        <v>20</v>
      </c>
      <c r="J328" s="19" t="s">
        <v>1078</v>
      </c>
      <c r="K328" s="20" t="s">
        <v>64</v>
      </c>
      <c r="L328" s="20" t="s">
        <v>22</v>
      </c>
      <c r="M328" s="20" t="s">
        <v>74</v>
      </c>
      <c r="N328" s="21">
        <v>327</v>
      </c>
      <c r="O328" s="29">
        <v>45762</v>
      </c>
      <c r="P328" s="29">
        <v>45770</v>
      </c>
      <c r="Q328" s="29">
        <v>45776</v>
      </c>
      <c r="R328" s="29">
        <v>45779</v>
      </c>
      <c r="S328" s="23">
        <f t="shared" si="21"/>
        <v>105</v>
      </c>
      <c r="T328" s="23">
        <f t="shared" si="22"/>
        <v>113</v>
      </c>
      <c r="U328" s="23">
        <f t="shared" si="24"/>
        <v>119</v>
      </c>
      <c r="V328" s="23">
        <f t="shared" si="23"/>
        <v>122</v>
      </c>
      <c r="W328" s="20" t="s">
        <v>19</v>
      </c>
      <c r="X328" s="20" t="s">
        <v>20</v>
      </c>
      <c r="Y328" s="20" t="s">
        <v>64</v>
      </c>
      <c r="Z328" s="20" t="s">
        <v>22</v>
      </c>
      <c r="AA328" s="20" t="s">
        <v>234</v>
      </c>
      <c r="AB328" s="20" t="s">
        <v>167</v>
      </c>
      <c r="AC328" s="20" t="s">
        <v>16</v>
      </c>
      <c r="AD328" s="20"/>
      <c r="AE328" s="2">
        <v>0</v>
      </c>
      <c r="AF328" s="2"/>
    </row>
    <row r="329" spans="1:32" x14ac:dyDescent="0.2">
      <c r="A329" s="20" t="s">
        <v>234</v>
      </c>
      <c r="B329" s="20" t="s">
        <v>167</v>
      </c>
      <c r="C329" s="20" t="s">
        <v>16</v>
      </c>
      <c r="D329" s="18" t="s">
        <v>1071</v>
      </c>
      <c r="E329" s="20" t="s">
        <v>24</v>
      </c>
      <c r="F329" s="20">
        <v>4</v>
      </c>
      <c r="G329" s="20" t="s">
        <v>370</v>
      </c>
      <c r="H329" s="20" t="s">
        <v>19</v>
      </c>
      <c r="I329" s="20" t="s">
        <v>20</v>
      </c>
      <c r="J329" s="19" t="s">
        <v>1079</v>
      </c>
      <c r="K329" s="20" t="s">
        <v>64</v>
      </c>
      <c r="L329" s="20" t="s">
        <v>22</v>
      </c>
      <c r="M329" s="20" t="s">
        <v>74</v>
      </c>
      <c r="N329" s="21">
        <v>328</v>
      </c>
      <c r="O329" s="29">
        <v>45762</v>
      </c>
      <c r="P329" s="29">
        <v>45765</v>
      </c>
      <c r="Q329" s="29">
        <v>45770</v>
      </c>
      <c r="R329" s="29">
        <v>45776</v>
      </c>
      <c r="S329" s="23">
        <f t="shared" si="21"/>
        <v>105</v>
      </c>
      <c r="T329" s="23">
        <f t="shared" si="22"/>
        <v>108</v>
      </c>
      <c r="U329" s="23">
        <f t="shared" si="24"/>
        <v>113</v>
      </c>
      <c r="V329" s="23">
        <f t="shared" si="23"/>
        <v>119</v>
      </c>
      <c r="W329" s="20" t="s">
        <v>19</v>
      </c>
      <c r="X329" s="20" t="s">
        <v>20</v>
      </c>
      <c r="Y329" s="20" t="s">
        <v>64</v>
      </c>
      <c r="Z329" s="20" t="s">
        <v>22</v>
      </c>
      <c r="AA329" s="20" t="s">
        <v>234</v>
      </c>
      <c r="AB329" s="20" t="s">
        <v>167</v>
      </c>
      <c r="AC329" s="20" t="s">
        <v>16</v>
      </c>
      <c r="AD329" s="20"/>
      <c r="AE329" s="2">
        <v>0</v>
      </c>
      <c r="AF329" s="2"/>
    </row>
    <row r="330" spans="1:32" x14ac:dyDescent="0.2">
      <c r="A330" s="14" t="s">
        <v>234</v>
      </c>
      <c r="B330" s="14" t="s">
        <v>167</v>
      </c>
      <c r="C330" s="14" t="s">
        <v>32</v>
      </c>
      <c r="D330" s="14" t="s">
        <v>1080</v>
      </c>
      <c r="E330" s="14" t="s">
        <v>17</v>
      </c>
      <c r="F330" s="14">
        <v>1</v>
      </c>
      <c r="G330" s="14" t="s">
        <v>371</v>
      </c>
      <c r="H330" s="14" t="s">
        <v>35</v>
      </c>
      <c r="I330" s="14" t="s">
        <v>20</v>
      </c>
      <c r="J330" s="13" t="s">
        <v>1081</v>
      </c>
      <c r="K330" s="14" t="s">
        <v>64</v>
      </c>
      <c r="L330" s="14" t="s">
        <v>22</v>
      </c>
      <c r="M330" s="14" t="s">
        <v>74</v>
      </c>
      <c r="N330" s="13">
        <v>329</v>
      </c>
      <c r="O330" s="30">
        <v>45755</v>
      </c>
      <c r="P330" s="30">
        <v>45762</v>
      </c>
      <c r="Q330" s="30">
        <v>45765</v>
      </c>
      <c r="R330" s="30">
        <v>45776</v>
      </c>
      <c r="S330" s="23">
        <f t="shared" si="21"/>
        <v>98</v>
      </c>
      <c r="T330" s="23">
        <f t="shared" si="22"/>
        <v>105</v>
      </c>
      <c r="U330" s="23">
        <f t="shared" si="24"/>
        <v>108</v>
      </c>
      <c r="V330" s="23">
        <f t="shared" si="23"/>
        <v>119</v>
      </c>
      <c r="W330" s="14" t="s">
        <v>35</v>
      </c>
      <c r="X330" s="14" t="s">
        <v>20</v>
      </c>
      <c r="Y330" s="14" t="s">
        <v>64</v>
      </c>
      <c r="Z330" s="14" t="s">
        <v>22</v>
      </c>
      <c r="AA330" s="14" t="s">
        <v>234</v>
      </c>
      <c r="AB330" s="14" t="s">
        <v>167</v>
      </c>
      <c r="AC330" s="14" t="s">
        <v>32</v>
      </c>
      <c r="AD330" s="14"/>
      <c r="AE330" s="1">
        <v>0</v>
      </c>
      <c r="AF330" s="1"/>
    </row>
    <row r="331" spans="1:32" x14ac:dyDescent="0.2">
      <c r="A331" s="14" t="s">
        <v>234</v>
      </c>
      <c r="B331" s="14" t="s">
        <v>167</v>
      </c>
      <c r="C331" s="14" t="s">
        <v>32</v>
      </c>
      <c r="D331" s="14" t="s">
        <v>1080</v>
      </c>
      <c r="E331" s="14" t="s">
        <v>24</v>
      </c>
      <c r="F331" s="14">
        <v>1</v>
      </c>
      <c r="G331" s="14" t="s">
        <v>372</v>
      </c>
      <c r="H331" s="14" t="s">
        <v>35</v>
      </c>
      <c r="I331" s="14" t="s">
        <v>20</v>
      </c>
      <c r="J331" s="13" t="s">
        <v>1082</v>
      </c>
      <c r="K331" s="14" t="s">
        <v>64</v>
      </c>
      <c r="L331" s="14" t="s">
        <v>22</v>
      </c>
      <c r="M331" s="14" t="s">
        <v>74</v>
      </c>
      <c r="N331" s="13">
        <v>330</v>
      </c>
      <c r="O331" s="30">
        <v>45776</v>
      </c>
      <c r="P331" s="30">
        <v>45779</v>
      </c>
      <c r="Q331" s="30">
        <v>45783</v>
      </c>
      <c r="R331" s="30">
        <v>45786</v>
      </c>
      <c r="S331" s="23">
        <f t="shared" si="21"/>
        <v>119</v>
      </c>
      <c r="T331" s="23">
        <f t="shared" si="22"/>
        <v>122</v>
      </c>
      <c r="U331" s="23">
        <f t="shared" si="24"/>
        <v>126</v>
      </c>
      <c r="V331" s="23">
        <f t="shared" si="23"/>
        <v>129</v>
      </c>
      <c r="W331" s="14" t="s">
        <v>35</v>
      </c>
      <c r="X331" s="14" t="s">
        <v>20</v>
      </c>
      <c r="Y331" s="14" t="s">
        <v>64</v>
      </c>
      <c r="Z331" s="14" t="s">
        <v>22</v>
      </c>
      <c r="AA331" s="14" t="s">
        <v>234</v>
      </c>
      <c r="AB331" s="14" t="s">
        <v>167</v>
      </c>
      <c r="AC331" s="14" t="s">
        <v>32</v>
      </c>
      <c r="AD331" s="14"/>
      <c r="AE331" s="1">
        <v>2</v>
      </c>
      <c r="AF331" s="1" t="s">
        <v>1083</v>
      </c>
    </row>
    <row r="332" spans="1:32" x14ac:dyDescent="0.2">
      <c r="A332" s="14" t="s">
        <v>234</v>
      </c>
      <c r="B332" s="14" t="s">
        <v>167</v>
      </c>
      <c r="C332" s="14" t="s">
        <v>32</v>
      </c>
      <c r="D332" s="14" t="s">
        <v>1080</v>
      </c>
      <c r="E332" s="14" t="s">
        <v>17</v>
      </c>
      <c r="F332" s="14">
        <v>2</v>
      </c>
      <c r="G332" s="14" t="s">
        <v>373</v>
      </c>
      <c r="H332" s="14" t="s">
        <v>35</v>
      </c>
      <c r="I332" s="14" t="s">
        <v>20</v>
      </c>
      <c r="J332" s="13" t="s">
        <v>1084</v>
      </c>
      <c r="K332" s="14" t="s">
        <v>64</v>
      </c>
      <c r="L332" s="14" t="s">
        <v>22</v>
      </c>
      <c r="M332" s="14" t="s">
        <v>74</v>
      </c>
      <c r="N332" s="13">
        <v>331</v>
      </c>
      <c r="O332" s="30">
        <v>45758</v>
      </c>
      <c r="P332" s="30">
        <v>45762</v>
      </c>
      <c r="Q332" s="30">
        <v>45776</v>
      </c>
      <c r="R332" s="30">
        <v>45779</v>
      </c>
      <c r="S332" s="23">
        <f t="shared" si="21"/>
        <v>101</v>
      </c>
      <c r="T332" s="23">
        <f t="shared" si="22"/>
        <v>105</v>
      </c>
      <c r="U332" s="23">
        <f t="shared" si="24"/>
        <v>119</v>
      </c>
      <c r="V332" s="23">
        <f t="shared" si="23"/>
        <v>122</v>
      </c>
      <c r="W332" s="14" t="s">
        <v>35</v>
      </c>
      <c r="X332" s="14" t="s">
        <v>20</v>
      </c>
      <c r="Y332" s="14" t="s">
        <v>64</v>
      </c>
      <c r="Z332" s="14" t="s">
        <v>22</v>
      </c>
      <c r="AA332" s="14" t="s">
        <v>234</v>
      </c>
      <c r="AB332" s="14" t="s">
        <v>167</v>
      </c>
      <c r="AC332" s="14" t="s">
        <v>32</v>
      </c>
      <c r="AD332" s="14"/>
      <c r="AE332" s="1">
        <v>0</v>
      </c>
      <c r="AF332" s="1"/>
    </row>
    <row r="333" spans="1:32" x14ac:dyDescent="0.2">
      <c r="A333" s="14" t="s">
        <v>234</v>
      </c>
      <c r="B333" s="14" t="s">
        <v>167</v>
      </c>
      <c r="C333" s="14" t="s">
        <v>32</v>
      </c>
      <c r="D333" s="14" t="s">
        <v>1080</v>
      </c>
      <c r="E333" s="14" t="s">
        <v>24</v>
      </c>
      <c r="F333" s="14">
        <v>2</v>
      </c>
      <c r="G333" s="14" t="s">
        <v>374</v>
      </c>
      <c r="H333" s="14" t="s">
        <v>35</v>
      </c>
      <c r="I333" s="14" t="s">
        <v>20</v>
      </c>
      <c r="J333" s="13" t="s">
        <v>1085</v>
      </c>
      <c r="K333" s="14" t="s">
        <v>64</v>
      </c>
      <c r="L333" s="14" t="s">
        <v>22</v>
      </c>
      <c r="M333" s="14" t="s">
        <v>74</v>
      </c>
      <c r="N333" s="13">
        <v>332</v>
      </c>
      <c r="O333" s="30">
        <v>45762</v>
      </c>
      <c r="P333" s="30">
        <v>45772</v>
      </c>
      <c r="Q333" s="30">
        <v>45779</v>
      </c>
      <c r="R333" s="30">
        <v>45783</v>
      </c>
      <c r="S333" s="23">
        <f t="shared" si="21"/>
        <v>105</v>
      </c>
      <c r="T333" s="23">
        <f t="shared" si="22"/>
        <v>115</v>
      </c>
      <c r="U333" s="23">
        <f t="shared" si="24"/>
        <v>122</v>
      </c>
      <c r="V333" s="23">
        <f t="shared" si="23"/>
        <v>126</v>
      </c>
      <c r="W333" s="14" t="s">
        <v>35</v>
      </c>
      <c r="X333" s="14" t="s">
        <v>20</v>
      </c>
      <c r="Y333" s="14" t="s">
        <v>64</v>
      </c>
      <c r="Z333" s="14" t="s">
        <v>22</v>
      </c>
      <c r="AA333" s="14" t="s">
        <v>234</v>
      </c>
      <c r="AB333" s="14" t="s">
        <v>167</v>
      </c>
      <c r="AC333" s="14" t="s">
        <v>32</v>
      </c>
      <c r="AD333" s="14"/>
      <c r="AE333" s="1">
        <v>0</v>
      </c>
      <c r="AF333" s="1"/>
    </row>
    <row r="334" spans="1:32" x14ac:dyDescent="0.2">
      <c r="A334" s="14" t="s">
        <v>234</v>
      </c>
      <c r="B334" s="14" t="s">
        <v>167</v>
      </c>
      <c r="C334" s="14" t="s">
        <v>32</v>
      </c>
      <c r="D334" s="14" t="s">
        <v>1080</v>
      </c>
      <c r="E334" s="14" t="s">
        <v>17</v>
      </c>
      <c r="F334" s="14">
        <v>3</v>
      </c>
      <c r="G334" s="14" t="s">
        <v>375</v>
      </c>
      <c r="H334" s="14" t="s">
        <v>35</v>
      </c>
      <c r="I334" s="14" t="s">
        <v>20</v>
      </c>
      <c r="J334" s="13" t="s">
        <v>1086</v>
      </c>
      <c r="K334" s="14" t="s">
        <v>64</v>
      </c>
      <c r="L334" s="14" t="s">
        <v>22</v>
      </c>
      <c r="M334" s="14" t="s">
        <v>74</v>
      </c>
      <c r="N334" s="13">
        <v>333</v>
      </c>
      <c r="O334" s="30">
        <v>45762</v>
      </c>
      <c r="P334" s="30">
        <v>45770</v>
      </c>
      <c r="Q334" s="30">
        <v>45776</v>
      </c>
      <c r="R334" s="30">
        <v>45783</v>
      </c>
      <c r="S334" s="23">
        <f t="shared" si="21"/>
        <v>105</v>
      </c>
      <c r="T334" s="23">
        <f t="shared" si="22"/>
        <v>113</v>
      </c>
      <c r="U334" s="23">
        <f t="shared" si="24"/>
        <v>119</v>
      </c>
      <c r="V334" s="23">
        <f t="shared" si="23"/>
        <v>126</v>
      </c>
      <c r="W334" s="14" t="s">
        <v>35</v>
      </c>
      <c r="X334" s="14" t="s">
        <v>20</v>
      </c>
      <c r="Y334" s="14" t="s">
        <v>64</v>
      </c>
      <c r="Z334" s="14" t="s">
        <v>22</v>
      </c>
      <c r="AA334" s="14" t="s">
        <v>234</v>
      </c>
      <c r="AB334" s="14" t="s">
        <v>167</v>
      </c>
      <c r="AC334" s="14" t="s">
        <v>32</v>
      </c>
      <c r="AD334" s="14"/>
      <c r="AE334" s="1">
        <v>0</v>
      </c>
      <c r="AF334" s="1"/>
    </row>
    <row r="335" spans="1:32" x14ac:dyDescent="0.2">
      <c r="A335" s="14" t="s">
        <v>234</v>
      </c>
      <c r="B335" s="14" t="s">
        <v>167</v>
      </c>
      <c r="C335" s="14" t="s">
        <v>32</v>
      </c>
      <c r="D335" s="14" t="s">
        <v>1080</v>
      </c>
      <c r="E335" s="14" t="s">
        <v>24</v>
      </c>
      <c r="F335" s="14">
        <v>3</v>
      </c>
      <c r="G335" s="14" t="s">
        <v>376</v>
      </c>
      <c r="H335" s="14" t="s">
        <v>35</v>
      </c>
      <c r="I335" s="14" t="s">
        <v>20</v>
      </c>
      <c r="J335" s="13" t="s">
        <v>1087</v>
      </c>
      <c r="K335" s="14" t="s">
        <v>64</v>
      </c>
      <c r="L335" s="14" t="s">
        <v>22</v>
      </c>
      <c r="M335" s="14" t="s">
        <v>74</v>
      </c>
      <c r="N335" s="13">
        <v>334</v>
      </c>
      <c r="O335" s="30">
        <v>45758</v>
      </c>
      <c r="P335" s="30">
        <v>45762</v>
      </c>
      <c r="Q335" s="30">
        <v>45765</v>
      </c>
      <c r="R335" s="30">
        <v>45772</v>
      </c>
      <c r="S335" s="23">
        <f t="shared" si="21"/>
        <v>101</v>
      </c>
      <c r="T335" s="23">
        <f t="shared" si="22"/>
        <v>105</v>
      </c>
      <c r="U335" s="23">
        <f t="shared" si="24"/>
        <v>108</v>
      </c>
      <c r="V335" s="23">
        <f t="shared" si="23"/>
        <v>115</v>
      </c>
      <c r="W335" s="14" t="s">
        <v>35</v>
      </c>
      <c r="X335" s="14" t="s">
        <v>20</v>
      </c>
      <c r="Y335" s="14" t="s">
        <v>64</v>
      </c>
      <c r="Z335" s="14" t="s">
        <v>22</v>
      </c>
      <c r="AA335" s="14" t="s">
        <v>234</v>
      </c>
      <c r="AB335" s="14" t="s">
        <v>167</v>
      </c>
      <c r="AC335" s="14" t="s">
        <v>32</v>
      </c>
      <c r="AD335" s="14"/>
      <c r="AE335" s="1">
        <v>0</v>
      </c>
      <c r="AF335" s="1"/>
    </row>
    <row r="336" spans="1:32" x14ac:dyDescent="0.2">
      <c r="A336" s="14" t="s">
        <v>234</v>
      </c>
      <c r="B336" s="14" t="s">
        <v>167</v>
      </c>
      <c r="C336" s="14" t="s">
        <v>32</v>
      </c>
      <c r="D336" s="14" t="s">
        <v>1080</v>
      </c>
      <c r="E336" s="14" t="s">
        <v>17</v>
      </c>
      <c r="F336" s="14">
        <v>4</v>
      </c>
      <c r="G336" s="14" t="s">
        <v>377</v>
      </c>
      <c r="H336" s="14" t="s">
        <v>35</v>
      </c>
      <c r="I336" s="14" t="s">
        <v>20</v>
      </c>
      <c r="J336" s="13" t="s">
        <v>1088</v>
      </c>
      <c r="K336" s="14" t="s">
        <v>64</v>
      </c>
      <c r="L336" s="14" t="s">
        <v>22</v>
      </c>
      <c r="M336" s="14" t="s">
        <v>74</v>
      </c>
      <c r="N336" s="13">
        <v>335</v>
      </c>
      <c r="O336" s="30">
        <v>45762</v>
      </c>
      <c r="P336" s="30">
        <v>45765</v>
      </c>
      <c r="Q336" s="30">
        <v>45779</v>
      </c>
      <c r="R336" s="30">
        <v>45783</v>
      </c>
      <c r="S336" s="23">
        <f t="shared" si="21"/>
        <v>105</v>
      </c>
      <c r="T336" s="23">
        <f t="shared" si="22"/>
        <v>108</v>
      </c>
      <c r="U336" s="23">
        <f t="shared" si="24"/>
        <v>122</v>
      </c>
      <c r="V336" s="23">
        <f t="shared" si="23"/>
        <v>126</v>
      </c>
      <c r="W336" s="14" t="s">
        <v>35</v>
      </c>
      <c r="X336" s="14" t="s">
        <v>20</v>
      </c>
      <c r="Y336" s="14" t="s">
        <v>64</v>
      </c>
      <c r="Z336" s="14" t="s">
        <v>22</v>
      </c>
      <c r="AA336" s="14" t="s">
        <v>234</v>
      </c>
      <c r="AB336" s="14" t="s">
        <v>167</v>
      </c>
      <c r="AC336" s="14" t="s">
        <v>32</v>
      </c>
      <c r="AD336" s="14"/>
      <c r="AE336" s="1">
        <v>0</v>
      </c>
      <c r="AF336" s="1"/>
    </row>
    <row r="337" spans="1:32" x14ac:dyDescent="0.2">
      <c r="A337" s="14" t="s">
        <v>234</v>
      </c>
      <c r="B337" s="14" t="s">
        <v>167</v>
      </c>
      <c r="C337" s="14" t="s">
        <v>32</v>
      </c>
      <c r="D337" s="14" t="s">
        <v>1080</v>
      </c>
      <c r="E337" s="14" t="s">
        <v>24</v>
      </c>
      <c r="F337" s="14">
        <v>4</v>
      </c>
      <c r="G337" s="14" t="s">
        <v>378</v>
      </c>
      <c r="H337" s="14" t="s">
        <v>35</v>
      </c>
      <c r="I337" s="14" t="s">
        <v>20</v>
      </c>
      <c r="J337" s="13" t="s">
        <v>1089</v>
      </c>
      <c r="K337" s="14" t="s">
        <v>64</v>
      </c>
      <c r="L337" s="14" t="s">
        <v>22</v>
      </c>
      <c r="M337" s="14" t="s">
        <v>74</v>
      </c>
      <c r="N337" s="13">
        <v>336</v>
      </c>
      <c r="O337" s="30">
        <v>45776</v>
      </c>
      <c r="P337" s="1"/>
      <c r="Q337" s="30">
        <v>45779</v>
      </c>
      <c r="R337" s="30">
        <v>45783</v>
      </c>
      <c r="S337" s="23">
        <f t="shared" si="21"/>
        <v>119</v>
      </c>
      <c r="T337" s="23">
        <f>(U337+S337)/2</f>
        <v>120.5</v>
      </c>
      <c r="U337" s="23">
        <f t="shared" si="24"/>
        <v>122</v>
      </c>
      <c r="V337" s="23">
        <f t="shared" si="23"/>
        <v>126</v>
      </c>
      <c r="W337" s="14" t="s">
        <v>35</v>
      </c>
      <c r="X337" s="14" t="s">
        <v>20</v>
      </c>
      <c r="Y337" s="14" t="s">
        <v>64</v>
      </c>
      <c r="Z337" s="14" t="s">
        <v>22</v>
      </c>
      <c r="AA337" s="14" t="s">
        <v>234</v>
      </c>
      <c r="AB337" s="14" t="s">
        <v>167</v>
      </c>
      <c r="AC337" s="14" t="s">
        <v>32</v>
      </c>
      <c r="AD337" s="14"/>
      <c r="AE337" s="1">
        <v>0</v>
      </c>
      <c r="AF337" s="1"/>
    </row>
    <row r="338" spans="1:32" x14ac:dyDescent="0.2">
      <c r="A338" s="20" t="s">
        <v>234</v>
      </c>
      <c r="B338" s="20" t="s">
        <v>167</v>
      </c>
      <c r="C338" s="20" t="s">
        <v>42</v>
      </c>
      <c r="D338" s="18" t="s">
        <v>1090</v>
      </c>
      <c r="E338" s="20" t="s">
        <v>17</v>
      </c>
      <c r="F338" s="20">
        <v>1</v>
      </c>
      <c r="G338" s="20" t="s">
        <v>379</v>
      </c>
      <c r="H338" s="20" t="s">
        <v>19</v>
      </c>
      <c r="I338" s="20" t="s">
        <v>20</v>
      </c>
      <c r="J338" s="19" t="s">
        <v>1091</v>
      </c>
      <c r="K338" s="20" t="s">
        <v>64</v>
      </c>
      <c r="L338" s="20" t="s">
        <v>22</v>
      </c>
      <c r="M338" s="20" t="s">
        <v>74</v>
      </c>
      <c r="N338" s="21">
        <v>337</v>
      </c>
      <c r="O338" s="29">
        <v>45762</v>
      </c>
      <c r="P338" s="29">
        <v>45770</v>
      </c>
      <c r="Q338" s="29">
        <v>45772</v>
      </c>
      <c r="R338" s="29">
        <v>45776</v>
      </c>
      <c r="S338" s="23">
        <f t="shared" si="21"/>
        <v>105</v>
      </c>
      <c r="T338" s="23">
        <f t="shared" si="22"/>
        <v>113</v>
      </c>
      <c r="U338" s="23">
        <f t="shared" si="24"/>
        <v>115</v>
      </c>
      <c r="V338" s="23">
        <f t="shared" si="23"/>
        <v>119</v>
      </c>
      <c r="W338" s="20" t="s">
        <v>19</v>
      </c>
      <c r="X338" s="20" t="s">
        <v>20</v>
      </c>
      <c r="Y338" s="20" t="s">
        <v>64</v>
      </c>
      <c r="Z338" s="20" t="s">
        <v>22</v>
      </c>
      <c r="AA338" s="20" t="s">
        <v>234</v>
      </c>
      <c r="AB338" s="20" t="s">
        <v>167</v>
      </c>
      <c r="AC338" s="20" t="s">
        <v>42</v>
      </c>
      <c r="AD338" s="20"/>
      <c r="AE338" s="2">
        <v>0</v>
      </c>
      <c r="AF338" s="2"/>
    </row>
    <row r="339" spans="1:32" x14ac:dyDescent="0.2">
      <c r="A339" s="20" t="s">
        <v>234</v>
      </c>
      <c r="B339" s="20" t="s">
        <v>167</v>
      </c>
      <c r="C339" s="20" t="s">
        <v>42</v>
      </c>
      <c r="D339" s="18" t="s">
        <v>1090</v>
      </c>
      <c r="E339" s="20" t="s">
        <v>24</v>
      </c>
      <c r="F339" s="20">
        <v>1</v>
      </c>
      <c r="G339" s="20" t="s">
        <v>380</v>
      </c>
      <c r="H339" s="20" t="s">
        <v>35</v>
      </c>
      <c r="I339" s="20" t="s">
        <v>20</v>
      </c>
      <c r="J339" s="19" t="s">
        <v>1092</v>
      </c>
      <c r="K339" s="20" t="s">
        <v>64</v>
      </c>
      <c r="L339" s="20" t="s">
        <v>22</v>
      </c>
      <c r="M339" s="20" t="s">
        <v>74</v>
      </c>
      <c r="N339" s="21">
        <v>338</v>
      </c>
      <c r="O339" s="29">
        <v>45762</v>
      </c>
      <c r="P339" s="29">
        <v>45770</v>
      </c>
      <c r="Q339" s="29">
        <v>45776</v>
      </c>
      <c r="R339" s="29">
        <v>45779</v>
      </c>
      <c r="S339" s="23">
        <f t="shared" si="21"/>
        <v>105</v>
      </c>
      <c r="T339" s="23">
        <f t="shared" si="22"/>
        <v>113</v>
      </c>
      <c r="U339" s="23">
        <f t="shared" si="24"/>
        <v>119</v>
      </c>
      <c r="V339" s="23">
        <f t="shared" si="23"/>
        <v>122</v>
      </c>
      <c r="W339" s="20" t="s">
        <v>35</v>
      </c>
      <c r="X339" s="20" t="s">
        <v>20</v>
      </c>
      <c r="Y339" s="20" t="s">
        <v>64</v>
      </c>
      <c r="Z339" s="20" t="s">
        <v>22</v>
      </c>
      <c r="AA339" s="20" t="s">
        <v>234</v>
      </c>
      <c r="AB339" s="20" t="s">
        <v>167</v>
      </c>
      <c r="AC339" s="20" t="s">
        <v>42</v>
      </c>
      <c r="AD339" s="20"/>
      <c r="AE339" s="2">
        <v>0</v>
      </c>
      <c r="AF339" s="2"/>
    </row>
    <row r="340" spans="1:32" x14ac:dyDescent="0.2">
      <c r="A340" s="20" t="s">
        <v>234</v>
      </c>
      <c r="B340" s="20" t="s">
        <v>167</v>
      </c>
      <c r="C340" s="20" t="s">
        <v>42</v>
      </c>
      <c r="D340" s="18" t="s">
        <v>1090</v>
      </c>
      <c r="E340" s="20" t="s">
        <v>17</v>
      </c>
      <c r="F340" s="20">
        <v>2</v>
      </c>
      <c r="G340" s="20" t="s">
        <v>381</v>
      </c>
      <c r="H340" s="20" t="s">
        <v>35</v>
      </c>
      <c r="I340" s="20" t="s">
        <v>20</v>
      </c>
      <c r="J340" s="19" t="s">
        <v>1093</v>
      </c>
      <c r="K340" s="20" t="s">
        <v>64</v>
      </c>
      <c r="L340" s="20" t="s">
        <v>22</v>
      </c>
      <c r="M340" s="20" t="s">
        <v>74</v>
      </c>
      <c r="N340" s="21">
        <v>339</v>
      </c>
      <c r="O340" s="29">
        <v>45755</v>
      </c>
      <c r="P340" s="29">
        <v>45765</v>
      </c>
      <c r="Q340" s="29">
        <v>45772</v>
      </c>
      <c r="R340" s="29">
        <v>45779</v>
      </c>
      <c r="S340" s="23">
        <f t="shared" si="21"/>
        <v>98</v>
      </c>
      <c r="T340" s="23">
        <f t="shared" si="22"/>
        <v>108</v>
      </c>
      <c r="U340" s="23">
        <f t="shared" si="24"/>
        <v>115</v>
      </c>
      <c r="V340" s="23">
        <f t="shared" si="23"/>
        <v>122</v>
      </c>
      <c r="W340" s="20" t="s">
        <v>35</v>
      </c>
      <c r="X340" s="20" t="s">
        <v>20</v>
      </c>
      <c r="Y340" s="20" t="s">
        <v>64</v>
      </c>
      <c r="Z340" s="20" t="s">
        <v>22</v>
      </c>
      <c r="AA340" s="20" t="s">
        <v>234</v>
      </c>
      <c r="AB340" s="20" t="s">
        <v>167</v>
      </c>
      <c r="AC340" s="20" t="s">
        <v>42</v>
      </c>
      <c r="AD340" s="20"/>
      <c r="AE340" s="2">
        <v>0</v>
      </c>
      <c r="AF340" s="2"/>
    </row>
    <row r="341" spans="1:32" x14ac:dyDescent="0.2">
      <c r="A341" s="20" t="s">
        <v>234</v>
      </c>
      <c r="B341" s="20" t="s">
        <v>167</v>
      </c>
      <c r="C341" s="20" t="s">
        <v>42</v>
      </c>
      <c r="D341" s="18" t="s">
        <v>1090</v>
      </c>
      <c r="E341" s="20" t="s">
        <v>24</v>
      </c>
      <c r="F341" s="20">
        <v>2</v>
      </c>
      <c r="G341" s="20" t="s">
        <v>382</v>
      </c>
      <c r="H341" s="20" t="s">
        <v>19</v>
      </c>
      <c r="I341" s="20" t="s">
        <v>20</v>
      </c>
      <c r="J341" s="19" t="s">
        <v>1094</v>
      </c>
      <c r="K341" s="20" t="s">
        <v>64</v>
      </c>
      <c r="L341" s="20" t="s">
        <v>22</v>
      </c>
      <c r="M341" s="20" t="s">
        <v>74</v>
      </c>
      <c r="N341" s="21">
        <v>340</v>
      </c>
      <c r="O341" s="29">
        <v>45762</v>
      </c>
      <c r="P341" s="29">
        <v>45765</v>
      </c>
      <c r="Q341" s="29">
        <v>45770</v>
      </c>
      <c r="R341" s="29">
        <v>45776</v>
      </c>
      <c r="S341" s="23">
        <f t="shared" si="21"/>
        <v>105</v>
      </c>
      <c r="T341" s="23">
        <f t="shared" si="22"/>
        <v>108</v>
      </c>
      <c r="U341" s="23">
        <f t="shared" si="24"/>
        <v>113</v>
      </c>
      <c r="V341" s="23">
        <f t="shared" si="23"/>
        <v>119</v>
      </c>
      <c r="W341" s="20" t="s">
        <v>19</v>
      </c>
      <c r="X341" s="20" t="s">
        <v>20</v>
      </c>
      <c r="Y341" s="20" t="s">
        <v>64</v>
      </c>
      <c r="Z341" s="20" t="s">
        <v>22</v>
      </c>
      <c r="AA341" s="20" t="s">
        <v>234</v>
      </c>
      <c r="AB341" s="20" t="s">
        <v>167</v>
      </c>
      <c r="AC341" s="20" t="s">
        <v>42</v>
      </c>
      <c r="AD341" s="20"/>
      <c r="AE341" s="2">
        <v>0</v>
      </c>
      <c r="AF341" s="2"/>
    </row>
    <row r="342" spans="1:32" x14ac:dyDescent="0.2">
      <c r="A342" s="20" t="s">
        <v>234</v>
      </c>
      <c r="B342" s="20" t="s">
        <v>167</v>
      </c>
      <c r="C342" s="20" t="s">
        <v>42</v>
      </c>
      <c r="D342" s="18" t="s">
        <v>1090</v>
      </c>
      <c r="E342" s="20" t="s">
        <v>17</v>
      </c>
      <c r="F342" s="20">
        <v>3</v>
      </c>
      <c r="G342" s="20" t="s">
        <v>383</v>
      </c>
      <c r="H342" s="20" t="s">
        <v>19</v>
      </c>
      <c r="I342" s="20" t="s">
        <v>20</v>
      </c>
      <c r="J342" s="19" t="s">
        <v>1095</v>
      </c>
      <c r="K342" s="20" t="s">
        <v>64</v>
      </c>
      <c r="L342" s="20" t="s">
        <v>22</v>
      </c>
      <c r="M342" s="20" t="s">
        <v>74</v>
      </c>
      <c r="N342" s="21">
        <v>341</v>
      </c>
      <c r="O342" s="29">
        <v>45762</v>
      </c>
      <c r="P342" s="29">
        <v>45770</v>
      </c>
      <c r="Q342" s="29">
        <v>45776</v>
      </c>
      <c r="R342" s="29">
        <v>45779</v>
      </c>
      <c r="S342" s="23">
        <f t="shared" si="21"/>
        <v>105</v>
      </c>
      <c r="T342" s="23">
        <f t="shared" si="22"/>
        <v>113</v>
      </c>
      <c r="U342" s="23">
        <f t="shared" si="24"/>
        <v>119</v>
      </c>
      <c r="V342" s="23">
        <f t="shared" si="23"/>
        <v>122</v>
      </c>
      <c r="W342" s="20" t="s">
        <v>19</v>
      </c>
      <c r="X342" s="20" t="s">
        <v>20</v>
      </c>
      <c r="Y342" s="20" t="s">
        <v>64</v>
      </c>
      <c r="Z342" s="20" t="s">
        <v>22</v>
      </c>
      <c r="AA342" s="20" t="s">
        <v>234</v>
      </c>
      <c r="AB342" s="20" t="s">
        <v>167</v>
      </c>
      <c r="AC342" s="20" t="s">
        <v>42</v>
      </c>
      <c r="AD342" s="20"/>
      <c r="AE342" s="2">
        <v>0</v>
      </c>
      <c r="AF342" s="2"/>
    </row>
    <row r="343" spans="1:32" x14ac:dyDescent="0.2">
      <c r="A343" s="20" t="s">
        <v>234</v>
      </c>
      <c r="B343" s="20" t="s">
        <v>167</v>
      </c>
      <c r="C343" s="20" t="s">
        <v>42</v>
      </c>
      <c r="D343" s="18" t="s">
        <v>1090</v>
      </c>
      <c r="E343" s="20" t="s">
        <v>24</v>
      </c>
      <c r="F343" s="20">
        <v>3</v>
      </c>
      <c r="G343" s="20" t="s">
        <v>384</v>
      </c>
      <c r="H343" s="20" t="s">
        <v>35</v>
      </c>
      <c r="I343" s="20" t="s">
        <v>20</v>
      </c>
      <c r="J343" s="19" t="s">
        <v>1096</v>
      </c>
      <c r="K343" s="20" t="s">
        <v>64</v>
      </c>
      <c r="L343" s="20" t="s">
        <v>22</v>
      </c>
      <c r="M343" s="20" t="s">
        <v>74</v>
      </c>
      <c r="N343" s="21">
        <v>342</v>
      </c>
      <c r="O343" s="29">
        <v>45751</v>
      </c>
      <c r="P343" s="29">
        <v>45762</v>
      </c>
      <c r="Q343" s="29">
        <v>45765</v>
      </c>
      <c r="R343" s="29">
        <v>45772</v>
      </c>
      <c r="S343" s="23">
        <f t="shared" si="21"/>
        <v>94</v>
      </c>
      <c r="T343" s="23">
        <f t="shared" si="22"/>
        <v>105</v>
      </c>
      <c r="U343" s="23">
        <f t="shared" si="24"/>
        <v>108</v>
      </c>
      <c r="V343" s="23">
        <f t="shared" si="23"/>
        <v>115</v>
      </c>
      <c r="W343" s="20" t="s">
        <v>35</v>
      </c>
      <c r="X343" s="20" t="s">
        <v>20</v>
      </c>
      <c r="Y343" s="20" t="s">
        <v>64</v>
      </c>
      <c r="Z343" s="20" t="s">
        <v>22</v>
      </c>
      <c r="AA343" s="20" t="s">
        <v>234</v>
      </c>
      <c r="AB343" s="20" t="s">
        <v>167</v>
      </c>
      <c r="AC343" s="20" t="s">
        <v>42</v>
      </c>
      <c r="AD343" s="20"/>
      <c r="AE343" s="2">
        <v>0</v>
      </c>
      <c r="AF343" s="2"/>
    </row>
    <row r="344" spans="1:32" x14ac:dyDescent="0.2">
      <c r="A344" s="20" t="s">
        <v>234</v>
      </c>
      <c r="B344" s="20" t="s">
        <v>167</v>
      </c>
      <c r="C344" s="20" t="s">
        <v>42</v>
      </c>
      <c r="D344" s="18" t="s">
        <v>1090</v>
      </c>
      <c r="E344" s="20" t="s">
        <v>17</v>
      </c>
      <c r="F344" s="20">
        <v>4</v>
      </c>
      <c r="G344" s="20" t="s">
        <v>385</v>
      </c>
      <c r="H344" s="20" t="s">
        <v>35</v>
      </c>
      <c r="I344" s="20" t="s">
        <v>20</v>
      </c>
      <c r="J344" s="19" t="s">
        <v>1097</v>
      </c>
      <c r="K344" s="20" t="s">
        <v>64</v>
      </c>
      <c r="L344" s="20" t="s">
        <v>22</v>
      </c>
      <c r="M344" s="20" t="s">
        <v>74</v>
      </c>
      <c r="N344" s="21">
        <v>343</v>
      </c>
      <c r="O344" s="29">
        <v>45751</v>
      </c>
      <c r="P344" s="29">
        <v>45758</v>
      </c>
      <c r="Q344" s="29">
        <v>45765</v>
      </c>
      <c r="R344" s="29">
        <v>45779</v>
      </c>
      <c r="S344" s="23">
        <f t="shared" si="21"/>
        <v>94</v>
      </c>
      <c r="T344" s="23">
        <f t="shared" si="22"/>
        <v>101</v>
      </c>
      <c r="U344" s="23">
        <f t="shared" si="24"/>
        <v>108</v>
      </c>
      <c r="V344" s="23">
        <f t="shared" si="23"/>
        <v>122</v>
      </c>
      <c r="W344" s="20" t="s">
        <v>35</v>
      </c>
      <c r="X344" s="20" t="s">
        <v>20</v>
      </c>
      <c r="Y344" s="20" t="s">
        <v>64</v>
      </c>
      <c r="Z344" s="20" t="s">
        <v>22</v>
      </c>
      <c r="AA344" s="20" t="s">
        <v>234</v>
      </c>
      <c r="AB344" s="20" t="s">
        <v>167</v>
      </c>
      <c r="AC344" s="20" t="s">
        <v>42</v>
      </c>
      <c r="AD344" s="20"/>
      <c r="AE344" s="2">
        <v>0</v>
      </c>
      <c r="AF344" s="2"/>
    </row>
    <row r="345" spans="1:32" x14ac:dyDescent="0.2">
      <c r="A345" s="20" t="s">
        <v>234</v>
      </c>
      <c r="B345" s="20" t="s">
        <v>167</v>
      </c>
      <c r="C345" s="20" t="s">
        <v>42</v>
      </c>
      <c r="D345" s="18" t="s">
        <v>1090</v>
      </c>
      <c r="E345" s="20" t="s">
        <v>24</v>
      </c>
      <c r="F345" s="20">
        <v>4</v>
      </c>
      <c r="G345" s="20" t="s">
        <v>386</v>
      </c>
      <c r="H345" s="20" t="s">
        <v>19</v>
      </c>
      <c r="I345" s="20" t="s">
        <v>20</v>
      </c>
      <c r="J345" s="19" t="s">
        <v>1098</v>
      </c>
      <c r="K345" s="20" t="s">
        <v>64</v>
      </c>
      <c r="L345" s="20" t="s">
        <v>22</v>
      </c>
      <c r="M345" s="20" t="s">
        <v>74</v>
      </c>
      <c r="N345" s="21">
        <v>344</v>
      </c>
      <c r="O345" s="29">
        <v>45762</v>
      </c>
      <c r="P345" s="29">
        <v>45770</v>
      </c>
      <c r="Q345" s="29">
        <v>45776</v>
      </c>
      <c r="R345" s="29">
        <v>45779</v>
      </c>
      <c r="S345" s="23">
        <f t="shared" si="21"/>
        <v>105</v>
      </c>
      <c r="T345" s="23">
        <f t="shared" si="22"/>
        <v>113</v>
      </c>
      <c r="U345" s="23">
        <f t="shared" si="24"/>
        <v>119</v>
      </c>
      <c r="V345" s="23">
        <f t="shared" si="23"/>
        <v>122</v>
      </c>
      <c r="W345" s="20" t="s">
        <v>19</v>
      </c>
      <c r="X345" s="20" t="s">
        <v>20</v>
      </c>
      <c r="Y345" s="20" t="s">
        <v>64</v>
      </c>
      <c r="Z345" s="20" t="s">
        <v>22</v>
      </c>
      <c r="AA345" s="20" t="s">
        <v>234</v>
      </c>
      <c r="AB345" s="20" t="s">
        <v>167</v>
      </c>
      <c r="AC345" s="20" t="s">
        <v>42</v>
      </c>
      <c r="AD345" s="20"/>
      <c r="AE345" s="2">
        <v>0</v>
      </c>
      <c r="AF345" s="2"/>
    </row>
    <row r="346" spans="1:32" x14ac:dyDescent="0.2">
      <c r="A346" s="14" t="s">
        <v>234</v>
      </c>
      <c r="B346" s="14" t="s">
        <v>167</v>
      </c>
      <c r="C346" s="14" t="s">
        <v>53</v>
      </c>
      <c r="D346" s="14" t="s">
        <v>1099</v>
      </c>
      <c r="E346" s="14" t="s">
        <v>17</v>
      </c>
      <c r="F346" s="14">
        <v>1</v>
      </c>
      <c r="G346" s="14" t="s">
        <v>387</v>
      </c>
      <c r="H346" s="14" t="s">
        <v>19</v>
      </c>
      <c r="I346" s="14" t="s">
        <v>20</v>
      </c>
      <c r="J346" s="13" t="s">
        <v>1100</v>
      </c>
      <c r="K346" s="14" t="s">
        <v>64</v>
      </c>
      <c r="L346" s="14" t="s">
        <v>44</v>
      </c>
      <c r="M346" s="14" t="s">
        <v>65</v>
      </c>
      <c r="N346" s="13">
        <v>345</v>
      </c>
      <c r="O346" s="30">
        <v>45758</v>
      </c>
      <c r="P346" s="30">
        <v>45762</v>
      </c>
      <c r="Q346" s="30">
        <v>45765</v>
      </c>
      <c r="R346" s="30">
        <v>45770</v>
      </c>
      <c r="S346" s="23">
        <f t="shared" si="21"/>
        <v>101</v>
      </c>
      <c r="T346" s="23">
        <f t="shared" si="22"/>
        <v>105</v>
      </c>
      <c r="U346" s="23">
        <f t="shared" si="24"/>
        <v>108</v>
      </c>
      <c r="V346" s="23">
        <f t="shared" si="23"/>
        <v>113</v>
      </c>
      <c r="W346" s="14" t="s">
        <v>19</v>
      </c>
      <c r="X346" s="14" t="s">
        <v>20</v>
      </c>
      <c r="Y346" s="14" t="s">
        <v>64</v>
      </c>
      <c r="Z346" s="14" t="s">
        <v>44</v>
      </c>
      <c r="AA346" s="14" t="s">
        <v>234</v>
      </c>
      <c r="AB346" s="14" t="s">
        <v>167</v>
      </c>
      <c r="AC346" s="14" t="s">
        <v>53</v>
      </c>
      <c r="AD346" s="14"/>
      <c r="AE346" s="1">
        <v>0</v>
      </c>
      <c r="AF346" s="1"/>
    </row>
    <row r="347" spans="1:32" x14ac:dyDescent="0.2">
      <c r="A347" s="14" t="s">
        <v>234</v>
      </c>
      <c r="B347" s="14" t="s">
        <v>167</v>
      </c>
      <c r="C347" s="14" t="s">
        <v>53</v>
      </c>
      <c r="D347" s="14" t="s">
        <v>1099</v>
      </c>
      <c r="E347" s="14" t="s">
        <v>24</v>
      </c>
      <c r="F347" s="14">
        <v>1</v>
      </c>
      <c r="G347" s="14" t="s">
        <v>388</v>
      </c>
      <c r="H347" s="14" t="s">
        <v>19</v>
      </c>
      <c r="I347" s="14" t="s">
        <v>20</v>
      </c>
      <c r="J347" s="13" t="s">
        <v>1101</v>
      </c>
      <c r="K347" s="14" t="s">
        <v>64</v>
      </c>
      <c r="L347" s="14" t="s">
        <v>44</v>
      </c>
      <c r="M347" s="14" t="s">
        <v>65</v>
      </c>
      <c r="N347" s="13">
        <v>346</v>
      </c>
      <c r="O347" s="30">
        <v>45762</v>
      </c>
      <c r="P347" s="30">
        <v>45770</v>
      </c>
      <c r="Q347" s="30">
        <v>45772</v>
      </c>
      <c r="R347" s="30">
        <v>45776</v>
      </c>
      <c r="S347" s="23">
        <f t="shared" si="21"/>
        <v>105</v>
      </c>
      <c r="T347" s="23">
        <f t="shared" si="22"/>
        <v>113</v>
      </c>
      <c r="U347" s="23">
        <f t="shared" si="24"/>
        <v>115</v>
      </c>
      <c r="V347" s="23">
        <f t="shared" si="23"/>
        <v>119</v>
      </c>
      <c r="W347" s="14" t="s">
        <v>19</v>
      </c>
      <c r="X347" s="14" t="s">
        <v>20</v>
      </c>
      <c r="Y347" s="14" t="s">
        <v>64</v>
      </c>
      <c r="Z347" s="14" t="s">
        <v>44</v>
      </c>
      <c r="AA347" s="14" t="s">
        <v>234</v>
      </c>
      <c r="AB347" s="14" t="s">
        <v>167</v>
      </c>
      <c r="AC347" s="14" t="s">
        <v>53</v>
      </c>
      <c r="AD347" s="14"/>
      <c r="AE347" s="1">
        <v>0</v>
      </c>
      <c r="AF347" s="1"/>
    </row>
    <row r="348" spans="1:32" x14ac:dyDescent="0.2">
      <c r="A348" s="14" t="s">
        <v>234</v>
      </c>
      <c r="B348" s="14" t="s">
        <v>167</v>
      </c>
      <c r="C348" s="14" t="s">
        <v>53</v>
      </c>
      <c r="D348" s="14" t="s">
        <v>1099</v>
      </c>
      <c r="E348" s="14" t="s">
        <v>17</v>
      </c>
      <c r="F348" s="14">
        <v>2</v>
      </c>
      <c r="G348" s="14" t="s">
        <v>389</v>
      </c>
      <c r="H348" s="14" t="s">
        <v>19</v>
      </c>
      <c r="I348" s="14" t="s">
        <v>20</v>
      </c>
      <c r="J348" s="13" t="s">
        <v>1102</v>
      </c>
      <c r="K348" s="14" t="s">
        <v>64</v>
      </c>
      <c r="L348" s="14" t="s">
        <v>44</v>
      </c>
      <c r="M348" s="14" t="s">
        <v>65</v>
      </c>
      <c r="N348" s="13">
        <v>347</v>
      </c>
      <c r="O348" s="30">
        <v>45762</v>
      </c>
      <c r="P348" s="30">
        <v>45765</v>
      </c>
      <c r="Q348" s="30">
        <v>45770</v>
      </c>
      <c r="R348" s="30">
        <v>45776</v>
      </c>
      <c r="S348" s="23">
        <f t="shared" si="21"/>
        <v>105</v>
      </c>
      <c r="T348" s="23">
        <f t="shared" si="22"/>
        <v>108</v>
      </c>
      <c r="U348" s="23">
        <f t="shared" si="24"/>
        <v>113</v>
      </c>
      <c r="V348" s="23">
        <f t="shared" si="23"/>
        <v>119</v>
      </c>
      <c r="W348" s="14" t="s">
        <v>19</v>
      </c>
      <c r="X348" s="14" t="s">
        <v>20</v>
      </c>
      <c r="Y348" s="14" t="s">
        <v>64</v>
      </c>
      <c r="Z348" s="14" t="s">
        <v>44</v>
      </c>
      <c r="AA348" s="14" t="s">
        <v>234</v>
      </c>
      <c r="AB348" s="14" t="s">
        <v>167</v>
      </c>
      <c r="AC348" s="14" t="s">
        <v>53</v>
      </c>
      <c r="AD348" s="14"/>
      <c r="AE348" s="1">
        <v>0</v>
      </c>
      <c r="AF348" s="1"/>
    </row>
    <row r="349" spans="1:32" x14ac:dyDescent="0.2">
      <c r="A349" s="14" t="s">
        <v>234</v>
      </c>
      <c r="B349" s="14" t="s">
        <v>167</v>
      </c>
      <c r="C349" s="14" t="s">
        <v>53</v>
      </c>
      <c r="D349" s="14" t="s">
        <v>1099</v>
      </c>
      <c r="E349" s="14" t="s">
        <v>24</v>
      </c>
      <c r="F349" s="14">
        <v>2</v>
      </c>
      <c r="G349" s="14" t="s">
        <v>390</v>
      </c>
      <c r="H349" s="14" t="s">
        <v>19</v>
      </c>
      <c r="I349" s="14" t="s">
        <v>20</v>
      </c>
      <c r="J349" s="13" t="s">
        <v>1103</v>
      </c>
      <c r="K349" s="14" t="s">
        <v>64</v>
      </c>
      <c r="L349" s="14" t="s">
        <v>44</v>
      </c>
      <c r="M349" s="14" t="s">
        <v>65</v>
      </c>
      <c r="N349" s="13">
        <v>348</v>
      </c>
      <c r="O349" s="30">
        <v>45762</v>
      </c>
      <c r="P349" s="30">
        <v>45770</v>
      </c>
      <c r="Q349" s="30">
        <v>45772</v>
      </c>
      <c r="R349" s="30">
        <v>45776</v>
      </c>
      <c r="S349" s="23">
        <f t="shared" si="21"/>
        <v>105</v>
      </c>
      <c r="T349" s="23">
        <f t="shared" si="22"/>
        <v>113</v>
      </c>
      <c r="U349" s="23">
        <f t="shared" si="24"/>
        <v>115</v>
      </c>
      <c r="V349" s="23">
        <f t="shared" si="23"/>
        <v>119</v>
      </c>
      <c r="W349" s="14" t="s">
        <v>19</v>
      </c>
      <c r="X349" s="14" t="s">
        <v>20</v>
      </c>
      <c r="Y349" s="14" t="s">
        <v>64</v>
      </c>
      <c r="Z349" s="14" t="s">
        <v>44</v>
      </c>
      <c r="AA349" s="14" t="s">
        <v>234</v>
      </c>
      <c r="AB349" s="14" t="s">
        <v>167</v>
      </c>
      <c r="AC349" s="14" t="s">
        <v>53</v>
      </c>
      <c r="AD349" s="14"/>
      <c r="AE349" s="1">
        <v>0</v>
      </c>
      <c r="AF349" s="1"/>
    </row>
    <row r="350" spans="1:32" x14ac:dyDescent="0.2">
      <c r="A350" s="14" t="s">
        <v>234</v>
      </c>
      <c r="B350" s="14" t="s">
        <v>167</v>
      </c>
      <c r="C350" s="14" t="s">
        <v>53</v>
      </c>
      <c r="D350" s="14" t="s">
        <v>1099</v>
      </c>
      <c r="E350" s="14" t="s">
        <v>17</v>
      </c>
      <c r="F350" s="14">
        <v>3</v>
      </c>
      <c r="G350" s="14" t="s">
        <v>391</v>
      </c>
      <c r="H350" s="14" t="s">
        <v>19</v>
      </c>
      <c r="I350" s="14" t="s">
        <v>20</v>
      </c>
      <c r="J350" s="13" t="s">
        <v>1104</v>
      </c>
      <c r="K350" s="14" t="s">
        <v>64</v>
      </c>
      <c r="L350" s="14" t="s">
        <v>44</v>
      </c>
      <c r="M350" s="14" t="s">
        <v>65</v>
      </c>
      <c r="N350" s="13">
        <v>349</v>
      </c>
      <c r="O350" s="30">
        <v>45762</v>
      </c>
      <c r="P350" s="30">
        <v>45765</v>
      </c>
      <c r="Q350" s="30">
        <v>45770</v>
      </c>
      <c r="R350" s="30">
        <v>45772</v>
      </c>
      <c r="S350" s="23">
        <f t="shared" si="21"/>
        <v>105</v>
      </c>
      <c r="T350" s="23">
        <f t="shared" si="22"/>
        <v>108</v>
      </c>
      <c r="U350" s="23">
        <f t="shared" si="24"/>
        <v>113</v>
      </c>
      <c r="V350" s="23">
        <f t="shared" si="23"/>
        <v>115</v>
      </c>
      <c r="W350" s="14" t="s">
        <v>19</v>
      </c>
      <c r="X350" s="14" t="s">
        <v>20</v>
      </c>
      <c r="Y350" s="14" t="s">
        <v>64</v>
      </c>
      <c r="Z350" s="14" t="s">
        <v>44</v>
      </c>
      <c r="AA350" s="14" t="s">
        <v>234</v>
      </c>
      <c r="AB350" s="14" t="s">
        <v>167</v>
      </c>
      <c r="AC350" s="14" t="s">
        <v>53</v>
      </c>
      <c r="AD350" s="14"/>
      <c r="AE350" s="1">
        <v>0</v>
      </c>
      <c r="AF350" s="1"/>
    </row>
    <row r="351" spans="1:32" x14ac:dyDescent="0.2">
      <c r="A351" s="14" t="s">
        <v>234</v>
      </c>
      <c r="B351" s="14" t="s">
        <v>167</v>
      </c>
      <c r="C351" s="14" t="s">
        <v>53</v>
      </c>
      <c r="D351" s="14" t="s">
        <v>1099</v>
      </c>
      <c r="E351" s="14" t="s">
        <v>24</v>
      </c>
      <c r="F351" s="14">
        <v>3</v>
      </c>
      <c r="G351" s="14" t="s">
        <v>392</v>
      </c>
      <c r="H351" s="14" t="s">
        <v>19</v>
      </c>
      <c r="I351" s="14" t="s">
        <v>20</v>
      </c>
      <c r="J351" s="13" t="s">
        <v>1105</v>
      </c>
      <c r="K351" s="14" t="s">
        <v>64</v>
      </c>
      <c r="L351" s="14" t="s">
        <v>44</v>
      </c>
      <c r="M351" s="14" t="s">
        <v>65</v>
      </c>
      <c r="N351" s="13">
        <v>350</v>
      </c>
      <c r="O351" s="30">
        <v>45762</v>
      </c>
      <c r="P351" s="30">
        <v>45765</v>
      </c>
      <c r="Q351" s="30">
        <v>45770</v>
      </c>
      <c r="R351" s="30">
        <v>45772</v>
      </c>
      <c r="S351" s="23">
        <f t="shared" si="21"/>
        <v>105</v>
      </c>
      <c r="T351" s="23">
        <f t="shared" si="22"/>
        <v>108</v>
      </c>
      <c r="U351" s="23">
        <f t="shared" si="24"/>
        <v>113</v>
      </c>
      <c r="V351" s="23">
        <f t="shared" si="23"/>
        <v>115</v>
      </c>
      <c r="W351" s="14" t="s">
        <v>19</v>
      </c>
      <c r="X351" s="14" t="s">
        <v>20</v>
      </c>
      <c r="Y351" s="14" t="s">
        <v>64</v>
      </c>
      <c r="Z351" s="14" t="s">
        <v>44</v>
      </c>
      <c r="AA351" s="14" t="s">
        <v>234</v>
      </c>
      <c r="AB351" s="14" t="s">
        <v>167</v>
      </c>
      <c r="AC351" s="14" t="s">
        <v>53</v>
      </c>
      <c r="AD351" s="14"/>
      <c r="AE351" s="1">
        <v>0</v>
      </c>
      <c r="AF351" s="1"/>
    </row>
    <row r="352" spans="1:32" x14ac:dyDescent="0.2">
      <c r="A352" s="14" t="s">
        <v>234</v>
      </c>
      <c r="B352" s="14" t="s">
        <v>167</v>
      </c>
      <c r="C352" s="14" t="s">
        <v>53</v>
      </c>
      <c r="D352" s="14" t="s">
        <v>1099</v>
      </c>
      <c r="E352" s="14" t="s">
        <v>17</v>
      </c>
      <c r="F352" s="14">
        <v>4</v>
      </c>
      <c r="G352" s="14" t="s">
        <v>393</v>
      </c>
      <c r="H352" s="14" t="s">
        <v>19</v>
      </c>
      <c r="I352" s="14" t="s">
        <v>20</v>
      </c>
      <c r="J352" s="13" t="s">
        <v>1106</v>
      </c>
      <c r="K352" s="14" t="s">
        <v>64</v>
      </c>
      <c r="L352" s="14" t="s">
        <v>44</v>
      </c>
      <c r="M352" s="14" t="s">
        <v>65</v>
      </c>
      <c r="N352" s="13">
        <v>351</v>
      </c>
      <c r="O352" s="30">
        <v>45762</v>
      </c>
      <c r="P352" s="30">
        <v>45770</v>
      </c>
      <c r="Q352" s="30">
        <v>45776</v>
      </c>
      <c r="R352" s="30">
        <v>45779</v>
      </c>
      <c r="S352" s="23">
        <f t="shared" si="21"/>
        <v>105</v>
      </c>
      <c r="T352" s="23">
        <f t="shared" si="22"/>
        <v>113</v>
      </c>
      <c r="U352" s="23">
        <f t="shared" si="24"/>
        <v>119</v>
      </c>
      <c r="V352" s="23">
        <f t="shared" si="23"/>
        <v>122</v>
      </c>
      <c r="W352" s="14" t="s">
        <v>19</v>
      </c>
      <c r="X352" s="14" t="s">
        <v>20</v>
      </c>
      <c r="Y352" s="14" t="s">
        <v>64</v>
      </c>
      <c r="Z352" s="14" t="s">
        <v>44</v>
      </c>
      <c r="AA352" s="14" t="s">
        <v>234</v>
      </c>
      <c r="AB352" s="14" t="s">
        <v>167</v>
      </c>
      <c r="AC352" s="14" t="s">
        <v>53</v>
      </c>
      <c r="AD352" s="14"/>
      <c r="AE352" s="1">
        <v>0</v>
      </c>
      <c r="AF352" s="1"/>
    </row>
    <row r="353" spans="1:32" x14ac:dyDescent="0.2">
      <c r="A353" s="14" t="s">
        <v>234</v>
      </c>
      <c r="B353" s="14" t="s">
        <v>167</v>
      </c>
      <c r="C353" s="14" t="s">
        <v>53</v>
      </c>
      <c r="D353" s="14" t="s">
        <v>1099</v>
      </c>
      <c r="E353" s="14" t="s">
        <v>24</v>
      </c>
      <c r="F353" s="14">
        <v>4</v>
      </c>
      <c r="G353" s="14" t="s">
        <v>392</v>
      </c>
      <c r="H353" s="14" t="s">
        <v>19</v>
      </c>
      <c r="I353" s="14" t="s">
        <v>20</v>
      </c>
      <c r="J353" s="13" t="s">
        <v>1107</v>
      </c>
      <c r="K353" s="14" t="s">
        <v>64</v>
      </c>
      <c r="L353" s="14" t="s">
        <v>44</v>
      </c>
      <c r="M353" s="14" t="s">
        <v>65</v>
      </c>
      <c r="N353" s="13">
        <v>352</v>
      </c>
      <c r="O353" s="30">
        <v>45762</v>
      </c>
      <c r="P353" s="30">
        <v>45765</v>
      </c>
      <c r="Q353" s="30">
        <v>45770</v>
      </c>
      <c r="R353" s="30">
        <v>45776</v>
      </c>
      <c r="S353" s="23">
        <f t="shared" si="21"/>
        <v>105</v>
      </c>
      <c r="T353" s="23">
        <f t="shared" si="22"/>
        <v>108</v>
      </c>
      <c r="U353" s="23">
        <f t="shared" si="24"/>
        <v>113</v>
      </c>
      <c r="V353" s="23">
        <f t="shared" si="23"/>
        <v>119</v>
      </c>
      <c r="W353" s="14" t="s">
        <v>19</v>
      </c>
      <c r="X353" s="14" t="s">
        <v>20</v>
      </c>
      <c r="Y353" s="14" t="s">
        <v>64</v>
      </c>
      <c r="Z353" s="14" t="s">
        <v>44</v>
      </c>
      <c r="AA353" s="14" t="s">
        <v>234</v>
      </c>
      <c r="AB353" s="14" t="s">
        <v>167</v>
      </c>
      <c r="AC353" s="14" t="s">
        <v>53</v>
      </c>
      <c r="AD353" s="14"/>
      <c r="AE353" s="1">
        <v>0</v>
      </c>
      <c r="AF353" s="1"/>
    </row>
    <row r="354" spans="1:32" x14ac:dyDescent="0.2">
      <c r="A354" s="20" t="s">
        <v>234</v>
      </c>
      <c r="B354" s="20" t="s">
        <v>200</v>
      </c>
      <c r="C354" s="20" t="s">
        <v>16</v>
      </c>
      <c r="D354" s="18" t="s">
        <v>1108</v>
      </c>
      <c r="E354" s="20" t="s">
        <v>17</v>
      </c>
      <c r="F354" s="20">
        <v>1</v>
      </c>
      <c r="G354" s="20" t="s">
        <v>394</v>
      </c>
      <c r="H354" s="20" t="s">
        <v>19</v>
      </c>
      <c r="I354" s="20" t="s">
        <v>20</v>
      </c>
      <c r="J354" s="19" t="s">
        <v>1109</v>
      </c>
      <c r="K354" s="20" t="s">
        <v>21</v>
      </c>
      <c r="L354" s="20" t="s">
        <v>44</v>
      </c>
      <c r="M354" s="20" t="s">
        <v>45</v>
      </c>
      <c r="N354" s="21">
        <v>353</v>
      </c>
      <c r="O354" s="29">
        <v>45762</v>
      </c>
      <c r="P354" s="2"/>
      <c r="Q354" s="29">
        <v>45770</v>
      </c>
      <c r="R354" s="29">
        <v>45776</v>
      </c>
      <c r="S354" s="23">
        <f t="shared" si="21"/>
        <v>105</v>
      </c>
      <c r="T354" s="23">
        <f>(U354+S354)/2</f>
        <v>109</v>
      </c>
      <c r="U354" s="23">
        <f t="shared" si="24"/>
        <v>113</v>
      </c>
      <c r="V354" s="23">
        <f t="shared" si="23"/>
        <v>119</v>
      </c>
      <c r="W354" s="20" t="s">
        <v>19</v>
      </c>
      <c r="X354" s="20" t="s">
        <v>20</v>
      </c>
      <c r="Y354" s="20" t="s">
        <v>21</v>
      </c>
      <c r="Z354" s="20" t="s">
        <v>44</v>
      </c>
      <c r="AA354" s="20" t="s">
        <v>234</v>
      </c>
      <c r="AB354" s="20" t="s">
        <v>200</v>
      </c>
      <c r="AC354" s="20" t="s">
        <v>16</v>
      </c>
      <c r="AD354" s="20"/>
      <c r="AE354" s="2">
        <v>0</v>
      </c>
      <c r="AF354" s="2"/>
    </row>
    <row r="355" spans="1:32" x14ac:dyDescent="0.2">
      <c r="A355" s="20" t="s">
        <v>234</v>
      </c>
      <c r="B355" s="20" t="s">
        <v>200</v>
      </c>
      <c r="C355" s="20" t="s">
        <v>16</v>
      </c>
      <c r="D355" s="18" t="s">
        <v>1108</v>
      </c>
      <c r="E355" s="20" t="s">
        <v>24</v>
      </c>
      <c r="F355" s="20">
        <v>1</v>
      </c>
      <c r="G355" s="20" t="s">
        <v>395</v>
      </c>
      <c r="H355" s="20" t="s">
        <v>19</v>
      </c>
      <c r="I355" s="20" t="s">
        <v>20</v>
      </c>
      <c r="J355" s="19" t="s">
        <v>1110</v>
      </c>
      <c r="K355" s="20" t="s">
        <v>21</v>
      </c>
      <c r="L355" s="20" t="s">
        <v>44</v>
      </c>
      <c r="M355" s="20" t="s">
        <v>45</v>
      </c>
      <c r="N355" s="21">
        <v>354</v>
      </c>
      <c r="O355" s="29">
        <v>45755</v>
      </c>
      <c r="P355" s="29">
        <v>45762</v>
      </c>
      <c r="Q355" s="29">
        <v>45765</v>
      </c>
      <c r="R355" s="29">
        <v>45770</v>
      </c>
      <c r="S355" s="23">
        <f t="shared" si="21"/>
        <v>98</v>
      </c>
      <c r="T355" s="23">
        <f t="shared" si="22"/>
        <v>105</v>
      </c>
      <c r="U355" s="23">
        <f t="shared" si="24"/>
        <v>108</v>
      </c>
      <c r="V355" s="23">
        <f t="shared" si="23"/>
        <v>113</v>
      </c>
      <c r="W355" s="20" t="s">
        <v>19</v>
      </c>
      <c r="X355" s="20" t="s">
        <v>20</v>
      </c>
      <c r="Y355" s="20" t="s">
        <v>21</v>
      </c>
      <c r="Z355" s="20" t="s">
        <v>44</v>
      </c>
      <c r="AA355" s="20" t="s">
        <v>234</v>
      </c>
      <c r="AB355" s="20" t="s">
        <v>200</v>
      </c>
      <c r="AC355" s="20" t="s">
        <v>16</v>
      </c>
      <c r="AD355" s="20"/>
      <c r="AE355" s="2">
        <v>0</v>
      </c>
      <c r="AF355" s="2"/>
    </row>
    <row r="356" spans="1:32" x14ac:dyDescent="0.2">
      <c r="A356" s="20" t="s">
        <v>234</v>
      </c>
      <c r="B356" s="20" t="s">
        <v>200</v>
      </c>
      <c r="C356" s="20" t="s">
        <v>16</v>
      </c>
      <c r="D356" s="18" t="s">
        <v>1108</v>
      </c>
      <c r="E356" s="20" t="s">
        <v>17</v>
      </c>
      <c r="F356" s="20">
        <v>2</v>
      </c>
      <c r="G356" s="20" t="s">
        <v>396</v>
      </c>
      <c r="H356" s="20" t="s">
        <v>19</v>
      </c>
      <c r="I356" s="20" t="s">
        <v>20</v>
      </c>
      <c r="J356" s="19" t="s">
        <v>1111</v>
      </c>
      <c r="K356" s="20" t="s">
        <v>21</v>
      </c>
      <c r="L356" s="20" t="s">
        <v>44</v>
      </c>
      <c r="M356" s="20" t="s">
        <v>45</v>
      </c>
      <c r="N356" s="21">
        <v>355</v>
      </c>
      <c r="O356" s="29">
        <v>45762</v>
      </c>
      <c r="P356" s="2"/>
      <c r="Q356" s="29">
        <v>45770</v>
      </c>
      <c r="R356" s="29">
        <v>45776</v>
      </c>
      <c r="S356" s="23">
        <f t="shared" si="21"/>
        <v>105</v>
      </c>
      <c r="T356" s="23">
        <f>(U356+S356)/2</f>
        <v>109</v>
      </c>
      <c r="U356" s="23">
        <f t="shared" si="24"/>
        <v>113</v>
      </c>
      <c r="V356" s="23">
        <f t="shared" si="23"/>
        <v>119</v>
      </c>
      <c r="W356" s="20" t="s">
        <v>19</v>
      </c>
      <c r="X356" s="20" t="s">
        <v>20</v>
      </c>
      <c r="Y356" s="20" t="s">
        <v>21</v>
      </c>
      <c r="Z356" s="20" t="s">
        <v>44</v>
      </c>
      <c r="AA356" s="20" t="s">
        <v>234</v>
      </c>
      <c r="AB356" s="20" t="s">
        <v>200</v>
      </c>
      <c r="AC356" s="20" t="s">
        <v>16</v>
      </c>
      <c r="AD356" s="20"/>
      <c r="AE356" s="2">
        <v>0</v>
      </c>
      <c r="AF356" s="2"/>
    </row>
    <row r="357" spans="1:32" x14ac:dyDescent="0.2">
      <c r="A357" s="20" t="s">
        <v>234</v>
      </c>
      <c r="B357" s="20" t="s">
        <v>200</v>
      </c>
      <c r="C357" s="20" t="s">
        <v>16</v>
      </c>
      <c r="D357" s="18" t="s">
        <v>1108</v>
      </c>
      <c r="E357" s="20" t="s">
        <v>24</v>
      </c>
      <c r="F357" s="20">
        <v>2</v>
      </c>
      <c r="G357" s="20" t="s">
        <v>397</v>
      </c>
      <c r="H357" s="20" t="s">
        <v>19</v>
      </c>
      <c r="I357" s="20" t="s">
        <v>20</v>
      </c>
      <c r="J357" s="19" t="s">
        <v>1112</v>
      </c>
      <c r="K357" s="20" t="s">
        <v>21</v>
      </c>
      <c r="L357" s="20" t="s">
        <v>44</v>
      </c>
      <c r="M357" s="20" t="s">
        <v>45</v>
      </c>
      <c r="N357" s="21">
        <v>356</v>
      </c>
      <c r="O357" s="29">
        <v>45770</v>
      </c>
      <c r="P357" s="29">
        <v>45772</v>
      </c>
      <c r="Q357" s="29">
        <v>45779</v>
      </c>
      <c r="R357" s="29">
        <v>45783</v>
      </c>
      <c r="S357" s="23">
        <f t="shared" si="21"/>
        <v>113</v>
      </c>
      <c r="T357" s="23">
        <f t="shared" si="22"/>
        <v>115</v>
      </c>
      <c r="U357" s="23">
        <f t="shared" si="24"/>
        <v>122</v>
      </c>
      <c r="V357" s="23">
        <f t="shared" si="23"/>
        <v>126</v>
      </c>
      <c r="W357" s="20" t="s">
        <v>19</v>
      </c>
      <c r="X357" s="20" t="s">
        <v>20</v>
      </c>
      <c r="Y357" s="20" t="s">
        <v>21</v>
      </c>
      <c r="Z357" s="20" t="s">
        <v>44</v>
      </c>
      <c r="AA357" s="20" t="s">
        <v>234</v>
      </c>
      <c r="AB357" s="20" t="s">
        <v>200</v>
      </c>
      <c r="AC357" s="20" t="s">
        <v>16</v>
      </c>
      <c r="AD357" s="20"/>
      <c r="AE357" s="2">
        <v>0</v>
      </c>
      <c r="AF357" s="2"/>
    </row>
    <row r="358" spans="1:32" x14ac:dyDescent="0.2">
      <c r="A358" s="20" t="s">
        <v>234</v>
      </c>
      <c r="B358" s="20" t="s">
        <v>200</v>
      </c>
      <c r="C358" s="20" t="s">
        <v>16</v>
      </c>
      <c r="D358" s="18" t="s">
        <v>1108</v>
      </c>
      <c r="E358" s="20" t="s">
        <v>17</v>
      </c>
      <c r="F358" s="20">
        <v>3</v>
      </c>
      <c r="G358" s="20" t="s">
        <v>398</v>
      </c>
      <c r="H358" s="20" t="s">
        <v>19</v>
      </c>
      <c r="I358" s="20" t="s">
        <v>20</v>
      </c>
      <c r="J358" s="19" t="s">
        <v>1113</v>
      </c>
      <c r="K358" s="20" t="s">
        <v>21</v>
      </c>
      <c r="L358" s="20" t="s">
        <v>44</v>
      </c>
      <c r="M358" s="20" t="s">
        <v>45</v>
      </c>
      <c r="N358" s="21">
        <v>357</v>
      </c>
      <c r="O358" s="29">
        <v>45758</v>
      </c>
      <c r="P358" s="2"/>
      <c r="Q358" s="29">
        <v>45762</v>
      </c>
      <c r="R358" s="29">
        <v>45765</v>
      </c>
      <c r="S358" s="23">
        <f t="shared" si="21"/>
        <v>101</v>
      </c>
      <c r="T358" s="23">
        <f>(U358+S358)/2</f>
        <v>103</v>
      </c>
      <c r="U358" s="23">
        <f t="shared" si="24"/>
        <v>105</v>
      </c>
      <c r="V358" s="23">
        <f t="shared" si="23"/>
        <v>108</v>
      </c>
      <c r="W358" s="20" t="s">
        <v>19</v>
      </c>
      <c r="X358" s="20" t="s">
        <v>20</v>
      </c>
      <c r="Y358" s="20" t="s">
        <v>21</v>
      </c>
      <c r="Z358" s="20" t="s">
        <v>44</v>
      </c>
      <c r="AA358" s="20" t="s">
        <v>234</v>
      </c>
      <c r="AB358" s="20" t="s">
        <v>200</v>
      </c>
      <c r="AC358" s="20" t="s">
        <v>16</v>
      </c>
      <c r="AD358" s="20"/>
      <c r="AE358" s="2">
        <v>0</v>
      </c>
      <c r="AF358" s="2"/>
    </row>
    <row r="359" spans="1:32" x14ac:dyDescent="0.2">
      <c r="A359" s="20" t="s">
        <v>234</v>
      </c>
      <c r="B359" s="20" t="s">
        <v>200</v>
      </c>
      <c r="C359" s="20" t="s">
        <v>16</v>
      </c>
      <c r="D359" s="18" t="s">
        <v>1108</v>
      </c>
      <c r="E359" s="20" t="s">
        <v>24</v>
      </c>
      <c r="F359" s="20">
        <v>3</v>
      </c>
      <c r="G359" s="20" t="s">
        <v>399</v>
      </c>
      <c r="H359" s="20" t="s">
        <v>19</v>
      </c>
      <c r="I359" s="20" t="s">
        <v>20</v>
      </c>
      <c r="J359" s="19" t="s">
        <v>1114</v>
      </c>
      <c r="K359" s="20" t="s">
        <v>21</v>
      </c>
      <c r="L359" s="20" t="s">
        <v>44</v>
      </c>
      <c r="M359" s="20" t="s">
        <v>45</v>
      </c>
      <c r="N359" s="21">
        <v>358</v>
      </c>
      <c r="O359" s="29">
        <v>45772</v>
      </c>
      <c r="P359" s="29">
        <v>45776</v>
      </c>
      <c r="Q359" s="2"/>
      <c r="R359" s="29">
        <v>45779</v>
      </c>
      <c r="S359" s="23">
        <f t="shared" si="21"/>
        <v>115</v>
      </c>
      <c r="T359" s="23">
        <f t="shared" si="22"/>
        <v>119</v>
      </c>
      <c r="U359" s="23">
        <f>(V359+T359)/2</f>
        <v>120.5</v>
      </c>
      <c r="V359" s="23">
        <f t="shared" si="23"/>
        <v>122</v>
      </c>
      <c r="W359" s="20" t="s">
        <v>19</v>
      </c>
      <c r="X359" s="20" t="s">
        <v>20</v>
      </c>
      <c r="Y359" s="20" t="s">
        <v>21</v>
      </c>
      <c r="Z359" s="20" t="s">
        <v>44</v>
      </c>
      <c r="AA359" s="20" t="s">
        <v>234</v>
      </c>
      <c r="AB359" s="20" t="s">
        <v>200</v>
      </c>
      <c r="AC359" s="20" t="s">
        <v>16</v>
      </c>
      <c r="AD359" s="20"/>
      <c r="AE359" s="2">
        <v>0</v>
      </c>
      <c r="AF359" s="2"/>
    </row>
    <row r="360" spans="1:32" x14ac:dyDescent="0.2">
      <c r="A360" s="20" t="s">
        <v>234</v>
      </c>
      <c r="B360" s="20" t="s">
        <v>200</v>
      </c>
      <c r="C360" s="20" t="s">
        <v>16</v>
      </c>
      <c r="D360" s="18" t="s">
        <v>1108</v>
      </c>
      <c r="E360" s="20" t="s">
        <v>17</v>
      </c>
      <c r="F360" s="20">
        <v>4</v>
      </c>
      <c r="G360" s="20" t="s">
        <v>400</v>
      </c>
      <c r="H360" s="20" t="s">
        <v>19</v>
      </c>
      <c r="I360" s="20" t="s">
        <v>20</v>
      </c>
      <c r="J360" s="19" t="s">
        <v>1115</v>
      </c>
      <c r="K360" s="20" t="s">
        <v>21</v>
      </c>
      <c r="L360" s="20" t="s">
        <v>44</v>
      </c>
      <c r="M360" s="20" t="s">
        <v>45</v>
      </c>
      <c r="N360" s="21">
        <v>359</v>
      </c>
      <c r="O360" s="29">
        <v>45762</v>
      </c>
      <c r="P360" s="29">
        <v>45765</v>
      </c>
      <c r="Q360" s="29">
        <v>45770</v>
      </c>
      <c r="R360" s="29">
        <v>45776</v>
      </c>
      <c r="S360" s="23">
        <f t="shared" si="21"/>
        <v>105</v>
      </c>
      <c r="T360" s="23">
        <f t="shared" si="22"/>
        <v>108</v>
      </c>
      <c r="U360" s="23">
        <f t="shared" si="24"/>
        <v>113</v>
      </c>
      <c r="V360" s="23">
        <f t="shared" si="23"/>
        <v>119</v>
      </c>
      <c r="W360" s="20" t="s">
        <v>19</v>
      </c>
      <c r="X360" s="20" t="s">
        <v>20</v>
      </c>
      <c r="Y360" s="20" t="s">
        <v>21</v>
      </c>
      <c r="Z360" s="20" t="s">
        <v>44</v>
      </c>
      <c r="AA360" s="20" t="s">
        <v>234</v>
      </c>
      <c r="AB360" s="20" t="s">
        <v>200</v>
      </c>
      <c r="AC360" s="20" t="s">
        <v>16</v>
      </c>
      <c r="AD360" s="20"/>
      <c r="AE360" s="2">
        <v>0</v>
      </c>
      <c r="AF360" s="2"/>
    </row>
    <row r="361" spans="1:32" x14ac:dyDescent="0.2">
      <c r="A361" s="20" t="s">
        <v>234</v>
      </c>
      <c r="B361" s="20" t="s">
        <v>200</v>
      </c>
      <c r="C361" s="20" t="s">
        <v>16</v>
      </c>
      <c r="D361" s="18" t="s">
        <v>1108</v>
      </c>
      <c r="E361" s="20" t="s">
        <v>24</v>
      </c>
      <c r="F361" s="20">
        <v>4</v>
      </c>
      <c r="G361" s="20" t="s">
        <v>401</v>
      </c>
      <c r="H361" s="20" t="s">
        <v>19</v>
      </c>
      <c r="I361" s="20" t="s">
        <v>20</v>
      </c>
      <c r="J361" s="19" t="s">
        <v>1116</v>
      </c>
      <c r="K361" s="20" t="s">
        <v>21</v>
      </c>
      <c r="L361" s="20" t="s">
        <v>44</v>
      </c>
      <c r="M361" s="20" t="s">
        <v>45</v>
      </c>
      <c r="N361" s="21">
        <v>360</v>
      </c>
      <c r="O361" s="29">
        <v>45762</v>
      </c>
      <c r="P361" s="29">
        <v>45765</v>
      </c>
      <c r="Q361" s="29">
        <v>45770</v>
      </c>
      <c r="R361" s="29">
        <v>45772</v>
      </c>
      <c r="S361" s="23">
        <f t="shared" si="21"/>
        <v>105</v>
      </c>
      <c r="T361" s="23">
        <f t="shared" si="22"/>
        <v>108</v>
      </c>
      <c r="U361" s="23">
        <f t="shared" si="24"/>
        <v>113</v>
      </c>
      <c r="V361" s="23">
        <f t="shared" si="23"/>
        <v>115</v>
      </c>
      <c r="W361" s="20" t="s">
        <v>19</v>
      </c>
      <c r="X361" s="20" t="s">
        <v>20</v>
      </c>
      <c r="Y361" s="20" t="s">
        <v>21</v>
      </c>
      <c r="Z361" s="20" t="s">
        <v>44</v>
      </c>
      <c r="AA361" s="20" t="s">
        <v>234</v>
      </c>
      <c r="AB361" s="20" t="s">
        <v>200</v>
      </c>
      <c r="AC361" s="20" t="s">
        <v>16</v>
      </c>
      <c r="AD361" s="20"/>
      <c r="AE361" s="2">
        <v>0</v>
      </c>
      <c r="AF361" s="2"/>
    </row>
    <row r="362" spans="1:32" x14ac:dyDescent="0.2">
      <c r="A362" s="14" t="s">
        <v>234</v>
      </c>
      <c r="B362" s="14" t="s">
        <v>200</v>
      </c>
      <c r="C362" s="14" t="s">
        <v>32</v>
      </c>
      <c r="D362" s="14" t="s">
        <v>1117</v>
      </c>
      <c r="E362" s="14" t="s">
        <v>17</v>
      </c>
      <c r="F362" s="14">
        <v>1</v>
      </c>
      <c r="G362" s="14" t="s">
        <v>402</v>
      </c>
      <c r="H362" s="14" t="s">
        <v>19</v>
      </c>
      <c r="I362" s="14" t="s">
        <v>20</v>
      </c>
      <c r="J362" s="13" t="s">
        <v>1118</v>
      </c>
      <c r="K362" s="14" t="s">
        <v>21</v>
      </c>
      <c r="L362" s="14" t="s">
        <v>22</v>
      </c>
      <c r="M362" s="14" t="s">
        <v>23</v>
      </c>
      <c r="N362" s="13">
        <v>361</v>
      </c>
      <c r="O362" s="30">
        <v>45762</v>
      </c>
      <c r="P362" s="30">
        <v>45770</v>
      </c>
      <c r="Q362" s="30">
        <v>45776</v>
      </c>
      <c r="R362" s="30">
        <v>45779</v>
      </c>
      <c r="S362" s="23">
        <f t="shared" si="21"/>
        <v>105</v>
      </c>
      <c r="T362" s="23">
        <f t="shared" si="22"/>
        <v>113</v>
      </c>
      <c r="U362" s="23">
        <f t="shared" si="24"/>
        <v>119</v>
      </c>
      <c r="V362" s="23">
        <f t="shared" si="23"/>
        <v>122</v>
      </c>
      <c r="W362" s="14" t="s">
        <v>19</v>
      </c>
      <c r="X362" s="14" t="s">
        <v>20</v>
      </c>
      <c r="Y362" s="14" t="s">
        <v>21</v>
      </c>
      <c r="Z362" s="14" t="s">
        <v>22</v>
      </c>
      <c r="AA362" s="14" t="s">
        <v>234</v>
      </c>
      <c r="AB362" s="14" t="s">
        <v>200</v>
      </c>
      <c r="AC362" s="14" t="s">
        <v>32</v>
      </c>
      <c r="AD362" s="14"/>
      <c r="AE362" s="1">
        <v>0</v>
      </c>
      <c r="AF362" s="1"/>
    </row>
    <row r="363" spans="1:32" x14ac:dyDescent="0.2">
      <c r="A363" s="14" t="s">
        <v>234</v>
      </c>
      <c r="B363" s="14" t="s">
        <v>200</v>
      </c>
      <c r="C363" s="14" t="s">
        <v>32</v>
      </c>
      <c r="D363" s="14" t="s">
        <v>1117</v>
      </c>
      <c r="E363" s="14" t="s">
        <v>24</v>
      </c>
      <c r="F363" s="14">
        <v>1</v>
      </c>
      <c r="G363" s="14" t="s">
        <v>403</v>
      </c>
      <c r="H363" s="14" t="s">
        <v>35</v>
      </c>
      <c r="I363" s="14" t="s">
        <v>20</v>
      </c>
      <c r="J363" s="13" t="s">
        <v>1119</v>
      </c>
      <c r="K363" s="14" t="s">
        <v>21</v>
      </c>
      <c r="L363" s="14" t="s">
        <v>22</v>
      </c>
      <c r="M363" s="14" t="s">
        <v>23</v>
      </c>
      <c r="N363" s="13">
        <v>362</v>
      </c>
      <c r="O363" s="30">
        <v>45762</v>
      </c>
      <c r="P363" s="30">
        <v>45770</v>
      </c>
      <c r="Q363" s="30">
        <v>45776</v>
      </c>
      <c r="R363" s="30">
        <v>45779</v>
      </c>
      <c r="S363" s="23">
        <f t="shared" si="21"/>
        <v>105</v>
      </c>
      <c r="T363" s="23">
        <f t="shared" si="22"/>
        <v>113</v>
      </c>
      <c r="U363" s="23">
        <f t="shared" si="24"/>
        <v>119</v>
      </c>
      <c r="V363" s="23">
        <f t="shared" si="23"/>
        <v>122</v>
      </c>
      <c r="W363" s="14" t="s">
        <v>35</v>
      </c>
      <c r="X363" s="14" t="s">
        <v>20</v>
      </c>
      <c r="Y363" s="14" t="s">
        <v>21</v>
      </c>
      <c r="Z363" s="14" t="s">
        <v>22</v>
      </c>
      <c r="AA363" s="14" t="s">
        <v>234</v>
      </c>
      <c r="AB363" s="14" t="s">
        <v>200</v>
      </c>
      <c r="AC363" s="14" t="s">
        <v>32</v>
      </c>
      <c r="AD363" s="14"/>
      <c r="AE363" s="1">
        <v>0</v>
      </c>
      <c r="AF363" s="1"/>
    </row>
    <row r="364" spans="1:32" x14ac:dyDescent="0.2">
      <c r="A364" s="14" t="s">
        <v>234</v>
      </c>
      <c r="B364" s="14" t="s">
        <v>200</v>
      </c>
      <c r="C364" s="14" t="s">
        <v>32</v>
      </c>
      <c r="D364" s="14" t="s">
        <v>1117</v>
      </c>
      <c r="E364" s="14" t="s">
        <v>17</v>
      </c>
      <c r="F364" s="14">
        <v>2</v>
      </c>
      <c r="G364" s="14" t="s">
        <v>404</v>
      </c>
      <c r="H364" s="14" t="s">
        <v>35</v>
      </c>
      <c r="I364" s="14" t="s">
        <v>20</v>
      </c>
      <c r="J364" s="13" t="s">
        <v>1120</v>
      </c>
      <c r="K364" s="14" t="s">
        <v>21</v>
      </c>
      <c r="L364" s="14" t="s">
        <v>22</v>
      </c>
      <c r="M364" s="14" t="s">
        <v>23</v>
      </c>
      <c r="N364" s="13">
        <v>363</v>
      </c>
      <c r="O364" s="30">
        <v>45755</v>
      </c>
      <c r="P364" s="30">
        <v>45770</v>
      </c>
      <c r="Q364" s="30">
        <v>45776</v>
      </c>
      <c r="R364" s="30">
        <v>45779</v>
      </c>
      <c r="S364" s="23">
        <f t="shared" si="21"/>
        <v>98</v>
      </c>
      <c r="T364" s="23">
        <f t="shared" si="22"/>
        <v>113</v>
      </c>
      <c r="U364" s="23">
        <f t="shared" si="24"/>
        <v>119</v>
      </c>
      <c r="V364" s="23">
        <f t="shared" si="23"/>
        <v>122</v>
      </c>
      <c r="W364" s="14" t="s">
        <v>35</v>
      </c>
      <c r="X364" s="14" t="s">
        <v>20</v>
      </c>
      <c r="Y364" s="14" t="s">
        <v>21</v>
      </c>
      <c r="Z364" s="14" t="s">
        <v>22</v>
      </c>
      <c r="AA364" s="14" t="s">
        <v>234</v>
      </c>
      <c r="AB364" s="14" t="s">
        <v>200</v>
      </c>
      <c r="AC364" s="14" t="s">
        <v>32</v>
      </c>
      <c r="AD364" s="14"/>
      <c r="AE364" s="1">
        <v>0</v>
      </c>
      <c r="AF364" s="1"/>
    </row>
    <row r="365" spans="1:32" x14ac:dyDescent="0.2">
      <c r="A365" s="14" t="s">
        <v>234</v>
      </c>
      <c r="B365" s="14" t="s">
        <v>200</v>
      </c>
      <c r="C365" s="14" t="s">
        <v>32</v>
      </c>
      <c r="D365" s="14" t="s">
        <v>1117</v>
      </c>
      <c r="E365" s="14" t="s">
        <v>24</v>
      </c>
      <c r="F365" s="14">
        <v>2</v>
      </c>
      <c r="G365" s="14" t="s">
        <v>405</v>
      </c>
      <c r="H365" s="14" t="s">
        <v>19</v>
      </c>
      <c r="I365" s="14" t="s">
        <v>20</v>
      </c>
      <c r="J365" s="13" t="s">
        <v>1121</v>
      </c>
      <c r="K365" s="14" t="s">
        <v>21</v>
      </c>
      <c r="L365" s="14" t="s">
        <v>22</v>
      </c>
      <c r="M365" s="14" t="s">
        <v>23</v>
      </c>
      <c r="N365" s="13">
        <v>364</v>
      </c>
      <c r="O365" s="30">
        <v>45772</v>
      </c>
      <c r="P365" s="30">
        <v>45776</v>
      </c>
      <c r="Q365" s="30">
        <v>45779</v>
      </c>
      <c r="R365" s="30">
        <v>45783</v>
      </c>
      <c r="S365" s="23">
        <f t="shared" si="21"/>
        <v>115</v>
      </c>
      <c r="T365" s="23">
        <f t="shared" si="22"/>
        <v>119</v>
      </c>
      <c r="U365" s="23">
        <f t="shared" si="24"/>
        <v>122</v>
      </c>
      <c r="V365" s="23">
        <f t="shared" si="23"/>
        <v>126</v>
      </c>
      <c r="W365" s="14" t="s">
        <v>19</v>
      </c>
      <c r="X365" s="14" t="s">
        <v>20</v>
      </c>
      <c r="Y365" s="14" t="s">
        <v>21</v>
      </c>
      <c r="Z365" s="14" t="s">
        <v>22</v>
      </c>
      <c r="AA365" s="14" t="s">
        <v>234</v>
      </c>
      <c r="AB365" s="14" t="s">
        <v>200</v>
      </c>
      <c r="AC365" s="14" t="s">
        <v>32</v>
      </c>
      <c r="AD365" s="14"/>
      <c r="AE365" s="1">
        <v>0</v>
      </c>
      <c r="AF365" s="1"/>
    </row>
    <row r="366" spans="1:32" x14ac:dyDescent="0.2">
      <c r="A366" s="14" t="s">
        <v>234</v>
      </c>
      <c r="B366" s="14" t="s">
        <v>200</v>
      </c>
      <c r="C366" s="14" t="s">
        <v>32</v>
      </c>
      <c r="D366" s="14" t="s">
        <v>1117</v>
      </c>
      <c r="E366" s="14" t="s">
        <v>17</v>
      </c>
      <c r="F366" s="14">
        <v>3</v>
      </c>
      <c r="G366" s="14" t="s">
        <v>406</v>
      </c>
      <c r="H366" s="14" t="s">
        <v>19</v>
      </c>
      <c r="I366" s="14" t="s">
        <v>20</v>
      </c>
      <c r="J366" s="13" t="s">
        <v>1122</v>
      </c>
      <c r="K366" s="14" t="s">
        <v>21</v>
      </c>
      <c r="L366" s="14" t="s">
        <v>22</v>
      </c>
      <c r="M366" s="14" t="s">
        <v>23</v>
      </c>
      <c r="N366" s="13">
        <v>365</v>
      </c>
      <c r="O366" s="30">
        <v>45758</v>
      </c>
      <c r="P366" s="30">
        <v>45762</v>
      </c>
      <c r="Q366" s="30">
        <v>45765</v>
      </c>
      <c r="R366" s="30">
        <v>45770</v>
      </c>
      <c r="S366" s="23">
        <f t="shared" si="21"/>
        <v>101</v>
      </c>
      <c r="T366" s="23">
        <f t="shared" si="22"/>
        <v>105</v>
      </c>
      <c r="U366" s="23">
        <f t="shared" si="24"/>
        <v>108</v>
      </c>
      <c r="V366" s="23">
        <f t="shared" si="23"/>
        <v>113</v>
      </c>
      <c r="W366" s="14" t="s">
        <v>19</v>
      </c>
      <c r="X366" s="14" t="s">
        <v>20</v>
      </c>
      <c r="Y366" s="14" t="s">
        <v>21</v>
      </c>
      <c r="Z366" s="14" t="s">
        <v>22</v>
      </c>
      <c r="AA366" s="14" t="s">
        <v>234</v>
      </c>
      <c r="AB366" s="14" t="s">
        <v>200</v>
      </c>
      <c r="AC366" s="14" t="s">
        <v>32</v>
      </c>
      <c r="AD366" s="14"/>
      <c r="AE366" s="1">
        <v>0</v>
      </c>
      <c r="AF366" s="1"/>
    </row>
    <row r="367" spans="1:32" x14ac:dyDescent="0.2">
      <c r="A367" s="14" t="s">
        <v>234</v>
      </c>
      <c r="B367" s="14" t="s">
        <v>200</v>
      </c>
      <c r="C367" s="14" t="s">
        <v>32</v>
      </c>
      <c r="D367" s="14" t="s">
        <v>1117</v>
      </c>
      <c r="E367" s="14" t="s">
        <v>24</v>
      </c>
      <c r="F367" s="14">
        <v>3</v>
      </c>
      <c r="G367" s="14" t="s">
        <v>407</v>
      </c>
      <c r="H367" s="14" t="s">
        <v>35</v>
      </c>
      <c r="I367" s="14" t="s">
        <v>20</v>
      </c>
      <c r="J367" s="13" t="s">
        <v>1123</v>
      </c>
      <c r="K367" s="14" t="s">
        <v>21</v>
      </c>
      <c r="L367" s="14" t="s">
        <v>22</v>
      </c>
      <c r="M367" s="14" t="s">
        <v>23</v>
      </c>
      <c r="N367" s="13">
        <v>366</v>
      </c>
      <c r="O367" s="30">
        <v>45765</v>
      </c>
      <c r="P367" s="30">
        <v>45770</v>
      </c>
      <c r="Q367" s="1"/>
      <c r="R367" s="30">
        <v>45779</v>
      </c>
      <c r="S367" s="23">
        <f t="shared" si="21"/>
        <v>108</v>
      </c>
      <c r="T367" s="23">
        <f t="shared" si="22"/>
        <v>113</v>
      </c>
      <c r="U367" s="23">
        <f>(V367+T367)/2</f>
        <v>117.5</v>
      </c>
      <c r="V367" s="23">
        <f t="shared" si="23"/>
        <v>122</v>
      </c>
      <c r="W367" s="14" t="s">
        <v>35</v>
      </c>
      <c r="X367" s="14" t="s">
        <v>20</v>
      </c>
      <c r="Y367" s="14" t="s">
        <v>21</v>
      </c>
      <c r="Z367" s="14" t="s">
        <v>22</v>
      </c>
      <c r="AA367" s="14" t="s">
        <v>234</v>
      </c>
      <c r="AB367" s="14" t="s">
        <v>200</v>
      </c>
      <c r="AC367" s="14" t="s">
        <v>32</v>
      </c>
      <c r="AD367" s="14"/>
      <c r="AE367" s="1">
        <v>0</v>
      </c>
      <c r="AF367" s="1"/>
    </row>
    <row r="368" spans="1:32" x14ac:dyDescent="0.2">
      <c r="A368" s="14" t="s">
        <v>234</v>
      </c>
      <c r="B368" s="14" t="s">
        <v>200</v>
      </c>
      <c r="C368" s="14" t="s">
        <v>32</v>
      </c>
      <c r="D368" s="14" t="s">
        <v>1117</v>
      </c>
      <c r="E368" s="14" t="s">
        <v>17</v>
      </c>
      <c r="F368" s="14">
        <v>4</v>
      </c>
      <c r="G368" s="14" t="s">
        <v>408</v>
      </c>
      <c r="H368" s="14" t="s">
        <v>35</v>
      </c>
      <c r="I368" s="14" t="s">
        <v>20</v>
      </c>
      <c r="J368" s="13" t="s">
        <v>1124</v>
      </c>
      <c r="K368" s="14" t="s">
        <v>21</v>
      </c>
      <c r="L368" s="14" t="s">
        <v>22</v>
      </c>
      <c r="M368" s="14" t="s">
        <v>23</v>
      </c>
      <c r="N368" s="13">
        <v>367</v>
      </c>
      <c r="O368" s="30">
        <v>45755</v>
      </c>
      <c r="P368" s="30">
        <v>45762</v>
      </c>
      <c r="Q368" s="30">
        <v>45765</v>
      </c>
      <c r="R368" s="30">
        <v>45779</v>
      </c>
      <c r="S368" s="23">
        <f t="shared" si="21"/>
        <v>98</v>
      </c>
      <c r="T368" s="23">
        <f t="shared" si="22"/>
        <v>105</v>
      </c>
      <c r="U368" s="23">
        <f t="shared" si="24"/>
        <v>108</v>
      </c>
      <c r="V368" s="23">
        <f t="shared" si="23"/>
        <v>122</v>
      </c>
      <c r="W368" s="14" t="s">
        <v>35</v>
      </c>
      <c r="X368" s="14" t="s">
        <v>20</v>
      </c>
      <c r="Y368" s="14" t="s">
        <v>21</v>
      </c>
      <c r="Z368" s="14" t="s">
        <v>22</v>
      </c>
      <c r="AA368" s="14" t="s">
        <v>234</v>
      </c>
      <c r="AB368" s="14" t="s">
        <v>200</v>
      </c>
      <c r="AC368" s="14" t="s">
        <v>32</v>
      </c>
      <c r="AD368" s="14"/>
      <c r="AE368" s="1">
        <v>0</v>
      </c>
      <c r="AF368" s="1"/>
    </row>
    <row r="369" spans="1:32" x14ac:dyDescent="0.2">
      <c r="A369" s="14" t="s">
        <v>234</v>
      </c>
      <c r="B369" s="14" t="s">
        <v>200</v>
      </c>
      <c r="C369" s="14" t="s">
        <v>32</v>
      </c>
      <c r="D369" s="14" t="s">
        <v>1117</v>
      </c>
      <c r="E369" s="14" t="s">
        <v>24</v>
      </c>
      <c r="F369" s="14">
        <v>4</v>
      </c>
      <c r="G369" s="14" t="s">
        <v>409</v>
      </c>
      <c r="H369" s="14" t="s">
        <v>19</v>
      </c>
      <c r="I369" s="14" t="s">
        <v>20</v>
      </c>
      <c r="J369" s="13" t="s">
        <v>1125</v>
      </c>
      <c r="K369" s="14" t="s">
        <v>21</v>
      </c>
      <c r="L369" s="14" t="s">
        <v>22</v>
      </c>
      <c r="M369" s="14" t="s">
        <v>23</v>
      </c>
      <c r="N369" s="13">
        <v>368</v>
      </c>
      <c r="O369" s="30">
        <v>45758</v>
      </c>
      <c r="P369" s="30">
        <v>45765</v>
      </c>
      <c r="Q369" s="30">
        <v>45770</v>
      </c>
      <c r="R369" s="30">
        <v>45765</v>
      </c>
      <c r="S369" s="23">
        <f t="shared" si="21"/>
        <v>101</v>
      </c>
      <c r="T369" s="23">
        <f t="shared" si="22"/>
        <v>108</v>
      </c>
      <c r="U369" s="23">
        <f t="shared" si="24"/>
        <v>113</v>
      </c>
      <c r="V369" s="23">
        <f t="shared" si="23"/>
        <v>108</v>
      </c>
      <c r="W369" s="14" t="s">
        <v>19</v>
      </c>
      <c r="X369" s="14" t="s">
        <v>20</v>
      </c>
      <c r="Y369" s="14" t="s">
        <v>21</v>
      </c>
      <c r="Z369" s="14" t="s">
        <v>22</v>
      </c>
      <c r="AA369" s="14" t="s">
        <v>234</v>
      </c>
      <c r="AB369" s="14" t="s">
        <v>200</v>
      </c>
      <c r="AC369" s="14" t="s">
        <v>32</v>
      </c>
      <c r="AD369" s="14"/>
      <c r="AE369" s="1">
        <v>0</v>
      </c>
      <c r="AF369" s="1"/>
    </row>
    <row r="370" spans="1:32" x14ac:dyDescent="0.2">
      <c r="A370" s="20" t="s">
        <v>234</v>
      </c>
      <c r="B370" s="20" t="s">
        <v>200</v>
      </c>
      <c r="C370" s="20" t="s">
        <v>42</v>
      </c>
      <c r="D370" s="18" t="s">
        <v>1126</v>
      </c>
      <c r="E370" s="20" t="s">
        <v>17</v>
      </c>
      <c r="F370" s="20">
        <v>1</v>
      </c>
      <c r="G370" s="20" t="s">
        <v>410</v>
      </c>
      <c r="H370" s="20" t="s">
        <v>19</v>
      </c>
      <c r="I370" s="20" t="s">
        <v>20</v>
      </c>
      <c r="J370" s="19" t="s">
        <v>1127</v>
      </c>
      <c r="K370" s="20" t="s">
        <v>21</v>
      </c>
      <c r="L370" s="20" t="s">
        <v>44</v>
      </c>
      <c r="M370" s="20" t="s">
        <v>45</v>
      </c>
      <c r="N370" s="21">
        <v>369</v>
      </c>
      <c r="O370" s="29">
        <v>45770</v>
      </c>
      <c r="P370" s="29">
        <v>45776</v>
      </c>
      <c r="Q370" s="29">
        <v>45779</v>
      </c>
      <c r="R370" s="29">
        <v>45783</v>
      </c>
      <c r="S370" s="23">
        <f t="shared" si="21"/>
        <v>113</v>
      </c>
      <c r="T370" s="23">
        <f t="shared" si="22"/>
        <v>119</v>
      </c>
      <c r="U370" s="23">
        <f t="shared" si="24"/>
        <v>122</v>
      </c>
      <c r="V370" s="23">
        <f t="shared" si="23"/>
        <v>126</v>
      </c>
      <c r="W370" s="20" t="s">
        <v>19</v>
      </c>
      <c r="X370" s="20" t="s">
        <v>20</v>
      </c>
      <c r="Y370" s="20" t="s">
        <v>21</v>
      </c>
      <c r="Z370" s="20" t="s">
        <v>44</v>
      </c>
      <c r="AA370" s="20" t="s">
        <v>234</v>
      </c>
      <c r="AB370" s="20" t="s">
        <v>200</v>
      </c>
      <c r="AC370" s="20" t="s">
        <v>42</v>
      </c>
      <c r="AD370" s="20"/>
      <c r="AE370" s="2">
        <v>0</v>
      </c>
      <c r="AF370" s="2"/>
    </row>
    <row r="371" spans="1:32" x14ac:dyDescent="0.2">
      <c r="A371" s="20" t="s">
        <v>234</v>
      </c>
      <c r="B371" s="20" t="s">
        <v>200</v>
      </c>
      <c r="C371" s="20" t="s">
        <v>42</v>
      </c>
      <c r="D371" s="18" t="s">
        <v>1126</v>
      </c>
      <c r="E371" s="20" t="s">
        <v>24</v>
      </c>
      <c r="F371" s="20">
        <v>1</v>
      </c>
      <c r="G371" s="20" t="s">
        <v>411</v>
      </c>
      <c r="H371" s="20" t="s">
        <v>35</v>
      </c>
      <c r="I371" s="20" t="s">
        <v>20</v>
      </c>
      <c r="J371" s="19" t="s">
        <v>1128</v>
      </c>
      <c r="K371" s="20" t="s">
        <v>21</v>
      </c>
      <c r="L371" s="20" t="s">
        <v>44</v>
      </c>
      <c r="M371" s="20" t="s">
        <v>45</v>
      </c>
      <c r="N371" s="21">
        <v>370</v>
      </c>
      <c r="O371" s="29">
        <v>45779</v>
      </c>
      <c r="P371" s="29">
        <v>45783</v>
      </c>
      <c r="Q371" s="29">
        <v>45793</v>
      </c>
      <c r="R371" s="29">
        <v>45797</v>
      </c>
      <c r="S371" s="23">
        <f t="shared" si="21"/>
        <v>122</v>
      </c>
      <c r="T371" s="23">
        <f t="shared" si="22"/>
        <v>126</v>
      </c>
      <c r="U371" s="23">
        <f t="shared" si="24"/>
        <v>136</v>
      </c>
      <c r="V371" s="23">
        <f t="shared" si="23"/>
        <v>140</v>
      </c>
      <c r="W371" s="20" t="s">
        <v>35</v>
      </c>
      <c r="X371" s="20" t="s">
        <v>20</v>
      </c>
      <c r="Y371" s="20" t="s">
        <v>21</v>
      </c>
      <c r="Z371" s="20" t="s">
        <v>44</v>
      </c>
      <c r="AA371" s="20" t="s">
        <v>234</v>
      </c>
      <c r="AB371" s="20" t="s">
        <v>200</v>
      </c>
      <c r="AC371" s="20" t="s">
        <v>42</v>
      </c>
      <c r="AD371" s="20"/>
      <c r="AE371" s="2">
        <v>0</v>
      </c>
      <c r="AF371" s="2"/>
    </row>
    <row r="372" spans="1:32" x14ac:dyDescent="0.2">
      <c r="A372" s="20" t="s">
        <v>234</v>
      </c>
      <c r="B372" s="20" t="s">
        <v>200</v>
      </c>
      <c r="C372" s="20" t="s">
        <v>42</v>
      </c>
      <c r="D372" s="18" t="s">
        <v>1126</v>
      </c>
      <c r="E372" s="20" t="s">
        <v>17</v>
      </c>
      <c r="F372" s="20">
        <v>2</v>
      </c>
      <c r="G372" s="20" t="s">
        <v>412</v>
      </c>
      <c r="H372" s="20" t="s">
        <v>35</v>
      </c>
      <c r="I372" s="20" t="s">
        <v>20</v>
      </c>
      <c r="J372" s="19" t="s">
        <v>1129</v>
      </c>
      <c r="K372" s="20" t="s">
        <v>21</v>
      </c>
      <c r="L372" s="20" t="s">
        <v>44</v>
      </c>
      <c r="M372" s="20" t="s">
        <v>45</v>
      </c>
      <c r="N372" s="21">
        <v>371</v>
      </c>
      <c r="O372" s="29">
        <v>45762</v>
      </c>
      <c r="P372" s="29">
        <v>45765</v>
      </c>
      <c r="Q372" s="2"/>
      <c r="R372" s="29">
        <v>45779</v>
      </c>
      <c r="S372" s="23">
        <f t="shared" si="21"/>
        <v>105</v>
      </c>
      <c r="T372" s="23">
        <f t="shared" si="22"/>
        <v>108</v>
      </c>
      <c r="U372" s="23">
        <f>(V372+T372)/2</f>
        <v>115</v>
      </c>
      <c r="V372" s="23">
        <f t="shared" si="23"/>
        <v>122</v>
      </c>
      <c r="W372" s="20" t="s">
        <v>35</v>
      </c>
      <c r="X372" s="20" t="s">
        <v>20</v>
      </c>
      <c r="Y372" s="20" t="s">
        <v>21</v>
      </c>
      <c r="Z372" s="20" t="s">
        <v>44</v>
      </c>
      <c r="AA372" s="20" t="s">
        <v>234</v>
      </c>
      <c r="AB372" s="20" t="s">
        <v>200</v>
      </c>
      <c r="AC372" s="20" t="s">
        <v>42</v>
      </c>
      <c r="AD372" s="20"/>
      <c r="AE372" s="2">
        <v>0</v>
      </c>
      <c r="AF372" s="2"/>
    </row>
    <row r="373" spans="1:32" x14ac:dyDescent="0.2">
      <c r="A373" s="20" t="s">
        <v>234</v>
      </c>
      <c r="B373" s="20" t="s">
        <v>200</v>
      </c>
      <c r="C373" s="20" t="s">
        <v>42</v>
      </c>
      <c r="D373" s="18" t="s">
        <v>1126</v>
      </c>
      <c r="E373" s="20" t="s">
        <v>24</v>
      </c>
      <c r="F373" s="20">
        <v>2</v>
      </c>
      <c r="G373" s="20" t="s">
        <v>413</v>
      </c>
      <c r="H373" s="20" t="s">
        <v>19</v>
      </c>
      <c r="I373" s="20" t="s">
        <v>20</v>
      </c>
      <c r="J373" s="19" t="s">
        <v>1130</v>
      </c>
      <c r="K373" s="20" t="s">
        <v>21</v>
      </c>
      <c r="L373" s="20" t="s">
        <v>44</v>
      </c>
      <c r="M373" s="20" t="s">
        <v>45</v>
      </c>
      <c r="N373" s="21">
        <v>372</v>
      </c>
      <c r="O373" s="29">
        <v>45762</v>
      </c>
      <c r="P373" s="29">
        <v>45776</v>
      </c>
      <c r="Q373" s="2"/>
      <c r="R373" s="29">
        <v>45779</v>
      </c>
      <c r="S373" s="23">
        <f t="shared" si="21"/>
        <v>105</v>
      </c>
      <c r="T373" s="23">
        <f t="shared" si="22"/>
        <v>119</v>
      </c>
      <c r="U373" s="23">
        <f>(V373+T373)/2</f>
        <v>120.5</v>
      </c>
      <c r="V373" s="23">
        <f t="shared" si="23"/>
        <v>122</v>
      </c>
      <c r="W373" s="20" t="s">
        <v>19</v>
      </c>
      <c r="X373" s="20" t="s">
        <v>20</v>
      </c>
      <c r="Y373" s="20" t="s">
        <v>21</v>
      </c>
      <c r="Z373" s="20" t="s">
        <v>44</v>
      </c>
      <c r="AA373" s="20" t="s">
        <v>234</v>
      </c>
      <c r="AB373" s="20" t="s">
        <v>200</v>
      </c>
      <c r="AC373" s="20" t="s">
        <v>42</v>
      </c>
      <c r="AD373" s="20"/>
      <c r="AE373" s="2">
        <v>0</v>
      </c>
      <c r="AF373" s="2"/>
    </row>
    <row r="374" spans="1:32" x14ac:dyDescent="0.2">
      <c r="A374" s="20" t="s">
        <v>234</v>
      </c>
      <c r="B374" s="20" t="s">
        <v>200</v>
      </c>
      <c r="C374" s="20" t="s">
        <v>42</v>
      </c>
      <c r="D374" s="18" t="s">
        <v>1126</v>
      </c>
      <c r="E374" s="20" t="s">
        <v>17</v>
      </c>
      <c r="F374" s="20">
        <v>3</v>
      </c>
      <c r="G374" s="20" t="s">
        <v>414</v>
      </c>
      <c r="H374" s="20" t="s">
        <v>19</v>
      </c>
      <c r="I374" s="20" t="s">
        <v>20</v>
      </c>
      <c r="J374" s="19" t="s">
        <v>1131</v>
      </c>
      <c r="K374" s="20" t="s">
        <v>21</v>
      </c>
      <c r="L374" s="20" t="s">
        <v>44</v>
      </c>
      <c r="M374" s="20" t="s">
        <v>45</v>
      </c>
      <c r="N374" s="21">
        <v>373</v>
      </c>
      <c r="O374" s="29">
        <v>45765</v>
      </c>
      <c r="P374" s="29">
        <v>45772</v>
      </c>
      <c r="Q374" s="29">
        <v>45776</v>
      </c>
      <c r="R374" s="29">
        <v>45779</v>
      </c>
      <c r="S374" s="23">
        <f t="shared" si="21"/>
        <v>108</v>
      </c>
      <c r="T374" s="23">
        <f t="shared" si="22"/>
        <v>115</v>
      </c>
      <c r="U374" s="23">
        <f t="shared" si="24"/>
        <v>119</v>
      </c>
      <c r="V374" s="23">
        <f t="shared" si="23"/>
        <v>122</v>
      </c>
      <c r="W374" s="20" t="s">
        <v>19</v>
      </c>
      <c r="X374" s="20" t="s">
        <v>20</v>
      </c>
      <c r="Y374" s="20" t="s">
        <v>21</v>
      </c>
      <c r="Z374" s="20" t="s">
        <v>44</v>
      </c>
      <c r="AA374" s="20" t="s">
        <v>234</v>
      </c>
      <c r="AB374" s="20" t="s">
        <v>200</v>
      </c>
      <c r="AC374" s="20" t="s">
        <v>42</v>
      </c>
      <c r="AD374" s="20"/>
      <c r="AE374" s="2">
        <v>0</v>
      </c>
      <c r="AF374" s="2"/>
    </row>
    <row r="375" spans="1:32" x14ac:dyDescent="0.2">
      <c r="A375" s="20" t="s">
        <v>234</v>
      </c>
      <c r="B375" s="20" t="s">
        <v>200</v>
      </c>
      <c r="C375" s="20" t="s">
        <v>42</v>
      </c>
      <c r="D375" s="18" t="s">
        <v>1126</v>
      </c>
      <c r="E375" s="20" t="s">
        <v>24</v>
      </c>
      <c r="F375" s="20">
        <v>3</v>
      </c>
      <c r="G375" s="20" t="s">
        <v>415</v>
      </c>
      <c r="H375" s="20" t="s">
        <v>35</v>
      </c>
      <c r="I375" s="20" t="s">
        <v>20</v>
      </c>
      <c r="J375" s="19" t="s">
        <v>1132</v>
      </c>
      <c r="K375" s="20" t="s">
        <v>21</v>
      </c>
      <c r="L375" s="20" t="s">
        <v>44</v>
      </c>
      <c r="M375" s="20" t="s">
        <v>45</v>
      </c>
      <c r="N375" s="21">
        <v>374</v>
      </c>
      <c r="O375" s="29">
        <v>45755</v>
      </c>
      <c r="P375" s="29">
        <v>45762</v>
      </c>
      <c r="Q375" s="29">
        <v>45770</v>
      </c>
      <c r="R375" s="29">
        <v>45776</v>
      </c>
      <c r="S375" s="23">
        <f t="shared" si="21"/>
        <v>98</v>
      </c>
      <c r="T375" s="23">
        <f t="shared" si="22"/>
        <v>105</v>
      </c>
      <c r="U375" s="23">
        <f t="shared" si="24"/>
        <v>113</v>
      </c>
      <c r="V375" s="23">
        <f t="shared" si="23"/>
        <v>119</v>
      </c>
      <c r="W375" s="20" t="s">
        <v>35</v>
      </c>
      <c r="X375" s="20" t="s">
        <v>20</v>
      </c>
      <c r="Y375" s="20" t="s">
        <v>21</v>
      </c>
      <c r="Z375" s="20" t="s">
        <v>44</v>
      </c>
      <c r="AA375" s="20" t="s">
        <v>234</v>
      </c>
      <c r="AB375" s="20" t="s">
        <v>200</v>
      </c>
      <c r="AC375" s="20" t="s">
        <v>42</v>
      </c>
      <c r="AD375" s="20"/>
      <c r="AE375" s="2">
        <v>0</v>
      </c>
      <c r="AF375" s="2"/>
    </row>
    <row r="376" spans="1:32" x14ac:dyDescent="0.2">
      <c r="A376" s="20" t="s">
        <v>234</v>
      </c>
      <c r="B376" s="20" t="s">
        <v>200</v>
      </c>
      <c r="C376" s="20" t="s">
        <v>42</v>
      </c>
      <c r="D376" s="18" t="s">
        <v>1126</v>
      </c>
      <c r="E376" s="20" t="s">
        <v>17</v>
      </c>
      <c r="F376" s="20">
        <v>4</v>
      </c>
      <c r="G376" s="20" t="s">
        <v>416</v>
      </c>
      <c r="H376" s="20" t="s">
        <v>35</v>
      </c>
      <c r="I376" s="20" t="s">
        <v>20</v>
      </c>
      <c r="J376" s="19" t="s">
        <v>1133</v>
      </c>
      <c r="K376" s="20" t="s">
        <v>21</v>
      </c>
      <c r="L376" s="20" t="s">
        <v>44</v>
      </c>
      <c r="M376" s="20" t="s">
        <v>45</v>
      </c>
      <c r="N376" s="21">
        <v>375</v>
      </c>
      <c r="O376" s="29">
        <v>45765</v>
      </c>
      <c r="P376" s="29">
        <v>45770</v>
      </c>
      <c r="Q376" s="29">
        <v>45776</v>
      </c>
      <c r="R376" s="29">
        <v>45779</v>
      </c>
      <c r="S376" s="23">
        <f t="shared" si="21"/>
        <v>108</v>
      </c>
      <c r="T376" s="23">
        <f t="shared" si="22"/>
        <v>113</v>
      </c>
      <c r="U376" s="23">
        <f t="shared" si="24"/>
        <v>119</v>
      </c>
      <c r="V376" s="23">
        <f t="shared" si="23"/>
        <v>122</v>
      </c>
      <c r="W376" s="20" t="s">
        <v>35</v>
      </c>
      <c r="X376" s="20" t="s">
        <v>20</v>
      </c>
      <c r="Y376" s="20" t="s">
        <v>21</v>
      </c>
      <c r="Z376" s="20" t="s">
        <v>44</v>
      </c>
      <c r="AA376" s="20" t="s">
        <v>234</v>
      </c>
      <c r="AB376" s="20" t="s">
        <v>200</v>
      </c>
      <c r="AC376" s="20" t="s">
        <v>42</v>
      </c>
      <c r="AD376" s="20"/>
      <c r="AE376" s="2">
        <v>0</v>
      </c>
      <c r="AF376" s="2"/>
    </row>
    <row r="377" spans="1:32" x14ac:dyDescent="0.2">
      <c r="A377" s="20" t="s">
        <v>234</v>
      </c>
      <c r="B377" s="20" t="s">
        <v>200</v>
      </c>
      <c r="C377" s="20" t="s">
        <v>42</v>
      </c>
      <c r="D377" s="18" t="s">
        <v>1126</v>
      </c>
      <c r="E377" s="20" t="s">
        <v>24</v>
      </c>
      <c r="F377" s="20">
        <v>4</v>
      </c>
      <c r="G377" s="20" t="s">
        <v>417</v>
      </c>
      <c r="H377" s="20" t="s">
        <v>19</v>
      </c>
      <c r="I377" s="20" t="s">
        <v>20</v>
      </c>
      <c r="J377" s="19" t="s">
        <v>1134</v>
      </c>
      <c r="K377" s="20" t="s">
        <v>21</v>
      </c>
      <c r="L377" s="20" t="s">
        <v>44</v>
      </c>
      <c r="M377" s="20" t="s">
        <v>45</v>
      </c>
      <c r="N377" s="21">
        <v>376</v>
      </c>
      <c r="O377" s="29">
        <v>45762</v>
      </c>
      <c r="P377" s="29">
        <v>45770</v>
      </c>
      <c r="Q377" s="29">
        <v>45776</v>
      </c>
      <c r="R377" s="29">
        <v>45779</v>
      </c>
      <c r="S377" s="23">
        <f t="shared" si="21"/>
        <v>105</v>
      </c>
      <c r="T377" s="23">
        <f t="shared" si="22"/>
        <v>113</v>
      </c>
      <c r="U377" s="23">
        <f t="shared" si="24"/>
        <v>119</v>
      </c>
      <c r="V377" s="23">
        <f t="shared" si="23"/>
        <v>122</v>
      </c>
      <c r="W377" s="20" t="s">
        <v>19</v>
      </c>
      <c r="X377" s="20" t="s">
        <v>20</v>
      </c>
      <c r="Y377" s="20" t="s">
        <v>21</v>
      </c>
      <c r="Z377" s="20" t="s">
        <v>44</v>
      </c>
      <c r="AA377" s="20" t="s">
        <v>234</v>
      </c>
      <c r="AB377" s="20" t="s">
        <v>200</v>
      </c>
      <c r="AC377" s="20" t="s">
        <v>42</v>
      </c>
      <c r="AD377" s="20"/>
      <c r="AE377" s="2">
        <v>0</v>
      </c>
      <c r="AF377" s="2"/>
    </row>
    <row r="378" spans="1:32" x14ac:dyDescent="0.2">
      <c r="A378" s="14" t="s">
        <v>234</v>
      </c>
      <c r="B378" s="14" t="s">
        <v>200</v>
      </c>
      <c r="C378" s="14" t="s">
        <v>53</v>
      </c>
      <c r="D378" s="14" t="s">
        <v>1135</v>
      </c>
      <c r="E378" s="14" t="s">
        <v>17</v>
      </c>
      <c r="F378" s="14">
        <v>1</v>
      </c>
      <c r="G378" s="14" t="s">
        <v>418</v>
      </c>
      <c r="H378" s="14" t="s">
        <v>35</v>
      </c>
      <c r="I378" s="14" t="s">
        <v>20</v>
      </c>
      <c r="J378" s="13" t="s">
        <v>1136</v>
      </c>
      <c r="K378" s="14" t="s">
        <v>21</v>
      </c>
      <c r="L378" s="14" t="s">
        <v>22</v>
      </c>
      <c r="M378" s="14" t="s">
        <v>23</v>
      </c>
      <c r="N378" s="13">
        <v>377</v>
      </c>
      <c r="O378" s="30">
        <v>45776</v>
      </c>
      <c r="P378" s="30">
        <v>45779</v>
      </c>
      <c r="Q378" s="30">
        <v>45783</v>
      </c>
      <c r="R378" s="30">
        <v>45786</v>
      </c>
      <c r="S378" s="23">
        <f t="shared" si="21"/>
        <v>119</v>
      </c>
      <c r="T378" s="23">
        <f t="shared" si="22"/>
        <v>122</v>
      </c>
      <c r="U378" s="23">
        <f t="shared" si="24"/>
        <v>126</v>
      </c>
      <c r="V378" s="23">
        <f t="shared" si="23"/>
        <v>129</v>
      </c>
      <c r="W378" s="14" t="s">
        <v>35</v>
      </c>
      <c r="X378" s="14" t="s">
        <v>20</v>
      </c>
      <c r="Y378" s="14" t="s">
        <v>21</v>
      </c>
      <c r="Z378" s="14" t="s">
        <v>22</v>
      </c>
      <c r="AA378" s="14" t="s">
        <v>234</v>
      </c>
      <c r="AB378" s="14" t="s">
        <v>200</v>
      </c>
      <c r="AC378" s="14" t="s">
        <v>53</v>
      </c>
      <c r="AD378" s="14"/>
      <c r="AE378" s="1">
        <v>0</v>
      </c>
      <c r="AF378" s="1"/>
    </row>
    <row r="379" spans="1:32" x14ac:dyDescent="0.2">
      <c r="A379" s="14" t="s">
        <v>234</v>
      </c>
      <c r="B379" s="14" t="s">
        <v>200</v>
      </c>
      <c r="C379" s="14" t="s">
        <v>53</v>
      </c>
      <c r="D379" s="14" t="s">
        <v>1135</v>
      </c>
      <c r="E379" s="14" t="s">
        <v>24</v>
      </c>
      <c r="F379" s="14">
        <v>1</v>
      </c>
      <c r="G379" s="14" t="s">
        <v>419</v>
      </c>
      <c r="H379" s="14" t="s">
        <v>35</v>
      </c>
      <c r="I379" s="14" t="s">
        <v>20</v>
      </c>
      <c r="J379" s="13" t="s">
        <v>1137</v>
      </c>
      <c r="K379" s="14" t="s">
        <v>21</v>
      </c>
      <c r="L379" s="14" t="s">
        <v>22</v>
      </c>
      <c r="M379" s="14" t="s">
        <v>23</v>
      </c>
      <c r="N379" s="13">
        <v>378</v>
      </c>
      <c r="O379" s="30">
        <v>45779</v>
      </c>
      <c r="P379" s="30">
        <v>45783</v>
      </c>
      <c r="Q379" s="30">
        <v>45786</v>
      </c>
      <c r="R379" s="30">
        <v>45790</v>
      </c>
      <c r="S379" s="23">
        <f t="shared" si="21"/>
        <v>122</v>
      </c>
      <c r="T379" s="23">
        <f t="shared" si="22"/>
        <v>126</v>
      </c>
      <c r="U379" s="23">
        <f t="shared" si="24"/>
        <v>129</v>
      </c>
      <c r="V379" s="23">
        <f t="shared" si="23"/>
        <v>133</v>
      </c>
      <c r="W379" s="14" t="s">
        <v>35</v>
      </c>
      <c r="X379" s="14" t="s">
        <v>20</v>
      </c>
      <c r="Y379" s="14" t="s">
        <v>21</v>
      </c>
      <c r="Z379" s="14" t="s">
        <v>22</v>
      </c>
      <c r="AA379" s="14" t="s">
        <v>234</v>
      </c>
      <c r="AB379" s="14" t="s">
        <v>200</v>
      </c>
      <c r="AC379" s="14" t="s">
        <v>53</v>
      </c>
      <c r="AD379" s="14"/>
      <c r="AE379" s="1">
        <v>0</v>
      </c>
      <c r="AF379" s="1"/>
    </row>
    <row r="380" spans="1:32" x14ac:dyDescent="0.2">
      <c r="A380" s="14" t="s">
        <v>234</v>
      </c>
      <c r="B380" s="14" t="s">
        <v>200</v>
      </c>
      <c r="C380" s="14" t="s">
        <v>53</v>
      </c>
      <c r="D380" s="14" t="s">
        <v>1135</v>
      </c>
      <c r="E380" s="14" t="s">
        <v>17</v>
      </c>
      <c r="F380" s="14">
        <v>2</v>
      </c>
      <c r="G380" s="14" t="s">
        <v>420</v>
      </c>
      <c r="H380" s="14" t="s">
        <v>35</v>
      </c>
      <c r="I380" s="14" t="s">
        <v>20</v>
      </c>
      <c r="J380" s="13" t="s">
        <v>1138</v>
      </c>
      <c r="K380" s="14" t="s">
        <v>21</v>
      </c>
      <c r="L380" s="14" t="s">
        <v>22</v>
      </c>
      <c r="M380" s="14" t="s">
        <v>23</v>
      </c>
      <c r="N380" s="13">
        <v>379</v>
      </c>
      <c r="O380" s="30">
        <v>45762</v>
      </c>
      <c r="P380" s="30">
        <v>45779</v>
      </c>
      <c r="Q380" s="30">
        <v>45783</v>
      </c>
      <c r="R380" s="30">
        <v>45790</v>
      </c>
      <c r="S380" s="23">
        <f t="shared" si="21"/>
        <v>105</v>
      </c>
      <c r="T380" s="23">
        <f t="shared" si="22"/>
        <v>122</v>
      </c>
      <c r="U380" s="23">
        <f t="shared" si="24"/>
        <v>126</v>
      </c>
      <c r="V380" s="23">
        <f t="shared" si="23"/>
        <v>133</v>
      </c>
      <c r="W380" s="14" t="s">
        <v>35</v>
      </c>
      <c r="X380" s="14" t="s">
        <v>20</v>
      </c>
      <c r="Y380" s="14" t="s">
        <v>21</v>
      </c>
      <c r="Z380" s="14" t="s">
        <v>22</v>
      </c>
      <c r="AA380" s="14" t="s">
        <v>234</v>
      </c>
      <c r="AB380" s="14" t="s">
        <v>200</v>
      </c>
      <c r="AC380" s="14" t="s">
        <v>53</v>
      </c>
      <c r="AD380" s="14"/>
      <c r="AE380" s="1">
        <v>0</v>
      </c>
      <c r="AF380" s="1"/>
    </row>
    <row r="381" spans="1:32" x14ac:dyDescent="0.2">
      <c r="A381" s="14" t="s">
        <v>234</v>
      </c>
      <c r="B381" s="14" t="s">
        <v>200</v>
      </c>
      <c r="C381" s="14" t="s">
        <v>53</v>
      </c>
      <c r="D381" s="14" t="s">
        <v>1135</v>
      </c>
      <c r="E381" s="14" t="s">
        <v>24</v>
      </c>
      <c r="F381" s="14">
        <v>2</v>
      </c>
      <c r="G381" s="14" t="s">
        <v>421</v>
      </c>
      <c r="H381" s="14" t="s">
        <v>35</v>
      </c>
      <c r="I381" s="14" t="s">
        <v>20</v>
      </c>
      <c r="J381" s="13" t="s">
        <v>1139</v>
      </c>
      <c r="K381" s="14" t="s">
        <v>21</v>
      </c>
      <c r="L381" s="14" t="s">
        <v>22</v>
      </c>
      <c r="M381" s="14" t="s">
        <v>23</v>
      </c>
      <c r="N381" s="13">
        <v>380</v>
      </c>
      <c r="O381" s="30">
        <v>45783</v>
      </c>
      <c r="P381" s="30">
        <v>45790</v>
      </c>
      <c r="Q381" s="30">
        <v>45793</v>
      </c>
      <c r="R381" s="30">
        <v>45797</v>
      </c>
      <c r="S381" s="23">
        <f t="shared" si="21"/>
        <v>126</v>
      </c>
      <c r="T381" s="23">
        <f t="shared" si="22"/>
        <v>133</v>
      </c>
      <c r="U381" s="23">
        <f t="shared" si="24"/>
        <v>136</v>
      </c>
      <c r="V381" s="23">
        <f t="shared" si="23"/>
        <v>140</v>
      </c>
      <c r="W381" s="14" t="s">
        <v>35</v>
      </c>
      <c r="X381" s="14" t="s">
        <v>20</v>
      </c>
      <c r="Y381" s="14" t="s">
        <v>21</v>
      </c>
      <c r="Z381" s="14" t="s">
        <v>22</v>
      </c>
      <c r="AA381" s="14" t="s">
        <v>234</v>
      </c>
      <c r="AB381" s="14" t="s">
        <v>200</v>
      </c>
      <c r="AC381" s="14" t="s">
        <v>53</v>
      </c>
      <c r="AD381" s="14"/>
      <c r="AE381" s="1">
        <v>0</v>
      </c>
      <c r="AF381" s="1"/>
    </row>
    <row r="382" spans="1:32" x14ac:dyDescent="0.2">
      <c r="A382" s="14" t="s">
        <v>234</v>
      </c>
      <c r="B382" s="14" t="s">
        <v>200</v>
      </c>
      <c r="C382" s="14" t="s">
        <v>53</v>
      </c>
      <c r="D382" s="14" t="s">
        <v>1135</v>
      </c>
      <c r="E382" s="14" t="s">
        <v>17</v>
      </c>
      <c r="F382" s="14">
        <v>3</v>
      </c>
      <c r="G382" s="14" t="s">
        <v>422</v>
      </c>
      <c r="H382" s="14" t="s">
        <v>35</v>
      </c>
      <c r="I382" s="14" t="s">
        <v>20</v>
      </c>
      <c r="J382" s="13" t="s">
        <v>1140</v>
      </c>
      <c r="K382" s="14" t="s">
        <v>21</v>
      </c>
      <c r="L382" s="14" t="s">
        <v>22</v>
      </c>
      <c r="M382" s="14" t="s">
        <v>23</v>
      </c>
      <c r="N382" s="13">
        <v>381</v>
      </c>
      <c r="O382" s="30">
        <v>45758</v>
      </c>
      <c r="P382" s="30">
        <v>45770</v>
      </c>
      <c r="Q382" s="30">
        <v>45779</v>
      </c>
      <c r="R382" s="30">
        <v>45783</v>
      </c>
      <c r="S382" s="23">
        <f t="shared" si="21"/>
        <v>101</v>
      </c>
      <c r="T382" s="23">
        <f t="shared" si="22"/>
        <v>113</v>
      </c>
      <c r="U382" s="23">
        <f t="shared" si="24"/>
        <v>122</v>
      </c>
      <c r="V382" s="23">
        <f t="shared" si="23"/>
        <v>126</v>
      </c>
      <c r="W382" s="14" t="s">
        <v>35</v>
      </c>
      <c r="X382" s="14" t="s">
        <v>20</v>
      </c>
      <c r="Y382" s="14" t="s">
        <v>21</v>
      </c>
      <c r="Z382" s="14" t="s">
        <v>22</v>
      </c>
      <c r="AA382" s="14" t="s">
        <v>234</v>
      </c>
      <c r="AB382" s="14" t="s">
        <v>200</v>
      </c>
      <c r="AC382" s="14" t="s">
        <v>53</v>
      </c>
      <c r="AD382" s="14"/>
      <c r="AE382" s="1">
        <v>0</v>
      </c>
      <c r="AF382" s="1"/>
    </row>
    <row r="383" spans="1:32" x14ac:dyDescent="0.2">
      <c r="A383" s="14" t="s">
        <v>234</v>
      </c>
      <c r="B383" s="14" t="s">
        <v>200</v>
      </c>
      <c r="C383" s="14" t="s">
        <v>53</v>
      </c>
      <c r="D383" s="14" t="s">
        <v>1135</v>
      </c>
      <c r="E383" s="14" t="s">
        <v>24</v>
      </c>
      <c r="F383" s="14">
        <v>3</v>
      </c>
      <c r="G383" s="14" t="s">
        <v>423</v>
      </c>
      <c r="H383" s="14" t="s">
        <v>35</v>
      </c>
      <c r="I383" s="14" t="s">
        <v>20</v>
      </c>
      <c r="J383" s="13" t="s">
        <v>1141</v>
      </c>
      <c r="K383" s="14" t="s">
        <v>21</v>
      </c>
      <c r="L383" s="14" t="s">
        <v>22</v>
      </c>
      <c r="M383" s="14" t="s">
        <v>23</v>
      </c>
      <c r="N383" s="13">
        <v>382</v>
      </c>
      <c r="O383" s="30">
        <v>45783</v>
      </c>
      <c r="P383" s="30">
        <v>45790</v>
      </c>
      <c r="Q383" s="30">
        <v>45793</v>
      </c>
      <c r="R383" s="30">
        <v>45800</v>
      </c>
      <c r="S383" s="23">
        <f t="shared" si="21"/>
        <v>126</v>
      </c>
      <c r="T383" s="23">
        <f t="shared" si="22"/>
        <v>133</v>
      </c>
      <c r="U383" s="23">
        <f t="shared" si="24"/>
        <v>136</v>
      </c>
      <c r="V383" s="23">
        <f t="shared" si="23"/>
        <v>143</v>
      </c>
      <c r="W383" s="14" t="s">
        <v>35</v>
      </c>
      <c r="X383" s="14" t="s">
        <v>20</v>
      </c>
      <c r="Y383" s="14" t="s">
        <v>21</v>
      </c>
      <c r="Z383" s="14" t="s">
        <v>22</v>
      </c>
      <c r="AA383" s="14" t="s">
        <v>234</v>
      </c>
      <c r="AB383" s="14" t="s">
        <v>200</v>
      </c>
      <c r="AC383" s="14" t="s">
        <v>53</v>
      </c>
      <c r="AD383" s="14"/>
      <c r="AE383" s="1">
        <v>0</v>
      </c>
      <c r="AF383" s="1"/>
    </row>
    <row r="384" spans="1:32" x14ac:dyDescent="0.2">
      <c r="A384" s="14" t="s">
        <v>234</v>
      </c>
      <c r="B384" s="14" t="s">
        <v>200</v>
      </c>
      <c r="C384" s="14" t="s">
        <v>53</v>
      </c>
      <c r="D384" s="14" t="s">
        <v>1135</v>
      </c>
      <c r="E384" s="14" t="s">
        <v>17</v>
      </c>
      <c r="F384" s="14">
        <v>4</v>
      </c>
      <c r="G384" s="14" t="s">
        <v>424</v>
      </c>
      <c r="H384" s="14" t="s">
        <v>35</v>
      </c>
      <c r="I384" s="14" t="s">
        <v>20</v>
      </c>
      <c r="J384" s="13" t="s">
        <v>1142</v>
      </c>
      <c r="K384" s="14" t="s">
        <v>21</v>
      </c>
      <c r="L384" s="14" t="s">
        <v>22</v>
      </c>
      <c r="M384" s="14" t="s">
        <v>23</v>
      </c>
      <c r="N384" s="13">
        <v>383</v>
      </c>
      <c r="O384" s="30">
        <v>45755</v>
      </c>
      <c r="P384" s="30">
        <v>45770</v>
      </c>
      <c r="Q384" s="30">
        <v>45776</v>
      </c>
      <c r="R384" s="30">
        <v>45779</v>
      </c>
      <c r="S384" s="23">
        <f t="shared" si="21"/>
        <v>98</v>
      </c>
      <c r="T384" s="23">
        <f t="shared" si="22"/>
        <v>113</v>
      </c>
      <c r="U384" s="23">
        <f t="shared" si="24"/>
        <v>119</v>
      </c>
      <c r="V384" s="23">
        <f t="shared" si="23"/>
        <v>122</v>
      </c>
      <c r="W384" s="14" t="s">
        <v>35</v>
      </c>
      <c r="X384" s="14" t="s">
        <v>20</v>
      </c>
      <c r="Y384" s="14" t="s">
        <v>21</v>
      </c>
      <c r="Z384" s="14" t="s">
        <v>22</v>
      </c>
      <c r="AA384" s="14" t="s">
        <v>234</v>
      </c>
      <c r="AB384" s="14" t="s">
        <v>200</v>
      </c>
      <c r="AC384" s="14" t="s">
        <v>53</v>
      </c>
      <c r="AD384" s="14"/>
      <c r="AE384" s="1">
        <v>0</v>
      </c>
      <c r="AF384" s="1"/>
    </row>
    <row r="385" spans="1:32" x14ac:dyDescent="0.2">
      <c r="A385" s="14" t="s">
        <v>234</v>
      </c>
      <c r="B385" s="14" t="s">
        <v>200</v>
      </c>
      <c r="C385" s="14" t="s">
        <v>53</v>
      </c>
      <c r="D385" s="14" t="s">
        <v>1135</v>
      </c>
      <c r="E385" s="14" t="s">
        <v>24</v>
      </c>
      <c r="F385" s="14">
        <v>4</v>
      </c>
      <c r="G385" s="14" t="s">
        <v>425</v>
      </c>
      <c r="H385" s="14" t="s">
        <v>35</v>
      </c>
      <c r="I385" s="14" t="s">
        <v>20</v>
      </c>
      <c r="J385" s="13" t="s">
        <v>1143</v>
      </c>
      <c r="K385" s="14" t="s">
        <v>21</v>
      </c>
      <c r="L385" s="14" t="s">
        <v>22</v>
      </c>
      <c r="M385" s="14" t="s">
        <v>23</v>
      </c>
      <c r="N385" s="13">
        <v>384</v>
      </c>
      <c r="O385" s="30">
        <v>45776</v>
      </c>
      <c r="P385" s="30">
        <v>45790</v>
      </c>
      <c r="Q385" s="30">
        <v>45793</v>
      </c>
      <c r="R385" s="30">
        <v>45797</v>
      </c>
      <c r="S385" s="23">
        <f t="shared" si="21"/>
        <v>119</v>
      </c>
      <c r="T385" s="23">
        <f t="shared" si="22"/>
        <v>133</v>
      </c>
      <c r="U385" s="23">
        <f t="shared" si="24"/>
        <v>136</v>
      </c>
      <c r="V385" s="23">
        <f t="shared" si="23"/>
        <v>140</v>
      </c>
      <c r="W385" s="14" t="s">
        <v>35</v>
      </c>
      <c r="X385" s="14" t="s">
        <v>20</v>
      </c>
      <c r="Y385" s="14" t="s">
        <v>21</v>
      </c>
      <c r="Z385" s="14" t="s">
        <v>22</v>
      </c>
      <c r="AA385" s="14" t="s">
        <v>234</v>
      </c>
      <c r="AB385" s="14" t="s">
        <v>200</v>
      </c>
      <c r="AC385" s="14" t="s">
        <v>53</v>
      </c>
      <c r="AD385" s="14"/>
      <c r="AE385" s="1">
        <v>0</v>
      </c>
      <c r="AF385" s="1"/>
    </row>
    <row r="386" spans="1:32" x14ac:dyDescent="0.2">
      <c r="A386" s="20" t="s">
        <v>426</v>
      </c>
      <c r="B386" s="20" t="s">
        <v>15</v>
      </c>
      <c r="C386" s="20" t="s">
        <v>16</v>
      </c>
      <c r="D386" s="20" t="s">
        <v>1144</v>
      </c>
      <c r="E386" s="20" t="s">
        <v>17</v>
      </c>
      <c r="F386" s="20">
        <v>1</v>
      </c>
      <c r="G386" s="20" t="s">
        <v>427</v>
      </c>
      <c r="H386" s="20" t="s">
        <v>19</v>
      </c>
      <c r="I386" s="20" t="s">
        <v>20</v>
      </c>
      <c r="J386" s="19" t="s">
        <v>1145</v>
      </c>
      <c r="K386" s="20" t="s">
        <v>64</v>
      </c>
      <c r="L386" s="20" t="s">
        <v>44</v>
      </c>
      <c r="M386" s="20" t="s">
        <v>65</v>
      </c>
      <c r="N386" s="21">
        <v>385</v>
      </c>
      <c r="O386" s="29">
        <v>45762</v>
      </c>
      <c r="P386" s="2"/>
      <c r="Q386" s="29">
        <v>45765</v>
      </c>
      <c r="R386" s="29">
        <v>45772</v>
      </c>
      <c r="S386" s="23">
        <f t="shared" si="21"/>
        <v>105</v>
      </c>
      <c r="T386" s="23">
        <f>(U386+S386)/2</f>
        <v>106.5</v>
      </c>
      <c r="U386" s="23">
        <f t="shared" si="24"/>
        <v>108</v>
      </c>
      <c r="V386" s="23">
        <f t="shared" si="23"/>
        <v>115</v>
      </c>
      <c r="W386" s="20" t="s">
        <v>19</v>
      </c>
      <c r="X386" s="20" t="s">
        <v>20</v>
      </c>
      <c r="Y386" s="20" t="s">
        <v>64</v>
      </c>
      <c r="Z386" s="20" t="s">
        <v>44</v>
      </c>
      <c r="AA386" s="20" t="s">
        <v>426</v>
      </c>
      <c r="AB386" s="20" t="s">
        <v>15</v>
      </c>
      <c r="AC386" s="20" t="s">
        <v>16</v>
      </c>
      <c r="AD386" s="20"/>
      <c r="AE386" s="2">
        <v>0</v>
      </c>
      <c r="AF386" s="2"/>
    </row>
    <row r="387" spans="1:32" x14ac:dyDescent="0.2">
      <c r="A387" s="20" t="s">
        <v>426</v>
      </c>
      <c r="B387" s="20" t="s">
        <v>15</v>
      </c>
      <c r="C387" s="20" t="s">
        <v>16</v>
      </c>
      <c r="D387" s="20" t="s">
        <v>1144</v>
      </c>
      <c r="E387" s="20" t="s">
        <v>24</v>
      </c>
      <c r="F387" s="20">
        <v>1</v>
      </c>
      <c r="G387" s="20" t="s">
        <v>428</v>
      </c>
      <c r="H387" s="20" t="s">
        <v>19</v>
      </c>
      <c r="I387" s="20" t="s">
        <v>20</v>
      </c>
      <c r="J387" s="19" t="s">
        <v>1146</v>
      </c>
      <c r="K387" s="20" t="s">
        <v>64</v>
      </c>
      <c r="L387" s="20" t="s">
        <v>44</v>
      </c>
      <c r="M387" s="20" t="s">
        <v>65</v>
      </c>
      <c r="N387" s="21">
        <v>386</v>
      </c>
      <c r="O387" s="29">
        <v>45755</v>
      </c>
      <c r="P387" s="29">
        <v>45765</v>
      </c>
      <c r="Q387" s="29">
        <v>45770</v>
      </c>
      <c r="R387" s="29">
        <v>45776</v>
      </c>
      <c r="S387" s="23">
        <f t="shared" ref="S387:S450" si="25">O387-DATE(YEAR(O387),1,1)+1</f>
        <v>98</v>
      </c>
      <c r="T387" s="23">
        <f t="shared" ref="T387:T450" si="26">P387-DATE(YEAR(P387),1,1)+1</f>
        <v>108</v>
      </c>
      <c r="U387" s="23">
        <f t="shared" ref="U387:U450" si="27">Q387-DATE(YEAR(Q387),1,1)+1</f>
        <v>113</v>
      </c>
      <c r="V387" s="23">
        <f t="shared" ref="V387:V450" si="28">R387-DATE(YEAR(R387),1,1)+1</f>
        <v>119</v>
      </c>
      <c r="W387" s="20" t="s">
        <v>19</v>
      </c>
      <c r="X387" s="20" t="s">
        <v>20</v>
      </c>
      <c r="Y387" s="20" t="s">
        <v>64</v>
      </c>
      <c r="Z387" s="20" t="s">
        <v>44</v>
      </c>
      <c r="AA387" s="20" t="s">
        <v>426</v>
      </c>
      <c r="AB387" s="20" t="s">
        <v>15</v>
      </c>
      <c r="AC387" s="20" t="s">
        <v>16</v>
      </c>
      <c r="AD387" s="20"/>
      <c r="AE387" s="2">
        <v>0</v>
      </c>
      <c r="AF387" s="2"/>
    </row>
    <row r="388" spans="1:32" x14ac:dyDescent="0.2">
      <c r="A388" s="20" t="s">
        <v>426</v>
      </c>
      <c r="B388" s="20" t="s">
        <v>15</v>
      </c>
      <c r="C388" s="20" t="s">
        <v>16</v>
      </c>
      <c r="D388" s="20" t="s">
        <v>1144</v>
      </c>
      <c r="E388" s="20" t="s">
        <v>17</v>
      </c>
      <c r="F388" s="20">
        <v>2</v>
      </c>
      <c r="G388" s="20" t="s">
        <v>429</v>
      </c>
      <c r="H388" s="20" t="s">
        <v>19</v>
      </c>
      <c r="I388" s="20" t="s">
        <v>20</v>
      </c>
      <c r="J388" s="19" t="s">
        <v>1147</v>
      </c>
      <c r="K388" s="20" t="s">
        <v>64</v>
      </c>
      <c r="L388" s="20" t="s">
        <v>44</v>
      </c>
      <c r="M388" s="20" t="s">
        <v>65</v>
      </c>
      <c r="N388" s="21">
        <v>387</v>
      </c>
      <c r="O388" s="29">
        <v>45762</v>
      </c>
      <c r="P388" s="29">
        <v>45770</v>
      </c>
      <c r="Q388" s="29">
        <v>45772</v>
      </c>
      <c r="R388" s="29">
        <v>45779</v>
      </c>
      <c r="S388" s="23">
        <f t="shared" si="25"/>
        <v>105</v>
      </c>
      <c r="T388" s="23">
        <f t="shared" si="26"/>
        <v>113</v>
      </c>
      <c r="U388" s="23">
        <f t="shared" si="27"/>
        <v>115</v>
      </c>
      <c r="V388" s="23">
        <f t="shared" si="28"/>
        <v>122</v>
      </c>
      <c r="W388" s="20" t="s">
        <v>19</v>
      </c>
      <c r="X388" s="20" t="s">
        <v>20</v>
      </c>
      <c r="Y388" s="20" t="s">
        <v>64</v>
      </c>
      <c r="Z388" s="20" t="s">
        <v>44</v>
      </c>
      <c r="AA388" s="20" t="s">
        <v>426</v>
      </c>
      <c r="AB388" s="20" t="s">
        <v>15</v>
      </c>
      <c r="AC388" s="20" t="s">
        <v>16</v>
      </c>
      <c r="AD388" s="20"/>
      <c r="AE388" s="2">
        <v>0</v>
      </c>
      <c r="AF388" s="2"/>
    </row>
    <row r="389" spans="1:32" x14ac:dyDescent="0.2">
      <c r="A389" s="20" t="s">
        <v>426</v>
      </c>
      <c r="B389" s="20" t="s">
        <v>15</v>
      </c>
      <c r="C389" s="20" t="s">
        <v>16</v>
      </c>
      <c r="D389" s="20" t="s">
        <v>1144</v>
      </c>
      <c r="E389" s="20" t="s">
        <v>24</v>
      </c>
      <c r="F389" s="20">
        <v>2</v>
      </c>
      <c r="G389" s="20" t="s">
        <v>430</v>
      </c>
      <c r="H389" s="20" t="s">
        <v>19</v>
      </c>
      <c r="I389" s="20" t="s">
        <v>20</v>
      </c>
      <c r="J389" s="19" t="s">
        <v>1148</v>
      </c>
      <c r="K389" s="20" t="s">
        <v>64</v>
      </c>
      <c r="L389" s="20" t="s">
        <v>44</v>
      </c>
      <c r="M389" s="20" t="s">
        <v>65</v>
      </c>
      <c r="N389" s="21">
        <v>388</v>
      </c>
      <c r="O389" s="29">
        <v>45762</v>
      </c>
      <c r="P389" s="29">
        <v>45770</v>
      </c>
      <c r="Q389" s="29">
        <v>45776</v>
      </c>
      <c r="R389" s="29">
        <v>45779</v>
      </c>
      <c r="S389" s="23">
        <f t="shared" si="25"/>
        <v>105</v>
      </c>
      <c r="T389" s="23">
        <f t="shared" si="26"/>
        <v>113</v>
      </c>
      <c r="U389" s="23">
        <f t="shared" si="27"/>
        <v>119</v>
      </c>
      <c r="V389" s="23">
        <f t="shared" si="28"/>
        <v>122</v>
      </c>
      <c r="W389" s="20" t="s">
        <v>19</v>
      </c>
      <c r="X389" s="20" t="s">
        <v>20</v>
      </c>
      <c r="Y389" s="20" t="s">
        <v>64</v>
      </c>
      <c r="Z389" s="20" t="s">
        <v>44</v>
      </c>
      <c r="AA389" s="20" t="s">
        <v>426</v>
      </c>
      <c r="AB389" s="20" t="s">
        <v>15</v>
      </c>
      <c r="AC389" s="20" t="s">
        <v>16</v>
      </c>
      <c r="AD389" s="20"/>
      <c r="AE389" s="2">
        <v>0</v>
      </c>
      <c r="AF389" s="2"/>
    </row>
    <row r="390" spans="1:32" x14ac:dyDescent="0.2">
      <c r="A390" s="20" t="s">
        <v>426</v>
      </c>
      <c r="B390" s="20" t="s">
        <v>15</v>
      </c>
      <c r="C390" s="20" t="s">
        <v>16</v>
      </c>
      <c r="D390" s="20" t="s">
        <v>1144</v>
      </c>
      <c r="E390" s="20" t="s">
        <v>17</v>
      </c>
      <c r="F390" s="20">
        <v>3</v>
      </c>
      <c r="G390" s="20" t="s">
        <v>431</v>
      </c>
      <c r="H390" s="20" t="s">
        <v>19</v>
      </c>
      <c r="I390" s="20" t="s">
        <v>20</v>
      </c>
      <c r="J390" s="19" t="s">
        <v>1149</v>
      </c>
      <c r="K390" s="20" t="s">
        <v>64</v>
      </c>
      <c r="L390" s="20" t="s">
        <v>44</v>
      </c>
      <c r="M390" s="20" t="s">
        <v>65</v>
      </c>
      <c r="N390" s="21">
        <v>389</v>
      </c>
      <c r="O390" s="29">
        <v>45762</v>
      </c>
      <c r="P390" s="29">
        <v>45765</v>
      </c>
      <c r="Q390" s="29">
        <v>45770</v>
      </c>
      <c r="R390" s="29">
        <v>45772</v>
      </c>
      <c r="S390" s="23">
        <f t="shared" si="25"/>
        <v>105</v>
      </c>
      <c r="T390" s="23">
        <f t="shared" si="26"/>
        <v>108</v>
      </c>
      <c r="U390" s="23">
        <f t="shared" si="27"/>
        <v>113</v>
      </c>
      <c r="V390" s="23">
        <f t="shared" si="28"/>
        <v>115</v>
      </c>
      <c r="W390" s="20" t="s">
        <v>19</v>
      </c>
      <c r="X390" s="20" t="s">
        <v>20</v>
      </c>
      <c r="Y390" s="20" t="s">
        <v>64</v>
      </c>
      <c r="Z390" s="20" t="s">
        <v>44</v>
      </c>
      <c r="AA390" s="20" t="s">
        <v>426</v>
      </c>
      <c r="AB390" s="20" t="s">
        <v>15</v>
      </c>
      <c r="AC390" s="20" t="s">
        <v>16</v>
      </c>
      <c r="AD390" s="20"/>
      <c r="AE390" s="2">
        <v>0</v>
      </c>
      <c r="AF390" s="2"/>
    </row>
    <row r="391" spans="1:32" x14ac:dyDescent="0.2">
      <c r="A391" s="20" t="s">
        <v>426</v>
      </c>
      <c r="B391" s="20" t="s">
        <v>15</v>
      </c>
      <c r="C391" s="20" t="s">
        <v>16</v>
      </c>
      <c r="D391" s="20" t="s">
        <v>1144</v>
      </c>
      <c r="E391" s="20" t="s">
        <v>24</v>
      </c>
      <c r="F391" s="20">
        <v>3</v>
      </c>
      <c r="G391" s="20" t="s">
        <v>432</v>
      </c>
      <c r="H391" s="20" t="s">
        <v>19</v>
      </c>
      <c r="I391" s="20" t="s">
        <v>20</v>
      </c>
      <c r="J391" s="19" t="s">
        <v>1150</v>
      </c>
      <c r="K391" s="20" t="s">
        <v>64</v>
      </c>
      <c r="L391" s="20" t="s">
        <v>44</v>
      </c>
      <c r="M391" s="20" t="s">
        <v>65</v>
      </c>
      <c r="N391" s="21">
        <v>390</v>
      </c>
      <c r="O391" s="29">
        <v>45758</v>
      </c>
      <c r="P391" s="29">
        <v>45762</v>
      </c>
      <c r="Q391" s="29">
        <v>45770</v>
      </c>
      <c r="R391" s="29">
        <v>45772</v>
      </c>
      <c r="S391" s="23">
        <f t="shared" si="25"/>
        <v>101</v>
      </c>
      <c r="T391" s="23">
        <f t="shared" si="26"/>
        <v>105</v>
      </c>
      <c r="U391" s="23">
        <f t="shared" si="27"/>
        <v>113</v>
      </c>
      <c r="V391" s="23">
        <f t="shared" si="28"/>
        <v>115</v>
      </c>
      <c r="W391" s="20" t="s">
        <v>19</v>
      </c>
      <c r="X391" s="20" t="s">
        <v>20</v>
      </c>
      <c r="Y391" s="20" t="s">
        <v>64</v>
      </c>
      <c r="Z391" s="20" t="s">
        <v>44</v>
      </c>
      <c r="AA391" s="20" t="s">
        <v>426</v>
      </c>
      <c r="AB391" s="20" t="s">
        <v>15</v>
      </c>
      <c r="AC391" s="20" t="s">
        <v>16</v>
      </c>
      <c r="AD391" s="20"/>
      <c r="AE391" s="2">
        <v>0</v>
      </c>
      <c r="AF391" s="2"/>
    </row>
    <row r="392" spans="1:32" x14ac:dyDescent="0.2">
      <c r="A392" s="20" t="s">
        <v>426</v>
      </c>
      <c r="B392" s="20" t="s">
        <v>15</v>
      </c>
      <c r="C392" s="20" t="s">
        <v>16</v>
      </c>
      <c r="D392" s="18" t="s">
        <v>1144</v>
      </c>
      <c r="E392" s="20" t="s">
        <v>17</v>
      </c>
      <c r="F392" s="20">
        <v>4</v>
      </c>
      <c r="G392" s="20" t="s">
        <v>433</v>
      </c>
      <c r="H392" s="20" t="s">
        <v>19</v>
      </c>
      <c r="I392" s="20" t="s">
        <v>20</v>
      </c>
      <c r="J392" s="19" t="s">
        <v>1151</v>
      </c>
      <c r="K392" s="20" t="s">
        <v>64</v>
      </c>
      <c r="L392" s="20" t="s">
        <v>44</v>
      </c>
      <c r="M392" s="20" t="s">
        <v>65</v>
      </c>
      <c r="N392" s="21">
        <v>391</v>
      </c>
      <c r="O392" s="29">
        <v>45762</v>
      </c>
      <c r="P392" s="29">
        <v>45765</v>
      </c>
      <c r="Q392" s="29">
        <v>45770</v>
      </c>
      <c r="R392" s="29">
        <v>45772</v>
      </c>
      <c r="S392" s="23">
        <f t="shared" si="25"/>
        <v>105</v>
      </c>
      <c r="T392" s="23">
        <f t="shared" si="26"/>
        <v>108</v>
      </c>
      <c r="U392" s="23">
        <f t="shared" si="27"/>
        <v>113</v>
      </c>
      <c r="V392" s="23">
        <f t="shared" si="28"/>
        <v>115</v>
      </c>
      <c r="W392" s="20" t="s">
        <v>19</v>
      </c>
      <c r="X392" s="20" t="s">
        <v>20</v>
      </c>
      <c r="Y392" s="20" t="s">
        <v>64</v>
      </c>
      <c r="Z392" s="20" t="s">
        <v>44</v>
      </c>
      <c r="AA392" s="20" t="s">
        <v>426</v>
      </c>
      <c r="AB392" s="20" t="s">
        <v>15</v>
      </c>
      <c r="AC392" s="20" t="s">
        <v>16</v>
      </c>
      <c r="AD392" s="20"/>
      <c r="AE392" s="2">
        <v>0</v>
      </c>
      <c r="AF392" s="2"/>
    </row>
    <row r="393" spans="1:32" x14ac:dyDescent="0.2">
      <c r="A393" s="20" t="s">
        <v>426</v>
      </c>
      <c r="B393" s="20" t="s">
        <v>15</v>
      </c>
      <c r="C393" s="20" t="s">
        <v>16</v>
      </c>
      <c r="D393" s="18" t="s">
        <v>1144</v>
      </c>
      <c r="E393" s="20" t="s">
        <v>24</v>
      </c>
      <c r="F393" s="20">
        <v>4</v>
      </c>
      <c r="G393" s="20" t="s">
        <v>434</v>
      </c>
      <c r="H393" s="20" t="s">
        <v>19</v>
      </c>
      <c r="I393" s="20" t="s">
        <v>20</v>
      </c>
      <c r="J393" s="19" t="s">
        <v>1152</v>
      </c>
      <c r="K393" s="20" t="s">
        <v>64</v>
      </c>
      <c r="L393" s="20" t="s">
        <v>44</v>
      </c>
      <c r="M393" s="20" t="s">
        <v>65</v>
      </c>
      <c r="N393" s="21">
        <v>392</v>
      </c>
      <c r="O393" s="29">
        <v>45765</v>
      </c>
      <c r="P393" s="29">
        <v>45776</v>
      </c>
      <c r="Q393" s="29">
        <v>45779</v>
      </c>
      <c r="R393" s="29">
        <v>45783</v>
      </c>
      <c r="S393" s="23">
        <f t="shared" si="25"/>
        <v>108</v>
      </c>
      <c r="T393" s="23">
        <f t="shared" si="26"/>
        <v>119</v>
      </c>
      <c r="U393" s="23">
        <f t="shared" si="27"/>
        <v>122</v>
      </c>
      <c r="V393" s="23">
        <f t="shared" si="28"/>
        <v>126</v>
      </c>
      <c r="W393" s="20" t="s">
        <v>19</v>
      </c>
      <c r="X393" s="20" t="s">
        <v>20</v>
      </c>
      <c r="Y393" s="20" t="s">
        <v>64</v>
      </c>
      <c r="Z393" s="20" t="s">
        <v>44</v>
      </c>
      <c r="AA393" s="20" t="s">
        <v>426</v>
      </c>
      <c r="AB393" s="20" t="s">
        <v>15</v>
      </c>
      <c r="AC393" s="20" t="s">
        <v>16</v>
      </c>
      <c r="AD393" s="20"/>
      <c r="AE393" s="2">
        <v>0</v>
      </c>
      <c r="AF393" s="2"/>
    </row>
    <row r="394" spans="1:32" x14ac:dyDescent="0.2">
      <c r="A394" s="14" t="s">
        <v>426</v>
      </c>
      <c r="B394" s="14" t="s">
        <v>15</v>
      </c>
      <c r="C394" s="14" t="s">
        <v>32</v>
      </c>
      <c r="D394" s="14" t="s">
        <v>1153</v>
      </c>
      <c r="E394" s="14" t="s">
        <v>17</v>
      </c>
      <c r="F394" s="14">
        <v>1</v>
      </c>
      <c r="G394" s="14" t="s">
        <v>435</v>
      </c>
      <c r="H394" s="14" t="s">
        <v>35</v>
      </c>
      <c r="I394" s="14" t="s">
        <v>20</v>
      </c>
      <c r="J394" s="13" t="s">
        <v>1154</v>
      </c>
      <c r="K394" s="14" t="s">
        <v>64</v>
      </c>
      <c r="L394" s="14" t="s">
        <v>44</v>
      </c>
      <c r="M394" s="14" t="s">
        <v>65</v>
      </c>
      <c r="N394" s="13">
        <v>393</v>
      </c>
      <c r="O394" s="30">
        <v>45755</v>
      </c>
      <c r="P394" s="30">
        <v>45762</v>
      </c>
      <c r="Q394" s="30">
        <v>45765</v>
      </c>
      <c r="R394" s="30">
        <v>45772</v>
      </c>
      <c r="S394" s="23">
        <f t="shared" si="25"/>
        <v>98</v>
      </c>
      <c r="T394" s="23">
        <f t="shared" si="26"/>
        <v>105</v>
      </c>
      <c r="U394" s="23">
        <f t="shared" si="27"/>
        <v>108</v>
      </c>
      <c r="V394" s="23">
        <f t="shared" si="28"/>
        <v>115</v>
      </c>
      <c r="W394" s="14" t="s">
        <v>35</v>
      </c>
      <c r="X394" s="14" t="s">
        <v>20</v>
      </c>
      <c r="Y394" s="14" t="s">
        <v>64</v>
      </c>
      <c r="Z394" s="14" t="s">
        <v>44</v>
      </c>
      <c r="AA394" s="14" t="s">
        <v>426</v>
      </c>
      <c r="AB394" s="14" t="s">
        <v>15</v>
      </c>
      <c r="AC394" s="14" t="s">
        <v>32</v>
      </c>
      <c r="AD394" s="14"/>
      <c r="AE394" s="1">
        <v>0</v>
      </c>
      <c r="AF394" s="1"/>
    </row>
    <row r="395" spans="1:32" x14ac:dyDescent="0.2">
      <c r="A395" s="14" t="s">
        <v>426</v>
      </c>
      <c r="B395" s="14" t="s">
        <v>15</v>
      </c>
      <c r="C395" s="14" t="s">
        <v>32</v>
      </c>
      <c r="D395" s="14" t="s">
        <v>1153</v>
      </c>
      <c r="E395" s="14" t="s">
        <v>24</v>
      </c>
      <c r="F395" s="14">
        <v>1</v>
      </c>
      <c r="G395" s="14" t="s">
        <v>436</v>
      </c>
      <c r="H395" s="14" t="s">
        <v>35</v>
      </c>
      <c r="I395" s="14" t="s">
        <v>20</v>
      </c>
      <c r="J395" s="13" t="s">
        <v>1155</v>
      </c>
      <c r="K395" s="14" t="s">
        <v>64</v>
      </c>
      <c r="L395" s="14" t="s">
        <v>44</v>
      </c>
      <c r="M395" s="14" t="s">
        <v>65</v>
      </c>
      <c r="N395" s="13">
        <v>394</v>
      </c>
      <c r="O395" s="30">
        <v>45748</v>
      </c>
      <c r="P395" s="30">
        <v>45762</v>
      </c>
      <c r="Q395" s="30">
        <v>45765</v>
      </c>
      <c r="R395" s="30">
        <v>45776</v>
      </c>
      <c r="S395" s="23">
        <f t="shared" si="25"/>
        <v>91</v>
      </c>
      <c r="T395" s="23">
        <f t="shared" si="26"/>
        <v>105</v>
      </c>
      <c r="U395" s="23">
        <f t="shared" si="27"/>
        <v>108</v>
      </c>
      <c r="V395" s="23">
        <f t="shared" si="28"/>
        <v>119</v>
      </c>
      <c r="W395" s="14" t="s">
        <v>35</v>
      </c>
      <c r="X395" s="14" t="s">
        <v>20</v>
      </c>
      <c r="Y395" s="14" t="s">
        <v>64</v>
      </c>
      <c r="Z395" s="14" t="s">
        <v>44</v>
      </c>
      <c r="AA395" s="14" t="s">
        <v>426</v>
      </c>
      <c r="AB395" s="14" t="s">
        <v>15</v>
      </c>
      <c r="AC395" s="14" t="s">
        <v>32</v>
      </c>
      <c r="AD395" s="14"/>
      <c r="AE395" s="1">
        <v>0</v>
      </c>
      <c r="AF395" s="1"/>
    </row>
    <row r="396" spans="1:32" x14ac:dyDescent="0.2">
      <c r="A396" s="14" t="s">
        <v>426</v>
      </c>
      <c r="B396" s="14" t="s">
        <v>15</v>
      </c>
      <c r="C396" s="14" t="s">
        <v>32</v>
      </c>
      <c r="D396" s="14" t="s">
        <v>1153</v>
      </c>
      <c r="E396" s="14" t="s">
        <v>17</v>
      </c>
      <c r="F396" s="14">
        <v>2</v>
      </c>
      <c r="G396" s="14" t="s">
        <v>437</v>
      </c>
      <c r="H396" s="14" t="s">
        <v>35</v>
      </c>
      <c r="I396" s="14" t="s">
        <v>20</v>
      </c>
      <c r="J396" s="13" t="s">
        <v>1156</v>
      </c>
      <c r="K396" s="14" t="s">
        <v>64</v>
      </c>
      <c r="L396" s="14" t="s">
        <v>44</v>
      </c>
      <c r="M396" s="14" t="s">
        <v>65</v>
      </c>
      <c r="N396" s="13">
        <v>395</v>
      </c>
      <c r="O396" s="30">
        <v>45762</v>
      </c>
      <c r="P396" s="30">
        <v>45770</v>
      </c>
      <c r="Q396" s="30">
        <v>45779</v>
      </c>
      <c r="R396" s="30">
        <v>45783</v>
      </c>
      <c r="S396" s="23">
        <f t="shared" si="25"/>
        <v>105</v>
      </c>
      <c r="T396" s="23">
        <f t="shared" si="26"/>
        <v>113</v>
      </c>
      <c r="U396" s="23">
        <f t="shared" si="27"/>
        <v>122</v>
      </c>
      <c r="V396" s="23">
        <f t="shared" si="28"/>
        <v>126</v>
      </c>
      <c r="W396" s="14" t="s">
        <v>35</v>
      </c>
      <c r="X396" s="14" t="s">
        <v>20</v>
      </c>
      <c r="Y396" s="14" t="s">
        <v>64</v>
      </c>
      <c r="Z396" s="14" t="s">
        <v>44</v>
      </c>
      <c r="AA396" s="14" t="s">
        <v>426</v>
      </c>
      <c r="AB396" s="14" t="s">
        <v>15</v>
      </c>
      <c r="AC396" s="14" t="s">
        <v>32</v>
      </c>
      <c r="AD396" s="14"/>
      <c r="AE396" s="1">
        <v>0</v>
      </c>
      <c r="AF396" s="1"/>
    </row>
    <row r="397" spans="1:32" x14ac:dyDescent="0.2">
      <c r="A397" s="14" t="s">
        <v>426</v>
      </c>
      <c r="B397" s="14" t="s">
        <v>15</v>
      </c>
      <c r="C397" s="14" t="s">
        <v>32</v>
      </c>
      <c r="D397" s="14" t="s">
        <v>1153</v>
      </c>
      <c r="E397" s="14" t="s">
        <v>24</v>
      </c>
      <c r="F397" s="14">
        <v>2</v>
      </c>
      <c r="G397" s="14" t="s">
        <v>438</v>
      </c>
      <c r="H397" s="14" t="s">
        <v>35</v>
      </c>
      <c r="I397" s="14" t="s">
        <v>20</v>
      </c>
      <c r="J397" s="13" t="s">
        <v>1157</v>
      </c>
      <c r="K397" s="14" t="s">
        <v>64</v>
      </c>
      <c r="L397" s="14" t="s">
        <v>44</v>
      </c>
      <c r="M397" s="14" t="s">
        <v>65</v>
      </c>
      <c r="N397" s="13">
        <v>396</v>
      </c>
      <c r="O397" s="30">
        <v>45748</v>
      </c>
      <c r="P397" s="30">
        <v>45758</v>
      </c>
      <c r="Q397" s="30">
        <v>45765</v>
      </c>
      <c r="R397" s="30">
        <v>45772</v>
      </c>
      <c r="S397" s="23">
        <f t="shared" si="25"/>
        <v>91</v>
      </c>
      <c r="T397" s="23">
        <f t="shared" si="26"/>
        <v>101</v>
      </c>
      <c r="U397" s="23">
        <f t="shared" si="27"/>
        <v>108</v>
      </c>
      <c r="V397" s="23">
        <f t="shared" si="28"/>
        <v>115</v>
      </c>
      <c r="W397" s="14" t="s">
        <v>35</v>
      </c>
      <c r="X397" s="14" t="s">
        <v>20</v>
      </c>
      <c r="Y397" s="14" t="s">
        <v>64</v>
      </c>
      <c r="Z397" s="14" t="s">
        <v>44</v>
      </c>
      <c r="AA397" s="14" t="s">
        <v>426</v>
      </c>
      <c r="AB397" s="14" t="s">
        <v>15</v>
      </c>
      <c r="AC397" s="14" t="s">
        <v>32</v>
      </c>
      <c r="AD397" s="14"/>
      <c r="AE397" s="1">
        <v>0</v>
      </c>
      <c r="AF397" s="1"/>
    </row>
    <row r="398" spans="1:32" x14ac:dyDescent="0.2">
      <c r="A398" s="14" t="s">
        <v>426</v>
      </c>
      <c r="B398" s="14" t="s">
        <v>15</v>
      </c>
      <c r="C398" s="14" t="s">
        <v>32</v>
      </c>
      <c r="D398" s="14" t="s">
        <v>1153</v>
      </c>
      <c r="E398" s="14" t="s">
        <v>17</v>
      </c>
      <c r="F398" s="14">
        <v>3</v>
      </c>
      <c r="G398" s="14" t="s">
        <v>439</v>
      </c>
      <c r="H398" s="14" t="s">
        <v>35</v>
      </c>
      <c r="I398" s="14" t="s">
        <v>20</v>
      </c>
      <c r="J398" s="13" t="s">
        <v>1158</v>
      </c>
      <c r="K398" s="14" t="s">
        <v>64</v>
      </c>
      <c r="L398" s="14" t="s">
        <v>44</v>
      </c>
      <c r="M398" s="14" t="s">
        <v>65</v>
      </c>
      <c r="N398" s="13">
        <v>397</v>
      </c>
      <c r="O398" s="30">
        <v>45758</v>
      </c>
      <c r="P398" s="30">
        <v>45770</v>
      </c>
      <c r="Q398" s="30">
        <v>45772</v>
      </c>
      <c r="R398" s="30">
        <v>45779</v>
      </c>
      <c r="S398" s="23">
        <f t="shared" si="25"/>
        <v>101</v>
      </c>
      <c r="T398" s="23">
        <f t="shared" si="26"/>
        <v>113</v>
      </c>
      <c r="U398" s="23">
        <f t="shared" si="27"/>
        <v>115</v>
      </c>
      <c r="V398" s="23">
        <f t="shared" si="28"/>
        <v>122</v>
      </c>
      <c r="W398" s="14" t="s">
        <v>35</v>
      </c>
      <c r="X398" s="14" t="s">
        <v>20</v>
      </c>
      <c r="Y398" s="14" t="s">
        <v>64</v>
      </c>
      <c r="Z398" s="14" t="s">
        <v>44</v>
      </c>
      <c r="AA398" s="14" t="s">
        <v>426</v>
      </c>
      <c r="AB398" s="14" t="s">
        <v>15</v>
      </c>
      <c r="AC398" s="14" t="s">
        <v>32</v>
      </c>
      <c r="AD398" s="14"/>
      <c r="AE398" s="1">
        <v>0</v>
      </c>
      <c r="AF398" s="1"/>
    </row>
    <row r="399" spans="1:32" x14ac:dyDescent="0.2">
      <c r="A399" s="14" t="s">
        <v>426</v>
      </c>
      <c r="B399" s="14" t="s">
        <v>15</v>
      </c>
      <c r="C399" s="14" t="s">
        <v>32</v>
      </c>
      <c r="D399" s="14" t="s">
        <v>1153</v>
      </c>
      <c r="E399" s="14" t="s">
        <v>24</v>
      </c>
      <c r="F399" s="14">
        <v>3</v>
      </c>
      <c r="G399" s="14" t="s">
        <v>440</v>
      </c>
      <c r="H399" s="14" t="s">
        <v>35</v>
      </c>
      <c r="I399" s="14" t="s">
        <v>20</v>
      </c>
      <c r="J399" s="13" t="s">
        <v>1159</v>
      </c>
      <c r="K399" s="14" t="s">
        <v>64</v>
      </c>
      <c r="L399" s="14" t="s">
        <v>44</v>
      </c>
      <c r="M399" s="14" t="s">
        <v>65</v>
      </c>
      <c r="N399" s="13">
        <v>398</v>
      </c>
      <c r="O399" s="30">
        <v>45751</v>
      </c>
      <c r="P399" s="30">
        <v>45762</v>
      </c>
      <c r="Q399" s="30">
        <v>45765</v>
      </c>
      <c r="R399" s="30">
        <v>45776</v>
      </c>
      <c r="S399" s="23">
        <f t="shared" si="25"/>
        <v>94</v>
      </c>
      <c r="T399" s="23">
        <f t="shared" si="26"/>
        <v>105</v>
      </c>
      <c r="U399" s="23">
        <f t="shared" si="27"/>
        <v>108</v>
      </c>
      <c r="V399" s="23">
        <f t="shared" si="28"/>
        <v>119</v>
      </c>
      <c r="W399" s="14" t="s">
        <v>35</v>
      </c>
      <c r="X399" s="14" t="s">
        <v>20</v>
      </c>
      <c r="Y399" s="14" t="s">
        <v>64</v>
      </c>
      <c r="Z399" s="14" t="s">
        <v>44</v>
      </c>
      <c r="AA399" s="14" t="s">
        <v>426</v>
      </c>
      <c r="AB399" s="14" t="s">
        <v>15</v>
      </c>
      <c r="AC399" s="14" t="s">
        <v>32</v>
      </c>
      <c r="AD399" s="14"/>
      <c r="AE399" s="1">
        <v>0</v>
      </c>
      <c r="AF399" s="1"/>
    </row>
    <row r="400" spans="1:32" x14ac:dyDescent="0.2">
      <c r="A400" s="14" t="s">
        <v>426</v>
      </c>
      <c r="B400" s="14" t="s">
        <v>15</v>
      </c>
      <c r="C400" s="14" t="s">
        <v>32</v>
      </c>
      <c r="D400" s="14" t="s">
        <v>1153</v>
      </c>
      <c r="E400" s="14" t="s">
        <v>17</v>
      </c>
      <c r="F400" s="14">
        <v>4</v>
      </c>
      <c r="G400" s="14" t="s">
        <v>441</v>
      </c>
      <c r="H400" s="14" t="s">
        <v>35</v>
      </c>
      <c r="I400" s="14" t="s">
        <v>20</v>
      </c>
      <c r="J400" s="13" t="s">
        <v>1160</v>
      </c>
      <c r="K400" s="14" t="s">
        <v>64</v>
      </c>
      <c r="L400" s="14" t="s">
        <v>44</v>
      </c>
      <c r="M400" s="14" t="s">
        <v>65</v>
      </c>
      <c r="N400" s="13">
        <v>399</v>
      </c>
      <c r="O400" s="30">
        <v>45762</v>
      </c>
      <c r="P400" s="30">
        <v>45765</v>
      </c>
      <c r="Q400" s="30">
        <v>45772</v>
      </c>
      <c r="R400" s="30">
        <v>45776</v>
      </c>
      <c r="S400" s="23">
        <f t="shared" si="25"/>
        <v>105</v>
      </c>
      <c r="T400" s="23">
        <f t="shared" si="26"/>
        <v>108</v>
      </c>
      <c r="U400" s="23">
        <f t="shared" si="27"/>
        <v>115</v>
      </c>
      <c r="V400" s="23">
        <f t="shared" si="28"/>
        <v>119</v>
      </c>
      <c r="W400" s="14" t="s">
        <v>35</v>
      </c>
      <c r="X400" s="14" t="s">
        <v>20</v>
      </c>
      <c r="Y400" s="14" t="s">
        <v>64</v>
      </c>
      <c r="Z400" s="14" t="s">
        <v>44</v>
      </c>
      <c r="AA400" s="14" t="s">
        <v>426</v>
      </c>
      <c r="AB400" s="14" t="s">
        <v>15</v>
      </c>
      <c r="AC400" s="14" t="s">
        <v>32</v>
      </c>
      <c r="AD400" s="14"/>
      <c r="AE400" s="1">
        <v>0</v>
      </c>
      <c r="AF400" s="1"/>
    </row>
    <row r="401" spans="1:32" x14ac:dyDescent="0.2">
      <c r="A401" s="14" t="s">
        <v>426</v>
      </c>
      <c r="B401" s="14" t="s">
        <v>15</v>
      </c>
      <c r="C401" s="14" t="s">
        <v>32</v>
      </c>
      <c r="D401" s="14" t="s">
        <v>1153</v>
      </c>
      <c r="E401" s="14" t="s">
        <v>24</v>
      </c>
      <c r="F401" s="14">
        <v>4</v>
      </c>
      <c r="G401" s="14" t="s">
        <v>442</v>
      </c>
      <c r="H401" s="14" t="s">
        <v>35</v>
      </c>
      <c r="I401" s="14" t="s">
        <v>20</v>
      </c>
      <c r="J401" s="13" t="s">
        <v>1161</v>
      </c>
      <c r="K401" s="14" t="s">
        <v>64</v>
      </c>
      <c r="L401" s="14" t="s">
        <v>44</v>
      </c>
      <c r="M401" s="14" t="s">
        <v>65</v>
      </c>
      <c r="N401" s="13">
        <v>400</v>
      </c>
      <c r="O401" s="30">
        <v>45755</v>
      </c>
      <c r="P401" s="30">
        <v>45758</v>
      </c>
      <c r="Q401" s="30">
        <v>45762</v>
      </c>
      <c r="R401" s="30">
        <v>45772</v>
      </c>
      <c r="S401" s="23">
        <f t="shared" si="25"/>
        <v>98</v>
      </c>
      <c r="T401" s="23">
        <f t="shared" si="26"/>
        <v>101</v>
      </c>
      <c r="U401" s="23">
        <f t="shared" si="27"/>
        <v>105</v>
      </c>
      <c r="V401" s="23">
        <f t="shared" si="28"/>
        <v>115</v>
      </c>
      <c r="W401" s="14" t="s">
        <v>35</v>
      </c>
      <c r="X401" s="14" t="s">
        <v>20</v>
      </c>
      <c r="Y401" s="14" t="s">
        <v>64</v>
      </c>
      <c r="Z401" s="14" t="s">
        <v>44</v>
      </c>
      <c r="AA401" s="14" t="s">
        <v>426</v>
      </c>
      <c r="AB401" s="14" t="s">
        <v>15</v>
      </c>
      <c r="AC401" s="14" t="s">
        <v>32</v>
      </c>
      <c r="AD401" s="14"/>
      <c r="AE401" s="1">
        <v>0</v>
      </c>
      <c r="AF401" s="1"/>
    </row>
    <row r="402" spans="1:32" x14ac:dyDescent="0.2">
      <c r="A402" s="20" t="s">
        <v>426</v>
      </c>
      <c r="B402" s="20" t="s">
        <v>15</v>
      </c>
      <c r="C402" s="20" t="s">
        <v>42</v>
      </c>
      <c r="D402" s="18" t="s">
        <v>1162</v>
      </c>
      <c r="E402" s="20" t="s">
        <v>17</v>
      </c>
      <c r="F402" s="20">
        <v>1</v>
      </c>
      <c r="G402" s="20" t="s">
        <v>443</v>
      </c>
      <c r="H402" s="20" t="s">
        <v>19</v>
      </c>
      <c r="I402" s="20" t="s">
        <v>20</v>
      </c>
      <c r="J402" s="19" t="s">
        <v>1163</v>
      </c>
      <c r="K402" s="20" t="s">
        <v>64</v>
      </c>
      <c r="L402" s="20" t="s">
        <v>22</v>
      </c>
      <c r="M402" s="20" t="s">
        <v>74</v>
      </c>
      <c r="N402" s="21">
        <v>401</v>
      </c>
      <c r="O402" s="29">
        <v>45762</v>
      </c>
      <c r="P402" s="29">
        <v>45770</v>
      </c>
      <c r="Q402" s="29">
        <v>45772</v>
      </c>
      <c r="R402" s="29">
        <v>45779</v>
      </c>
      <c r="S402" s="23">
        <f t="shared" si="25"/>
        <v>105</v>
      </c>
      <c r="T402" s="23">
        <f t="shared" si="26"/>
        <v>113</v>
      </c>
      <c r="U402" s="23">
        <f t="shared" si="27"/>
        <v>115</v>
      </c>
      <c r="V402" s="23">
        <f t="shared" si="28"/>
        <v>122</v>
      </c>
      <c r="W402" s="20" t="s">
        <v>19</v>
      </c>
      <c r="X402" s="20" t="s">
        <v>20</v>
      </c>
      <c r="Y402" s="20" t="s">
        <v>64</v>
      </c>
      <c r="Z402" s="20" t="s">
        <v>22</v>
      </c>
      <c r="AA402" s="20" t="s">
        <v>426</v>
      </c>
      <c r="AB402" s="20" t="s">
        <v>15</v>
      </c>
      <c r="AC402" s="20" t="s">
        <v>42</v>
      </c>
      <c r="AD402" s="20"/>
      <c r="AE402" s="2">
        <v>0</v>
      </c>
      <c r="AF402" s="2"/>
    </row>
    <row r="403" spans="1:32" x14ac:dyDescent="0.2">
      <c r="A403" s="20" t="s">
        <v>426</v>
      </c>
      <c r="B403" s="20" t="s">
        <v>15</v>
      </c>
      <c r="C403" s="20" t="s">
        <v>42</v>
      </c>
      <c r="D403" s="18" t="s">
        <v>1162</v>
      </c>
      <c r="E403" s="20" t="s">
        <v>24</v>
      </c>
      <c r="F403" s="20">
        <v>1</v>
      </c>
      <c r="G403" s="20" t="s">
        <v>444</v>
      </c>
      <c r="H403" s="20" t="s">
        <v>35</v>
      </c>
      <c r="I403" s="20" t="s">
        <v>20</v>
      </c>
      <c r="J403" s="19" t="s">
        <v>1164</v>
      </c>
      <c r="K403" s="20" t="s">
        <v>64</v>
      </c>
      <c r="L403" s="20" t="s">
        <v>22</v>
      </c>
      <c r="M403" s="20" t="s">
        <v>74</v>
      </c>
      <c r="N403" s="21">
        <v>402</v>
      </c>
      <c r="O403" s="29">
        <v>45762</v>
      </c>
      <c r="P403" s="29">
        <v>45765</v>
      </c>
      <c r="Q403" s="29">
        <v>45779</v>
      </c>
      <c r="R403" s="29">
        <v>45783</v>
      </c>
      <c r="S403" s="23">
        <f t="shared" si="25"/>
        <v>105</v>
      </c>
      <c r="T403" s="23">
        <f t="shared" si="26"/>
        <v>108</v>
      </c>
      <c r="U403" s="23">
        <f t="shared" si="27"/>
        <v>122</v>
      </c>
      <c r="V403" s="23">
        <f t="shared" si="28"/>
        <v>126</v>
      </c>
      <c r="W403" s="20" t="s">
        <v>35</v>
      </c>
      <c r="X403" s="20" t="s">
        <v>20</v>
      </c>
      <c r="Y403" s="20" t="s">
        <v>64</v>
      </c>
      <c r="Z403" s="20" t="s">
        <v>22</v>
      </c>
      <c r="AA403" s="20" t="s">
        <v>426</v>
      </c>
      <c r="AB403" s="20" t="s">
        <v>15</v>
      </c>
      <c r="AC403" s="20" t="s">
        <v>42</v>
      </c>
      <c r="AD403" s="20"/>
      <c r="AE403" s="2">
        <v>0</v>
      </c>
      <c r="AF403" s="2"/>
    </row>
    <row r="404" spans="1:32" x14ac:dyDescent="0.2">
      <c r="A404" s="20" t="s">
        <v>426</v>
      </c>
      <c r="B404" s="20" t="s">
        <v>15</v>
      </c>
      <c r="C404" s="20" t="s">
        <v>42</v>
      </c>
      <c r="D404" s="18" t="s">
        <v>1162</v>
      </c>
      <c r="E404" s="20" t="s">
        <v>17</v>
      </c>
      <c r="F404" s="20">
        <v>2</v>
      </c>
      <c r="G404" s="20" t="s">
        <v>445</v>
      </c>
      <c r="H404" s="20" t="s">
        <v>35</v>
      </c>
      <c r="I404" s="20" t="s">
        <v>20</v>
      </c>
      <c r="J404" s="19" t="s">
        <v>1165</v>
      </c>
      <c r="K404" s="20" t="s">
        <v>64</v>
      </c>
      <c r="L404" s="20" t="s">
        <v>22</v>
      </c>
      <c r="M404" s="20" t="s">
        <v>74</v>
      </c>
      <c r="N404" s="21">
        <v>403</v>
      </c>
      <c r="O404" s="29">
        <v>45755</v>
      </c>
      <c r="P404" s="29">
        <v>45762</v>
      </c>
      <c r="Q404" s="29">
        <v>45772</v>
      </c>
      <c r="R404" s="29">
        <v>45776</v>
      </c>
      <c r="S404" s="23">
        <f t="shared" si="25"/>
        <v>98</v>
      </c>
      <c r="T404" s="23">
        <f t="shared" si="26"/>
        <v>105</v>
      </c>
      <c r="U404" s="23">
        <f t="shared" si="27"/>
        <v>115</v>
      </c>
      <c r="V404" s="23">
        <f t="shared" si="28"/>
        <v>119</v>
      </c>
      <c r="W404" s="20" t="s">
        <v>35</v>
      </c>
      <c r="X404" s="20" t="s">
        <v>20</v>
      </c>
      <c r="Y404" s="20" t="s">
        <v>64</v>
      </c>
      <c r="Z404" s="20" t="s">
        <v>22</v>
      </c>
      <c r="AA404" s="20" t="s">
        <v>426</v>
      </c>
      <c r="AB404" s="20" t="s">
        <v>15</v>
      </c>
      <c r="AC404" s="20" t="s">
        <v>42</v>
      </c>
      <c r="AD404" s="20"/>
      <c r="AE404" s="2">
        <v>0</v>
      </c>
      <c r="AF404" s="2"/>
    </row>
    <row r="405" spans="1:32" x14ac:dyDescent="0.2">
      <c r="A405" s="20" t="s">
        <v>426</v>
      </c>
      <c r="B405" s="20" t="s">
        <v>15</v>
      </c>
      <c r="C405" s="20" t="s">
        <v>42</v>
      </c>
      <c r="D405" s="18" t="s">
        <v>1162</v>
      </c>
      <c r="E405" s="20" t="s">
        <v>24</v>
      </c>
      <c r="F405" s="20">
        <v>2</v>
      </c>
      <c r="G405" s="20" t="s">
        <v>446</v>
      </c>
      <c r="H405" s="20" t="s">
        <v>19</v>
      </c>
      <c r="I405" s="20" t="s">
        <v>20</v>
      </c>
      <c r="J405" s="19" t="s">
        <v>1166</v>
      </c>
      <c r="K405" s="20" t="s">
        <v>64</v>
      </c>
      <c r="L405" s="20" t="s">
        <v>22</v>
      </c>
      <c r="M405" s="20" t="s">
        <v>74</v>
      </c>
      <c r="N405" s="21">
        <v>404</v>
      </c>
      <c r="O405" s="29">
        <v>45762</v>
      </c>
      <c r="P405" s="29">
        <v>45772</v>
      </c>
      <c r="Q405" s="29">
        <v>45776</v>
      </c>
      <c r="R405" s="29">
        <v>45779</v>
      </c>
      <c r="S405" s="23">
        <f t="shared" si="25"/>
        <v>105</v>
      </c>
      <c r="T405" s="23">
        <f t="shared" si="26"/>
        <v>115</v>
      </c>
      <c r="U405" s="23">
        <f t="shared" si="27"/>
        <v>119</v>
      </c>
      <c r="V405" s="23">
        <f t="shared" si="28"/>
        <v>122</v>
      </c>
      <c r="W405" s="20" t="s">
        <v>19</v>
      </c>
      <c r="X405" s="20" t="s">
        <v>20</v>
      </c>
      <c r="Y405" s="20" t="s">
        <v>64</v>
      </c>
      <c r="Z405" s="20" t="s">
        <v>22</v>
      </c>
      <c r="AA405" s="20" t="s">
        <v>426</v>
      </c>
      <c r="AB405" s="20" t="s">
        <v>15</v>
      </c>
      <c r="AC405" s="20" t="s">
        <v>42</v>
      </c>
      <c r="AD405" s="20"/>
      <c r="AE405" s="2">
        <v>0</v>
      </c>
      <c r="AF405" s="2"/>
    </row>
    <row r="406" spans="1:32" x14ac:dyDescent="0.2">
      <c r="A406" s="20" t="s">
        <v>426</v>
      </c>
      <c r="B406" s="20" t="s">
        <v>15</v>
      </c>
      <c r="C406" s="20" t="s">
        <v>42</v>
      </c>
      <c r="D406" s="18" t="s">
        <v>1162</v>
      </c>
      <c r="E406" s="20" t="s">
        <v>17</v>
      </c>
      <c r="F406" s="20">
        <v>3</v>
      </c>
      <c r="G406" s="20" t="s">
        <v>447</v>
      </c>
      <c r="H406" s="20" t="s">
        <v>19</v>
      </c>
      <c r="I406" s="20" t="s">
        <v>20</v>
      </c>
      <c r="J406" s="19" t="s">
        <v>1167</v>
      </c>
      <c r="K406" s="20" t="s">
        <v>64</v>
      </c>
      <c r="L406" s="20" t="s">
        <v>22</v>
      </c>
      <c r="M406" s="20" t="s">
        <v>74</v>
      </c>
      <c r="N406" s="21">
        <v>405</v>
      </c>
      <c r="O406" s="29">
        <v>45762</v>
      </c>
      <c r="P406" s="29">
        <v>45776</v>
      </c>
      <c r="Q406" s="29">
        <v>45779</v>
      </c>
      <c r="R406" s="29">
        <v>45783</v>
      </c>
      <c r="S406" s="23">
        <f t="shared" si="25"/>
        <v>105</v>
      </c>
      <c r="T406" s="23">
        <f t="shared" si="26"/>
        <v>119</v>
      </c>
      <c r="U406" s="23">
        <f t="shared" si="27"/>
        <v>122</v>
      </c>
      <c r="V406" s="23">
        <f t="shared" si="28"/>
        <v>126</v>
      </c>
      <c r="W406" s="20" t="s">
        <v>19</v>
      </c>
      <c r="X406" s="20" t="s">
        <v>20</v>
      </c>
      <c r="Y406" s="20" t="s">
        <v>64</v>
      </c>
      <c r="Z406" s="20" t="s">
        <v>22</v>
      </c>
      <c r="AA406" s="20" t="s">
        <v>426</v>
      </c>
      <c r="AB406" s="20" t="s">
        <v>15</v>
      </c>
      <c r="AC406" s="20" t="s">
        <v>42</v>
      </c>
      <c r="AD406" s="20"/>
      <c r="AE406" s="2">
        <v>0</v>
      </c>
      <c r="AF406" s="2"/>
    </row>
    <row r="407" spans="1:32" x14ac:dyDescent="0.2">
      <c r="A407" s="20" t="s">
        <v>426</v>
      </c>
      <c r="B407" s="20" t="s">
        <v>15</v>
      </c>
      <c r="C407" s="20" t="s">
        <v>42</v>
      </c>
      <c r="D407" s="18" t="s">
        <v>1162</v>
      </c>
      <c r="E407" s="20" t="s">
        <v>24</v>
      </c>
      <c r="F407" s="20">
        <v>3</v>
      </c>
      <c r="G407" s="20" t="s">
        <v>448</v>
      </c>
      <c r="H407" s="20" t="s">
        <v>35</v>
      </c>
      <c r="I407" s="20" t="s">
        <v>20</v>
      </c>
      <c r="J407" s="19" t="s">
        <v>1168</v>
      </c>
      <c r="K407" s="20" t="s">
        <v>64</v>
      </c>
      <c r="L407" s="20" t="s">
        <v>22</v>
      </c>
      <c r="M407" s="20" t="s">
        <v>74</v>
      </c>
      <c r="N407" s="21">
        <v>406</v>
      </c>
      <c r="O407" s="29">
        <v>45765</v>
      </c>
      <c r="P407" s="29">
        <v>45772</v>
      </c>
      <c r="Q407" s="29">
        <v>45779</v>
      </c>
      <c r="R407" s="29">
        <v>45783</v>
      </c>
      <c r="S407" s="23">
        <f t="shared" si="25"/>
        <v>108</v>
      </c>
      <c r="T407" s="23">
        <f t="shared" si="26"/>
        <v>115</v>
      </c>
      <c r="U407" s="23">
        <f t="shared" si="27"/>
        <v>122</v>
      </c>
      <c r="V407" s="23">
        <f t="shared" si="28"/>
        <v>126</v>
      </c>
      <c r="W407" s="20" t="s">
        <v>35</v>
      </c>
      <c r="X407" s="20" t="s">
        <v>20</v>
      </c>
      <c r="Y407" s="20" t="s">
        <v>64</v>
      </c>
      <c r="Z407" s="20" t="s">
        <v>22</v>
      </c>
      <c r="AA407" s="20" t="s">
        <v>426</v>
      </c>
      <c r="AB407" s="20" t="s">
        <v>15</v>
      </c>
      <c r="AC407" s="20" t="s">
        <v>42</v>
      </c>
      <c r="AD407" s="20"/>
      <c r="AE407" s="2">
        <v>0</v>
      </c>
      <c r="AF407" s="2"/>
    </row>
    <row r="408" spans="1:32" x14ac:dyDescent="0.2">
      <c r="A408" s="20" t="s">
        <v>426</v>
      </c>
      <c r="B408" s="20" t="s">
        <v>15</v>
      </c>
      <c r="C408" s="20" t="s">
        <v>42</v>
      </c>
      <c r="D408" s="18" t="s">
        <v>1162</v>
      </c>
      <c r="E408" s="20" t="s">
        <v>17</v>
      </c>
      <c r="F408" s="20">
        <v>4</v>
      </c>
      <c r="G408" s="20" t="s">
        <v>449</v>
      </c>
      <c r="H408" s="20" t="s">
        <v>35</v>
      </c>
      <c r="I408" s="20" t="s">
        <v>20</v>
      </c>
      <c r="J408" s="19" t="s">
        <v>1169</v>
      </c>
      <c r="K408" s="20" t="s">
        <v>64</v>
      </c>
      <c r="L408" s="20" t="s">
        <v>22</v>
      </c>
      <c r="M408" s="20" t="s">
        <v>74</v>
      </c>
      <c r="N408" s="21">
        <v>407</v>
      </c>
      <c r="O408" s="29">
        <v>45755</v>
      </c>
      <c r="P408" s="29">
        <v>45758</v>
      </c>
      <c r="Q408" s="29">
        <v>45770</v>
      </c>
      <c r="R408" s="29">
        <v>45776</v>
      </c>
      <c r="S408" s="23">
        <f t="shared" si="25"/>
        <v>98</v>
      </c>
      <c r="T408" s="23">
        <f t="shared" si="26"/>
        <v>101</v>
      </c>
      <c r="U408" s="23">
        <f t="shared" si="27"/>
        <v>113</v>
      </c>
      <c r="V408" s="23">
        <f t="shared" si="28"/>
        <v>119</v>
      </c>
      <c r="W408" s="20" t="s">
        <v>35</v>
      </c>
      <c r="X408" s="20" t="s">
        <v>20</v>
      </c>
      <c r="Y408" s="20" t="s">
        <v>64</v>
      </c>
      <c r="Z408" s="20" t="s">
        <v>22</v>
      </c>
      <c r="AA408" s="20" t="s">
        <v>426</v>
      </c>
      <c r="AB408" s="20" t="s">
        <v>15</v>
      </c>
      <c r="AC408" s="20" t="s">
        <v>42</v>
      </c>
      <c r="AD408" s="20"/>
      <c r="AE408" s="2">
        <v>0</v>
      </c>
      <c r="AF408" s="2"/>
    </row>
    <row r="409" spans="1:32" x14ac:dyDescent="0.2">
      <c r="A409" s="20" t="s">
        <v>426</v>
      </c>
      <c r="B409" s="20" t="s">
        <v>15</v>
      </c>
      <c r="C409" s="20" t="s">
        <v>42</v>
      </c>
      <c r="D409" s="18" t="s">
        <v>1162</v>
      </c>
      <c r="E409" s="20" t="s">
        <v>24</v>
      </c>
      <c r="F409" s="20">
        <v>4</v>
      </c>
      <c r="G409" s="20" t="s">
        <v>450</v>
      </c>
      <c r="H409" s="20" t="s">
        <v>19</v>
      </c>
      <c r="I409" s="20" t="s">
        <v>20</v>
      </c>
      <c r="J409" s="19" t="s">
        <v>1170</v>
      </c>
      <c r="K409" s="20" t="s">
        <v>64</v>
      </c>
      <c r="L409" s="20" t="s">
        <v>22</v>
      </c>
      <c r="M409" s="20" t="s">
        <v>74</v>
      </c>
      <c r="N409" s="21">
        <v>408</v>
      </c>
      <c r="O409" s="29">
        <v>45770</v>
      </c>
      <c r="P409" s="29">
        <v>45776</v>
      </c>
      <c r="Q409" s="29">
        <v>45779</v>
      </c>
      <c r="R409" s="29">
        <v>45783</v>
      </c>
      <c r="S409" s="23">
        <f t="shared" si="25"/>
        <v>113</v>
      </c>
      <c r="T409" s="23">
        <f t="shared" si="26"/>
        <v>119</v>
      </c>
      <c r="U409" s="23">
        <f t="shared" si="27"/>
        <v>122</v>
      </c>
      <c r="V409" s="23">
        <f t="shared" si="28"/>
        <v>126</v>
      </c>
      <c r="W409" s="20" t="s">
        <v>19</v>
      </c>
      <c r="X409" s="20" t="s">
        <v>20</v>
      </c>
      <c r="Y409" s="20" t="s">
        <v>64</v>
      </c>
      <c r="Z409" s="20" t="s">
        <v>22</v>
      </c>
      <c r="AA409" s="20" t="s">
        <v>426</v>
      </c>
      <c r="AB409" s="20" t="s">
        <v>15</v>
      </c>
      <c r="AC409" s="20" t="s">
        <v>42</v>
      </c>
      <c r="AD409" s="20"/>
      <c r="AE409" s="2">
        <v>0</v>
      </c>
      <c r="AF409" s="2"/>
    </row>
    <row r="410" spans="1:32" x14ac:dyDescent="0.2">
      <c r="A410" s="14" t="s">
        <v>426</v>
      </c>
      <c r="B410" s="14" t="s">
        <v>15</v>
      </c>
      <c r="C410" s="14" t="s">
        <v>53</v>
      </c>
      <c r="D410" s="14" t="s">
        <v>1171</v>
      </c>
      <c r="E410" s="14" t="s">
        <v>17</v>
      </c>
      <c r="F410" s="14">
        <v>1</v>
      </c>
      <c r="G410" s="14" t="s">
        <v>451</v>
      </c>
      <c r="H410" s="14" t="s">
        <v>19</v>
      </c>
      <c r="I410" s="14" t="s">
        <v>20</v>
      </c>
      <c r="J410" s="13" t="s">
        <v>1172</v>
      </c>
      <c r="K410" s="14" t="s">
        <v>64</v>
      </c>
      <c r="L410" s="14" t="s">
        <v>44</v>
      </c>
      <c r="M410" s="14" t="s">
        <v>65</v>
      </c>
      <c r="N410" s="13">
        <v>409</v>
      </c>
      <c r="O410" s="30">
        <v>45770</v>
      </c>
      <c r="P410" s="30">
        <v>45776</v>
      </c>
      <c r="Q410" s="30">
        <v>45779</v>
      </c>
      <c r="R410" s="30">
        <v>45783</v>
      </c>
      <c r="S410" s="23">
        <f t="shared" si="25"/>
        <v>113</v>
      </c>
      <c r="T410" s="23">
        <f t="shared" si="26"/>
        <v>119</v>
      </c>
      <c r="U410" s="23">
        <f t="shared" si="27"/>
        <v>122</v>
      </c>
      <c r="V410" s="23">
        <f t="shared" si="28"/>
        <v>126</v>
      </c>
      <c r="W410" s="14" t="s">
        <v>19</v>
      </c>
      <c r="X410" s="14" t="s">
        <v>20</v>
      </c>
      <c r="Y410" s="14" t="s">
        <v>64</v>
      </c>
      <c r="Z410" s="14" t="s">
        <v>44</v>
      </c>
      <c r="AA410" s="14" t="s">
        <v>426</v>
      </c>
      <c r="AB410" s="14" t="s">
        <v>15</v>
      </c>
      <c r="AC410" s="14" t="s">
        <v>53</v>
      </c>
      <c r="AD410" s="14"/>
      <c r="AE410" s="1">
        <v>0</v>
      </c>
      <c r="AF410" s="1"/>
    </row>
    <row r="411" spans="1:32" x14ac:dyDescent="0.2">
      <c r="A411" s="14" t="s">
        <v>426</v>
      </c>
      <c r="B411" s="14" t="s">
        <v>15</v>
      </c>
      <c r="C411" s="14" t="s">
        <v>53</v>
      </c>
      <c r="D411" s="14" t="s">
        <v>1171</v>
      </c>
      <c r="E411" s="14" t="s">
        <v>24</v>
      </c>
      <c r="F411" s="14">
        <v>1</v>
      </c>
      <c r="G411" s="14" t="s">
        <v>452</v>
      </c>
      <c r="H411" s="14" t="s">
        <v>35</v>
      </c>
      <c r="I411" s="14" t="s">
        <v>20</v>
      </c>
      <c r="J411" s="13" t="s">
        <v>1173</v>
      </c>
      <c r="K411" s="14" t="s">
        <v>64</v>
      </c>
      <c r="L411" s="14" t="s">
        <v>44</v>
      </c>
      <c r="M411" s="14" t="s">
        <v>65</v>
      </c>
      <c r="N411" s="13">
        <v>410</v>
      </c>
      <c r="O411" s="30">
        <v>45762</v>
      </c>
      <c r="P411" s="1"/>
      <c r="Q411" s="30">
        <v>45779</v>
      </c>
      <c r="R411" s="30">
        <v>45783</v>
      </c>
      <c r="S411" s="23">
        <f t="shared" si="25"/>
        <v>105</v>
      </c>
      <c r="T411" s="23">
        <f>(U411+S411)/2</f>
        <v>113.5</v>
      </c>
      <c r="U411" s="23">
        <f t="shared" si="27"/>
        <v>122</v>
      </c>
      <c r="V411" s="23">
        <f t="shared" si="28"/>
        <v>126</v>
      </c>
      <c r="W411" s="14" t="s">
        <v>35</v>
      </c>
      <c r="X411" s="14" t="s">
        <v>20</v>
      </c>
      <c r="Y411" s="14" t="s">
        <v>64</v>
      </c>
      <c r="Z411" s="14" t="s">
        <v>44</v>
      </c>
      <c r="AA411" s="14" t="s">
        <v>426</v>
      </c>
      <c r="AB411" s="14" t="s">
        <v>15</v>
      </c>
      <c r="AC411" s="14" t="s">
        <v>53</v>
      </c>
      <c r="AD411" s="14"/>
      <c r="AE411" s="1">
        <v>0</v>
      </c>
      <c r="AF411" s="1"/>
    </row>
    <row r="412" spans="1:32" x14ac:dyDescent="0.2">
      <c r="A412" s="14" t="s">
        <v>426</v>
      </c>
      <c r="B412" s="14" t="s">
        <v>15</v>
      </c>
      <c r="C412" s="14" t="s">
        <v>53</v>
      </c>
      <c r="D412" s="14" t="s">
        <v>1171</v>
      </c>
      <c r="E412" s="14" t="s">
        <v>17</v>
      </c>
      <c r="F412" s="14">
        <v>2</v>
      </c>
      <c r="G412" s="14" t="s">
        <v>453</v>
      </c>
      <c r="H412" s="14" t="s">
        <v>35</v>
      </c>
      <c r="I412" s="14" t="s">
        <v>20</v>
      </c>
      <c r="J412" s="13" t="s">
        <v>1174</v>
      </c>
      <c r="K412" s="14" t="s">
        <v>64</v>
      </c>
      <c r="L412" s="14" t="s">
        <v>44</v>
      </c>
      <c r="M412" s="14" t="s">
        <v>65</v>
      </c>
      <c r="N412" s="13">
        <v>411</v>
      </c>
      <c r="O412" s="30">
        <v>45783</v>
      </c>
      <c r="P412" s="30">
        <v>45786</v>
      </c>
      <c r="Q412" s="30">
        <v>45793</v>
      </c>
      <c r="R412" s="30">
        <v>45800</v>
      </c>
      <c r="S412" s="23">
        <f t="shared" si="25"/>
        <v>126</v>
      </c>
      <c r="T412" s="23">
        <f t="shared" si="26"/>
        <v>129</v>
      </c>
      <c r="U412" s="23">
        <f t="shared" si="27"/>
        <v>136</v>
      </c>
      <c r="V412" s="23">
        <f t="shared" si="28"/>
        <v>143</v>
      </c>
      <c r="W412" s="14" t="s">
        <v>35</v>
      </c>
      <c r="X412" s="14" t="s">
        <v>20</v>
      </c>
      <c r="Y412" s="14" t="s">
        <v>64</v>
      </c>
      <c r="Z412" s="14" t="s">
        <v>44</v>
      </c>
      <c r="AA412" s="14" t="s">
        <v>426</v>
      </c>
      <c r="AB412" s="14" t="s">
        <v>15</v>
      </c>
      <c r="AC412" s="14" t="s">
        <v>53</v>
      </c>
      <c r="AD412" s="14"/>
      <c r="AE412" s="1">
        <v>0</v>
      </c>
      <c r="AF412" s="1"/>
    </row>
    <row r="413" spans="1:32" x14ac:dyDescent="0.2">
      <c r="A413" s="14" t="s">
        <v>426</v>
      </c>
      <c r="B413" s="14" t="s">
        <v>15</v>
      </c>
      <c r="C413" s="14" t="s">
        <v>53</v>
      </c>
      <c r="D413" s="14" t="s">
        <v>1171</v>
      </c>
      <c r="E413" s="14" t="s">
        <v>24</v>
      </c>
      <c r="F413" s="14">
        <v>2</v>
      </c>
      <c r="G413" s="14" t="s">
        <v>454</v>
      </c>
      <c r="H413" s="14" t="s">
        <v>19</v>
      </c>
      <c r="I413" s="14" t="s">
        <v>20</v>
      </c>
      <c r="J413" s="13" t="s">
        <v>1175</v>
      </c>
      <c r="K413" s="14" t="s">
        <v>64</v>
      </c>
      <c r="L413" s="14" t="s">
        <v>44</v>
      </c>
      <c r="M413" s="14" t="s">
        <v>65</v>
      </c>
      <c r="N413" s="13">
        <v>412</v>
      </c>
      <c r="O413" s="30">
        <v>45765</v>
      </c>
      <c r="P413" s="30">
        <v>45776</v>
      </c>
      <c r="Q413" s="30">
        <v>45779</v>
      </c>
      <c r="R413" s="30">
        <v>45783</v>
      </c>
      <c r="S413" s="23">
        <f t="shared" si="25"/>
        <v>108</v>
      </c>
      <c r="T413" s="23">
        <f t="shared" si="26"/>
        <v>119</v>
      </c>
      <c r="U413" s="23">
        <f t="shared" si="27"/>
        <v>122</v>
      </c>
      <c r="V413" s="23">
        <f t="shared" si="28"/>
        <v>126</v>
      </c>
      <c r="W413" s="14" t="s">
        <v>19</v>
      </c>
      <c r="X413" s="14" t="s">
        <v>20</v>
      </c>
      <c r="Y413" s="14" t="s">
        <v>64</v>
      </c>
      <c r="Z413" s="14" t="s">
        <v>44</v>
      </c>
      <c r="AA413" s="14" t="s">
        <v>426</v>
      </c>
      <c r="AB413" s="14" t="s">
        <v>15</v>
      </c>
      <c r="AC413" s="14" t="s">
        <v>53</v>
      </c>
      <c r="AD413" s="14"/>
      <c r="AE413" s="1">
        <v>0</v>
      </c>
      <c r="AF413" s="1"/>
    </row>
    <row r="414" spans="1:32" x14ac:dyDescent="0.2">
      <c r="A414" s="14" t="s">
        <v>426</v>
      </c>
      <c r="B414" s="14" t="s">
        <v>15</v>
      </c>
      <c r="C414" s="14" t="s">
        <v>53</v>
      </c>
      <c r="D414" s="14" t="s">
        <v>1171</v>
      </c>
      <c r="E414" s="14" t="s">
        <v>17</v>
      </c>
      <c r="F414" s="14">
        <v>3</v>
      </c>
      <c r="G414" s="14" t="s">
        <v>455</v>
      </c>
      <c r="H414" s="14" t="s">
        <v>19</v>
      </c>
      <c r="I414" s="14" t="s">
        <v>20</v>
      </c>
      <c r="J414" s="13" t="s">
        <v>1176</v>
      </c>
      <c r="K414" s="14" t="s">
        <v>64</v>
      </c>
      <c r="L414" s="14" t="s">
        <v>44</v>
      </c>
      <c r="M414" s="14" t="s">
        <v>65</v>
      </c>
      <c r="N414" s="13">
        <v>413</v>
      </c>
      <c r="O414" s="30">
        <v>45762</v>
      </c>
      <c r="P414" s="30">
        <v>45770</v>
      </c>
      <c r="Q414" s="30">
        <v>45772</v>
      </c>
      <c r="R414" s="30">
        <v>45776</v>
      </c>
      <c r="S414" s="23">
        <f t="shared" si="25"/>
        <v>105</v>
      </c>
      <c r="T414" s="23">
        <f t="shared" si="26"/>
        <v>113</v>
      </c>
      <c r="U414" s="23">
        <f t="shared" si="27"/>
        <v>115</v>
      </c>
      <c r="V414" s="23">
        <f t="shared" si="28"/>
        <v>119</v>
      </c>
      <c r="W414" s="14" t="s">
        <v>19</v>
      </c>
      <c r="X414" s="14" t="s">
        <v>20</v>
      </c>
      <c r="Y414" s="14" t="s">
        <v>64</v>
      </c>
      <c r="Z414" s="14" t="s">
        <v>44</v>
      </c>
      <c r="AA414" s="14" t="s">
        <v>426</v>
      </c>
      <c r="AB414" s="14" t="s">
        <v>15</v>
      </c>
      <c r="AC414" s="14" t="s">
        <v>53</v>
      </c>
      <c r="AD414" s="14"/>
      <c r="AE414" s="1">
        <v>0</v>
      </c>
      <c r="AF414" s="1"/>
    </row>
    <row r="415" spans="1:32" x14ac:dyDescent="0.2">
      <c r="A415" s="14" t="s">
        <v>426</v>
      </c>
      <c r="B415" s="14" t="s">
        <v>15</v>
      </c>
      <c r="C415" s="14" t="s">
        <v>53</v>
      </c>
      <c r="D415" s="14" t="s">
        <v>1171</v>
      </c>
      <c r="E415" s="14" t="s">
        <v>24</v>
      </c>
      <c r="F415" s="14">
        <v>3</v>
      </c>
      <c r="G415" s="14" t="s">
        <v>456</v>
      </c>
      <c r="H415" s="14" t="s">
        <v>35</v>
      </c>
      <c r="I415" s="14" t="s">
        <v>20</v>
      </c>
      <c r="J415" s="13" t="s">
        <v>1177</v>
      </c>
      <c r="K415" s="14" t="s">
        <v>64</v>
      </c>
      <c r="L415" s="14" t="s">
        <v>44</v>
      </c>
      <c r="M415" s="14" t="s">
        <v>65</v>
      </c>
      <c r="N415" s="13">
        <v>414</v>
      </c>
      <c r="O415" s="30">
        <v>45770</v>
      </c>
      <c r="P415" s="30">
        <v>45779</v>
      </c>
      <c r="Q415" s="30">
        <v>45783</v>
      </c>
      <c r="R415" s="30">
        <v>45790</v>
      </c>
      <c r="S415" s="23">
        <f t="shared" si="25"/>
        <v>113</v>
      </c>
      <c r="T415" s="23">
        <f t="shared" si="26"/>
        <v>122</v>
      </c>
      <c r="U415" s="23">
        <f t="shared" si="27"/>
        <v>126</v>
      </c>
      <c r="V415" s="23">
        <f t="shared" si="28"/>
        <v>133</v>
      </c>
      <c r="W415" s="14" t="s">
        <v>35</v>
      </c>
      <c r="X415" s="14" t="s">
        <v>20</v>
      </c>
      <c r="Y415" s="14" t="s">
        <v>64</v>
      </c>
      <c r="Z415" s="14" t="s">
        <v>44</v>
      </c>
      <c r="AA415" s="14" t="s">
        <v>426</v>
      </c>
      <c r="AB415" s="14" t="s">
        <v>15</v>
      </c>
      <c r="AC415" s="14" t="s">
        <v>53</v>
      </c>
      <c r="AD415" s="14"/>
      <c r="AE415" s="1">
        <v>0</v>
      </c>
      <c r="AF415" s="1"/>
    </row>
    <row r="416" spans="1:32" x14ac:dyDescent="0.2">
      <c r="A416" s="14" t="s">
        <v>426</v>
      </c>
      <c r="B416" s="14" t="s">
        <v>15</v>
      </c>
      <c r="C416" s="14" t="s">
        <v>53</v>
      </c>
      <c r="D416" s="14" t="s">
        <v>1171</v>
      </c>
      <c r="E416" s="14" t="s">
        <v>17</v>
      </c>
      <c r="F416" s="14">
        <v>4</v>
      </c>
      <c r="G416" s="14" t="s">
        <v>457</v>
      </c>
      <c r="H416" s="14" t="s">
        <v>35</v>
      </c>
      <c r="I416" s="14" t="s">
        <v>20</v>
      </c>
      <c r="J416" s="13" t="s">
        <v>1178</v>
      </c>
      <c r="K416" s="14" t="s">
        <v>64</v>
      </c>
      <c r="L416" s="14" t="s">
        <v>44</v>
      </c>
      <c r="M416" s="14" t="s">
        <v>65</v>
      </c>
      <c r="N416" s="13">
        <v>415</v>
      </c>
      <c r="O416" s="30">
        <v>45755</v>
      </c>
      <c r="P416" s="30">
        <v>45762</v>
      </c>
      <c r="Q416" s="30">
        <v>45776</v>
      </c>
      <c r="R416" s="30">
        <v>45772</v>
      </c>
      <c r="S416" s="23">
        <f t="shared" si="25"/>
        <v>98</v>
      </c>
      <c r="T416" s="23">
        <f t="shared" si="26"/>
        <v>105</v>
      </c>
      <c r="U416" s="23">
        <f t="shared" si="27"/>
        <v>119</v>
      </c>
      <c r="V416" s="23">
        <f t="shared" si="28"/>
        <v>115</v>
      </c>
      <c r="W416" s="14" t="s">
        <v>35</v>
      </c>
      <c r="X416" s="14" t="s">
        <v>20</v>
      </c>
      <c r="Y416" s="14" t="s">
        <v>64</v>
      </c>
      <c r="Z416" s="14" t="s">
        <v>44</v>
      </c>
      <c r="AA416" s="14" t="s">
        <v>426</v>
      </c>
      <c r="AB416" s="14" t="s">
        <v>15</v>
      </c>
      <c r="AC416" s="14" t="s">
        <v>53</v>
      </c>
      <c r="AD416" s="14"/>
      <c r="AE416" s="1">
        <v>0</v>
      </c>
      <c r="AF416" s="1"/>
    </row>
    <row r="417" spans="1:32" x14ac:dyDescent="0.2">
      <c r="A417" s="14" t="s">
        <v>426</v>
      </c>
      <c r="B417" s="14" t="s">
        <v>15</v>
      </c>
      <c r="C417" s="14" t="s">
        <v>53</v>
      </c>
      <c r="D417" s="14" t="s">
        <v>1171</v>
      </c>
      <c r="E417" s="14" t="s">
        <v>24</v>
      </c>
      <c r="F417" s="14">
        <v>4</v>
      </c>
      <c r="G417" s="14" t="s">
        <v>458</v>
      </c>
      <c r="H417" s="14" t="s">
        <v>19</v>
      </c>
      <c r="I417" s="14" t="s">
        <v>20</v>
      </c>
      <c r="J417" s="13" t="s">
        <v>1179</v>
      </c>
      <c r="K417" s="14" t="s">
        <v>64</v>
      </c>
      <c r="L417" s="14" t="s">
        <v>44</v>
      </c>
      <c r="M417" s="14" t="s">
        <v>65</v>
      </c>
      <c r="N417" s="13">
        <v>416</v>
      </c>
      <c r="O417" s="30">
        <v>45762</v>
      </c>
      <c r="P417" s="1"/>
      <c r="Q417" s="30">
        <v>45770</v>
      </c>
      <c r="R417" s="30">
        <v>45776</v>
      </c>
      <c r="S417" s="23">
        <f t="shared" si="25"/>
        <v>105</v>
      </c>
      <c r="T417" s="23">
        <f>(U417+S417)/2</f>
        <v>109</v>
      </c>
      <c r="U417" s="23">
        <f t="shared" si="27"/>
        <v>113</v>
      </c>
      <c r="V417" s="23">
        <f t="shared" si="28"/>
        <v>119</v>
      </c>
      <c r="W417" s="14" t="s">
        <v>19</v>
      </c>
      <c r="X417" s="14" t="s">
        <v>20</v>
      </c>
      <c r="Y417" s="14" t="s">
        <v>64</v>
      </c>
      <c r="Z417" s="14" t="s">
        <v>44</v>
      </c>
      <c r="AA417" s="14" t="s">
        <v>426</v>
      </c>
      <c r="AB417" s="14" t="s">
        <v>15</v>
      </c>
      <c r="AC417" s="14" t="s">
        <v>53</v>
      </c>
      <c r="AD417" s="14"/>
      <c r="AE417" s="1">
        <v>0</v>
      </c>
      <c r="AF417" s="1"/>
    </row>
    <row r="418" spans="1:32" x14ac:dyDescent="0.2">
      <c r="A418" s="20" t="s">
        <v>426</v>
      </c>
      <c r="B418" s="20" t="s">
        <v>62</v>
      </c>
      <c r="C418" s="20" t="s">
        <v>16</v>
      </c>
      <c r="D418" s="18" t="s">
        <v>1180</v>
      </c>
      <c r="E418" s="20" t="s">
        <v>17</v>
      </c>
      <c r="F418" s="20">
        <v>1</v>
      </c>
      <c r="G418" s="20" t="s">
        <v>459</v>
      </c>
      <c r="H418" s="20" t="s">
        <v>19</v>
      </c>
      <c r="I418" s="20" t="s">
        <v>20</v>
      </c>
      <c r="J418" s="19" t="s">
        <v>1181</v>
      </c>
      <c r="K418" s="20" t="s">
        <v>21</v>
      </c>
      <c r="L418" s="20" t="s">
        <v>22</v>
      </c>
      <c r="M418" s="20" t="s">
        <v>23</v>
      </c>
      <c r="N418" s="21">
        <v>417</v>
      </c>
      <c r="O418" s="29">
        <v>45755</v>
      </c>
      <c r="P418" s="2"/>
      <c r="Q418" s="29">
        <v>45762</v>
      </c>
      <c r="R418" s="29">
        <v>45765</v>
      </c>
      <c r="S418" s="23">
        <f t="shared" si="25"/>
        <v>98</v>
      </c>
      <c r="T418" s="23">
        <f>(U418+S418)/2</f>
        <v>101.5</v>
      </c>
      <c r="U418" s="23">
        <f t="shared" si="27"/>
        <v>105</v>
      </c>
      <c r="V418" s="23">
        <f t="shared" si="28"/>
        <v>108</v>
      </c>
      <c r="W418" s="20" t="s">
        <v>19</v>
      </c>
      <c r="X418" s="20" t="s">
        <v>20</v>
      </c>
      <c r="Y418" s="20" t="s">
        <v>21</v>
      </c>
      <c r="Z418" s="20" t="s">
        <v>22</v>
      </c>
      <c r="AA418" s="20" t="s">
        <v>426</v>
      </c>
      <c r="AB418" s="20" t="s">
        <v>62</v>
      </c>
      <c r="AC418" s="20" t="s">
        <v>16</v>
      </c>
      <c r="AD418" s="20"/>
      <c r="AE418" s="2">
        <v>0</v>
      </c>
      <c r="AF418" s="2"/>
    </row>
    <row r="419" spans="1:32" x14ac:dyDescent="0.2">
      <c r="A419" s="20" t="s">
        <v>426</v>
      </c>
      <c r="B419" s="20" t="s">
        <v>62</v>
      </c>
      <c r="C419" s="20" t="s">
        <v>16</v>
      </c>
      <c r="D419" s="18" t="s">
        <v>1180</v>
      </c>
      <c r="E419" s="20" t="s">
        <v>24</v>
      </c>
      <c r="F419" s="20">
        <v>1</v>
      </c>
      <c r="G419" s="20" t="s">
        <v>460</v>
      </c>
      <c r="H419" s="20" t="s">
        <v>19</v>
      </c>
      <c r="I419" s="20" t="s">
        <v>20</v>
      </c>
      <c r="J419" s="19" t="s">
        <v>1182</v>
      </c>
      <c r="K419" s="20" t="s">
        <v>21</v>
      </c>
      <c r="L419" s="20" t="s">
        <v>22</v>
      </c>
      <c r="M419" s="20" t="s">
        <v>23</v>
      </c>
      <c r="N419" s="21">
        <v>418</v>
      </c>
      <c r="O419" s="29">
        <v>45758</v>
      </c>
      <c r="P419" s="29">
        <v>45762</v>
      </c>
      <c r="Q419" s="29">
        <v>45770</v>
      </c>
      <c r="R419" s="29">
        <v>45772</v>
      </c>
      <c r="S419" s="23">
        <f t="shared" si="25"/>
        <v>101</v>
      </c>
      <c r="T419" s="23">
        <f t="shared" si="26"/>
        <v>105</v>
      </c>
      <c r="U419" s="23">
        <f t="shared" si="27"/>
        <v>113</v>
      </c>
      <c r="V419" s="23">
        <f t="shared" si="28"/>
        <v>115</v>
      </c>
      <c r="W419" s="20" t="s">
        <v>19</v>
      </c>
      <c r="X419" s="20" t="s">
        <v>20</v>
      </c>
      <c r="Y419" s="20" t="s">
        <v>21</v>
      </c>
      <c r="Z419" s="20" t="s">
        <v>22</v>
      </c>
      <c r="AA419" s="20" t="s">
        <v>426</v>
      </c>
      <c r="AB419" s="20" t="s">
        <v>62</v>
      </c>
      <c r="AC419" s="20" t="s">
        <v>16</v>
      </c>
      <c r="AD419" s="20"/>
      <c r="AE419" s="2">
        <v>0</v>
      </c>
      <c r="AF419" s="2"/>
    </row>
    <row r="420" spans="1:32" x14ac:dyDescent="0.2">
      <c r="A420" s="20" t="s">
        <v>426</v>
      </c>
      <c r="B420" s="20" t="s">
        <v>62</v>
      </c>
      <c r="C420" s="20" t="s">
        <v>16</v>
      </c>
      <c r="D420" s="18" t="s">
        <v>1180</v>
      </c>
      <c r="E420" s="20" t="s">
        <v>17</v>
      </c>
      <c r="F420" s="20">
        <v>2</v>
      </c>
      <c r="G420" s="20" t="s">
        <v>461</v>
      </c>
      <c r="H420" s="20" t="s">
        <v>19</v>
      </c>
      <c r="I420" s="20" t="s">
        <v>20</v>
      </c>
      <c r="J420" s="19" t="s">
        <v>1183</v>
      </c>
      <c r="K420" s="20" t="s">
        <v>21</v>
      </c>
      <c r="L420" s="20" t="s">
        <v>22</v>
      </c>
      <c r="M420" s="20" t="s">
        <v>23</v>
      </c>
      <c r="N420" s="21">
        <v>419</v>
      </c>
      <c r="O420" s="29">
        <v>45762</v>
      </c>
      <c r="P420" s="29">
        <v>45770</v>
      </c>
      <c r="Q420" s="29">
        <v>45772</v>
      </c>
      <c r="R420" s="29">
        <v>45776</v>
      </c>
      <c r="S420" s="23">
        <f t="shared" si="25"/>
        <v>105</v>
      </c>
      <c r="T420" s="23">
        <f t="shared" si="26"/>
        <v>113</v>
      </c>
      <c r="U420" s="23">
        <f t="shared" si="27"/>
        <v>115</v>
      </c>
      <c r="V420" s="23">
        <f t="shared" si="28"/>
        <v>119</v>
      </c>
      <c r="W420" s="20" t="s">
        <v>19</v>
      </c>
      <c r="X420" s="20" t="s">
        <v>20</v>
      </c>
      <c r="Y420" s="20" t="s">
        <v>21</v>
      </c>
      <c r="Z420" s="20" t="s">
        <v>22</v>
      </c>
      <c r="AA420" s="20" t="s">
        <v>426</v>
      </c>
      <c r="AB420" s="20" t="s">
        <v>62</v>
      </c>
      <c r="AC420" s="20" t="s">
        <v>16</v>
      </c>
      <c r="AD420" s="20"/>
      <c r="AE420" s="2">
        <v>0</v>
      </c>
      <c r="AF420" s="2"/>
    </row>
    <row r="421" spans="1:32" x14ac:dyDescent="0.2">
      <c r="A421" s="20" t="s">
        <v>426</v>
      </c>
      <c r="B421" s="20" t="s">
        <v>62</v>
      </c>
      <c r="C421" s="20" t="s">
        <v>16</v>
      </c>
      <c r="D421" s="18" t="s">
        <v>1180</v>
      </c>
      <c r="E421" s="20" t="s">
        <v>24</v>
      </c>
      <c r="F421" s="20">
        <v>2</v>
      </c>
      <c r="G421" s="20" t="s">
        <v>462</v>
      </c>
      <c r="H421" s="20" t="s">
        <v>19</v>
      </c>
      <c r="I421" s="20" t="s">
        <v>20</v>
      </c>
      <c r="J421" s="19" t="s">
        <v>1184</v>
      </c>
      <c r="K421" s="20" t="s">
        <v>21</v>
      </c>
      <c r="L421" s="20" t="s">
        <v>22</v>
      </c>
      <c r="M421" s="20" t="s">
        <v>23</v>
      </c>
      <c r="N421" s="21">
        <v>420</v>
      </c>
      <c r="O421" s="29">
        <v>45762</v>
      </c>
      <c r="P421" s="29">
        <v>45765</v>
      </c>
      <c r="Q421" s="29">
        <v>45770</v>
      </c>
      <c r="R421" s="29">
        <v>45772</v>
      </c>
      <c r="S421" s="23">
        <f t="shared" si="25"/>
        <v>105</v>
      </c>
      <c r="T421" s="23">
        <f t="shared" si="26"/>
        <v>108</v>
      </c>
      <c r="U421" s="23">
        <f t="shared" si="27"/>
        <v>113</v>
      </c>
      <c r="V421" s="23">
        <f t="shared" si="28"/>
        <v>115</v>
      </c>
      <c r="W421" s="20" t="s">
        <v>19</v>
      </c>
      <c r="X421" s="20" t="s">
        <v>20</v>
      </c>
      <c r="Y421" s="20" t="s">
        <v>21</v>
      </c>
      <c r="Z421" s="20" t="s">
        <v>22</v>
      </c>
      <c r="AA421" s="20" t="s">
        <v>426</v>
      </c>
      <c r="AB421" s="20" t="s">
        <v>62</v>
      </c>
      <c r="AC421" s="20" t="s">
        <v>16</v>
      </c>
      <c r="AD421" s="20"/>
      <c r="AE421" s="2">
        <v>0</v>
      </c>
      <c r="AF421" s="2"/>
    </row>
    <row r="422" spans="1:32" x14ac:dyDescent="0.2">
      <c r="A422" s="20" t="s">
        <v>426</v>
      </c>
      <c r="B422" s="20" t="s">
        <v>62</v>
      </c>
      <c r="C422" s="20" t="s">
        <v>16</v>
      </c>
      <c r="D422" s="18" t="s">
        <v>1180</v>
      </c>
      <c r="E422" s="20" t="s">
        <v>17</v>
      </c>
      <c r="F422" s="20">
        <v>3</v>
      </c>
      <c r="G422" s="20" t="s">
        <v>463</v>
      </c>
      <c r="H422" s="20" t="s">
        <v>19</v>
      </c>
      <c r="I422" s="20" t="s">
        <v>20</v>
      </c>
      <c r="J422" s="19" t="s">
        <v>1185</v>
      </c>
      <c r="K422" s="20" t="s">
        <v>21</v>
      </c>
      <c r="L422" s="20" t="s">
        <v>22</v>
      </c>
      <c r="M422" s="20" t="s">
        <v>23</v>
      </c>
      <c r="N422" s="21">
        <v>421</v>
      </c>
      <c r="O422" s="29">
        <v>45762</v>
      </c>
      <c r="P422" s="29">
        <v>45765</v>
      </c>
      <c r="Q422" s="29">
        <v>45770</v>
      </c>
      <c r="R422" s="29">
        <v>45772</v>
      </c>
      <c r="S422" s="23">
        <f t="shared" si="25"/>
        <v>105</v>
      </c>
      <c r="T422" s="23">
        <f t="shared" si="26"/>
        <v>108</v>
      </c>
      <c r="U422" s="23">
        <f t="shared" si="27"/>
        <v>113</v>
      </c>
      <c r="V422" s="23">
        <f t="shared" si="28"/>
        <v>115</v>
      </c>
      <c r="W422" s="20" t="s">
        <v>19</v>
      </c>
      <c r="X422" s="20" t="s">
        <v>20</v>
      </c>
      <c r="Y422" s="20" t="s">
        <v>21</v>
      </c>
      <c r="Z422" s="20" t="s">
        <v>22</v>
      </c>
      <c r="AA422" s="20" t="s">
        <v>426</v>
      </c>
      <c r="AB422" s="20" t="s">
        <v>62</v>
      </c>
      <c r="AC422" s="20" t="s">
        <v>16</v>
      </c>
      <c r="AD422" s="20"/>
      <c r="AE422" s="2">
        <v>0</v>
      </c>
      <c r="AF422" s="2"/>
    </row>
    <row r="423" spans="1:32" x14ac:dyDescent="0.2">
      <c r="A423" s="20" t="s">
        <v>426</v>
      </c>
      <c r="B423" s="20" t="s">
        <v>62</v>
      </c>
      <c r="C423" s="20" t="s">
        <v>16</v>
      </c>
      <c r="D423" s="18" t="s">
        <v>1180</v>
      </c>
      <c r="E423" s="20" t="s">
        <v>24</v>
      </c>
      <c r="F423" s="20">
        <v>3</v>
      </c>
      <c r="G423" s="20" t="s">
        <v>464</v>
      </c>
      <c r="H423" s="20" t="s">
        <v>19</v>
      </c>
      <c r="I423" s="20" t="s">
        <v>20</v>
      </c>
      <c r="J423" s="19" t="s">
        <v>1186</v>
      </c>
      <c r="K423" s="20" t="s">
        <v>21</v>
      </c>
      <c r="L423" s="20" t="s">
        <v>22</v>
      </c>
      <c r="M423" s="20" t="s">
        <v>23</v>
      </c>
      <c r="N423" s="21">
        <v>422</v>
      </c>
      <c r="O423" s="29">
        <v>45762</v>
      </c>
      <c r="P423" s="29">
        <v>45770</v>
      </c>
      <c r="Q423" s="29">
        <v>45772</v>
      </c>
      <c r="R423" s="29">
        <v>45779</v>
      </c>
      <c r="S423" s="23">
        <f t="shared" si="25"/>
        <v>105</v>
      </c>
      <c r="T423" s="23">
        <f t="shared" si="26"/>
        <v>113</v>
      </c>
      <c r="U423" s="23">
        <f t="shared" si="27"/>
        <v>115</v>
      </c>
      <c r="V423" s="23">
        <f t="shared" si="28"/>
        <v>122</v>
      </c>
      <c r="W423" s="20" t="s">
        <v>19</v>
      </c>
      <c r="X423" s="20" t="s">
        <v>20</v>
      </c>
      <c r="Y423" s="20" t="s">
        <v>21</v>
      </c>
      <c r="Z423" s="20" t="s">
        <v>22</v>
      </c>
      <c r="AA423" s="20" t="s">
        <v>426</v>
      </c>
      <c r="AB423" s="20" t="s">
        <v>62</v>
      </c>
      <c r="AC423" s="20" t="s">
        <v>16</v>
      </c>
      <c r="AD423" s="20"/>
      <c r="AE423" s="2">
        <v>0</v>
      </c>
      <c r="AF423" s="2"/>
    </row>
    <row r="424" spans="1:32" x14ac:dyDescent="0.2">
      <c r="A424" s="20" t="s">
        <v>426</v>
      </c>
      <c r="B424" s="20" t="s">
        <v>62</v>
      </c>
      <c r="C424" s="20" t="s">
        <v>16</v>
      </c>
      <c r="D424" s="18" t="s">
        <v>1180</v>
      </c>
      <c r="E424" s="20" t="s">
        <v>17</v>
      </c>
      <c r="F424" s="20">
        <v>4</v>
      </c>
      <c r="G424" s="20" t="s">
        <v>465</v>
      </c>
      <c r="H424" s="20" t="s">
        <v>19</v>
      </c>
      <c r="I424" s="20" t="s">
        <v>20</v>
      </c>
      <c r="J424" s="19" t="s">
        <v>1187</v>
      </c>
      <c r="K424" s="20" t="s">
        <v>21</v>
      </c>
      <c r="L424" s="20" t="s">
        <v>22</v>
      </c>
      <c r="M424" s="20" t="s">
        <v>23</v>
      </c>
      <c r="N424" s="21">
        <v>423</v>
      </c>
      <c r="O424" s="29">
        <v>45762</v>
      </c>
      <c r="P424" s="29">
        <v>45770</v>
      </c>
      <c r="Q424" s="29">
        <v>45772</v>
      </c>
      <c r="R424" s="29">
        <v>45779</v>
      </c>
      <c r="S424" s="23">
        <f t="shared" si="25"/>
        <v>105</v>
      </c>
      <c r="T424" s="23">
        <f t="shared" si="26"/>
        <v>113</v>
      </c>
      <c r="U424" s="23">
        <f t="shared" si="27"/>
        <v>115</v>
      </c>
      <c r="V424" s="23">
        <f t="shared" si="28"/>
        <v>122</v>
      </c>
      <c r="W424" s="20" t="s">
        <v>19</v>
      </c>
      <c r="X424" s="20" t="s">
        <v>20</v>
      </c>
      <c r="Y424" s="20" t="s">
        <v>21</v>
      </c>
      <c r="Z424" s="20" t="s">
        <v>22</v>
      </c>
      <c r="AA424" s="20" t="s">
        <v>426</v>
      </c>
      <c r="AB424" s="20" t="s">
        <v>62</v>
      </c>
      <c r="AC424" s="20" t="s">
        <v>16</v>
      </c>
      <c r="AD424" s="20"/>
      <c r="AE424" s="2">
        <v>0</v>
      </c>
      <c r="AF424" s="2"/>
    </row>
    <row r="425" spans="1:32" x14ac:dyDescent="0.2">
      <c r="A425" s="20" t="s">
        <v>426</v>
      </c>
      <c r="B425" s="20" t="s">
        <v>62</v>
      </c>
      <c r="C425" s="20" t="s">
        <v>16</v>
      </c>
      <c r="D425" s="18" t="s">
        <v>1180</v>
      </c>
      <c r="E425" s="20" t="s">
        <v>24</v>
      </c>
      <c r="F425" s="20">
        <v>4</v>
      </c>
      <c r="G425" s="20" t="s">
        <v>466</v>
      </c>
      <c r="H425" s="20" t="s">
        <v>19</v>
      </c>
      <c r="I425" s="20" t="s">
        <v>20</v>
      </c>
      <c r="J425" s="19" t="s">
        <v>1188</v>
      </c>
      <c r="K425" s="20" t="s">
        <v>21</v>
      </c>
      <c r="L425" s="20" t="s">
        <v>22</v>
      </c>
      <c r="M425" s="20" t="s">
        <v>23</v>
      </c>
      <c r="N425" s="21">
        <v>424</v>
      </c>
      <c r="O425" s="29">
        <v>45762</v>
      </c>
      <c r="P425" s="29">
        <v>45770</v>
      </c>
      <c r="Q425" s="29">
        <v>45772</v>
      </c>
      <c r="R425" s="29">
        <v>45779</v>
      </c>
      <c r="S425" s="23">
        <f t="shared" si="25"/>
        <v>105</v>
      </c>
      <c r="T425" s="23">
        <f t="shared" si="26"/>
        <v>113</v>
      </c>
      <c r="U425" s="23">
        <f t="shared" si="27"/>
        <v>115</v>
      </c>
      <c r="V425" s="23">
        <f t="shared" si="28"/>
        <v>122</v>
      </c>
      <c r="W425" s="20" t="s">
        <v>19</v>
      </c>
      <c r="X425" s="20" t="s">
        <v>20</v>
      </c>
      <c r="Y425" s="20" t="s">
        <v>21</v>
      </c>
      <c r="Z425" s="20" t="s">
        <v>22</v>
      </c>
      <c r="AA425" s="20" t="s">
        <v>426</v>
      </c>
      <c r="AB425" s="20" t="s">
        <v>62</v>
      </c>
      <c r="AC425" s="20" t="s">
        <v>16</v>
      </c>
      <c r="AD425" s="20"/>
      <c r="AE425" s="2">
        <v>0</v>
      </c>
      <c r="AF425" s="2"/>
    </row>
    <row r="426" spans="1:32" x14ac:dyDescent="0.2">
      <c r="A426" s="14" t="s">
        <v>426</v>
      </c>
      <c r="B426" s="14" t="s">
        <v>62</v>
      </c>
      <c r="C426" s="14" t="s">
        <v>32</v>
      </c>
      <c r="D426" s="14" t="s">
        <v>1189</v>
      </c>
      <c r="E426" s="14" t="s">
        <v>17</v>
      </c>
      <c r="F426" s="14">
        <v>1</v>
      </c>
      <c r="G426" s="14" t="s">
        <v>467</v>
      </c>
      <c r="H426" s="14" t="s">
        <v>19</v>
      </c>
      <c r="I426" s="14" t="s">
        <v>20</v>
      </c>
      <c r="J426" s="13" t="s">
        <v>1190</v>
      </c>
      <c r="K426" s="14" t="s">
        <v>21</v>
      </c>
      <c r="L426" s="14" t="s">
        <v>44</v>
      </c>
      <c r="M426" s="14" t="s">
        <v>45</v>
      </c>
      <c r="N426" s="13">
        <v>425</v>
      </c>
      <c r="O426" s="30">
        <v>45762</v>
      </c>
      <c r="P426" s="30">
        <v>45765</v>
      </c>
      <c r="Q426" s="30">
        <v>45770</v>
      </c>
      <c r="R426" s="30">
        <v>45776</v>
      </c>
      <c r="S426" s="23">
        <f t="shared" si="25"/>
        <v>105</v>
      </c>
      <c r="T426" s="23">
        <f t="shared" si="26"/>
        <v>108</v>
      </c>
      <c r="U426" s="23">
        <f t="shared" si="27"/>
        <v>113</v>
      </c>
      <c r="V426" s="23">
        <f t="shared" si="28"/>
        <v>119</v>
      </c>
      <c r="W426" s="14" t="s">
        <v>19</v>
      </c>
      <c r="X426" s="14" t="s">
        <v>20</v>
      </c>
      <c r="Y426" s="14" t="s">
        <v>21</v>
      </c>
      <c r="Z426" s="14" t="s">
        <v>44</v>
      </c>
      <c r="AA426" s="14" t="s">
        <v>426</v>
      </c>
      <c r="AB426" s="14" t="s">
        <v>62</v>
      </c>
      <c r="AC426" s="14" t="s">
        <v>32</v>
      </c>
      <c r="AD426" s="14"/>
      <c r="AE426" s="1">
        <v>0</v>
      </c>
      <c r="AF426" s="1"/>
    </row>
    <row r="427" spans="1:32" x14ac:dyDescent="0.2">
      <c r="A427" s="14" t="s">
        <v>426</v>
      </c>
      <c r="B427" s="14" t="s">
        <v>62</v>
      </c>
      <c r="C427" s="14" t="s">
        <v>32</v>
      </c>
      <c r="D427" s="14" t="s">
        <v>1189</v>
      </c>
      <c r="E427" s="14" t="s">
        <v>24</v>
      </c>
      <c r="F427" s="14">
        <v>1</v>
      </c>
      <c r="G427" s="14" t="s">
        <v>468</v>
      </c>
      <c r="H427" s="14" t="s">
        <v>35</v>
      </c>
      <c r="I427" s="14" t="s">
        <v>20</v>
      </c>
      <c r="J427" s="13" t="s">
        <v>1191</v>
      </c>
      <c r="K427" s="14" t="s">
        <v>21</v>
      </c>
      <c r="L427" s="14" t="s">
        <v>44</v>
      </c>
      <c r="M427" s="14" t="s">
        <v>45</v>
      </c>
      <c r="N427" s="13">
        <v>426</v>
      </c>
      <c r="O427" s="30">
        <v>45779</v>
      </c>
      <c r="P427" s="30">
        <v>45790</v>
      </c>
      <c r="Q427" s="30">
        <v>45793</v>
      </c>
      <c r="R427" s="30">
        <v>45797</v>
      </c>
      <c r="S427" s="23">
        <f t="shared" si="25"/>
        <v>122</v>
      </c>
      <c r="T427" s="23">
        <f t="shared" si="26"/>
        <v>133</v>
      </c>
      <c r="U427" s="23">
        <f t="shared" si="27"/>
        <v>136</v>
      </c>
      <c r="V427" s="23">
        <f t="shared" si="28"/>
        <v>140</v>
      </c>
      <c r="W427" s="14" t="s">
        <v>35</v>
      </c>
      <c r="X427" s="14" t="s">
        <v>20</v>
      </c>
      <c r="Y427" s="14" t="s">
        <v>21</v>
      </c>
      <c r="Z427" s="14" t="s">
        <v>44</v>
      </c>
      <c r="AA427" s="14" t="s">
        <v>426</v>
      </c>
      <c r="AB427" s="14" t="s">
        <v>62</v>
      </c>
      <c r="AC427" s="14" t="s">
        <v>32</v>
      </c>
      <c r="AD427" s="14"/>
      <c r="AE427" s="1">
        <v>0</v>
      </c>
      <c r="AF427" s="1"/>
    </row>
    <row r="428" spans="1:32" x14ac:dyDescent="0.2">
      <c r="A428" s="14" t="s">
        <v>426</v>
      </c>
      <c r="B428" s="14" t="s">
        <v>62</v>
      </c>
      <c r="C428" s="14" t="s">
        <v>32</v>
      </c>
      <c r="D428" s="14" t="s">
        <v>1189</v>
      </c>
      <c r="E428" s="14" t="s">
        <v>17</v>
      </c>
      <c r="F428" s="14">
        <v>2</v>
      </c>
      <c r="G428" s="14" t="s">
        <v>469</v>
      </c>
      <c r="H428" s="14" t="s">
        <v>35</v>
      </c>
      <c r="I428" s="14" t="s">
        <v>20</v>
      </c>
      <c r="J428" s="13" t="s">
        <v>1192</v>
      </c>
      <c r="K428" s="14" t="s">
        <v>21</v>
      </c>
      <c r="L428" s="14" t="s">
        <v>44</v>
      </c>
      <c r="M428" s="14" t="s">
        <v>45</v>
      </c>
      <c r="N428" s="13">
        <v>427</v>
      </c>
      <c r="O428" s="30">
        <v>45776</v>
      </c>
      <c r="P428" s="30">
        <v>45779</v>
      </c>
      <c r="Q428" s="30">
        <v>45783</v>
      </c>
      <c r="R428" s="30">
        <v>45790</v>
      </c>
      <c r="S428" s="23">
        <f t="shared" si="25"/>
        <v>119</v>
      </c>
      <c r="T428" s="23">
        <f t="shared" si="26"/>
        <v>122</v>
      </c>
      <c r="U428" s="23">
        <f t="shared" si="27"/>
        <v>126</v>
      </c>
      <c r="V428" s="23">
        <f t="shared" si="28"/>
        <v>133</v>
      </c>
      <c r="W428" s="14" t="s">
        <v>35</v>
      </c>
      <c r="X428" s="14" t="s">
        <v>20</v>
      </c>
      <c r="Y428" s="14" t="s">
        <v>21</v>
      </c>
      <c r="Z428" s="14" t="s">
        <v>44</v>
      </c>
      <c r="AA428" s="14" t="s">
        <v>426</v>
      </c>
      <c r="AB428" s="14" t="s">
        <v>62</v>
      </c>
      <c r="AC428" s="14" t="s">
        <v>32</v>
      </c>
      <c r="AD428" s="14"/>
      <c r="AE428" s="1">
        <v>0</v>
      </c>
      <c r="AF428" s="1"/>
    </row>
    <row r="429" spans="1:32" x14ac:dyDescent="0.2">
      <c r="A429" s="14" t="s">
        <v>426</v>
      </c>
      <c r="B429" s="14" t="s">
        <v>62</v>
      </c>
      <c r="C429" s="14" t="s">
        <v>32</v>
      </c>
      <c r="D429" s="14" t="s">
        <v>1189</v>
      </c>
      <c r="E429" s="14" t="s">
        <v>24</v>
      </c>
      <c r="F429" s="14">
        <v>2</v>
      </c>
      <c r="G429" s="14" t="s">
        <v>470</v>
      </c>
      <c r="H429" s="14" t="s">
        <v>19</v>
      </c>
      <c r="I429" s="14" t="s">
        <v>20</v>
      </c>
      <c r="J429" s="13" t="s">
        <v>1193</v>
      </c>
      <c r="K429" s="14" t="s">
        <v>21</v>
      </c>
      <c r="L429" s="14" t="s">
        <v>44</v>
      </c>
      <c r="M429" s="14" t="s">
        <v>45</v>
      </c>
      <c r="N429" s="13">
        <v>428</v>
      </c>
      <c r="O429" s="30">
        <v>45762</v>
      </c>
      <c r="P429" s="30">
        <v>45765</v>
      </c>
      <c r="Q429" s="30">
        <v>45770</v>
      </c>
      <c r="R429" s="30">
        <v>45772</v>
      </c>
      <c r="S429" s="23">
        <f t="shared" si="25"/>
        <v>105</v>
      </c>
      <c r="T429" s="23">
        <f t="shared" si="26"/>
        <v>108</v>
      </c>
      <c r="U429" s="23">
        <f t="shared" si="27"/>
        <v>113</v>
      </c>
      <c r="V429" s="23">
        <f t="shared" si="28"/>
        <v>115</v>
      </c>
      <c r="W429" s="14" t="s">
        <v>19</v>
      </c>
      <c r="X429" s="14" t="s">
        <v>20</v>
      </c>
      <c r="Y429" s="14" t="s">
        <v>21</v>
      </c>
      <c r="Z429" s="14" t="s">
        <v>44</v>
      </c>
      <c r="AA429" s="14" t="s">
        <v>426</v>
      </c>
      <c r="AB429" s="14" t="s">
        <v>62</v>
      </c>
      <c r="AC429" s="14" t="s">
        <v>32</v>
      </c>
      <c r="AD429" s="14"/>
      <c r="AE429" s="1">
        <v>0</v>
      </c>
      <c r="AF429" s="1"/>
    </row>
    <row r="430" spans="1:32" x14ac:dyDescent="0.2">
      <c r="A430" s="14" t="s">
        <v>426</v>
      </c>
      <c r="B430" s="14" t="s">
        <v>62</v>
      </c>
      <c r="C430" s="14" t="s">
        <v>32</v>
      </c>
      <c r="D430" s="14" t="s">
        <v>1189</v>
      </c>
      <c r="E430" s="14" t="s">
        <v>17</v>
      </c>
      <c r="F430" s="14">
        <v>3</v>
      </c>
      <c r="G430" s="14" t="s">
        <v>471</v>
      </c>
      <c r="H430" s="14" t="s">
        <v>19</v>
      </c>
      <c r="I430" s="14" t="s">
        <v>20</v>
      </c>
      <c r="J430" s="13" t="s">
        <v>1194</v>
      </c>
      <c r="K430" s="14" t="s">
        <v>21</v>
      </c>
      <c r="L430" s="14" t="s">
        <v>44</v>
      </c>
      <c r="M430" s="14" t="s">
        <v>45</v>
      </c>
      <c r="N430" s="13">
        <v>429</v>
      </c>
      <c r="O430" s="30">
        <v>45762</v>
      </c>
      <c r="P430" s="1"/>
      <c r="Q430" s="30">
        <v>45770</v>
      </c>
      <c r="R430" s="30">
        <v>45776</v>
      </c>
      <c r="S430" s="23">
        <f t="shared" si="25"/>
        <v>105</v>
      </c>
      <c r="T430" s="23">
        <f>(U430+S430)/2</f>
        <v>109</v>
      </c>
      <c r="U430" s="23">
        <f t="shared" si="27"/>
        <v>113</v>
      </c>
      <c r="V430" s="23">
        <f t="shared" si="28"/>
        <v>119</v>
      </c>
      <c r="W430" s="14" t="s">
        <v>19</v>
      </c>
      <c r="X430" s="14" t="s">
        <v>20</v>
      </c>
      <c r="Y430" s="14" t="s">
        <v>21</v>
      </c>
      <c r="Z430" s="14" t="s">
        <v>44</v>
      </c>
      <c r="AA430" s="14" t="s">
        <v>426</v>
      </c>
      <c r="AB430" s="14" t="s">
        <v>62</v>
      </c>
      <c r="AC430" s="14" t="s">
        <v>32</v>
      </c>
      <c r="AD430" s="14"/>
      <c r="AE430" s="1">
        <v>0</v>
      </c>
      <c r="AF430" s="1"/>
    </row>
    <row r="431" spans="1:32" x14ac:dyDescent="0.2">
      <c r="A431" s="14" t="s">
        <v>426</v>
      </c>
      <c r="B431" s="14" t="s">
        <v>62</v>
      </c>
      <c r="C431" s="14" t="s">
        <v>32</v>
      </c>
      <c r="D431" s="14" t="s">
        <v>1189</v>
      </c>
      <c r="E431" s="14" t="s">
        <v>24</v>
      </c>
      <c r="F431" s="14">
        <v>3</v>
      </c>
      <c r="G431" s="14" t="s">
        <v>472</v>
      </c>
      <c r="H431" s="14" t="s">
        <v>35</v>
      </c>
      <c r="I431" s="14" t="s">
        <v>20</v>
      </c>
      <c r="J431" s="13" t="s">
        <v>1195</v>
      </c>
      <c r="K431" s="14" t="s">
        <v>21</v>
      </c>
      <c r="L431" s="14" t="s">
        <v>44</v>
      </c>
      <c r="M431" s="14" t="s">
        <v>45</v>
      </c>
      <c r="N431" s="13">
        <v>430</v>
      </c>
      <c r="O431" s="30">
        <v>45770</v>
      </c>
      <c r="P431" s="30">
        <v>45779</v>
      </c>
      <c r="Q431" s="1"/>
      <c r="R431" s="30">
        <v>45783</v>
      </c>
      <c r="S431" s="23">
        <f t="shared" si="25"/>
        <v>113</v>
      </c>
      <c r="T431" s="23">
        <f t="shared" si="26"/>
        <v>122</v>
      </c>
      <c r="U431" s="23">
        <f>(V431+T431)/2</f>
        <v>124</v>
      </c>
      <c r="V431" s="23">
        <f t="shared" si="28"/>
        <v>126</v>
      </c>
      <c r="W431" s="14" t="s">
        <v>35</v>
      </c>
      <c r="X431" s="14" t="s">
        <v>20</v>
      </c>
      <c r="Y431" s="14" t="s">
        <v>21</v>
      </c>
      <c r="Z431" s="14" t="s">
        <v>44</v>
      </c>
      <c r="AA431" s="14" t="s">
        <v>426</v>
      </c>
      <c r="AB431" s="14" t="s">
        <v>62</v>
      </c>
      <c r="AC431" s="14" t="s">
        <v>32</v>
      </c>
      <c r="AD431" s="14"/>
      <c r="AE431" s="1">
        <v>0</v>
      </c>
      <c r="AF431" s="1"/>
    </row>
    <row r="432" spans="1:32" x14ac:dyDescent="0.2">
      <c r="A432" s="14" t="s">
        <v>426</v>
      </c>
      <c r="B432" s="14" t="s">
        <v>62</v>
      </c>
      <c r="C432" s="14" t="s">
        <v>32</v>
      </c>
      <c r="D432" s="14" t="s">
        <v>1189</v>
      </c>
      <c r="E432" s="14" t="s">
        <v>17</v>
      </c>
      <c r="F432" s="14">
        <v>4</v>
      </c>
      <c r="G432" s="14" t="s">
        <v>473</v>
      </c>
      <c r="H432" s="14" t="s">
        <v>35</v>
      </c>
      <c r="I432" s="14" t="s">
        <v>20</v>
      </c>
      <c r="J432" s="13" t="s">
        <v>1196</v>
      </c>
      <c r="K432" s="14" t="s">
        <v>21</v>
      </c>
      <c r="L432" s="14" t="s">
        <v>44</v>
      </c>
      <c r="M432" s="14" t="s">
        <v>45</v>
      </c>
      <c r="N432" s="13">
        <v>431</v>
      </c>
      <c r="O432" s="30">
        <v>45765</v>
      </c>
      <c r="P432" s="30">
        <v>45776</v>
      </c>
      <c r="Q432" s="30">
        <v>45779</v>
      </c>
      <c r="R432" s="30">
        <v>45783</v>
      </c>
      <c r="S432" s="23">
        <f t="shared" si="25"/>
        <v>108</v>
      </c>
      <c r="T432" s="23">
        <f t="shared" si="26"/>
        <v>119</v>
      </c>
      <c r="U432" s="23">
        <f t="shared" si="27"/>
        <v>122</v>
      </c>
      <c r="V432" s="23">
        <f t="shared" si="28"/>
        <v>126</v>
      </c>
      <c r="W432" s="14" t="s">
        <v>35</v>
      </c>
      <c r="X432" s="14" t="s">
        <v>20</v>
      </c>
      <c r="Y432" s="14" t="s">
        <v>21</v>
      </c>
      <c r="Z432" s="14" t="s">
        <v>44</v>
      </c>
      <c r="AA432" s="14" t="s">
        <v>426</v>
      </c>
      <c r="AB432" s="14" t="s">
        <v>62</v>
      </c>
      <c r="AC432" s="14" t="s">
        <v>32</v>
      </c>
      <c r="AD432" s="14"/>
      <c r="AE432" s="1">
        <v>0</v>
      </c>
      <c r="AF432" s="1"/>
    </row>
    <row r="433" spans="1:32" x14ac:dyDescent="0.2">
      <c r="A433" s="14" t="s">
        <v>426</v>
      </c>
      <c r="B433" s="14" t="s">
        <v>62</v>
      </c>
      <c r="C433" s="14" t="s">
        <v>32</v>
      </c>
      <c r="D433" s="14" t="s">
        <v>1189</v>
      </c>
      <c r="E433" s="14" t="s">
        <v>24</v>
      </c>
      <c r="F433" s="14">
        <v>4</v>
      </c>
      <c r="G433" s="14" t="s">
        <v>474</v>
      </c>
      <c r="H433" s="14" t="s">
        <v>19</v>
      </c>
      <c r="I433" s="14" t="s">
        <v>20</v>
      </c>
      <c r="J433" s="13" t="s">
        <v>1197</v>
      </c>
      <c r="K433" s="14" t="s">
        <v>21</v>
      </c>
      <c r="L433" s="14" t="s">
        <v>44</v>
      </c>
      <c r="M433" s="14" t="s">
        <v>45</v>
      </c>
      <c r="N433" s="13">
        <v>432</v>
      </c>
      <c r="O433" s="30">
        <v>45772</v>
      </c>
      <c r="P433" s="30">
        <v>45776</v>
      </c>
      <c r="Q433" s="30">
        <v>45779</v>
      </c>
      <c r="R433" s="30">
        <v>45783</v>
      </c>
      <c r="S433" s="23">
        <f t="shared" si="25"/>
        <v>115</v>
      </c>
      <c r="T433" s="23">
        <f t="shared" si="26"/>
        <v>119</v>
      </c>
      <c r="U433" s="23">
        <f t="shared" si="27"/>
        <v>122</v>
      </c>
      <c r="V433" s="23">
        <f t="shared" si="28"/>
        <v>126</v>
      </c>
      <c r="W433" s="14" t="s">
        <v>19</v>
      </c>
      <c r="X433" s="14" t="s">
        <v>20</v>
      </c>
      <c r="Y433" s="14" t="s">
        <v>21</v>
      </c>
      <c r="Z433" s="14" t="s">
        <v>44</v>
      </c>
      <c r="AA433" s="14" t="s">
        <v>426</v>
      </c>
      <c r="AB433" s="14" t="s">
        <v>62</v>
      </c>
      <c r="AC433" s="14" t="s">
        <v>32</v>
      </c>
      <c r="AD433" s="14"/>
      <c r="AE433" s="1">
        <v>0</v>
      </c>
      <c r="AF433" s="1"/>
    </row>
    <row r="434" spans="1:32" x14ac:dyDescent="0.2">
      <c r="A434" s="20" t="s">
        <v>426</v>
      </c>
      <c r="B434" s="20" t="s">
        <v>62</v>
      </c>
      <c r="C434" s="20" t="s">
        <v>42</v>
      </c>
      <c r="D434" s="18" t="s">
        <v>1198</v>
      </c>
      <c r="E434" s="20" t="s">
        <v>17</v>
      </c>
      <c r="F434" s="20">
        <v>1</v>
      </c>
      <c r="G434" s="20" t="s">
        <v>475</v>
      </c>
      <c r="H434" s="20" t="s">
        <v>19</v>
      </c>
      <c r="I434" s="20" t="s">
        <v>20</v>
      </c>
      <c r="J434" s="19" t="s">
        <v>1199</v>
      </c>
      <c r="K434" s="20" t="s">
        <v>21</v>
      </c>
      <c r="L434" s="20" t="s">
        <v>22</v>
      </c>
      <c r="M434" s="20" t="s">
        <v>23</v>
      </c>
      <c r="N434" s="21">
        <v>433</v>
      </c>
      <c r="O434" s="29">
        <v>45762</v>
      </c>
      <c r="P434" s="29">
        <v>45772</v>
      </c>
      <c r="Q434" s="29">
        <v>45779</v>
      </c>
      <c r="R434" s="29">
        <v>45783</v>
      </c>
      <c r="S434" s="23">
        <f t="shared" si="25"/>
        <v>105</v>
      </c>
      <c r="T434" s="23">
        <f t="shared" si="26"/>
        <v>115</v>
      </c>
      <c r="U434" s="23">
        <f t="shared" si="27"/>
        <v>122</v>
      </c>
      <c r="V434" s="23">
        <f t="shared" si="28"/>
        <v>126</v>
      </c>
      <c r="W434" s="20" t="s">
        <v>19</v>
      </c>
      <c r="X434" s="20" t="s">
        <v>20</v>
      </c>
      <c r="Y434" s="20" t="s">
        <v>21</v>
      </c>
      <c r="Z434" s="20" t="s">
        <v>22</v>
      </c>
      <c r="AA434" s="20" t="s">
        <v>426</v>
      </c>
      <c r="AB434" s="20" t="s">
        <v>62</v>
      </c>
      <c r="AC434" s="20" t="s">
        <v>42</v>
      </c>
      <c r="AD434" s="20"/>
      <c r="AE434" s="2">
        <v>0</v>
      </c>
      <c r="AF434" s="2"/>
    </row>
    <row r="435" spans="1:32" x14ac:dyDescent="0.2">
      <c r="A435" s="20" t="s">
        <v>426</v>
      </c>
      <c r="B435" s="20" t="s">
        <v>62</v>
      </c>
      <c r="C435" s="20" t="s">
        <v>42</v>
      </c>
      <c r="D435" s="18" t="s">
        <v>1198</v>
      </c>
      <c r="E435" s="20" t="s">
        <v>24</v>
      </c>
      <c r="F435" s="20">
        <v>1</v>
      </c>
      <c r="G435" s="20" t="s">
        <v>476</v>
      </c>
      <c r="H435" s="20" t="s">
        <v>35</v>
      </c>
      <c r="I435" s="20" t="s">
        <v>20</v>
      </c>
      <c r="J435" s="19" t="s">
        <v>1200</v>
      </c>
      <c r="K435" s="20" t="s">
        <v>21</v>
      </c>
      <c r="L435" s="20" t="s">
        <v>22</v>
      </c>
      <c r="M435" s="20" t="s">
        <v>23</v>
      </c>
      <c r="N435" s="21">
        <v>434</v>
      </c>
      <c r="O435" s="29">
        <v>45762</v>
      </c>
      <c r="P435" s="29">
        <v>45772</v>
      </c>
      <c r="Q435" s="29">
        <v>45779</v>
      </c>
      <c r="R435" s="29">
        <v>45783</v>
      </c>
      <c r="S435" s="23">
        <f t="shared" si="25"/>
        <v>105</v>
      </c>
      <c r="T435" s="23">
        <f t="shared" si="26"/>
        <v>115</v>
      </c>
      <c r="U435" s="23">
        <f t="shared" si="27"/>
        <v>122</v>
      </c>
      <c r="V435" s="23">
        <f t="shared" si="28"/>
        <v>126</v>
      </c>
      <c r="W435" s="20" t="s">
        <v>35</v>
      </c>
      <c r="X435" s="20" t="s">
        <v>20</v>
      </c>
      <c r="Y435" s="20" t="s">
        <v>21</v>
      </c>
      <c r="Z435" s="20" t="s">
        <v>22</v>
      </c>
      <c r="AA435" s="20" t="s">
        <v>426</v>
      </c>
      <c r="AB435" s="20" t="s">
        <v>62</v>
      </c>
      <c r="AC435" s="20" t="s">
        <v>42</v>
      </c>
      <c r="AD435" s="20"/>
      <c r="AE435" s="2">
        <v>0</v>
      </c>
      <c r="AF435" s="2"/>
    </row>
    <row r="436" spans="1:32" x14ac:dyDescent="0.2">
      <c r="A436" s="20" t="s">
        <v>426</v>
      </c>
      <c r="B436" s="20" t="s">
        <v>62</v>
      </c>
      <c r="C436" s="20" t="s">
        <v>42</v>
      </c>
      <c r="D436" s="18" t="s">
        <v>1198</v>
      </c>
      <c r="E436" s="20" t="s">
        <v>17</v>
      </c>
      <c r="F436" s="20">
        <v>2</v>
      </c>
      <c r="G436" s="20" t="s">
        <v>477</v>
      </c>
      <c r="H436" s="20" t="s">
        <v>35</v>
      </c>
      <c r="I436" s="20" t="s">
        <v>20</v>
      </c>
      <c r="J436" s="19" t="s">
        <v>1201</v>
      </c>
      <c r="K436" s="20" t="s">
        <v>21</v>
      </c>
      <c r="L436" s="20" t="s">
        <v>22</v>
      </c>
      <c r="M436" s="20" t="s">
        <v>23</v>
      </c>
      <c r="N436" s="21">
        <v>435</v>
      </c>
      <c r="O436" s="29">
        <v>45770</v>
      </c>
      <c r="P436" s="29">
        <v>45779</v>
      </c>
      <c r="Q436" s="29">
        <v>45783</v>
      </c>
      <c r="R436" s="29">
        <v>45790</v>
      </c>
      <c r="S436" s="23">
        <f t="shared" si="25"/>
        <v>113</v>
      </c>
      <c r="T436" s="23">
        <f t="shared" si="26"/>
        <v>122</v>
      </c>
      <c r="U436" s="23">
        <f t="shared" si="27"/>
        <v>126</v>
      </c>
      <c r="V436" s="23">
        <f t="shared" si="28"/>
        <v>133</v>
      </c>
      <c r="W436" s="20" t="s">
        <v>35</v>
      </c>
      <c r="X436" s="20" t="s">
        <v>20</v>
      </c>
      <c r="Y436" s="20" t="s">
        <v>21</v>
      </c>
      <c r="Z436" s="20" t="s">
        <v>22</v>
      </c>
      <c r="AA436" s="20" t="s">
        <v>426</v>
      </c>
      <c r="AB436" s="20" t="s">
        <v>62</v>
      </c>
      <c r="AC436" s="20" t="s">
        <v>42</v>
      </c>
      <c r="AD436" s="20"/>
      <c r="AE436" s="2">
        <v>0</v>
      </c>
      <c r="AF436" s="2"/>
    </row>
    <row r="437" spans="1:32" x14ac:dyDescent="0.2">
      <c r="A437" s="20" t="s">
        <v>426</v>
      </c>
      <c r="B437" s="20" t="s">
        <v>62</v>
      </c>
      <c r="C437" s="20" t="s">
        <v>42</v>
      </c>
      <c r="D437" s="18" t="s">
        <v>1198</v>
      </c>
      <c r="E437" s="20" t="s">
        <v>24</v>
      </c>
      <c r="F437" s="20">
        <v>2</v>
      </c>
      <c r="G437" s="20" t="s">
        <v>478</v>
      </c>
      <c r="H437" s="20" t="s">
        <v>19</v>
      </c>
      <c r="I437" s="20" t="s">
        <v>20</v>
      </c>
      <c r="J437" s="19" t="s">
        <v>1202</v>
      </c>
      <c r="K437" s="20" t="s">
        <v>21</v>
      </c>
      <c r="L437" s="20" t="s">
        <v>22</v>
      </c>
      <c r="M437" s="20" t="s">
        <v>23</v>
      </c>
      <c r="N437" s="21">
        <v>436</v>
      </c>
      <c r="O437" s="29">
        <v>45765</v>
      </c>
      <c r="P437" s="29">
        <v>45776</v>
      </c>
      <c r="Q437" s="29">
        <v>45779</v>
      </c>
      <c r="R437" s="29">
        <v>45783</v>
      </c>
      <c r="S437" s="23">
        <f t="shared" si="25"/>
        <v>108</v>
      </c>
      <c r="T437" s="23">
        <f t="shared" si="26"/>
        <v>119</v>
      </c>
      <c r="U437" s="23">
        <f t="shared" si="27"/>
        <v>122</v>
      </c>
      <c r="V437" s="23">
        <f t="shared" si="28"/>
        <v>126</v>
      </c>
      <c r="W437" s="20" t="s">
        <v>19</v>
      </c>
      <c r="X437" s="20" t="s">
        <v>20</v>
      </c>
      <c r="Y437" s="20" t="s">
        <v>21</v>
      </c>
      <c r="Z437" s="20" t="s">
        <v>22</v>
      </c>
      <c r="AA437" s="20" t="s">
        <v>426</v>
      </c>
      <c r="AB437" s="20" t="s">
        <v>62</v>
      </c>
      <c r="AC437" s="20" t="s">
        <v>42</v>
      </c>
      <c r="AD437" s="20"/>
      <c r="AE437" s="2">
        <v>0</v>
      </c>
      <c r="AF437" s="2"/>
    </row>
    <row r="438" spans="1:32" x14ac:dyDescent="0.2">
      <c r="A438" s="20" t="s">
        <v>426</v>
      </c>
      <c r="B438" s="20" t="s">
        <v>62</v>
      </c>
      <c r="C438" s="20" t="s">
        <v>42</v>
      </c>
      <c r="D438" s="18" t="s">
        <v>1198</v>
      </c>
      <c r="E438" s="20" t="s">
        <v>17</v>
      </c>
      <c r="F438" s="20">
        <v>3</v>
      </c>
      <c r="G438" s="20" t="s">
        <v>479</v>
      </c>
      <c r="H438" s="20" t="s">
        <v>19</v>
      </c>
      <c r="I438" s="20" t="s">
        <v>20</v>
      </c>
      <c r="J438" s="19" t="s">
        <v>1203</v>
      </c>
      <c r="K438" s="20" t="s">
        <v>21</v>
      </c>
      <c r="L438" s="20" t="s">
        <v>22</v>
      </c>
      <c r="M438" s="20" t="s">
        <v>23</v>
      </c>
      <c r="N438" s="21">
        <v>437</v>
      </c>
      <c r="O438" s="29">
        <v>45772</v>
      </c>
      <c r="P438" s="29">
        <v>45776</v>
      </c>
      <c r="Q438" s="29">
        <v>45779</v>
      </c>
      <c r="R438" s="29">
        <v>45783</v>
      </c>
      <c r="S438" s="23">
        <f t="shared" si="25"/>
        <v>115</v>
      </c>
      <c r="T438" s="23">
        <f t="shared" si="26"/>
        <v>119</v>
      </c>
      <c r="U438" s="23">
        <f t="shared" si="27"/>
        <v>122</v>
      </c>
      <c r="V438" s="23">
        <f t="shared" si="28"/>
        <v>126</v>
      </c>
      <c r="W438" s="20" t="s">
        <v>19</v>
      </c>
      <c r="X438" s="20" t="s">
        <v>20</v>
      </c>
      <c r="Y438" s="20" t="s">
        <v>21</v>
      </c>
      <c r="Z438" s="20" t="s">
        <v>22</v>
      </c>
      <c r="AA438" s="20" t="s">
        <v>426</v>
      </c>
      <c r="AB438" s="20" t="s">
        <v>62</v>
      </c>
      <c r="AC438" s="20" t="s">
        <v>42</v>
      </c>
      <c r="AD438" s="20"/>
      <c r="AE438" s="2">
        <v>0</v>
      </c>
      <c r="AF438" s="2"/>
    </row>
    <row r="439" spans="1:32" x14ac:dyDescent="0.2">
      <c r="A439" s="20" t="s">
        <v>426</v>
      </c>
      <c r="B439" s="20" t="s">
        <v>62</v>
      </c>
      <c r="C439" s="20" t="s">
        <v>42</v>
      </c>
      <c r="D439" s="18" t="s">
        <v>1198</v>
      </c>
      <c r="E439" s="20" t="s">
        <v>24</v>
      </c>
      <c r="F439" s="20">
        <v>3</v>
      </c>
      <c r="G439" s="20" t="s">
        <v>480</v>
      </c>
      <c r="H439" s="20" t="s">
        <v>35</v>
      </c>
      <c r="I439" s="20" t="s">
        <v>20</v>
      </c>
      <c r="J439" s="19" t="s">
        <v>1204</v>
      </c>
      <c r="K439" s="20" t="s">
        <v>21</v>
      </c>
      <c r="L439" s="20" t="s">
        <v>22</v>
      </c>
      <c r="M439" s="20" t="s">
        <v>23</v>
      </c>
      <c r="N439" s="21">
        <v>438</v>
      </c>
      <c r="O439" s="29">
        <v>45762</v>
      </c>
      <c r="P439" s="29">
        <v>45772</v>
      </c>
      <c r="Q439" s="29">
        <v>45779</v>
      </c>
      <c r="R439" s="29">
        <v>45783</v>
      </c>
      <c r="S439" s="23">
        <f t="shared" si="25"/>
        <v>105</v>
      </c>
      <c r="T439" s="23">
        <f t="shared" si="26"/>
        <v>115</v>
      </c>
      <c r="U439" s="23">
        <f t="shared" si="27"/>
        <v>122</v>
      </c>
      <c r="V439" s="23">
        <f t="shared" si="28"/>
        <v>126</v>
      </c>
      <c r="W439" s="20" t="s">
        <v>35</v>
      </c>
      <c r="X439" s="20" t="s">
        <v>20</v>
      </c>
      <c r="Y439" s="20" t="s">
        <v>21</v>
      </c>
      <c r="Z439" s="20" t="s">
        <v>22</v>
      </c>
      <c r="AA439" s="20" t="s">
        <v>426</v>
      </c>
      <c r="AB439" s="20" t="s">
        <v>62</v>
      </c>
      <c r="AC439" s="20" t="s">
        <v>42</v>
      </c>
      <c r="AD439" s="20"/>
      <c r="AE439" s="2">
        <v>0</v>
      </c>
      <c r="AF439" s="2"/>
    </row>
    <row r="440" spans="1:32" x14ac:dyDescent="0.2">
      <c r="A440" s="20" t="s">
        <v>426</v>
      </c>
      <c r="B440" s="20" t="s">
        <v>62</v>
      </c>
      <c r="C440" s="20" t="s">
        <v>42</v>
      </c>
      <c r="D440" s="18" t="s">
        <v>1198</v>
      </c>
      <c r="E440" s="20" t="s">
        <v>17</v>
      </c>
      <c r="F440" s="20">
        <v>4</v>
      </c>
      <c r="G440" s="20" t="s">
        <v>481</v>
      </c>
      <c r="H440" s="20" t="s">
        <v>35</v>
      </c>
      <c r="I440" s="20" t="s">
        <v>20</v>
      </c>
      <c r="J440" s="19" t="s">
        <v>1205</v>
      </c>
      <c r="K440" s="20" t="s">
        <v>21</v>
      </c>
      <c r="L440" s="20" t="s">
        <v>22</v>
      </c>
      <c r="M440" s="20" t="s">
        <v>23</v>
      </c>
      <c r="N440" s="21">
        <v>439</v>
      </c>
      <c r="O440" s="29">
        <v>45772</v>
      </c>
      <c r="P440" s="29">
        <v>45779</v>
      </c>
      <c r="Q440" s="29">
        <v>45786</v>
      </c>
      <c r="R440" s="29">
        <v>45790</v>
      </c>
      <c r="S440" s="23">
        <f t="shared" si="25"/>
        <v>115</v>
      </c>
      <c r="T440" s="23">
        <f t="shared" si="26"/>
        <v>122</v>
      </c>
      <c r="U440" s="23">
        <f t="shared" si="27"/>
        <v>129</v>
      </c>
      <c r="V440" s="23">
        <f t="shared" si="28"/>
        <v>133</v>
      </c>
      <c r="W440" s="20" t="s">
        <v>35</v>
      </c>
      <c r="X440" s="20" t="s">
        <v>20</v>
      </c>
      <c r="Y440" s="20" t="s">
        <v>21</v>
      </c>
      <c r="Z440" s="20" t="s">
        <v>22</v>
      </c>
      <c r="AA440" s="20" t="s">
        <v>426</v>
      </c>
      <c r="AB440" s="20" t="s">
        <v>62</v>
      </c>
      <c r="AC440" s="20" t="s">
        <v>42</v>
      </c>
      <c r="AD440" s="20"/>
      <c r="AE440" s="2">
        <v>0</v>
      </c>
      <c r="AF440" s="2"/>
    </row>
    <row r="441" spans="1:32" x14ac:dyDescent="0.2">
      <c r="A441" s="20" t="s">
        <v>426</v>
      </c>
      <c r="B441" s="20" t="s">
        <v>62</v>
      </c>
      <c r="C441" s="20" t="s">
        <v>42</v>
      </c>
      <c r="D441" s="18" t="s">
        <v>1198</v>
      </c>
      <c r="E441" s="20" t="s">
        <v>24</v>
      </c>
      <c r="F441" s="20">
        <v>4</v>
      </c>
      <c r="G441" s="20" t="s">
        <v>482</v>
      </c>
      <c r="H441" s="20" t="s">
        <v>19</v>
      </c>
      <c r="I441" s="20" t="s">
        <v>20</v>
      </c>
      <c r="J441" s="19" t="s">
        <v>1206</v>
      </c>
      <c r="K441" s="20" t="s">
        <v>21</v>
      </c>
      <c r="L441" s="20" t="s">
        <v>22</v>
      </c>
      <c r="M441" s="20" t="s">
        <v>23</v>
      </c>
      <c r="N441" s="21">
        <v>440</v>
      </c>
      <c r="O441" s="29">
        <v>45762</v>
      </c>
      <c r="P441" s="2"/>
      <c r="Q441" s="29">
        <v>45770</v>
      </c>
      <c r="R441" s="29">
        <v>45776</v>
      </c>
      <c r="S441" s="23">
        <f t="shared" si="25"/>
        <v>105</v>
      </c>
      <c r="T441" s="23">
        <f>(U441+S441)/2</f>
        <v>109</v>
      </c>
      <c r="U441" s="23">
        <f t="shared" si="27"/>
        <v>113</v>
      </c>
      <c r="V441" s="23">
        <f t="shared" si="28"/>
        <v>119</v>
      </c>
      <c r="W441" s="20" t="s">
        <v>19</v>
      </c>
      <c r="X441" s="20" t="s">
        <v>20</v>
      </c>
      <c r="Y441" s="20" t="s">
        <v>21</v>
      </c>
      <c r="Z441" s="20" t="s">
        <v>22</v>
      </c>
      <c r="AA441" s="20" t="s">
        <v>426</v>
      </c>
      <c r="AB441" s="20" t="s">
        <v>62</v>
      </c>
      <c r="AC441" s="20" t="s">
        <v>42</v>
      </c>
      <c r="AD441" s="20"/>
      <c r="AE441" s="2">
        <v>0</v>
      </c>
      <c r="AF441" s="2"/>
    </row>
    <row r="442" spans="1:32" x14ac:dyDescent="0.2">
      <c r="A442" s="14" t="s">
        <v>426</v>
      </c>
      <c r="B442" s="14" t="s">
        <v>62</v>
      </c>
      <c r="C442" s="14" t="s">
        <v>53</v>
      </c>
      <c r="D442" s="14" t="s">
        <v>1207</v>
      </c>
      <c r="E442" s="14" t="s">
        <v>17</v>
      </c>
      <c r="F442" s="14">
        <v>1</v>
      </c>
      <c r="G442" s="14" t="s">
        <v>483</v>
      </c>
      <c r="H442" s="14" t="s">
        <v>35</v>
      </c>
      <c r="I442" s="14" t="s">
        <v>20</v>
      </c>
      <c r="J442" s="13" t="s">
        <v>1208</v>
      </c>
      <c r="K442" s="14" t="s">
        <v>21</v>
      </c>
      <c r="L442" s="14" t="s">
        <v>44</v>
      </c>
      <c r="M442" s="14" t="s">
        <v>45</v>
      </c>
      <c r="N442" s="13">
        <v>441</v>
      </c>
      <c r="O442" s="30">
        <v>45762</v>
      </c>
      <c r="P442" s="30">
        <v>45776</v>
      </c>
      <c r="Q442" s="30">
        <v>45779</v>
      </c>
      <c r="R442" s="30">
        <v>45783</v>
      </c>
      <c r="S442" s="23">
        <f t="shared" si="25"/>
        <v>105</v>
      </c>
      <c r="T442" s="23">
        <f t="shared" si="26"/>
        <v>119</v>
      </c>
      <c r="U442" s="23">
        <f t="shared" si="27"/>
        <v>122</v>
      </c>
      <c r="V442" s="23">
        <f t="shared" si="28"/>
        <v>126</v>
      </c>
      <c r="W442" s="14" t="s">
        <v>35</v>
      </c>
      <c r="X442" s="14" t="s">
        <v>20</v>
      </c>
      <c r="Y442" s="14" t="s">
        <v>21</v>
      </c>
      <c r="Z442" s="14" t="s">
        <v>44</v>
      </c>
      <c r="AA442" s="14" t="s">
        <v>426</v>
      </c>
      <c r="AB442" s="14" t="s">
        <v>62</v>
      </c>
      <c r="AC442" s="14" t="s">
        <v>53</v>
      </c>
      <c r="AD442" s="14"/>
      <c r="AE442" s="1">
        <v>0</v>
      </c>
      <c r="AF442" s="1"/>
    </row>
    <row r="443" spans="1:32" x14ac:dyDescent="0.2">
      <c r="A443" s="14" t="s">
        <v>426</v>
      </c>
      <c r="B443" s="14" t="s">
        <v>62</v>
      </c>
      <c r="C443" s="14" t="s">
        <v>53</v>
      </c>
      <c r="D443" s="14" t="s">
        <v>1207</v>
      </c>
      <c r="E443" s="14" t="s">
        <v>24</v>
      </c>
      <c r="F443" s="14">
        <v>1</v>
      </c>
      <c r="G443" s="14" t="s">
        <v>484</v>
      </c>
      <c r="H443" s="14" t="s">
        <v>35</v>
      </c>
      <c r="I443" s="14" t="s">
        <v>20</v>
      </c>
      <c r="J443" s="13" t="s">
        <v>1209</v>
      </c>
      <c r="K443" s="14" t="s">
        <v>21</v>
      </c>
      <c r="L443" s="14" t="s">
        <v>44</v>
      </c>
      <c r="M443" s="14" t="s">
        <v>45</v>
      </c>
      <c r="N443" s="13">
        <v>442</v>
      </c>
      <c r="O443" s="30">
        <v>45770</v>
      </c>
      <c r="P443" s="30">
        <v>45779</v>
      </c>
      <c r="Q443" s="30">
        <v>45786</v>
      </c>
      <c r="R443" s="30">
        <v>45790</v>
      </c>
      <c r="S443" s="23">
        <f t="shared" si="25"/>
        <v>113</v>
      </c>
      <c r="T443" s="23">
        <f t="shared" si="26"/>
        <v>122</v>
      </c>
      <c r="U443" s="23">
        <f t="shared" si="27"/>
        <v>129</v>
      </c>
      <c r="V443" s="23">
        <f t="shared" si="28"/>
        <v>133</v>
      </c>
      <c r="W443" s="14" t="s">
        <v>35</v>
      </c>
      <c r="X443" s="14" t="s">
        <v>20</v>
      </c>
      <c r="Y443" s="14" t="s">
        <v>21</v>
      </c>
      <c r="Z443" s="14" t="s">
        <v>44</v>
      </c>
      <c r="AA443" s="14" t="s">
        <v>426</v>
      </c>
      <c r="AB443" s="14" t="s">
        <v>62</v>
      </c>
      <c r="AC443" s="14" t="s">
        <v>53</v>
      </c>
      <c r="AD443" s="14"/>
      <c r="AE443" s="1">
        <v>0</v>
      </c>
      <c r="AF443" s="1"/>
    </row>
    <row r="444" spans="1:32" x14ac:dyDescent="0.2">
      <c r="A444" s="14" t="s">
        <v>426</v>
      </c>
      <c r="B444" s="14" t="s">
        <v>62</v>
      </c>
      <c r="C444" s="14" t="s">
        <v>53</v>
      </c>
      <c r="D444" s="14" t="s">
        <v>1207</v>
      </c>
      <c r="E444" s="14" t="s">
        <v>17</v>
      </c>
      <c r="F444" s="14">
        <v>2</v>
      </c>
      <c r="G444" s="14" t="s">
        <v>485</v>
      </c>
      <c r="H444" s="14" t="s">
        <v>35</v>
      </c>
      <c r="I444" s="14" t="s">
        <v>20</v>
      </c>
      <c r="J444" s="13" t="s">
        <v>1210</v>
      </c>
      <c r="K444" s="14" t="s">
        <v>21</v>
      </c>
      <c r="L444" s="14" t="s">
        <v>44</v>
      </c>
      <c r="M444" s="14" t="s">
        <v>45</v>
      </c>
      <c r="N444" s="13">
        <v>443</v>
      </c>
      <c r="O444" s="30">
        <v>45776</v>
      </c>
      <c r="P444" s="30">
        <v>45779</v>
      </c>
      <c r="Q444" s="30">
        <v>45783</v>
      </c>
      <c r="R444" s="30">
        <v>45790</v>
      </c>
      <c r="S444" s="23">
        <f t="shared" si="25"/>
        <v>119</v>
      </c>
      <c r="T444" s="23">
        <f t="shared" si="26"/>
        <v>122</v>
      </c>
      <c r="U444" s="23">
        <f t="shared" si="27"/>
        <v>126</v>
      </c>
      <c r="V444" s="23">
        <f t="shared" si="28"/>
        <v>133</v>
      </c>
      <c r="W444" s="14" t="s">
        <v>35</v>
      </c>
      <c r="X444" s="14" t="s">
        <v>20</v>
      </c>
      <c r="Y444" s="14" t="s">
        <v>21</v>
      </c>
      <c r="Z444" s="14" t="s">
        <v>44</v>
      </c>
      <c r="AA444" s="14" t="s">
        <v>426</v>
      </c>
      <c r="AB444" s="14" t="s">
        <v>62</v>
      </c>
      <c r="AC444" s="14" t="s">
        <v>53</v>
      </c>
      <c r="AD444" s="14"/>
      <c r="AE444" s="1">
        <v>0</v>
      </c>
      <c r="AF444" s="1"/>
    </row>
    <row r="445" spans="1:32" x14ac:dyDescent="0.2">
      <c r="A445" s="14" t="s">
        <v>426</v>
      </c>
      <c r="B445" s="14" t="s">
        <v>62</v>
      </c>
      <c r="C445" s="14" t="s">
        <v>53</v>
      </c>
      <c r="D445" s="14" t="s">
        <v>1207</v>
      </c>
      <c r="E445" s="14" t="s">
        <v>24</v>
      </c>
      <c r="F445" s="14">
        <v>2</v>
      </c>
      <c r="G445" s="14" t="s">
        <v>486</v>
      </c>
      <c r="H445" s="14" t="s">
        <v>35</v>
      </c>
      <c r="I445" s="14" t="s">
        <v>20</v>
      </c>
      <c r="J445" s="13" t="s">
        <v>1211</v>
      </c>
      <c r="K445" s="14" t="s">
        <v>21</v>
      </c>
      <c r="L445" s="14" t="s">
        <v>44</v>
      </c>
      <c r="M445" s="14" t="s">
        <v>45</v>
      </c>
      <c r="N445" s="13">
        <v>444</v>
      </c>
      <c r="O445" s="30">
        <v>45765</v>
      </c>
      <c r="P445" s="30">
        <v>45772</v>
      </c>
      <c r="Q445" s="30">
        <v>45779</v>
      </c>
      <c r="R445" s="30">
        <v>45783</v>
      </c>
      <c r="S445" s="23">
        <f t="shared" si="25"/>
        <v>108</v>
      </c>
      <c r="T445" s="23">
        <f t="shared" si="26"/>
        <v>115</v>
      </c>
      <c r="U445" s="23">
        <f t="shared" si="27"/>
        <v>122</v>
      </c>
      <c r="V445" s="23">
        <f t="shared" si="28"/>
        <v>126</v>
      </c>
      <c r="W445" s="14" t="s">
        <v>35</v>
      </c>
      <c r="X445" s="14" t="s">
        <v>20</v>
      </c>
      <c r="Y445" s="14" t="s">
        <v>21</v>
      </c>
      <c r="Z445" s="14" t="s">
        <v>44</v>
      </c>
      <c r="AA445" s="14" t="s">
        <v>426</v>
      </c>
      <c r="AB445" s="14" t="s">
        <v>62</v>
      </c>
      <c r="AC445" s="14" t="s">
        <v>53</v>
      </c>
      <c r="AD445" s="14"/>
      <c r="AE445" s="1">
        <v>0</v>
      </c>
      <c r="AF445" s="1"/>
    </row>
    <row r="446" spans="1:32" x14ac:dyDescent="0.2">
      <c r="A446" s="14" t="s">
        <v>426</v>
      </c>
      <c r="B446" s="14" t="s">
        <v>62</v>
      </c>
      <c r="C446" s="14" t="s">
        <v>53</v>
      </c>
      <c r="D446" s="14" t="s">
        <v>1207</v>
      </c>
      <c r="E446" s="14" t="s">
        <v>17</v>
      </c>
      <c r="F446" s="14">
        <v>3</v>
      </c>
      <c r="G446" s="14" t="s">
        <v>487</v>
      </c>
      <c r="H446" s="14" t="s">
        <v>35</v>
      </c>
      <c r="I446" s="14" t="s">
        <v>20</v>
      </c>
      <c r="J446" s="13" t="s">
        <v>1212</v>
      </c>
      <c r="K446" s="14" t="s">
        <v>21</v>
      </c>
      <c r="L446" s="14" t="s">
        <v>44</v>
      </c>
      <c r="M446" s="14" t="s">
        <v>45</v>
      </c>
      <c r="N446" s="13">
        <v>445</v>
      </c>
      <c r="O446" s="30">
        <v>45783</v>
      </c>
      <c r="P446" s="30">
        <v>45790</v>
      </c>
      <c r="Q446" s="30">
        <v>45800</v>
      </c>
      <c r="R446" s="30">
        <v>45807</v>
      </c>
      <c r="S446" s="23">
        <f t="shared" si="25"/>
        <v>126</v>
      </c>
      <c r="T446" s="23">
        <f t="shared" si="26"/>
        <v>133</v>
      </c>
      <c r="U446" s="23">
        <f t="shared" si="27"/>
        <v>143</v>
      </c>
      <c r="V446" s="23">
        <f t="shared" si="28"/>
        <v>150</v>
      </c>
      <c r="W446" s="14" t="s">
        <v>35</v>
      </c>
      <c r="X446" s="14" t="s">
        <v>20</v>
      </c>
      <c r="Y446" s="14" t="s">
        <v>21</v>
      </c>
      <c r="Z446" s="14" t="s">
        <v>44</v>
      </c>
      <c r="AA446" s="14" t="s">
        <v>426</v>
      </c>
      <c r="AB446" s="14" t="s">
        <v>62</v>
      </c>
      <c r="AC446" s="14" t="s">
        <v>53</v>
      </c>
      <c r="AD446" s="14"/>
      <c r="AE446" s="1">
        <v>0</v>
      </c>
      <c r="AF446" s="1"/>
    </row>
    <row r="447" spans="1:32" x14ac:dyDescent="0.2">
      <c r="A447" s="14" t="s">
        <v>426</v>
      </c>
      <c r="B447" s="14" t="s">
        <v>62</v>
      </c>
      <c r="C447" s="14" t="s">
        <v>53</v>
      </c>
      <c r="D447" s="14" t="s">
        <v>1207</v>
      </c>
      <c r="E447" s="14" t="s">
        <v>24</v>
      </c>
      <c r="F447" s="14">
        <v>3</v>
      </c>
      <c r="G447" s="14" t="s">
        <v>488</v>
      </c>
      <c r="H447" s="14" t="s">
        <v>35</v>
      </c>
      <c r="I447" s="14" t="s">
        <v>20</v>
      </c>
      <c r="J447" s="13" t="s">
        <v>1213</v>
      </c>
      <c r="K447" s="14" t="s">
        <v>21</v>
      </c>
      <c r="L447" s="14" t="s">
        <v>44</v>
      </c>
      <c r="M447" s="14" t="s">
        <v>45</v>
      </c>
      <c r="N447" s="13">
        <v>446</v>
      </c>
      <c r="O447" s="30">
        <v>45758</v>
      </c>
      <c r="P447" s="30">
        <v>45762</v>
      </c>
      <c r="Q447" s="30">
        <v>45770</v>
      </c>
      <c r="R447" s="30">
        <v>45776</v>
      </c>
      <c r="S447" s="23">
        <f t="shared" si="25"/>
        <v>101</v>
      </c>
      <c r="T447" s="23">
        <f t="shared" si="26"/>
        <v>105</v>
      </c>
      <c r="U447" s="23">
        <f t="shared" si="27"/>
        <v>113</v>
      </c>
      <c r="V447" s="23">
        <f t="shared" si="28"/>
        <v>119</v>
      </c>
      <c r="W447" s="14" t="s">
        <v>35</v>
      </c>
      <c r="X447" s="14" t="s">
        <v>20</v>
      </c>
      <c r="Y447" s="14" t="s">
        <v>21</v>
      </c>
      <c r="Z447" s="14" t="s">
        <v>44</v>
      </c>
      <c r="AA447" s="14" t="s">
        <v>426</v>
      </c>
      <c r="AB447" s="14" t="s">
        <v>62</v>
      </c>
      <c r="AC447" s="14" t="s">
        <v>53</v>
      </c>
      <c r="AD447" s="14"/>
      <c r="AE447" s="1">
        <v>0</v>
      </c>
      <c r="AF447" s="1"/>
    </row>
    <row r="448" spans="1:32" x14ac:dyDescent="0.2">
      <c r="A448" s="14" t="s">
        <v>426</v>
      </c>
      <c r="B448" s="14" t="s">
        <v>62</v>
      </c>
      <c r="C448" s="14" t="s">
        <v>53</v>
      </c>
      <c r="D448" s="14" t="s">
        <v>1207</v>
      </c>
      <c r="E448" s="14" t="s">
        <v>17</v>
      </c>
      <c r="F448" s="14">
        <v>4</v>
      </c>
      <c r="G448" s="14" t="s">
        <v>489</v>
      </c>
      <c r="H448" s="14" t="s">
        <v>35</v>
      </c>
      <c r="I448" s="14" t="s">
        <v>20</v>
      </c>
      <c r="J448" s="13" t="s">
        <v>1214</v>
      </c>
      <c r="K448" s="14" t="s">
        <v>21</v>
      </c>
      <c r="L448" s="14" t="s">
        <v>44</v>
      </c>
      <c r="M448" s="14" t="s">
        <v>45</v>
      </c>
      <c r="N448" s="13">
        <v>447</v>
      </c>
      <c r="O448" s="30">
        <v>45765</v>
      </c>
      <c r="P448" s="30">
        <v>45779</v>
      </c>
      <c r="Q448" s="30">
        <v>45783</v>
      </c>
      <c r="R448" s="30">
        <v>45786</v>
      </c>
      <c r="S448" s="23">
        <f t="shared" si="25"/>
        <v>108</v>
      </c>
      <c r="T448" s="23">
        <f t="shared" si="26"/>
        <v>122</v>
      </c>
      <c r="U448" s="23">
        <f t="shared" si="27"/>
        <v>126</v>
      </c>
      <c r="V448" s="23">
        <f t="shared" si="28"/>
        <v>129</v>
      </c>
      <c r="W448" s="14" t="s">
        <v>35</v>
      </c>
      <c r="X448" s="14" t="s">
        <v>20</v>
      </c>
      <c r="Y448" s="14" t="s">
        <v>21</v>
      </c>
      <c r="Z448" s="14" t="s">
        <v>44</v>
      </c>
      <c r="AA448" s="14" t="s">
        <v>426</v>
      </c>
      <c r="AB448" s="14" t="s">
        <v>62</v>
      </c>
      <c r="AC448" s="14" t="s">
        <v>53</v>
      </c>
      <c r="AD448" s="14"/>
      <c r="AE448" s="1">
        <v>0</v>
      </c>
      <c r="AF448" s="1"/>
    </row>
    <row r="449" spans="1:32" x14ac:dyDescent="0.2">
      <c r="A449" s="14" t="s">
        <v>426</v>
      </c>
      <c r="B449" s="14" t="s">
        <v>62</v>
      </c>
      <c r="C449" s="14" t="s">
        <v>53</v>
      </c>
      <c r="D449" s="14" t="s">
        <v>1207</v>
      </c>
      <c r="E449" s="14" t="s">
        <v>24</v>
      </c>
      <c r="F449" s="14">
        <v>4</v>
      </c>
      <c r="G449" s="14" t="s">
        <v>490</v>
      </c>
      <c r="H449" s="14" t="s">
        <v>35</v>
      </c>
      <c r="I449" s="14" t="s">
        <v>20</v>
      </c>
      <c r="J449" s="13" t="s">
        <v>1215</v>
      </c>
      <c r="K449" s="14" t="s">
        <v>21</v>
      </c>
      <c r="L449" s="14" t="s">
        <v>44</v>
      </c>
      <c r="M449" s="14" t="s">
        <v>45</v>
      </c>
      <c r="N449" s="13">
        <v>448</v>
      </c>
      <c r="O449" s="30">
        <v>45755</v>
      </c>
      <c r="P449" s="30">
        <v>45762</v>
      </c>
      <c r="Q449" s="30">
        <v>45779</v>
      </c>
      <c r="R449" s="30">
        <v>45783</v>
      </c>
      <c r="S449" s="23">
        <f t="shared" si="25"/>
        <v>98</v>
      </c>
      <c r="T449" s="23">
        <f t="shared" si="26"/>
        <v>105</v>
      </c>
      <c r="U449" s="23">
        <f t="shared" si="27"/>
        <v>122</v>
      </c>
      <c r="V449" s="23">
        <f t="shared" si="28"/>
        <v>126</v>
      </c>
      <c r="W449" s="14" t="s">
        <v>35</v>
      </c>
      <c r="X449" s="14" t="s">
        <v>20</v>
      </c>
      <c r="Y449" s="14" t="s">
        <v>21</v>
      </c>
      <c r="Z449" s="14" t="s">
        <v>44</v>
      </c>
      <c r="AA449" s="14" t="s">
        <v>426</v>
      </c>
      <c r="AB449" s="14" t="s">
        <v>62</v>
      </c>
      <c r="AC449" s="14" t="s">
        <v>53</v>
      </c>
      <c r="AD449" s="14"/>
      <c r="AE449" s="1">
        <v>0</v>
      </c>
      <c r="AF449" s="1"/>
    </row>
    <row r="450" spans="1:32" x14ac:dyDescent="0.2">
      <c r="A450" s="20" t="s">
        <v>426</v>
      </c>
      <c r="B450" s="20" t="s">
        <v>98</v>
      </c>
      <c r="C450" s="20" t="s">
        <v>16</v>
      </c>
      <c r="D450" s="18" t="s">
        <v>1216</v>
      </c>
      <c r="E450" s="20" t="s">
        <v>17</v>
      </c>
      <c r="F450" s="20">
        <v>1</v>
      </c>
      <c r="G450" s="20" t="s">
        <v>491</v>
      </c>
      <c r="H450" s="20" t="s">
        <v>35</v>
      </c>
      <c r="I450" s="20" t="s">
        <v>20</v>
      </c>
      <c r="J450" s="19" t="s">
        <v>1217</v>
      </c>
      <c r="K450" s="20" t="s">
        <v>64</v>
      </c>
      <c r="L450" s="20" t="s">
        <v>22</v>
      </c>
      <c r="M450" s="20" t="s">
        <v>74</v>
      </c>
      <c r="N450" s="21">
        <v>449</v>
      </c>
      <c r="O450" s="29">
        <v>45762</v>
      </c>
      <c r="P450" s="29">
        <v>45776</v>
      </c>
      <c r="Q450" s="29">
        <v>45779</v>
      </c>
      <c r="R450" s="29">
        <v>45783</v>
      </c>
      <c r="S450" s="23">
        <f t="shared" si="25"/>
        <v>105</v>
      </c>
      <c r="T450" s="23">
        <f t="shared" si="26"/>
        <v>119</v>
      </c>
      <c r="U450" s="23">
        <f t="shared" si="27"/>
        <v>122</v>
      </c>
      <c r="V450" s="23">
        <f t="shared" si="28"/>
        <v>126</v>
      </c>
      <c r="W450" s="20" t="s">
        <v>35</v>
      </c>
      <c r="X450" s="20" t="s">
        <v>20</v>
      </c>
      <c r="Y450" s="20" t="s">
        <v>64</v>
      </c>
      <c r="Z450" s="20" t="s">
        <v>22</v>
      </c>
      <c r="AA450" s="20" t="s">
        <v>426</v>
      </c>
      <c r="AB450" s="20" t="s">
        <v>98</v>
      </c>
      <c r="AC450" s="20" t="s">
        <v>16</v>
      </c>
      <c r="AD450" s="20"/>
      <c r="AE450" s="2">
        <v>0</v>
      </c>
      <c r="AF450" s="2"/>
    </row>
    <row r="451" spans="1:32" x14ac:dyDescent="0.2">
      <c r="A451" s="20" t="s">
        <v>426</v>
      </c>
      <c r="B451" s="20" t="s">
        <v>98</v>
      </c>
      <c r="C451" s="20" t="s">
        <v>16</v>
      </c>
      <c r="D451" s="18" t="s">
        <v>1216</v>
      </c>
      <c r="E451" s="20" t="s">
        <v>24</v>
      </c>
      <c r="F451" s="20">
        <v>1</v>
      </c>
      <c r="G451" s="20" t="s">
        <v>492</v>
      </c>
      <c r="H451" s="20" t="s">
        <v>35</v>
      </c>
      <c r="I451" s="20" t="s">
        <v>20</v>
      </c>
      <c r="J451" s="19" t="s">
        <v>1218</v>
      </c>
      <c r="K451" s="20" t="s">
        <v>64</v>
      </c>
      <c r="L451" s="20" t="s">
        <v>22</v>
      </c>
      <c r="M451" s="20" t="s">
        <v>74</v>
      </c>
      <c r="N451" s="21">
        <v>450</v>
      </c>
      <c r="O451" s="29">
        <v>45762</v>
      </c>
      <c r="P451" s="29">
        <v>45770</v>
      </c>
      <c r="Q451" s="29">
        <v>45779</v>
      </c>
      <c r="R451" s="29">
        <v>45783</v>
      </c>
      <c r="S451" s="23">
        <f t="shared" ref="S451:S514" si="29">O451-DATE(YEAR(O451),1,1)+1</f>
        <v>105</v>
      </c>
      <c r="T451" s="23">
        <f t="shared" ref="T451:T514" si="30">P451-DATE(YEAR(P451),1,1)+1</f>
        <v>113</v>
      </c>
      <c r="U451" s="23">
        <f t="shared" ref="U451:U514" si="31">Q451-DATE(YEAR(Q451),1,1)+1</f>
        <v>122</v>
      </c>
      <c r="V451" s="23">
        <f t="shared" ref="V451:V514" si="32">R451-DATE(YEAR(R451),1,1)+1</f>
        <v>126</v>
      </c>
      <c r="W451" s="20" t="s">
        <v>35</v>
      </c>
      <c r="X451" s="20" t="s">
        <v>20</v>
      </c>
      <c r="Y451" s="20" t="s">
        <v>64</v>
      </c>
      <c r="Z451" s="20" t="s">
        <v>22</v>
      </c>
      <c r="AA451" s="20" t="s">
        <v>426</v>
      </c>
      <c r="AB451" s="20" t="s">
        <v>98</v>
      </c>
      <c r="AC451" s="20" t="s">
        <v>16</v>
      </c>
      <c r="AD451" s="20"/>
      <c r="AE451" s="2">
        <v>0</v>
      </c>
      <c r="AF451" s="2"/>
    </row>
    <row r="452" spans="1:32" x14ac:dyDescent="0.2">
      <c r="A452" s="20" t="s">
        <v>426</v>
      </c>
      <c r="B452" s="20" t="s">
        <v>98</v>
      </c>
      <c r="C452" s="20" t="s">
        <v>16</v>
      </c>
      <c r="D452" s="18" t="s">
        <v>1216</v>
      </c>
      <c r="E452" s="20" t="s">
        <v>17</v>
      </c>
      <c r="F452" s="20">
        <v>2</v>
      </c>
      <c r="G452" s="20" t="s">
        <v>493</v>
      </c>
      <c r="H452" s="20" t="s">
        <v>35</v>
      </c>
      <c r="I452" s="20" t="s">
        <v>20</v>
      </c>
      <c r="J452" s="19" t="s">
        <v>1219</v>
      </c>
      <c r="K452" s="20" t="s">
        <v>64</v>
      </c>
      <c r="L452" s="20" t="s">
        <v>22</v>
      </c>
      <c r="M452" s="20" t="s">
        <v>74</v>
      </c>
      <c r="N452" s="21">
        <v>451</v>
      </c>
      <c r="O452" s="29">
        <v>45776</v>
      </c>
      <c r="P452" s="29">
        <v>45779</v>
      </c>
      <c r="Q452" s="2"/>
      <c r="R452" s="29">
        <v>45779</v>
      </c>
      <c r="S452" s="23">
        <f t="shared" si="29"/>
        <v>119</v>
      </c>
      <c r="T452" s="23">
        <f t="shared" si="30"/>
        <v>122</v>
      </c>
      <c r="U452" s="23">
        <f>(V452+T452)/2</f>
        <v>122</v>
      </c>
      <c r="V452" s="23">
        <f t="shared" si="32"/>
        <v>122</v>
      </c>
      <c r="W452" s="20" t="s">
        <v>35</v>
      </c>
      <c r="X452" s="20" t="s">
        <v>20</v>
      </c>
      <c r="Y452" s="20" t="s">
        <v>64</v>
      </c>
      <c r="Z452" s="20" t="s">
        <v>22</v>
      </c>
      <c r="AA452" s="20" t="s">
        <v>426</v>
      </c>
      <c r="AB452" s="20" t="s">
        <v>98</v>
      </c>
      <c r="AC452" s="20" t="s">
        <v>16</v>
      </c>
      <c r="AD452" s="20"/>
      <c r="AE452" s="2">
        <v>0</v>
      </c>
      <c r="AF452" s="2"/>
    </row>
    <row r="453" spans="1:32" x14ac:dyDescent="0.2">
      <c r="A453" s="20" t="s">
        <v>426</v>
      </c>
      <c r="B453" s="20" t="s">
        <v>98</v>
      </c>
      <c r="C453" s="20" t="s">
        <v>16</v>
      </c>
      <c r="D453" s="18" t="s">
        <v>1216</v>
      </c>
      <c r="E453" s="20" t="s">
        <v>24</v>
      </c>
      <c r="F453" s="20">
        <v>2</v>
      </c>
      <c r="G453" s="20" t="s">
        <v>494</v>
      </c>
      <c r="H453" s="20" t="s">
        <v>35</v>
      </c>
      <c r="I453" s="20" t="s">
        <v>20</v>
      </c>
      <c r="J453" s="19" t="s">
        <v>1220</v>
      </c>
      <c r="K453" s="20" t="s">
        <v>64</v>
      </c>
      <c r="L453" s="20" t="s">
        <v>22</v>
      </c>
      <c r="M453" s="20" t="s">
        <v>74</v>
      </c>
      <c r="N453" s="21">
        <v>452</v>
      </c>
      <c r="O453" s="29">
        <v>45755</v>
      </c>
      <c r="P453" s="29">
        <v>45758</v>
      </c>
      <c r="Q453" s="29">
        <v>45765</v>
      </c>
      <c r="R453" s="29">
        <v>45783</v>
      </c>
      <c r="S453" s="23">
        <f t="shared" si="29"/>
        <v>98</v>
      </c>
      <c r="T453" s="23">
        <f t="shared" si="30"/>
        <v>101</v>
      </c>
      <c r="U453" s="23">
        <f t="shared" si="31"/>
        <v>108</v>
      </c>
      <c r="V453" s="23">
        <f t="shared" si="32"/>
        <v>126</v>
      </c>
      <c r="W453" s="20" t="s">
        <v>35</v>
      </c>
      <c r="X453" s="20" t="s">
        <v>20</v>
      </c>
      <c r="Y453" s="20" t="s">
        <v>64</v>
      </c>
      <c r="Z453" s="20" t="s">
        <v>22</v>
      </c>
      <c r="AA453" s="20" t="s">
        <v>426</v>
      </c>
      <c r="AB453" s="20" t="s">
        <v>98</v>
      </c>
      <c r="AC453" s="20" t="s">
        <v>16</v>
      </c>
      <c r="AD453" s="20"/>
      <c r="AE453" s="2">
        <v>0</v>
      </c>
      <c r="AF453" s="2"/>
    </row>
    <row r="454" spans="1:32" x14ac:dyDescent="0.2">
      <c r="A454" s="20" t="s">
        <v>426</v>
      </c>
      <c r="B454" s="20" t="s">
        <v>98</v>
      </c>
      <c r="C454" s="20" t="s">
        <v>16</v>
      </c>
      <c r="D454" s="18" t="s">
        <v>1216</v>
      </c>
      <c r="E454" s="20" t="s">
        <v>17</v>
      </c>
      <c r="F454" s="20">
        <v>3</v>
      </c>
      <c r="G454" s="20" t="s">
        <v>495</v>
      </c>
      <c r="H454" s="20" t="s">
        <v>35</v>
      </c>
      <c r="I454" s="20" t="s">
        <v>20</v>
      </c>
      <c r="J454" s="19" t="s">
        <v>1221</v>
      </c>
      <c r="K454" s="20" t="s">
        <v>64</v>
      </c>
      <c r="L454" s="20" t="s">
        <v>22</v>
      </c>
      <c r="M454" s="20" t="s">
        <v>74</v>
      </c>
      <c r="N454" s="21">
        <v>453</v>
      </c>
      <c r="O454" s="29">
        <v>45748</v>
      </c>
      <c r="P454" s="29">
        <v>45762</v>
      </c>
      <c r="Q454" s="29">
        <v>45765</v>
      </c>
      <c r="R454" s="29">
        <v>45776</v>
      </c>
      <c r="S454" s="23">
        <f t="shared" si="29"/>
        <v>91</v>
      </c>
      <c r="T454" s="23">
        <f t="shared" si="30"/>
        <v>105</v>
      </c>
      <c r="U454" s="23">
        <f t="shared" si="31"/>
        <v>108</v>
      </c>
      <c r="V454" s="23">
        <f t="shared" si="32"/>
        <v>119</v>
      </c>
      <c r="W454" s="20" t="s">
        <v>35</v>
      </c>
      <c r="X454" s="20" t="s">
        <v>20</v>
      </c>
      <c r="Y454" s="20" t="s">
        <v>64</v>
      </c>
      <c r="Z454" s="20" t="s">
        <v>22</v>
      </c>
      <c r="AA454" s="20" t="s">
        <v>426</v>
      </c>
      <c r="AB454" s="20" t="s">
        <v>98</v>
      </c>
      <c r="AC454" s="20" t="s">
        <v>16</v>
      </c>
      <c r="AD454" s="20"/>
      <c r="AE454" s="2">
        <v>0</v>
      </c>
      <c r="AF454" s="2"/>
    </row>
    <row r="455" spans="1:32" x14ac:dyDescent="0.2">
      <c r="A455" s="20" t="s">
        <v>426</v>
      </c>
      <c r="B455" s="20" t="s">
        <v>98</v>
      </c>
      <c r="C455" s="20" t="s">
        <v>16</v>
      </c>
      <c r="D455" s="18" t="s">
        <v>1216</v>
      </c>
      <c r="E455" s="20" t="s">
        <v>24</v>
      </c>
      <c r="F455" s="20">
        <v>3</v>
      </c>
      <c r="G455" s="20" t="s">
        <v>496</v>
      </c>
      <c r="H455" s="20" t="s">
        <v>35</v>
      </c>
      <c r="I455" s="20" t="s">
        <v>20</v>
      </c>
      <c r="J455" s="19" t="s">
        <v>1222</v>
      </c>
      <c r="K455" s="20" t="s">
        <v>64</v>
      </c>
      <c r="L455" s="20" t="s">
        <v>22</v>
      </c>
      <c r="M455" s="20" t="s">
        <v>74</v>
      </c>
      <c r="N455" s="21">
        <v>454</v>
      </c>
      <c r="O455" s="29">
        <v>45758</v>
      </c>
      <c r="P455" s="29">
        <v>45762</v>
      </c>
      <c r="Q455" s="29">
        <v>45770</v>
      </c>
      <c r="R455" s="29">
        <v>45776</v>
      </c>
      <c r="S455" s="23">
        <f t="shared" si="29"/>
        <v>101</v>
      </c>
      <c r="T455" s="23">
        <f t="shared" si="30"/>
        <v>105</v>
      </c>
      <c r="U455" s="23">
        <f t="shared" si="31"/>
        <v>113</v>
      </c>
      <c r="V455" s="23">
        <f t="shared" si="32"/>
        <v>119</v>
      </c>
      <c r="W455" s="20" t="s">
        <v>35</v>
      </c>
      <c r="X455" s="20" t="s">
        <v>20</v>
      </c>
      <c r="Y455" s="20" t="s">
        <v>64</v>
      </c>
      <c r="Z455" s="20" t="s">
        <v>22</v>
      </c>
      <c r="AA455" s="20" t="s">
        <v>426</v>
      </c>
      <c r="AB455" s="20" t="s">
        <v>98</v>
      </c>
      <c r="AC455" s="20" t="s">
        <v>16</v>
      </c>
      <c r="AD455" s="20"/>
      <c r="AE455" s="2">
        <v>0</v>
      </c>
      <c r="AF455" s="2"/>
    </row>
    <row r="456" spans="1:32" x14ac:dyDescent="0.2">
      <c r="A456" s="20" t="s">
        <v>426</v>
      </c>
      <c r="B456" s="20" t="s">
        <v>98</v>
      </c>
      <c r="C456" s="20" t="s">
        <v>16</v>
      </c>
      <c r="D456" s="18" t="s">
        <v>1216</v>
      </c>
      <c r="E456" s="20" t="s">
        <v>17</v>
      </c>
      <c r="F456" s="20">
        <v>4</v>
      </c>
      <c r="G456" s="20" t="s">
        <v>497</v>
      </c>
      <c r="H456" s="20" t="s">
        <v>35</v>
      </c>
      <c r="I456" s="20" t="s">
        <v>20</v>
      </c>
      <c r="J456" s="19" t="s">
        <v>1223</v>
      </c>
      <c r="K456" s="20" t="s">
        <v>64</v>
      </c>
      <c r="L456" s="20" t="s">
        <v>22</v>
      </c>
      <c r="M456" s="20" t="s">
        <v>74</v>
      </c>
      <c r="N456" s="21">
        <v>455</v>
      </c>
      <c r="O456" s="29">
        <v>45748</v>
      </c>
      <c r="P456" s="29">
        <v>45758</v>
      </c>
      <c r="Q456" s="29">
        <v>45762</v>
      </c>
      <c r="R456" s="29">
        <v>45770</v>
      </c>
      <c r="S456" s="23">
        <f t="shared" si="29"/>
        <v>91</v>
      </c>
      <c r="T456" s="23">
        <f t="shared" si="30"/>
        <v>101</v>
      </c>
      <c r="U456" s="23">
        <f t="shared" si="31"/>
        <v>105</v>
      </c>
      <c r="V456" s="23">
        <f t="shared" si="32"/>
        <v>113</v>
      </c>
      <c r="W456" s="20" t="s">
        <v>35</v>
      </c>
      <c r="X456" s="20" t="s">
        <v>20</v>
      </c>
      <c r="Y456" s="20" t="s">
        <v>64</v>
      </c>
      <c r="Z456" s="20" t="s">
        <v>22</v>
      </c>
      <c r="AA456" s="20" t="s">
        <v>426</v>
      </c>
      <c r="AB456" s="20" t="s">
        <v>98</v>
      </c>
      <c r="AC456" s="20" t="s">
        <v>16</v>
      </c>
      <c r="AD456" s="20"/>
      <c r="AE456" s="2">
        <v>0</v>
      </c>
      <c r="AF456" s="2"/>
    </row>
    <row r="457" spans="1:32" x14ac:dyDescent="0.2">
      <c r="A457" s="20" t="s">
        <v>426</v>
      </c>
      <c r="B457" s="20" t="s">
        <v>98</v>
      </c>
      <c r="C457" s="20" t="s">
        <v>16</v>
      </c>
      <c r="D457" s="18" t="s">
        <v>1216</v>
      </c>
      <c r="E457" s="20" t="s">
        <v>24</v>
      </c>
      <c r="F457" s="20">
        <v>4</v>
      </c>
      <c r="G457" s="20" t="s">
        <v>498</v>
      </c>
      <c r="H457" s="20" t="s">
        <v>35</v>
      </c>
      <c r="I457" s="20" t="s">
        <v>20</v>
      </c>
      <c r="J457" s="19" t="s">
        <v>1224</v>
      </c>
      <c r="K457" s="20" t="s">
        <v>64</v>
      </c>
      <c r="L457" s="20" t="s">
        <v>22</v>
      </c>
      <c r="M457" s="20" t="s">
        <v>74</v>
      </c>
      <c r="N457" s="21">
        <v>456</v>
      </c>
      <c r="O457" s="29">
        <v>45751</v>
      </c>
      <c r="P457" s="29">
        <v>45762</v>
      </c>
      <c r="Q457" s="29">
        <v>45765</v>
      </c>
      <c r="R457" s="29">
        <v>45772</v>
      </c>
      <c r="S457" s="23">
        <f t="shared" si="29"/>
        <v>94</v>
      </c>
      <c r="T457" s="23">
        <f t="shared" si="30"/>
        <v>105</v>
      </c>
      <c r="U457" s="23">
        <f t="shared" si="31"/>
        <v>108</v>
      </c>
      <c r="V457" s="23">
        <f t="shared" si="32"/>
        <v>115</v>
      </c>
      <c r="W457" s="20" t="s">
        <v>35</v>
      </c>
      <c r="X457" s="20" t="s">
        <v>20</v>
      </c>
      <c r="Y457" s="20" t="s">
        <v>64</v>
      </c>
      <c r="Z457" s="20" t="s">
        <v>22</v>
      </c>
      <c r="AA457" s="20" t="s">
        <v>426</v>
      </c>
      <c r="AB457" s="20" t="s">
        <v>98</v>
      </c>
      <c r="AC457" s="20" t="s">
        <v>16</v>
      </c>
      <c r="AD457" s="20"/>
      <c r="AE457" s="2">
        <v>0</v>
      </c>
      <c r="AF457" s="2"/>
    </row>
    <row r="458" spans="1:32" x14ac:dyDescent="0.2">
      <c r="A458" s="14" t="s">
        <v>426</v>
      </c>
      <c r="B458" s="14" t="s">
        <v>98</v>
      </c>
      <c r="C458" s="14" t="s">
        <v>32</v>
      </c>
      <c r="D458" s="14" t="s">
        <v>1225</v>
      </c>
      <c r="E458" s="14" t="s">
        <v>17</v>
      </c>
      <c r="F458" s="14">
        <v>1</v>
      </c>
      <c r="G458" s="14" t="s">
        <v>499</v>
      </c>
      <c r="H458" s="14" t="s">
        <v>19</v>
      </c>
      <c r="I458" s="14" t="s">
        <v>20</v>
      </c>
      <c r="J458" s="13" t="s">
        <v>1226</v>
      </c>
      <c r="K458" s="14" t="s">
        <v>64</v>
      </c>
      <c r="L458" s="14" t="s">
        <v>22</v>
      </c>
      <c r="M458" s="14" t="s">
        <v>74</v>
      </c>
      <c r="N458" s="13">
        <v>457</v>
      </c>
      <c r="O458" s="30">
        <v>45762</v>
      </c>
      <c r="P458" s="30">
        <v>45770</v>
      </c>
      <c r="Q458" s="30">
        <v>45772</v>
      </c>
      <c r="R458" s="30">
        <v>45776</v>
      </c>
      <c r="S458" s="23">
        <f t="shared" si="29"/>
        <v>105</v>
      </c>
      <c r="T458" s="23">
        <f t="shared" si="30"/>
        <v>113</v>
      </c>
      <c r="U458" s="23">
        <f t="shared" si="31"/>
        <v>115</v>
      </c>
      <c r="V458" s="23">
        <f t="shared" si="32"/>
        <v>119</v>
      </c>
      <c r="W458" s="14" t="s">
        <v>19</v>
      </c>
      <c r="X458" s="14" t="s">
        <v>20</v>
      </c>
      <c r="Y458" s="14" t="s">
        <v>64</v>
      </c>
      <c r="Z458" s="14" t="s">
        <v>22</v>
      </c>
      <c r="AA458" s="14" t="s">
        <v>426</v>
      </c>
      <c r="AB458" s="14" t="s">
        <v>98</v>
      </c>
      <c r="AC458" s="14" t="s">
        <v>32</v>
      </c>
      <c r="AD458" s="14"/>
      <c r="AE458" s="1">
        <v>0</v>
      </c>
      <c r="AF458" s="1"/>
    </row>
    <row r="459" spans="1:32" x14ac:dyDescent="0.2">
      <c r="A459" s="14" t="s">
        <v>426</v>
      </c>
      <c r="B459" s="14" t="s">
        <v>98</v>
      </c>
      <c r="C459" s="14" t="s">
        <v>32</v>
      </c>
      <c r="D459" s="14" t="s">
        <v>1225</v>
      </c>
      <c r="E459" s="14" t="s">
        <v>24</v>
      </c>
      <c r="F459" s="14">
        <v>1</v>
      </c>
      <c r="G459" s="14" t="s">
        <v>500</v>
      </c>
      <c r="H459" s="14" t="s">
        <v>19</v>
      </c>
      <c r="I459" s="14" t="s">
        <v>20</v>
      </c>
      <c r="J459" s="13" t="s">
        <v>1227</v>
      </c>
      <c r="K459" s="14" t="s">
        <v>64</v>
      </c>
      <c r="L459" s="14" t="s">
        <v>22</v>
      </c>
      <c r="M459" s="14" t="s">
        <v>74</v>
      </c>
      <c r="N459" s="13">
        <v>458</v>
      </c>
      <c r="O459" s="30">
        <v>45762</v>
      </c>
      <c r="P459" s="30">
        <v>45770</v>
      </c>
      <c r="Q459" s="1"/>
      <c r="R459" s="30">
        <v>45772</v>
      </c>
      <c r="S459" s="23">
        <f t="shared" si="29"/>
        <v>105</v>
      </c>
      <c r="T459" s="23">
        <f t="shared" si="30"/>
        <v>113</v>
      </c>
      <c r="U459" s="23">
        <f>(V459+T459)/2</f>
        <v>114</v>
      </c>
      <c r="V459" s="23">
        <f t="shared" si="32"/>
        <v>115</v>
      </c>
      <c r="W459" s="14" t="s">
        <v>19</v>
      </c>
      <c r="X459" s="14" t="s">
        <v>20</v>
      </c>
      <c r="Y459" s="14" t="s">
        <v>64</v>
      </c>
      <c r="Z459" s="14" t="s">
        <v>22</v>
      </c>
      <c r="AA459" s="14" t="s">
        <v>426</v>
      </c>
      <c r="AB459" s="14" t="s">
        <v>98</v>
      </c>
      <c r="AC459" s="14" t="s">
        <v>32</v>
      </c>
      <c r="AD459" s="14"/>
      <c r="AE459" s="1">
        <v>0</v>
      </c>
      <c r="AF459" s="1"/>
    </row>
    <row r="460" spans="1:32" x14ac:dyDescent="0.2">
      <c r="A460" s="14" t="s">
        <v>426</v>
      </c>
      <c r="B460" s="14" t="s">
        <v>98</v>
      </c>
      <c r="C460" s="14" t="s">
        <v>32</v>
      </c>
      <c r="D460" s="14" t="s">
        <v>1225</v>
      </c>
      <c r="E460" s="14" t="s">
        <v>17</v>
      </c>
      <c r="F460" s="14">
        <v>2</v>
      </c>
      <c r="G460" s="14" t="s">
        <v>501</v>
      </c>
      <c r="H460" s="14" t="s">
        <v>19</v>
      </c>
      <c r="I460" s="14" t="s">
        <v>20</v>
      </c>
      <c r="J460" s="13" t="s">
        <v>1228</v>
      </c>
      <c r="K460" s="14" t="s">
        <v>64</v>
      </c>
      <c r="L460" s="14" t="s">
        <v>22</v>
      </c>
      <c r="M460" s="14" t="s">
        <v>74</v>
      </c>
      <c r="N460" s="13">
        <v>459</v>
      </c>
      <c r="O460" s="30">
        <v>45765</v>
      </c>
      <c r="P460" s="30">
        <v>45776</v>
      </c>
      <c r="Q460" s="30">
        <v>45779</v>
      </c>
      <c r="R460" s="30">
        <v>45783</v>
      </c>
      <c r="S460" s="23">
        <f t="shared" si="29"/>
        <v>108</v>
      </c>
      <c r="T460" s="23">
        <f t="shared" si="30"/>
        <v>119</v>
      </c>
      <c r="U460" s="23">
        <f t="shared" si="31"/>
        <v>122</v>
      </c>
      <c r="V460" s="23">
        <f t="shared" si="32"/>
        <v>126</v>
      </c>
      <c r="W460" s="14" t="s">
        <v>19</v>
      </c>
      <c r="X460" s="14" t="s">
        <v>20</v>
      </c>
      <c r="Y460" s="14" t="s">
        <v>64</v>
      </c>
      <c r="Z460" s="14" t="s">
        <v>22</v>
      </c>
      <c r="AA460" s="14" t="s">
        <v>426</v>
      </c>
      <c r="AB460" s="14" t="s">
        <v>98</v>
      </c>
      <c r="AC460" s="14" t="s">
        <v>32</v>
      </c>
      <c r="AD460" s="14"/>
      <c r="AE460" s="1">
        <v>0</v>
      </c>
      <c r="AF460" s="1"/>
    </row>
    <row r="461" spans="1:32" x14ac:dyDescent="0.2">
      <c r="A461" s="14" t="s">
        <v>426</v>
      </c>
      <c r="B461" s="14" t="s">
        <v>98</v>
      </c>
      <c r="C461" s="14" t="s">
        <v>32</v>
      </c>
      <c r="D461" s="14" t="s">
        <v>1225</v>
      </c>
      <c r="E461" s="14" t="s">
        <v>24</v>
      </c>
      <c r="F461" s="14">
        <v>2</v>
      </c>
      <c r="G461" s="14" t="s">
        <v>502</v>
      </c>
      <c r="H461" s="14" t="s">
        <v>19</v>
      </c>
      <c r="I461" s="14" t="s">
        <v>20</v>
      </c>
      <c r="J461" s="13" t="s">
        <v>1229</v>
      </c>
      <c r="K461" s="14" t="s">
        <v>64</v>
      </c>
      <c r="L461" s="14" t="s">
        <v>22</v>
      </c>
      <c r="M461" s="14" t="s">
        <v>74</v>
      </c>
      <c r="N461" s="13">
        <v>460</v>
      </c>
      <c r="O461" s="30">
        <v>45762</v>
      </c>
      <c r="P461" s="30">
        <v>45772</v>
      </c>
      <c r="Q461" s="30">
        <v>45776</v>
      </c>
      <c r="R461" s="30">
        <v>45779</v>
      </c>
      <c r="S461" s="23">
        <f t="shared" si="29"/>
        <v>105</v>
      </c>
      <c r="T461" s="23">
        <f t="shared" si="30"/>
        <v>115</v>
      </c>
      <c r="U461" s="23">
        <f t="shared" si="31"/>
        <v>119</v>
      </c>
      <c r="V461" s="23">
        <f t="shared" si="32"/>
        <v>122</v>
      </c>
      <c r="W461" s="14" t="s">
        <v>19</v>
      </c>
      <c r="X461" s="14" t="s">
        <v>20</v>
      </c>
      <c r="Y461" s="14" t="s">
        <v>64</v>
      </c>
      <c r="Z461" s="14" t="s">
        <v>22</v>
      </c>
      <c r="AA461" s="14" t="s">
        <v>426</v>
      </c>
      <c r="AB461" s="14" t="s">
        <v>98</v>
      </c>
      <c r="AC461" s="14" t="s">
        <v>32</v>
      </c>
      <c r="AD461" s="14"/>
      <c r="AE461" s="1">
        <v>0</v>
      </c>
      <c r="AF461" s="1"/>
    </row>
    <row r="462" spans="1:32" x14ac:dyDescent="0.2">
      <c r="A462" s="14" t="s">
        <v>426</v>
      </c>
      <c r="B462" s="14" t="s">
        <v>98</v>
      </c>
      <c r="C462" s="14" t="s">
        <v>32</v>
      </c>
      <c r="D462" s="14" t="s">
        <v>1225</v>
      </c>
      <c r="E462" s="14" t="s">
        <v>17</v>
      </c>
      <c r="F462" s="14">
        <v>3</v>
      </c>
      <c r="G462" s="14" t="s">
        <v>503</v>
      </c>
      <c r="H462" s="14" t="s">
        <v>19</v>
      </c>
      <c r="I462" s="14" t="s">
        <v>20</v>
      </c>
      <c r="J462" s="13" t="s">
        <v>1230</v>
      </c>
      <c r="K462" s="14" t="s">
        <v>64</v>
      </c>
      <c r="L462" s="14" t="s">
        <v>22</v>
      </c>
      <c r="M462" s="14" t="s">
        <v>74</v>
      </c>
      <c r="N462" s="13">
        <v>461</v>
      </c>
      <c r="O462" s="30">
        <v>45772</v>
      </c>
      <c r="P462" s="30">
        <v>45776</v>
      </c>
      <c r="Q462" s="30">
        <v>45779</v>
      </c>
      <c r="R462" s="30">
        <v>45783</v>
      </c>
      <c r="S462" s="23">
        <f t="shared" si="29"/>
        <v>115</v>
      </c>
      <c r="T462" s="23">
        <f t="shared" si="30"/>
        <v>119</v>
      </c>
      <c r="U462" s="23">
        <f t="shared" si="31"/>
        <v>122</v>
      </c>
      <c r="V462" s="23">
        <f t="shared" si="32"/>
        <v>126</v>
      </c>
      <c r="W462" s="14" t="s">
        <v>19</v>
      </c>
      <c r="X462" s="14" t="s">
        <v>20</v>
      </c>
      <c r="Y462" s="14" t="s">
        <v>64</v>
      </c>
      <c r="Z462" s="14" t="s">
        <v>22</v>
      </c>
      <c r="AA462" s="14" t="s">
        <v>426</v>
      </c>
      <c r="AB462" s="14" t="s">
        <v>98</v>
      </c>
      <c r="AC462" s="14" t="s">
        <v>32</v>
      </c>
      <c r="AD462" s="14"/>
      <c r="AE462" s="1">
        <v>0</v>
      </c>
      <c r="AF462" s="1"/>
    </row>
    <row r="463" spans="1:32" x14ac:dyDescent="0.2">
      <c r="A463" s="14" t="s">
        <v>426</v>
      </c>
      <c r="B463" s="14" t="s">
        <v>98</v>
      </c>
      <c r="C463" s="14" t="s">
        <v>32</v>
      </c>
      <c r="D463" s="14" t="s">
        <v>1225</v>
      </c>
      <c r="E463" s="14" t="s">
        <v>24</v>
      </c>
      <c r="F463" s="14">
        <v>3</v>
      </c>
      <c r="G463" s="14" t="s">
        <v>504</v>
      </c>
      <c r="H463" s="14" t="s">
        <v>19</v>
      </c>
      <c r="I463" s="14" t="s">
        <v>20</v>
      </c>
      <c r="J463" s="13" t="s">
        <v>1231</v>
      </c>
      <c r="K463" s="14" t="s">
        <v>64</v>
      </c>
      <c r="L463" s="14" t="s">
        <v>22</v>
      </c>
      <c r="M463" s="14" t="s">
        <v>74</v>
      </c>
      <c r="N463" s="13">
        <v>462</v>
      </c>
      <c r="O463" s="30">
        <v>45758</v>
      </c>
      <c r="P463" s="30">
        <v>45762</v>
      </c>
      <c r="Q463" s="30">
        <v>45765</v>
      </c>
      <c r="R463" s="30">
        <v>45772</v>
      </c>
      <c r="S463" s="23">
        <f t="shared" si="29"/>
        <v>101</v>
      </c>
      <c r="T463" s="23">
        <f t="shared" si="30"/>
        <v>105</v>
      </c>
      <c r="U463" s="23">
        <f t="shared" si="31"/>
        <v>108</v>
      </c>
      <c r="V463" s="23">
        <f t="shared" si="32"/>
        <v>115</v>
      </c>
      <c r="W463" s="14" t="s">
        <v>19</v>
      </c>
      <c r="X463" s="14" t="s">
        <v>20</v>
      </c>
      <c r="Y463" s="14" t="s">
        <v>64</v>
      </c>
      <c r="Z463" s="14" t="s">
        <v>22</v>
      </c>
      <c r="AA463" s="14" t="s">
        <v>426</v>
      </c>
      <c r="AB463" s="14" t="s">
        <v>98</v>
      </c>
      <c r="AC463" s="14" t="s">
        <v>32</v>
      </c>
      <c r="AD463" s="14"/>
      <c r="AE463" s="1">
        <v>0</v>
      </c>
      <c r="AF463" s="1"/>
    </row>
    <row r="464" spans="1:32" x14ac:dyDescent="0.2">
      <c r="A464" s="14" t="s">
        <v>426</v>
      </c>
      <c r="B464" s="14" t="s">
        <v>98</v>
      </c>
      <c r="C464" s="14" t="s">
        <v>32</v>
      </c>
      <c r="D464" s="14" t="s">
        <v>1225</v>
      </c>
      <c r="E464" s="14" t="s">
        <v>17</v>
      </c>
      <c r="F464" s="14">
        <v>4</v>
      </c>
      <c r="G464" s="14" t="s">
        <v>505</v>
      </c>
      <c r="H464" s="14" t="s">
        <v>19</v>
      </c>
      <c r="I464" s="14" t="s">
        <v>20</v>
      </c>
      <c r="J464" s="13" t="s">
        <v>1232</v>
      </c>
      <c r="K464" s="14" t="s">
        <v>64</v>
      </c>
      <c r="L464" s="14" t="s">
        <v>22</v>
      </c>
      <c r="M464" s="14" t="s">
        <v>74</v>
      </c>
      <c r="N464" s="13">
        <v>463</v>
      </c>
      <c r="O464" s="30">
        <v>45758</v>
      </c>
      <c r="P464" s="30">
        <v>45762</v>
      </c>
      <c r="Q464" s="30">
        <v>45765</v>
      </c>
      <c r="R464" s="30">
        <v>45770</v>
      </c>
      <c r="S464" s="23">
        <f t="shared" si="29"/>
        <v>101</v>
      </c>
      <c r="T464" s="23">
        <f t="shared" si="30"/>
        <v>105</v>
      </c>
      <c r="U464" s="23">
        <f t="shared" si="31"/>
        <v>108</v>
      </c>
      <c r="V464" s="23">
        <f t="shared" si="32"/>
        <v>113</v>
      </c>
      <c r="W464" s="14" t="s">
        <v>19</v>
      </c>
      <c r="X464" s="14" t="s">
        <v>20</v>
      </c>
      <c r="Y464" s="14" t="s">
        <v>64</v>
      </c>
      <c r="Z464" s="14" t="s">
        <v>22</v>
      </c>
      <c r="AA464" s="14" t="s">
        <v>426</v>
      </c>
      <c r="AB464" s="14" t="s">
        <v>98</v>
      </c>
      <c r="AC464" s="14" t="s">
        <v>32</v>
      </c>
      <c r="AD464" s="14"/>
      <c r="AE464" s="1">
        <v>0</v>
      </c>
      <c r="AF464" s="1"/>
    </row>
    <row r="465" spans="1:32" x14ac:dyDescent="0.2">
      <c r="A465" s="14" t="s">
        <v>426</v>
      </c>
      <c r="B465" s="14" t="s">
        <v>98</v>
      </c>
      <c r="C465" s="14" t="s">
        <v>32</v>
      </c>
      <c r="D465" s="14" t="s">
        <v>1225</v>
      </c>
      <c r="E465" s="14" t="s">
        <v>24</v>
      </c>
      <c r="F465" s="14">
        <v>4</v>
      </c>
      <c r="G465" s="14" t="s">
        <v>506</v>
      </c>
      <c r="H465" s="14" t="s">
        <v>19</v>
      </c>
      <c r="I465" s="14" t="s">
        <v>20</v>
      </c>
      <c r="J465" s="13" t="s">
        <v>1233</v>
      </c>
      <c r="K465" s="14" t="s">
        <v>64</v>
      </c>
      <c r="L465" s="14" t="s">
        <v>22</v>
      </c>
      <c r="M465" s="14" t="s">
        <v>74</v>
      </c>
      <c r="N465" s="13">
        <v>464</v>
      </c>
      <c r="O465" s="30">
        <v>45765</v>
      </c>
      <c r="P465" s="30">
        <v>45776</v>
      </c>
      <c r="Q465" s="30">
        <v>45779</v>
      </c>
      <c r="R465" s="30">
        <v>45783</v>
      </c>
      <c r="S465" s="23">
        <f t="shared" si="29"/>
        <v>108</v>
      </c>
      <c r="T465" s="23">
        <f t="shared" si="30"/>
        <v>119</v>
      </c>
      <c r="U465" s="23">
        <f t="shared" si="31"/>
        <v>122</v>
      </c>
      <c r="V465" s="23">
        <f t="shared" si="32"/>
        <v>126</v>
      </c>
      <c r="W465" s="14" t="s">
        <v>19</v>
      </c>
      <c r="X465" s="14" t="s">
        <v>20</v>
      </c>
      <c r="Y465" s="14" t="s">
        <v>64</v>
      </c>
      <c r="Z465" s="14" t="s">
        <v>22</v>
      </c>
      <c r="AA465" s="14" t="s">
        <v>426</v>
      </c>
      <c r="AB465" s="14" t="s">
        <v>98</v>
      </c>
      <c r="AC465" s="14" t="s">
        <v>32</v>
      </c>
      <c r="AD465" s="14"/>
      <c r="AE465" s="1">
        <v>0</v>
      </c>
      <c r="AF465" s="1"/>
    </row>
    <row r="466" spans="1:32" x14ac:dyDescent="0.2">
      <c r="A466" s="20" t="s">
        <v>426</v>
      </c>
      <c r="B466" s="20" t="s">
        <v>98</v>
      </c>
      <c r="C466" s="20" t="s">
        <v>42</v>
      </c>
      <c r="D466" s="18" t="s">
        <v>1234</v>
      </c>
      <c r="E466" s="20" t="s">
        <v>17</v>
      </c>
      <c r="F466" s="20">
        <v>1</v>
      </c>
      <c r="G466" s="20" t="s">
        <v>507</v>
      </c>
      <c r="H466" s="20" t="s">
        <v>35</v>
      </c>
      <c r="I466" s="20" t="s">
        <v>20</v>
      </c>
      <c r="J466" s="19" t="s">
        <v>1235</v>
      </c>
      <c r="K466" s="20" t="s">
        <v>21</v>
      </c>
      <c r="L466" s="20" t="s">
        <v>22</v>
      </c>
      <c r="M466" s="20" t="s">
        <v>23</v>
      </c>
      <c r="N466" s="21">
        <v>465</v>
      </c>
      <c r="O466" s="29">
        <v>45762</v>
      </c>
      <c r="P466" s="29">
        <v>45776</v>
      </c>
      <c r="Q466" s="29">
        <v>45779</v>
      </c>
      <c r="R466" s="29">
        <v>45783</v>
      </c>
      <c r="S466" s="23">
        <f t="shared" si="29"/>
        <v>105</v>
      </c>
      <c r="T466" s="23">
        <f t="shared" si="30"/>
        <v>119</v>
      </c>
      <c r="U466" s="23">
        <f t="shared" si="31"/>
        <v>122</v>
      </c>
      <c r="V466" s="23">
        <f t="shared" si="32"/>
        <v>126</v>
      </c>
      <c r="W466" s="20" t="s">
        <v>35</v>
      </c>
      <c r="X466" s="20" t="s">
        <v>20</v>
      </c>
      <c r="Y466" s="20" t="s">
        <v>21</v>
      </c>
      <c r="Z466" s="20" t="s">
        <v>22</v>
      </c>
      <c r="AA466" s="20" t="s">
        <v>426</v>
      </c>
      <c r="AB466" s="20" t="s">
        <v>98</v>
      </c>
      <c r="AC466" s="20" t="s">
        <v>42</v>
      </c>
      <c r="AD466" s="20"/>
      <c r="AE466" s="2">
        <v>0</v>
      </c>
      <c r="AF466" s="2"/>
    </row>
    <row r="467" spans="1:32" x14ac:dyDescent="0.2">
      <c r="A467" s="20" t="s">
        <v>426</v>
      </c>
      <c r="B467" s="20" t="s">
        <v>98</v>
      </c>
      <c r="C467" s="20" t="s">
        <v>42</v>
      </c>
      <c r="D467" s="18" t="s">
        <v>1234</v>
      </c>
      <c r="E467" s="20" t="s">
        <v>24</v>
      </c>
      <c r="F467" s="20">
        <v>1</v>
      </c>
      <c r="G467" s="20" t="s">
        <v>508</v>
      </c>
      <c r="H467" s="20" t="s">
        <v>35</v>
      </c>
      <c r="I467" s="20" t="s">
        <v>20</v>
      </c>
      <c r="J467" s="19" t="s">
        <v>1236</v>
      </c>
      <c r="K467" s="20" t="s">
        <v>21</v>
      </c>
      <c r="L467" s="20" t="s">
        <v>22</v>
      </c>
      <c r="M467" s="20" t="s">
        <v>23</v>
      </c>
      <c r="N467" s="21">
        <v>466</v>
      </c>
      <c r="O467" s="29">
        <v>45762</v>
      </c>
      <c r="P467" s="29">
        <v>45776</v>
      </c>
      <c r="Q467" s="29">
        <v>45779</v>
      </c>
      <c r="R467" s="29">
        <v>45783</v>
      </c>
      <c r="S467" s="23">
        <f t="shared" si="29"/>
        <v>105</v>
      </c>
      <c r="T467" s="23">
        <f t="shared" si="30"/>
        <v>119</v>
      </c>
      <c r="U467" s="23">
        <f t="shared" si="31"/>
        <v>122</v>
      </c>
      <c r="V467" s="23">
        <f t="shared" si="32"/>
        <v>126</v>
      </c>
      <c r="W467" s="20" t="s">
        <v>35</v>
      </c>
      <c r="X467" s="20" t="s">
        <v>20</v>
      </c>
      <c r="Y467" s="20" t="s">
        <v>21</v>
      </c>
      <c r="Z467" s="20" t="s">
        <v>22</v>
      </c>
      <c r="AA467" s="20" t="s">
        <v>426</v>
      </c>
      <c r="AB467" s="20" t="s">
        <v>98</v>
      </c>
      <c r="AC467" s="20" t="s">
        <v>42</v>
      </c>
      <c r="AD467" s="20"/>
      <c r="AE467" s="2">
        <v>0</v>
      </c>
      <c r="AF467" s="2"/>
    </row>
    <row r="468" spans="1:32" x14ac:dyDescent="0.2">
      <c r="A468" s="20" t="s">
        <v>426</v>
      </c>
      <c r="B468" s="20" t="s">
        <v>98</v>
      </c>
      <c r="C468" s="20" t="s">
        <v>42</v>
      </c>
      <c r="D468" s="18" t="s">
        <v>1234</v>
      </c>
      <c r="E468" s="20" t="s">
        <v>17</v>
      </c>
      <c r="F468" s="20">
        <v>2</v>
      </c>
      <c r="G468" s="20" t="s">
        <v>509</v>
      </c>
      <c r="H468" s="20" t="s">
        <v>35</v>
      </c>
      <c r="I468" s="20" t="s">
        <v>20</v>
      </c>
      <c r="J468" s="19" t="s">
        <v>1237</v>
      </c>
      <c r="K468" s="20" t="s">
        <v>21</v>
      </c>
      <c r="L468" s="20" t="s">
        <v>22</v>
      </c>
      <c r="M468" s="20" t="s">
        <v>23</v>
      </c>
      <c r="N468" s="21">
        <v>467</v>
      </c>
      <c r="O468" s="29">
        <v>45762</v>
      </c>
      <c r="P468" s="29">
        <v>45776</v>
      </c>
      <c r="Q468" s="29">
        <v>45779</v>
      </c>
      <c r="R468" s="29">
        <v>45783</v>
      </c>
      <c r="S468" s="23">
        <f t="shared" si="29"/>
        <v>105</v>
      </c>
      <c r="T468" s="23">
        <f t="shared" si="30"/>
        <v>119</v>
      </c>
      <c r="U468" s="23">
        <f t="shared" si="31"/>
        <v>122</v>
      </c>
      <c r="V468" s="23">
        <f t="shared" si="32"/>
        <v>126</v>
      </c>
      <c r="W468" s="20" t="s">
        <v>35</v>
      </c>
      <c r="X468" s="20" t="s">
        <v>20</v>
      </c>
      <c r="Y468" s="20" t="s">
        <v>21</v>
      </c>
      <c r="Z468" s="20" t="s">
        <v>22</v>
      </c>
      <c r="AA468" s="20" t="s">
        <v>426</v>
      </c>
      <c r="AB468" s="20" t="s">
        <v>98</v>
      </c>
      <c r="AC468" s="20" t="s">
        <v>42</v>
      </c>
      <c r="AD468" s="20"/>
      <c r="AE468" s="2">
        <v>0</v>
      </c>
      <c r="AF468" s="2"/>
    </row>
    <row r="469" spans="1:32" x14ac:dyDescent="0.2">
      <c r="A469" s="20" t="s">
        <v>426</v>
      </c>
      <c r="B469" s="20" t="s">
        <v>98</v>
      </c>
      <c r="C469" s="20" t="s">
        <v>42</v>
      </c>
      <c r="D469" s="18" t="s">
        <v>1234</v>
      </c>
      <c r="E469" s="20" t="s">
        <v>24</v>
      </c>
      <c r="F469" s="20">
        <v>2</v>
      </c>
      <c r="G469" s="20" t="s">
        <v>510</v>
      </c>
      <c r="H469" s="20" t="s">
        <v>35</v>
      </c>
      <c r="I469" s="20" t="s">
        <v>20</v>
      </c>
      <c r="J469" s="19" t="s">
        <v>1238</v>
      </c>
      <c r="K469" s="20" t="s">
        <v>21</v>
      </c>
      <c r="L469" s="20" t="s">
        <v>22</v>
      </c>
      <c r="M469" s="20" t="s">
        <v>23</v>
      </c>
      <c r="N469" s="21">
        <v>468</v>
      </c>
      <c r="O469" s="29">
        <v>45762</v>
      </c>
      <c r="P469" s="29">
        <v>45779</v>
      </c>
      <c r="Q469" s="29">
        <v>45783</v>
      </c>
      <c r="R469" s="29">
        <v>45790</v>
      </c>
      <c r="S469" s="23">
        <f t="shared" si="29"/>
        <v>105</v>
      </c>
      <c r="T469" s="23">
        <f t="shared" si="30"/>
        <v>122</v>
      </c>
      <c r="U469" s="23">
        <f t="shared" si="31"/>
        <v>126</v>
      </c>
      <c r="V469" s="23">
        <f t="shared" si="32"/>
        <v>133</v>
      </c>
      <c r="W469" s="20" t="s">
        <v>35</v>
      </c>
      <c r="X469" s="20" t="s">
        <v>20</v>
      </c>
      <c r="Y469" s="20" t="s">
        <v>21</v>
      </c>
      <c r="Z469" s="20" t="s">
        <v>22</v>
      </c>
      <c r="AA469" s="20" t="s">
        <v>426</v>
      </c>
      <c r="AB469" s="20" t="s">
        <v>98</v>
      </c>
      <c r="AC469" s="20" t="s">
        <v>42</v>
      </c>
      <c r="AD469" s="20"/>
      <c r="AE469" s="2">
        <v>0</v>
      </c>
      <c r="AF469" s="2"/>
    </row>
    <row r="470" spans="1:32" x14ac:dyDescent="0.2">
      <c r="A470" s="20" t="s">
        <v>426</v>
      </c>
      <c r="B470" s="20" t="s">
        <v>98</v>
      </c>
      <c r="C470" s="20" t="s">
        <v>42</v>
      </c>
      <c r="D470" s="18" t="s">
        <v>1234</v>
      </c>
      <c r="E470" s="20" t="s">
        <v>17</v>
      </c>
      <c r="F470" s="20">
        <v>3</v>
      </c>
      <c r="G470" s="20" t="s">
        <v>511</v>
      </c>
      <c r="H470" s="20" t="s">
        <v>35</v>
      </c>
      <c r="I470" s="20" t="s">
        <v>20</v>
      </c>
      <c r="J470" s="19" t="s">
        <v>1239</v>
      </c>
      <c r="K470" s="20" t="s">
        <v>21</v>
      </c>
      <c r="L470" s="20" t="s">
        <v>22</v>
      </c>
      <c r="M470" s="20" t="s">
        <v>23</v>
      </c>
      <c r="N470" s="21">
        <v>469</v>
      </c>
      <c r="O470" s="29">
        <v>45762</v>
      </c>
      <c r="P470" s="29">
        <v>45770</v>
      </c>
      <c r="Q470" s="29">
        <v>45779</v>
      </c>
      <c r="R470" s="29">
        <v>45783</v>
      </c>
      <c r="S470" s="23">
        <f t="shared" si="29"/>
        <v>105</v>
      </c>
      <c r="T470" s="23">
        <f t="shared" si="30"/>
        <v>113</v>
      </c>
      <c r="U470" s="23">
        <f t="shared" si="31"/>
        <v>122</v>
      </c>
      <c r="V470" s="23">
        <f t="shared" si="32"/>
        <v>126</v>
      </c>
      <c r="W470" s="20" t="s">
        <v>35</v>
      </c>
      <c r="X470" s="20" t="s">
        <v>20</v>
      </c>
      <c r="Y470" s="20" t="s">
        <v>21</v>
      </c>
      <c r="Z470" s="20" t="s">
        <v>22</v>
      </c>
      <c r="AA470" s="20" t="s">
        <v>426</v>
      </c>
      <c r="AB470" s="20" t="s">
        <v>98</v>
      </c>
      <c r="AC470" s="20" t="s">
        <v>42</v>
      </c>
      <c r="AD470" s="20"/>
      <c r="AE470" s="2">
        <v>0</v>
      </c>
      <c r="AF470" s="2"/>
    </row>
    <row r="471" spans="1:32" x14ac:dyDescent="0.2">
      <c r="A471" s="20" t="s">
        <v>426</v>
      </c>
      <c r="B471" s="20" t="s">
        <v>98</v>
      </c>
      <c r="C471" s="20" t="s">
        <v>42</v>
      </c>
      <c r="D471" s="18" t="s">
        <v>1234</v>
      </c>
      <c r="E471" s="20" t="s">
        <v>24</v>
      </c>
      <c r="F471" s="20">
        <v>3</v>
      </c>
      <c r="G471" s="20" t="s">
        <v>512</v>
      </c>
      <c r="H471" s="20" t="s">
        <v>35</v>
      </c>
      <c r="I471" s="20" t="s">
        <v>20</v>
      </c>
      <c r="J471" s="19" t="s">
        <v>1240</v>
      </c>
      <c r="K471" s="20" t="s">
        <v>21</v>
      </c>
      <c r="L471" s="20" t="s">
        <v>22</v>
      </c>
      <c r="M471" s="20" t="s">
        <v>23</v>
      </c>
      <c r="N471" s="21">
        <v>470</v>
      </c>
      <c r="O471" s="29">
        <v>45755</v>
      </c>
      <c r="P471" s="29">
        <v>45770</v>
      </c>
      <c r="Q471" s="29">
        <v>45776</v>
      </c>
      <c r="R471" s="29">
        <v>45779</v>
      </c>
      <c r="S471" s="23">
        <f t="shared" si="29"/>
        <v>98</v>
      </c>
      <c r="T471" s="23">
        <f t="shared" si="30"/>
        <v>113</v>
      </c>
      <c r="U471" s="23">
        <f t="shared" si="31"/>
        <v>119</v>
      </c>
      <c r="V471" s="23">
        <f t="shared" si="32"/>
        <v>122</v>
      </c>
      <c r="W471" s="20" t="s">
        <v>35</v>
      </c>
      <c r="X471" s="20" t="s">
        <v>20</v>
      </c>
      <c r="Y471" s="20" t="s">
        <v>21</v>
      </c>
      <c r="Z471" s="20" t="s">
        <v>22</v>
      </c>
      <c r="AA471" s="20" t="s">
        <v>426</v>
      </c>
      <c r="AB471" s="20" t="s">
        <v>98</v>
      </c>
      <c r="AC471" s="20" t="s">
        <v>42</v>
      </c>
      <c r="AD471" s="20"/>
      <c r="AE471" s="2">
        <v>0</v>
      </c>
      <c r="AF471" s="2"/>
    </row>
    <row r="472" spans="1:32" x14ac:dyDescent="0.2">
      <c r="A472" s="20" t="s">
        <v>426</v>
      </c>
      <c r="B472" s="20" t="s">
        <v>98</v>
      </c>
      <c r="C472" s="20" t="s">
        <v>42</v>
      </c>
      <c r="D472" s="18" t="s">
        <v>1234</v>
      </c>
      <c r="E472" s="20" t="s">
        <v>17</v>
      </c>
      <c r="F472" s="20">
        <v>4</v>
      </c>
      <c r="G472" s="20" t="s">
        <v>513</v>
      </c>
      <c r="H472" s="20" t="s">
        <v>35</v>
      </c>
      <c r="I472" s="20" t="s">
        <v>20</v>
      </c>
      <c r="J472" s="19" t="s">
        <v>1241</v>
      </c>
      <c r="K472" s="20" t="s">
        <v>21</v>
      </c>
      <c r="L472" s="20" t="s">
        <v>22</v>
      </c>
      <c r="M472" s="20" t="s">
        <v>23</v>
      </c>
      <c r="N472" s="21">
        <v>471</v>
      </c>
      <c r="O472" s="29">
        <v>45751</v>
      </c>
      <c r="P472" s="29">
        <v>45762</v>
      </c>
      <c r="Q472" s="29">
        <v>45776</v>
      </c>
      <c r="R472" s="29">
        <v>45779</v>
      </c>
      <c r="S472" s="23">
        <f t="shared" si="29"/>
        <v>94</v>
      </c>
      <c r="T472" s="23">
        <f t="shared" si="30"/>
        <v>105</v>
      </c>
      <c r="U472" s="23">
        <f t="shared" si="31"/>
        <v>119</v>
      </c>
      <c r="V472" s="23">
        <f t="shared" si="32"/>
        <v>122</v>
      </c>
      <c r="W472" s="20" t="s">
        <v>35</v>
      </c>
      <c r="X472" s="20" t="s">
        <v>20</v>
      </c>
      <c r="Y472" s="20" t="s">
        <v>21</v>
      </c>
      <c r="Z472" s="20" t="s">
        <v>22</v>
      </c>
      <c r="AA472" s="20" t="s">
        <v>426</v>
      </c>
      <c r="AB472" s="20" t="s">
        <v>98</v>
      </c>
      <c r="AC472" s="20" t="s">
        <v>42</v>
      </c>
      <c r="AD472" s="20"/>
      <c r="AE472" s="2">
        <v>0</v>
      </c>
      <c r="AF472" s="2"/>
    </row>
    <row r="473" spans="1:32" x14ac:dyDescent="0.2">
      <c r="A473" s="20" t="s">
        <v>426</v>
      </c>
      <c r="B473" s="20" t="s">
        <v>98</v>
      </c>
      <c r="C473" s="20" t="s">
        <v>42</v>
      </c>
      <c r="D473" s="18" t="s">
        <v>1234</v>
      </c>
      <c r="E473" s="20" t="s">
        <v>24</v>
      </c>
      <c r="F473" s="20">
        <v>4</v>
      </c>
      <c r="G473" s="20" t="s">
        <v>514</v>
      </c>
      <c r="H473" s="20" t="s">
        <v>35</v>
      </c>
      <c r="I473" s="20" t="s">
        <v>20</v>
      </c>
      <c r="J473" s="19" t="s">
        <v>1242</v>
      </c>
      <c r="K473" s="20" t="s">
        <v>21</v>
      </c>
      <c r="L473" s="20" t="s">
        <v>22</v>
      </c>
      <c r="M473" s="20" t="s">
        <v>23</v>
      </c>
      <c r="N473" s="21">
        <v>472</v>
      </c>
      <c r="O473" s="29">
        <v>45758</v>
      </c>
      <c r="P473" s="29">
        <v>45762</v>
      </c>
      <c r="Q473" s="29">
        <v>45776</v>
      </c>
      <c r="R473" s="29">
        <v>45779</v>
      </c>
      <c r="S473" s="23">
        <f t="shared" si="29"/>
        <v>101</v>
      </c>
      <c r="T473" s="23">
        <f t="shared" si="30"/>
        <v>105</v>
      </c>
      <c r="U473" s="23">
        <f t="shared" si="31"/>
        <v>119</v>
      </c>
      <c r="V473" s="23">
        <f t="shared" si="32"/>
        <v>122</v>
      </c>
      <c r="W473" s="20" t="s">
        <v>35</v>
      </c>
      <c r="X473" s="20" t="s">
        <v>20</v>
      </c>
      <c r="Y473" s="20" t="s">
        <v>21</v>
      </c>
      <c r="Z473" s="20" t="s">
        <v>22</v>
      </c>
      <c r="AA473" s="20" t="s">
        <v>426</v>
      </c>
      <c r="AB473" s="20" t="s">
        <v>98</v>
      </c>
      <c r="AC473" s="20" t="s">
        <v>42</v>
      </c>
      <c r="AD473" s="20"/>
      <c r="AE473" s="2">
        <v>0</v>
      </c>
      <c r="AF473" s="2"/>
    </row>
    <row r="474" spans="1:32" x14ac:dyDescent="0.2">
      <c r="A474" s="14" t="s">
        <v>426</v>
      </c>
      <c r="B474" s="14" t="s">
        <v>98</v>
      </c>
      <c r="C474" s="14" t="s">
        <v>53</v>
      </c>
      <c r="D474" s="14" t="s">
        <v>1243</v>
      </c>
      <c r="E474" s="14" t="s">
        <v>17</v>
      </c>
      <c r="F474" s="14">
        <v>1</v>
      </c>
      <c r="G474" s="14" t="s">
        <v>515</v>
      </c>
      <c r="H474" s="14" t="s">
        <v>19</v>
      </c>
      <c r="I474" s="14" t="s">
        <v>20</v>
      </c>
      <c r="J474" s="13" t="s">
        <v>1244</v>
      </c>
      <c r="K474" s="14" t="s">
        <v>21</v>
      </c>
      <c r="L474" s="14" t="s">
        <v>44</v>
      </c>
      <c r="M474" s="14" t="s">
        <v>45</v>
      </c>
      <c r="N474" s="13">
        <v>473</v>
      </c>
      <c r="O474" s="30">
        <v>45776</v>
      </c>
      <c r="P474" s="30">
        <v>45779</v>
      </c>
      <c r="Q474" s="30">
        <v>45783</v>
      </c>
      <c r="R474" s="30">
        <v>45786</v>
      </c>
      <c r="S474" s="23">
        <f t="shared" si="29"/>
        <v>119</v>
      </c>
      <c r="T474" s="23">
        <f t="shared" si="30"/>
        <v>122</v>
      </c>
      <c r="U474" s="23">
        <f t="shared" si="31"/>
        <v>126</v>
      </c>
      <c r="V474" s="23">
        <f t="shared" si="32"/>
        <v>129</v>
      </c>
      <c r="W474" s="14" t="s">
        <v>19</v>
      </c>
      <c r="X474" s="14" t="s">
        <v>20</v>
      </c>
      <c r="Y474" s="14" t="s">
        <v>21</v>
      </c>
      <c r="Z474" s="14" t="s">
        <v>44</v>
      </c>
      <c r="AA474" s="14" t="s">
        <v>426</v>
      </c>
      <c r="AB474" s="14" t="s">
        <v>98</v>
      </c>
      <c r="AC474" s="14" t="s">
        <v>53</v>
      </c>
      <c r="AD474" s="14"/>
      <c r="AE474" s="1">
        <v>0</v>
      </c>
      <c r="AF474" s="1"/>
    </row>
    <row r="475" spans="1:32" x14ac:dyDescent="0.2">
      <c r="A475" s="14" t="s">
        <v>426</v>
      </c>
      <c r="B475" s="14" t="s">
        <v>98</v>
      </c>
      <c r="C475" s="14" t="s">
        <v>53</v>
      </c>
      <c r="D475" s="14" t="s">
        <v>1243</v>
      </c>
      <c r="E475" s="14" t="s">
        <v>24</v>
      </c>
      <c r="F475" s="14">
        <v>1</v>
      </c>
      <c r="G475" s="14" t="s">
        <v>516</v>
      </c>
      <c r="H475" s="14" t="s">
        <v>19</v>
      </c>
      <c r="I475" s="14" t="s">
        <v>20</v>
      </c>
      <c r="J475" s="13" t="s">
        <v>1245</v>
      </c>
      <c r="K475" s="14" t="s">
        <v>21</v>
      </c>
      <c r="L475" s="14" t="s">
        <v>44</v>
      </c>
      <c r="M475" s="14" t="s">
        <v>45</v>
      </c>
      <c r="N475" s="13">
        <v>474</v>
      </c>
      <c r="O475" s="30">
        <v>45762</v>
      </c>
      <c r="P475" s="30">
        <v>45765</v>
      </c>
      <c r="Q475" s="30">
        <v>45770</v>
      </c>
      <c r="R475" s="30">
        <v>45772</v>
      </c>
      <c r="S475" s="23">
        <f t="shared" si="29"/>
        <v>105</v>
      </c>
      <c r="T475" s="23">
        <f t="shared" si="30"/>
        <v>108</v>
      </c>
      <c r="U475" s="23">
        <f t="shared" si="31"/>
        <v>113</v>
      </c>
      <c r="V475" s="23">
        <f t="shared" si="32"/>
        <v>115</v>
      </c>
      <c r="W475" s="14" t="s">
        <v>19</v>
      </c>
      <c r="X475" s="14" t="s">
        <v>20</v>
      </c>
      <c r="Y475" s="14" t="s">
        <v>21</v>
      </c>
      <c r="Z475" s="14" t="s">
        <v>44</v>
      </c>
      <c r="AA475" s="14" t="s">
        <v>426</v>
      </c>
      <c r="AB475" s="14" t="s">
        <v>98</v>
      </c>
      <c r="AC475" s="14" t="s">
        <v>53</v>
      </c>
      <c r="AD475" s="14"/>
      <c r="AE475" s="1">
        <v>0</v>
      </c>
      <c r="AF475" s="1"/>
    </row>
    <row r="476" spans="1:32" x14ac:dyDescent="0.2">
      <c r="A476" s="14" t="s">
        <v>426</v>
      </c>
      <c r="B476" s="14" t="s">
        <v>98</v>
      </c>
      <c r="C476" s="14" t="s">
        <v>53</v>
      </c>
      <c r="D476" s="14" t="s">
        <v>1243</v>
      </c>
      <c r="E476" s="14" t="s">
        <v>17</v>
      </c>
      <c r="F476" s="14">
        <v>2</v>
      </c>
      <c r="G476" s="14" t="s">
        <v>517</v>
      </c>
      <c r="H476" s="14" t="s">
        <v>19</v>
      </c>
      <c r="I476" s="14" t="s">
        <v>20</v>
      </c>
      <c r="J476" s="13" t="s">
        <v>1246</v>
      </c>
      <c r="K476" s="14" t="s">
        <v>21</v>
      </c>
      <c r="L476" s="14" t="s">
        <v>44</v>
      </c>
      <c r="M476" s="14" t="s">
        <v>45</v>
      </c>
      <c r="N476" s="13">
        <v>475</v>
      </c>
      <c r="O476" s="30">
        <v>45765</v>
      </c>
      <c r="P476" s="30">
        <v>45772</v>
      </c>
      <c r="Q476" s="30">
        <v>45776</v>
      </c>
      <c r="R476" s="30">
        <v>45779</v>
      </c>
      <c r="S476" s="23">
        <f t="shared" si="29"/>
        <v>108</v>
      </c>
      <c r="T476" s="23">
        <f t="shared" si="30"/>
        <v>115</v>
      </c>
      <c r="U476" s="23">
        <f t="shared" si="31"/>
        <v>119</v>
      </c>
      <c r="V476" s="23">
        <f t="shared" si="32"/>
        <v>122</v>
      </c>
      <c r="W476" s="14" t="s">
        <v>19</v>
      </c>
      <c r="X476" s="14" t="s">
        <v>20</v>
      </c>
      <c r="Y476" s="14" t="s">
        <v>21</v>
      </c>
      <c r="Z476" s="14" t="s">
        <v>44</v>
      </c>
      <c r="AA476" s="14" t="s">
        <v>426</v>
      </c>
      <c r="AB476" s="14" t="s">
        <v>98</v>
      </c>
      <c r="AC476" s="14" t="s">
        <v>53</v>
      </c>
      <c r="AD476" s="14"/>
      <c r="AE476" s="1">
        <v>0</v>
      </c>
      <c r="AF476" s="1"/>
    </row>
    <row r="477" spans="1:32" x14ac:dyDescent="0.2">
      <c r="A477" s="14" t="s">
        <v>426</v>
      </c>
      <c r="B477" s="14" t="s">
        <v>98</v>
      </c>
      <c r="C477" s="14" t="s">
        <v>53</v>
      </c>
      <c r="D477" s="14" t="s">
        <v>1243</v>
      </c>
      <c r="E477" s="14" t="s">
        <v>24</v>
      </c>
      <c r="F477" s="14">
        <v>2</v>
      </c>
      <c r="G477" s="14" t="s">
        <v>518</v>
      </c>
      <c r="H477" s="14" t="s">
        <v>19</v>
      </c>
      <c r="I477" s="14" t="s">
        <v>20</v>
      </c>
      <c r="J477" s="13" t="s">
        <v>1247</v>
      </c>
      <c r="K477" s="14" t="s">
        <v>21</v>
      </c>
      <c r="L477" s="14" t="s">
        <v>44</v>
      </c>
      <c r="M477" s="14" t="s">
        <v>45</v>
      </c>
      <c r="N477" s="13">
        <v>476</v>
      </c>
      <c r="O477" s="30">
        <v>45762</v>
      </c>
      <c r="P477" s="30">
        <v>45770</v>
      </c>
      <c r="Q477" s="30">
        <v>45772</v>
      </c>
      <c r="R477" s="30">
        <v>45779</v>
      </c>
      <c r="S477" s="23">
        <f t="shared" si="29"/>
        <v>105</v>
      </c>
      <c r="T477" s="23">
        <f t="shared" si="30"/>
        <v>113</v>
      </c>
      <c r="U477" s="23">
        <f t="shared" si="31"/>
        <v>115</v>
      </c>
      <c r="V477" s="23">
        <f t="shared" si="32"/>
        <v>122</v>
      </c>
      <c r="W477" s="14" t="s">
        <v>19</v>
      </c>
      <c r="X477" s="14" t="s">
        <v>20</v>
      </c>
      <c r="Y477" s="14" t="s">
        <v>21</v>
      </c>
      <c r="Z477" s="14" t="s">
        <v>44</v>
      </c>
      <c r="AA477" s="14" t="s">
        <v>426</v>
      </c>
      <c r="AB477" s="14" t="s">
        <v>98</v>
      </c>
      <c r="AC477" s="14" t="s">
        <v>53</v>
      </c>
      <c r="AD477" s="14"/>
      <c r="AE477" s="1">
        <v>0</v>
      </c>
      <c r="AF477" s="1"/>
    </row>
    <row r="478" spans="1:32" x14ac:dyDescent="0.2">
      <c r="A478" s="14" t="s">
        <v>426</v>
      </c>
      <c r="B478" s="14" t="s">
        <v>98</v>
      </c>
      <c r="C478" s="14" t="s">
        <v>53</v>
      </c>
      <c r="D478" s="14" t="s">
        <v>1243</v>
      </c>
      <c r="E478" s="14" t="s">
        <v>17</v>
      </c>
      <c r="F478" s="14">
        <v>3</v>
      </c>
      <c r="G478" s="14" t="s">
        <v>519</v>
      </c>
      <c r="H478" s="14" t="s">
        <v>19</v>
      </c>
      <c r="I478" s="14" t="s">
        <v>20</v>
      </c>
      <c r="J478" s="13" t="s">
        <v>1248</v>
      </c>
      <c r="K478" s="14" t="s">
        <v>21</v>
      </c>
      <c r="L478" s="14" t="s">
        <v>44</v>
      </c>
      <c r="M478" s="14" t="s">
        <v>45</v>
      </c>
      <c r="N478" s="13">
        <v>477</v>
      </c>
      <c r="O478" s="30">
        <v>45770</v>
      </c>
      <c r="P478" s="30">
        <v>45772</v>
      </c>
      <c r="Q478" s="30">
        <v>45776</v>
      </c>
      <c r="R478" s="30">
        <v>45779</v>
      </c>
      <c r="S478" s="23">
        <f t="shared" si="29"/>
        <v>113</v>
      </c>
      <c r="T478" s="23">
        <f t="shared" si="30"/>
        <v>115</v>
      </c>
      <c r="U478" s="23">
        <f t="shared" si="31"/>
        <v>119</v>
      </c>
      <c r="V478" s="23">
        <f t="shared" si="32"/>
        <v>122</v>
      </c>
      <c r="W478" s="14" t="s">
        <v>19</v>
      </c>
      <c r="X478" s="14" t="s">
        <v>20</v>
      </c>
      <c r="Y478" s="14" t="s">
        <v>21</v>
      </c>
      <c r="Z478" s="14" t="s">
        <v>44</v>
      </c>
      <c r="AA478" s="14" t="s">
        <v>426</v>
      </c>
      <c r="AB478" s="14" t="s">
        <v>98</v>
      </c>
      <c r="AC478" s="14" t="s">
        <v>53</v>
      </c>
      <c r="AD478" s="14"/>
      <c r="AE478" s="1">
        <v>0</v>
      </c>
      <c r="AF478" s="1"/>
    </row>
    <row r="479" spans="1:32" x14ac:dyDescent="0.2">
      <c r="A479" s="14" t="s">
        <v>426</v>
      </c>
      <c r="B479" s="14" t="s">
        <v>98</v>
      </c>
      <c r="C479" s="14" t="s">
        <v>53</v>
      </c>
      <c r="D479" s="14" t="s">
        <v>1243</v>
      </c>
      <c r="E479" s="14" t="s">
        <v>24</v>
      </c>
      <c r="F479" s="14">
        <v>3</v>
      </c>
      <c r="G479" s="14" t="s">
        <v>520</v>
      </c>
      <c r="H479" s="14" t="s">
        <v>19</v>
      </c>
      <c r="I479" s="14" t="s">
        <v>20</v>
      </c>
      <c r="J479" s="13" t="s">
        <v>1249</v>
      </c>
      <c r="K479" s="14" t="s">
        <v>21</v>
      </c>
      <c r="L479" s="14" t="s">
        <v>44</v>
      </c>
      <c r="M479" s="14" t="s">
        <v>45</v>
      </c>
      <c r="N479" s="13">
        <v>478</v>
      </c>
      <c r="O479" s="30">
        <v>45758</v>
      </c>
      <c r="P479" s="30">
        <v>45770</v>
      </c>
      <c r="Q479" s="30">
        <v>45776</v>
      </c>
      <c r="R479" s="30">
        <v>45779</v>
      </c>
      <c r="S479" s="23">
        <f t="shared" si="29"/>
        <v>101</v>
      </c>
      <c r="T479" s="23">
        <f t="shared" si="30"/>
        <v>113</v>
      </c>
      <c r="U479" s="23">
        <f t="shared" si="31"/>
        <v>119</v>
      </c>
      <c r="V479" s="23">
        <f t="shared" si="32"/>
        <v>122</v>
      </c>
      <c r="W479" s="14" t="s">
        <v>19</v>
      </c>
      <c r="X479" s="14" t="s">
        <v>20</v>
      </c>
      <c r="Y479" s="14" t="s">
        <v>21</v>
      </c>
      <c r="Z479" s="14" t="s">
        <v>44</v>
      </c>
      <c r="AA479" s="14" t="s">
        <v>426</v>
      </c>
      <c r="AB479" s="14" t="s">
        <v>98</v>
      </c>
      <c r="AC479" s="14" t="s">
        <v>53</v>
      </c>
      <c r="AD479" s="14"/>
      <c r="AE479" s="1">
        <v>0</v>
      </c>
      <c r="AF479" s="1"/>
    </row>
    <row r="480" spans="1:32" x14ac:dyDescent="0.2">
      <c r="A480" s="14" t="s">
        <v>426</v>
      </c>
      <c r="B480" s="14" t="s">
        <v>98</v>
      </c>
      <c r="C480" s="14" t="s">
        <v>53</v>
      </c>
      <c r="D480" s="14" t="s">
        <v>1243</v>
      </c>
      <c r="E480" s="14" t="s">
        <v>17</v>
      </c>
      <c r="F480" s="14">
        <v>4</v>
      </c>
      <c r="G480" s="14" t="s">
        <v>521</v>
      </c>
      <c r="H480" s="14" t="s">
        <v>19</v>
      </c>
      <c r="I480" s="14" t="s">
        <v>20</v>
      </c>
      <c r="J480" s="13" t="s">
        <v>1250</v>
      </c>
      <c r="K480" s="14" t="s">
        <v>21</v>
      </c>
      <c r="L480" s="14" t="s">
        <v>44</v>
      </c>
      <c r="M480" s="14" t="s">
        <v>45</v>
      </c>
      <c r="N480" s="13">
        <v>479</v>
      </c>
      <c r="O480" s="30">
        <v>45762</v>
      </c>
      <c r="P480" s="30">
        <v>45770</v>
      </c>
      <c r="Q480" s="30">
        <v>45772</v>
      </c>
      <c r="R480" s="30">
        <v>45776</v>
      </c>
      <c r="S480" s="23">
        <f t="shared" si="29"/>
        <v>105</v>
      </c>
      <c r="T480" s="23">
        <f t="shared" si="30"/>
        <v>113</v>
      </c>
      <c r="U480" s="23">
        <f t="shared" si="31"/>
        <v>115</v>
      </c>
      <c r="V480" s="23">
        <f t="shared" si="32"/>
        <v>119</v>
      </c>
      <c r="W480" s="14" t="s">
        <v>19</v>
      </c>
      <c r="X480" s="14" t="s">
        <v>20</v>
      </c>
      <c r="Y480" s="14" t="s">
        <v>21</v>
      </c>
      <c r="Z480" s="14" t="s">
        <v>44</v>
      </c>
      <c r="AA480" s="14" t="s">
        <v>426</v>
      </c>
      <c r="AB480" s="14" t="s">
        <v>98</v>
      </c>
      <c r="AC480" s="14" t="s">
        <v>53</v>
      </c>
      <c r="AD480" s="14"/>
      <c r="AE480" s="1">
        <v>0</v>
      </c>
      <c r="AF480" s="1"/>
    </row>
    <row r="481" spans="1:32" x14ac:dyDescent="0.2">
      <c r="A481" s="14" t="s">
        <v>426</v>
      </c>
      <c r="B481" s="14" t="s">
        <v>98</v>
      </c>
      <c r="C481" s="14" t="s">
        <v>53</v>
      </c>
      <c r="D481" s="14" t="s">
        <v>1243</v>
      </c>
      <c r="E481" s="14" t="s">
        <v>24</v>
      </c>
      <c r="F481" s="14">
        <v>4</v>
      </c>
      <c r="G481" s="14" t="s">
        <v>522</v>
      </c>
      <c r="H481" s="14" t="s">
        <v>19</v>
      </c>
      <c r="I481" s="14" t="s">
        <v>20</v>
      </c>
      <c r="J481" s="13" t="s">
        <v>1251</v>
      </c>
      <c r="K481" s="14" t="s">
        <v>21</v>
      </c>
      <c r="L481" s="14" t="s">
        <v>44</v>
      </c>
      <c r="M481" s="14" t="s">
        <v>45</v>
      </c>
      <c r="N481" s="13">
        <v>480</v>
      </c>
      <c r="O481" s="30">
        <v>45758</v>
      </c>
      <c r="P481" s="30">
        <v>45765</v>
      </c>
      <c r="Q481" s="30">
        <v>45770</v>
      </c>
      <c r="R481" s="30">
        <v>45772</v>
      </c>
      <c r="S481" s="23">
        <f t="shared" si="29"/>
        <v>101</v>
      </c>
      <c r="T481" s="23">
        <f t="shared" si="30"/>
        <v>108</v>
      </c>
      <c r="U481" s="23">
        <f t="shared" si="31"/>
        <v>113</v>
      </c>
      <c r="V481" s="23">
        <f t="shared" si="32"/>
        <v>115</v>
      </c>
      <c r="W481" s="14" t="s">
        <v>19</v>
      </c>
      <c r="X481" s="14" t="s">
        <v>20</v>
      </c>
      <c r="Y481" s="14" t="s">
        <v>21</v>
      </c>
      <c r="Z481" s="14" t="s">
        <v>44</v>
      </c>
      <c r="AA481" s="14" t="s">
        <v>426</v>
      </c>
      <c r="AB481" s="14" t="s">
        <v>98</v>
      </c>
      <c r="AC481" s="14" t="s">
        <v>53</v>
      </c>
      <c r="AD481" s="14"/>
      <c r="AE481" s="1">
        <v>0</v>
      </c>
      <c r="AF481" s="1"/>
    </row>
    <row r="482" spans="1:32" x14ac:dyDescent="0.2">
      <c r="A482" s="20" t="s">
        <v>426</v>
      </c>
      <c r="B482" s="20" t="s">
        <v>131</v>
      </c>
      <c r="C482" s="20" t="s">
        <v>16</v>
      </c>
      <c r="D482" s="18" t="s">
        <v>1252</v>
      </c>
      <c r="E482" s="20" t="s">
        <v>17</v>
      </c>
      <c r="F482" s="20">
        <v>1</v>
      </c>
      <c r="G482" s="20" t="s">
        <v>523</v>
      </c>
      <c r="H482" s="20" t="s">
        <v>19</v>
      </c>
      <c r="I482" s="20" t="s">
        <v>133</v>
      </c>
      <c r="J482" s="19" t="s">
        <v>1253</v>
      </c>
      <c r="K482" s="20" t="s">
        <v>64</v>
      </c>
      <c r="L482" s="20" t="s">
        <v>22</v>
      </c>
      <c r="M482" s="20" t="s">
        <v>202</v>
      </c>
      <c r="N482" s="21">
        <v>481</v>
      </c>
      <c r="O482" s="29">
        <v>45762</v>
      </c>
      <c r="P482" s="29">
        <v>45770</v>
      </c>
      <c r="Q482" s="29">
        <v>45772</v>
      </c>
      <c r="R482" s="29">
        <v>45776</v>
      </c>
      <c r="S482" s="23">
        <f t="shared" si="29"/>
        <v>105</v>
      </c>
      <c r="T482" s="23">
        <f t="shared" si="30"/>
        <v>113</v>
      </c>
      <c r="U482" s="23">
        <f t="shared" si="31"/>
        <v>115</v>
      </c>
      <c r="V482" s="23">
        <f t="shared" si="32"/>
        <v>119</v>
      </c>
      <c r="W482" s="20" t="s">
        <v>19</v>
      </c>
      <c r="X482" s="20" t="s">
        <v>133</v>
      </c>
      <c r="Y482" s="20" t="s">
        <v>64</v>
      </c>
      <c r="Z482" s="20" t="s">
        <v>22</v>
      </c>
      <c r="AA482" s="20" t="s">
        <v>426</v>
      </c>
      <c r="AB482" s="20" t="s">
        <v>131</v>
      </c>
      <c r="AC482" s="20" t="s">
        <v>16</v>
      </c>
      <c r="AD482" s="20"/>
      <c r="AE482" s="2">
        <v>0</v>
      </c>
      <c r="AF482" s="2"/>
    </row>
    <row r="483" spans="1:32" x14ac:dyDescent="0.2">
      <c r="A483" s="20" t="s">
        <v>426</v>
      </c>
      <c r="B483" s="20" t="s">
        <v>131</v>
      </c>
      <c r="C483" s="20" t="s">
        <v>16</v>
      </c>
      <c r="D483" s="18" t="s">
        <v>1252</v>
      </c>
      <c r="E483" s="20" t="s">
        <v>24</v>
      </c>
      <c r="F483" s="20">
        <v>1</v>
      </c>
      <c r="G483" s="20" t="s">
        <v>524</v>
      </c>
      <c r="H483" s="20" t="s">
        <v>19</v>
      </c>
      <c r="I483" s="20" t="s">
        <v>133</v>
      </c>
      <c r="J483" s="19" t="s">
        <v>1254</v>
      </c>
      <c r="K483" s="20" t="s">
        <v>64</v>
      </c>
      <c r="L483" s="20" t="s">
        <v>22</v>
      </c>
      <c r="M483" s="20" t="s">
        <v>202</v>
      </c>
      <c r="N483" s="21">
        <v>482</v>
      </c>
      <c r="O483" s="29">
        <v>45762</v>
      </c>
      <c r="P483" s="29">
        <v>45770</v>
      </c>
      <c r="Q483" s="29">
        <v>45772</v>
      </c>
      <c r="R483" s="29">
        <v>45776</v>
      </c>
      <c r="S483" s="23">
        <f t="shared" si="29"/>
        <v>105</v>
      </c>
      <c r="T483" s="23">
        <f t="shared" si="30"/>
        <v>113</v>
      </c>
      <c r="U483" s="23">
        <f t="shared" si="31"/>
        <v>115</v>
      </c>
      <c r="V483" s="23">
        <f t="shared" si="32"/>
        <v>119</v>
      </c>
      <c r="W483" s="20" t="s">
        <v>19</v>
      </c>
      <c r="X483" s="20" t="s">
        <v>133</v>
      </c>
      <c r="Y483" s="20" t="s">
        <v>64</v>
      </c>
      <c r="Z483" s="20" t="s">
        <v>22</v>
      </c>
      <c r="AA483" s="20" t="s">
        <v>426</v>
      </c>
      <c r="AB483" s="20" t="s">
        <v>131</v>
      </c>
      <c r="AC483" s="20" t="s">
        <v>16</v>
      </c>
      <c r="AD483" s="20"/>
      <c r="AE483" s="2">
        <v>0</v>
      </c>
      <c r="AF483" s="2"/>
    </row>
    <row r="484" spans="1:32" x14ac:dyDescent="0.2">
      <c r="A484" s="20" t="s">
        <v>426</v>
      </c>
      <c r="B484" s="20" t="s">
        <v>131</v>
      </c>
      <c r="C484" s="20" t="s">
        <v>16</v>
      </c>
      <c r="D484" s="18" t="s">
        <v>1252</v>
      </c>
      <c r="E484" s="20" t="s">
        <v>17</v>
      </c>
      <c r="F484" s="20">
        <v>2</v>
      </c>
      <c r="G484" s="20" t="s">
        <v>525</v>
      </c>
      <c r="H484" s="20" t="s">
        <v>19</v>
      </c>
      <c r="I484" s="20" t="s">
        <v>133</v>
      </c>
      <c r="J484" s="19" t="s">
        <v>1255</v>
      </c>
      <c r="K484" s="20" t="s">
        <v>64</v>
      </c>
      <c r="L484" s="20" t="s">
        <v>22</v>
      </c>
      <c r="M484" s="20" t="s">
        <v>202</v>
      </c>
      <c r="N484" s="21">
        <v>483</v>
      </c>
      <c r="O484" s="29">
        <v>45772</v>
      </c>
      <c r="P484" s="29">
        <v>45776</v>
      </c>
      <c r="Q484" s="29">
        <v>45779</v>
      </c>
      <c r="R484" s="29">
        <v>45783</v>
      </c>
      <c r="S484" s="23">
        <f t="shared" si="29"/>
        <v>115</v>
      </c>
      <c r="T484" s="23">
        <f t="shared" si="30"/>
        <v>119</v>
      </c>
      <c r="U484" s="23">
        <f t="shared" si="31"/>
        <v>122</v>
      </c>
      <c r="V484" s="23">
        <f t="shared" si="32"/>
        <v>126</v>
      </c>
      <c r="W484" s="20" t="s">
        <v>19</v>
      </c>
      <c r="X484" s="20" t="s">
        <v>133</v>
      </c>
      <c r="Y484" s="20" t="s">
        <v>64</v>
      </c>
      <c r="Z484" s="20" t="s">
        <v>22</v>
      </c>
      <c r="AA484" s="20" t="s">
        <v>426</v>
      </c>
      <c r="AB484" s="20" t="s">
        <v>131</v>
      </c>
      <c r="AC484" s="20" t="s">
        <v>16</v>
      </c>
      <c r="AD484" s="20"/>
      <c r="AE484" s="2">
        <v>0</v>
      </c>
      <c r="AF484" s="2"/>
    </row>
    <row r="485" spans="1:32" x14ac:dyDescent="0.2">
      <c r="A485" s="20" t="s">
        <v>426</v>
      </c>
      <c r="B485" s="20" t="s">
        <v>131</v>
      </c>
      <c r="C485" s="20" t="s">
        <v>16</v>
      </c>
      <c r="D485" s="18" t="s">
        <v>1252</v>
      </c>
      <c r="E485" s="20" t="s">
        <v>24</v>
      </c>
      <c r="F485" s="20">
        <v>2</v>
      </c>
      <c r="G485" s="20" t="s">
        <v>526</v>
      </c>
      <c r="H485" s="20" t="s">
        <v>19</v>
      </c>
      <c r="I485" s="20" t="s">
        <v>133</v>
      </c>
      <c r="J485" s="19" t="s">
        <v>1256</v>
      </c>
      <c r="K485" s="20" t="s">
        <v>64</v>
      </c>
      <c r="L485" s="20" t="s">
        <v>22</v>
      </c>
      <c r="M485" s="20" t="s">
        <v>202</v>
      </c>
      <c r="N485" s="21">
        <v>484</v>
      </c>
      <c r="O485" s="29">
        <v>45762</v>
      </c>
      <c r="P485" s="29">
        <v>45776</v>
      </c>
      <c r="Q485" s="29">
        <v>45779</v>
      </c>
      <c r="R485" s="29">
        <v>45783</v>
      </c>
      <c r="S485" s="23">
        <f t="shared" si="29"/>
        <v>105</v>
      </c>
      <c r="T485" s="23">
        <f t="shared" si="30"/>
        <v>119</v>
      </c>
      <c r="U485" s="23">
        <f t="shared" si="31"/>
        <v>122</v>
      </c>
      <c r="V485" s="23">
        <f t="shared" si="32"/>
        <v>126</v>
      </c>
      <c r="W485" s="20" t="s">
        <v>19</v>
      </c>
      <c r="X485" s="20" t="s">
        <v>133</v>
      </c>
      <c r="Y485" s="20" t="s">
        <v>64</v>
      </c>
      <c r="Z485" s="20" t="s">
        <v>22</v>
      </c>
      <c r="AA485" s="20" t="s">
        <v>426</v>
      </c>
      <c r="AB485" s="20" t="s">
        <v>131</v>
      </c>
      <c r="AC485" s="20" t="s">
        <v>16</v>
      </c>
      <c r="AD485" s="20"/>
      <c r="AE485" s="2">
        <v>0</v>
      </c>
      <c r="AF485" s="2"/>
    </row>
    <row r="486" spans="1:32" x14ac:dyDescent="0.2">
      <c r="A486" s="20" t="s">
        <v>426</v>
      </c>
      <c r="B486" s="20" t="s">
        <v>131</v>
      </c>
      <c r="C486" s="20" t="s">
        <v>16</v>
      </c>
      <c r="D486" s="18" t="s">
        <v>1252</v>
      </c>
      <c r="E486" s="20" t="s">
        <v>17</v>
      </c>
      <c r="F486" s="20">
        <v>3</v>
      </c>
      <c r="G486" s="20" t="s">
        <v>527</v>
      </c>
      <c r="H486" s="20" t="s">
        <v>19</v>
      </c>
      <c r="I486" s="20" t="s">
        <v>133</v>
      </c>
      <c r="J486" s="19" t="s">
        <v>1257</v>
      </c>
      <c r="K486" s="20" t="s">
        <v>64</v>
      </c>
      <c r="L486" s="20" t="s">
        <v>22</v>
      </c>
      <c r="M486" s="20" t="s">
        <v>202</v>
      </c>
      <c r="N486" s="21">
        <v>485</v>
      </c>
      <c r="O486" s="29">
        <v>45772</v>
      </c>
      <c r="P486" s="29">
        <v>45776</v>
      </c>
      <c r="Q486" s="29">
        <v>45779</v>
      </c>
      <c r="R486" s="29">
        <v>45783</v>
      </c>
      <c r="S486" s="23">
        <f t="shared" si="29"/>
        <v>115</v>
      </c>
      <c r="T486" s="23">
        <f t="shared" si="30"/>
        <v>119</v>
      </c>
      <c r="U486" s="23">
        <f t="shared" si="31"/>
        <v>122</v>
      </c>
      <c r="V486" s="23">
        <f t="shared" si="32"/>
        <v>126</v>
      </c>
      <c r="W486" s="20" t="s">
        <v>19</v>
      </c>
      <c r="X486" s="20" t="s">
        <v>133</v>
      </c>
      <c r="Y486" s="20" t="s">
        <v>64</v>
      </c>
      <c r="Z486" s="20" t="s">
        <v>22</v>
      </c>
      <c r="AA486" s="20" t="s">
        <v>426</v>
      </c>
      <c r="AB486" s="20" t="s">
        <v>131</v>
      </c>
      <c r="AC486" s="20" t="s">
        <v>16</v>
      </c>
      <c r="AD486" s="20"/>
      <c r="AE486" s="2">
        <v>0</v>
      </c>
      <c r="AF486" s="2"/>
    </row>
    <row r="487" spans="1:32" x14ac:dyDescent="0.2">
      <c r="A487" s="20" t="s">
        <v>426</v>
      </c>
      <c r="B487" s="20" t="s">
        <v>131</v>
      </c>
      <c r="C487" s="20" t="s">
        <v>16</v>
      </c>
      <c r="D487" s="18" t="s">
        <v>1252</v>
      </c>
      <c r="E487" s="20" t="s">
        <v>24</v>
      </c>
      <c r="F487" s="20">
        <v>3</v>
      </c>
      <c r="G487" s="20" t="s">
        <v>528</v>
      </c>
      <c r="H487" s="20" t="s">
        <v>19</v>
      </c>
      <c r="I487" s="20" t="s">
        <v>133</v>
      </c>
      <c r="J487" s="19" t="s">
        <v>1258</v>
      </c>
      <c r="K487" s="20" t="s">
        <v>64</v>
      </c>
      <c r="L487" s="20" t="s">
        <v>22</v>
      </c>
      <c r="M487" s="20" t="s">
        <v>202</v>
      </c>
      <c r="N487" s="21">
        <v>486</v>
      </c>
      <c r="O487" s="29">
        <v>45770</v>
      </c>
      <c r="P487" s="29">
        <v>45776</v>
      </c>
      <c r="Q487" s="29">
        <v>45779</v>
      </c>
      <c r="R487" s="29">
        <v>45783</v>
      </c>
      <c r="S487" s="23">
        <f t="shared" si="29"/>
        <v>113</v>
      </c>
      <c r="T487" s="23">
        <f t="shared" si="30"/>
        <v>119</v>
      </c>
      <c r="U487" s="23">
        <f t="shared" si="31"/>
        <v>122</v>
      </c>
      <c r="V487" s="23">
        <f t="shared" si="32"/>
        <v>126</v>
      </c>
      <c r="W487" s="20" t="s">
        <v>19</v>
      </c>
      <c r="X487" s="20" t="s">
        <v>133</v>
      </c>
      <c r="Y487" s="20" t="s">
        <v>64</v>
      </c>
      <c r="Z487" s="20" t="s">
        <v>22</v>
      </c>
      <c r="AA487" s="20" t="s">
        <v>426</v>
      </c>
      <c r="AB487" s="20" t="s">
        <v>131</v>
      </c>
      <c r="AC487" s="20" t="s">
        <v>16</v>
      </c>
      <c r="AD487" s="20"/>
      <c r="AE487" s="2">
        <v>0</v>
      </c>
      <c r="AF487" s="2"/>
    </row>
    <row r="488" spans="1:32" x14ac:dyDescent="0.2">
      <c r="A488" s="20" t="s">
        <v>426</v>
      </c>
      <c r="B488" s="20" t="s">
        <v>131</v>
      </c>
      <c r="C488" s="20" t="s">
        <v>16</v>
      </c>
      <c r="D488" s="18" t="s">
        <v>1252</v>
      </c>
      <c r="E488" s="20" t="s">
        <v>17</v>
      </c>
      <c r="F488" s="20">
        <v>4</v>
      </c>
      <c r="G488" s="20" t="s">
        <v>529</v>
      </c>
      <c r="H488" s="20" t="s">
        <v>19</v>
      </c>
      <c r="I488" s="20" t="s">
        <v>133</v>
      </c>
      <c r="J488" s="19" t="s">
        <v>1259</v>
      </c>
      <c r="K488" s="20" t="s">
        <v>64</v>
      </c>
      <c r="L488" s="20" t="s">
        <v>22</v>
      </c>
      <c r="M488" s="20" t="s">
        <v>202</v>
      </c>
      <c r="N488" s="21">
        <v>487</v>
      </c>
      <c r="O488" s="29">
        <v>45770</v>
      </c>
      <c r="P488" s="29">
        <v>45776</v>
      </c>
      <c r="Q488" s="29">
        <v>45779</v>
      </c>
      <c r="R488" s="29">
        <v>45783</v>
      </c>
      <c r="S488" s="23">
        <f t="shared" si="29"/>
        <v>113</v>
      </c>
      <c r="T488" s="23">
        <f t="shared" si="30"/>
        <v>119</v>
      </c>
      <c r="U488" s="23">
        <f t="shared" si="31"/>
        <v>122</v>
      </c>
      <c r="V488" s="23">
        <f t="shared" si="32"/>
        <v>126</v>
      </c>
      <c r="W488" s="20" t="s">
        <v>19</v>
      </c>
      <c r="X488" s="20" t="s">
        <v>133</v>
      </c>
      <c r="Y488" s="20" t="s">
        <v>64</v>
      </c>
      <c r="Z488" s="20" t="s">
        <v>22</v>
      </c>
      <c r="AA488" s="20" t="s">
        <v>426</v>
      </c>
      <c r="AB488" s="20" t="s">
        <v>131</v>
      </c>
      <c r="AC488" s="20" t="s">
        <v>16</v>
      </c>
      <c r="AD488" s="20"/>
      <c r="AE488" s="2">
        <v>0</v>
      </c>
      <c r="AF488" s="2"/>
    </row>
    <row r="489" spans="1:32" x14ac:dyDescent="0.2">
      <c r="A489" s="20" t="s">
        <v>426</v>
      </c>
      <c r="B489" s="20" t="s">
        <v>131</v>
      </c>
      <c r="C489" s="20" t="s">
        <v>16</v>
      </c>
      <c r="D489" s="18" t="s">
        <v>1252</v>
      </c>
      <c r="E489" s="20" t="s">
        <v>24</v>
      </c>
      <c r="F489" s="20">
        <v>4</v>
      </c>
      <c r="G489" s="20" t="s">
        <v>530</v>
      </c>
      <c r="H489" s="20" t="s">
        <v>19</v>
      </c>
      <c r="I489" s="20" t="s">
        <v>133</v>
      </c>
      <c r="J489" s="19" t="s">
        <v>1260</v>
      </c>
      <c r="K489" s="20" t="s">
        <v>64</v>
      </c>
      <c r="L489" s="20" t="s">
        <v>22</v>
      </c>
      <c r="M489" s="20" t="s">
        <v>202</v>
      </c>
      <c r="N489" s="21">
        <v>488</v>
      </c>
      <c r="O489" s="29">
        <v>45758</v>
      </c>
      <c r="P489" s="29">
        <v>45762</v>
      </c>
      <c r="Q489" s="29">
        <v>45765</v>
      </c>
      <c r="R489" s="29">
        <v>45772</v>
      </c>
      <c r="S489" s="23">
        <f t="shared" si="29"/>
        <v>101</v>
      </c>
      <c r="T489" s="23">
        <f t="shared" si="30"/>
        <v>105</v>
      </c>
      <c r="U489" s="23">
        <f t="shared" si="31"/>
        <v>108</v>
      </c>
      <c r="V489" s="23">
        <f t="shared" si="32"/>
        <v>115</v>
      </c>
      <c r="W489" s="20" t="s">
        <v>19</v>
      </c>
      <c r="X489" s="20" t="s">
        <v>133</v>
      </c>
      <c r="Y489" s="20" t="s">
        <v>64</v>
      </c>
      <c r="Z489" s="20" t="s">
        <v>22</v>
      </c>
      <c r="AA489" s="20" t="s">
        <v>426</v>
      </c>
      <c r="AB489" s="20" t="s">
        <v>131</v>
      </c>
      <c r="AC489" s="20" t="s">
        <v>16</v>
      </c>
      <c r="AD489" s="20"/>
      <c r="AE489" s="2">
        <v>0</v>
      </c>
      <c r="AF489" s="2"/>
    </row>
    <row r="490" spans="1:32" x14ac:dyDescent="0.2">
      <c r="A490" s="14" t="s">
        <v>426</v>
      </c>
      <c r="B490" s="14" t="s">
        <v>131</v>
      </c>
      <c r="C490" s="14" t="s">
        <v>32</v>
      </c>
      <c r="D490" s="14" t="s">
        <v>1261</v>
      </c>
      <c r="E490" s="14" t="s">
        <v>17</v>
      </c>
      <c r="F490" s="14">
        <v>1</v>
      </c>
      <c r="G490" s="14" t="s">
        <v>531</v>
      </c>
      <c r="H490" s="14" t="s">
        <v>35</v>
      </c>
      <c r="I490" s="14" t="s">
        <v>133</v>
      </c>
      <c r="J490" s="13" t="s">
        <v>1262</v>
      </c>
      <c r="K490" s="14" t="s">
        <v>64</v>
      </c>
      <c r="L490" s="14" t="s">
        <v>22</v>
      </c>
      <c r="M490" s="14" t="s">
        <v>202</v>
      </c>
      <c r="N490" s="13">
        <v>489</v>
      </c>
      <c r="O490" s="30">
        <v>45758</v>
      </c>
      <c r="P490" s="30">
        <v>45762</v>
      </c>
      <c r="Q490" s="30">
        <v>45772</v>
      </c>
      <c r="R490" s="30">
        <v>45779</v>
      </c>
      <c r="S490" s="23">
        <f t="shared" si="29"/>
        <v>101</v>
      </c>
      <c r="T490" s="23">
        <f t="shared" si="30"/>
        <v>105</v>
      </c>
      <c r="U490" s="23">
        <f t="shared" si="31"/>
        <v>115</v>
      </c>
      <c r="V490" s="23">
        <f t="shared" si="32"/>
        <v>122</v>
      </c>
      <c r="W490" s="14" t="s">
        <v>35</v>
      </c>
      <c r="X490" s="14" t="s">
        <v>133</v>
      </c>
      <c r="Y490" s="14" t="s">
        <v>64</v>
      </c>
      <c r="Z490" s="14" t="s">
        <v>22</v>
      </c>
      <c r="AA490" s="14" t="s">
        <v>426</v>
      </c>
      <c r="AB490" s="14" t="s">
        <v>131</v>
      </c>
      <c r="AC490" s="14" t="s">
        <v>32</v>
      </c>
      <c r="AD490" s="14"/>
      <c r="AE490" s="1">
        <v>0</v>
      </c>
      <c r="AF490" s="1"/>
    </row>
    <row r="491" spans="1:32" x14ac:dyDescent="0.2">
      <c r="A491" s="14" t="s">
        <v>426</v>
      </c>
      <c r="B491" s="14" t="s">
        <v>131</v>
      </c>
      <c r="C491" s="14" t="s">
        <v>32</v>
      </c>
      <c r="D491" s="14" t="s">
        <v>1261</v>
      </c>
      <c r="E491" s="14" t="s">
        <v>24</v>
      </c>
      <c r="F491" s="14">
        <v>1</v>
      </c>
      <c r="G491" s="14" t="s">
        <v>532</v>
      </c>
      <c r="H491" s="14" t="s">
        <v>35</v>
      </c>
      <c r="I491" s="14" t="s">
        <v>133</v>
      </c>
      <c r="J491" s="13" t="s">
        <v>1263</v>
      </c>
      <c r="K491" s="14" t="s">
        <v>64</v>
      </c>
      <c r="L491" s="14" t="s">
        <v>22</v>
      </c>
      <c r="M491" s="14" t="s">
        <v>202</v>
      </c>
      <c r="N491" s="13">
        <v>490</v>
      </c>
      <c r="O491" s="30">
        <v>45758</v>
      </c>
      <c r="P491" s="30">
        <v>45762</v>
      </c>
      <c r="Q491" s="30">
        <v>45772</v>
      </c>
      <c r="R491" s="30">
        <v>45779</v>
      </c>
      <c r="S491" s="23">
        <f t="shared" si="29"/>
        <v>101</v>
      </c>
      <c r="T491" s="23">
        <f t="shared" si="30"/>
        <v>105</v>
      </c>
      <c r="U491" s="23">
        <f t="shared" si="31"/>
        <v>115</v>
      </c>
      <c r="V491" s="23">
        <f t="shared" si="32"/>
        <v>122</v>
      </c>
      <c r="W491" s="14" t="s">
        <v>35</v>
      </c>
      <c r="X491" s="14" t="s">
        <v>133</v>
      </c>
      <c r="Y491" s="14" t="s">
        <v>64</v>
      </c>
      <c r="Z491" s="14" t="s">
        <v>22</v>
      </c>
      <c r="AA491" s="14" t="s">
        <v>426</v>
      </c>
      <c r="AB491" s="14" t="s">
        <v>131</v>
      </c>
      <c r="AC491" s="14" t="s">
        <v>32</v>
      </c>
      <c r="AD491" s="14"/>
      <c r="AE491" s="1">
        <v>0</v>
      </c>
      <c r="AF491" s="1"/>
    </row>
    <row r="492" spans="1:32" x14ac:dyDescent="0.2">
      <c r="A492" s="14" t="s">
        <v>426</v>
      </c>
      <c r="B492" s="14" t="s">
        <v>131</v>
      </c>
      <c r="C492" s="14" t="s">
        <v>32</v>
      </c>
      <c r="D492" s="14" t="s">
        <v>1261</v>
      </c>
      <c r="E492" s="14" t="s">
        <v>17</v>
      </c>
      <c r="F492" s="14">
        <v>2</v>
      </c>
      <c r="G492" s="14" t="s">
        <v>533</v>
      </c>
      <c r="H492" s="14" t="s">
        <v>35</v>
      </c>
      <c r="I492" s="14" t="s">
        <v>133</v>
      </c>
      <c r="J492" s="13" t="s">
        <v>1264</v>
      </c>
      <c r="K492" s="14" t="s">
        <v>64</v>
      </c>
      <c r="L492" s="14" t="s">
        <v>22</v>
      </c>
      <c r="M492" s="14" t="s">
        <v>202</v>
      </c>
      <c r="N492" s="13">
        <v>491</v>
      </c>
      <c r="O492" s="30">
        <v>45762</v>
      </c>
      <c r="P492" s="30">
        <v>45770</v>
      </c>
      <c r="Q492" s="30">
        <v>45776</v>
      </c>
      <c r="R492" s="30">
        <v>45779</v>
      </c>
      <c r="S492" s="23">
        <f t="shared" si="29"/>
        <v>105</v>
      </c>
      <c r="T492" s="23">
        <f t="shared" si="30"/>
        <v>113</v>
      </c>
      <c r="U492" s="23">
        <f t="shared" si="31"/>
        <v>119</v>
      </c>
      <c r="V492" s="23">
        <f t="shared" si="32"/>
        <v>122</v>
      </c>
      <c r="W492" s="14" t="s">
        <v>35</v>
      </c>
      <c r="X492" s="14" t="s">
        <v>133</v>
      </c>
      <c r="Y492" s="14" t="s">
        <v>64</v>
      </c>
      <c r="Z492" s="14" t="s">
        <v>22</v>
      </c>
      <c r="AA492" s="14" t="s">
        <v>426</v>
      </c>
      <c r="AB492" s="14" t="s">
        <v>131</v>
      </c>
      <c r="AC492" s="14" t="s">
        <v>32</v>
      </c>
      <c r="AD492" s="14"/>
      <c r="AE492" s="1">
        <v>0</v>
      </c>
      <c r="AF492" s="1"/>
    </row>
    <row r="493" spans="1:32" x14ac:dyDescent="0.2">
      <c r="A493" s="14" t="s">
        <v>426</v>
      </c>
      <c r="B493" s="14" t="s">
        <v>131</v>
      </c>
      <c r="C493" s="14" t="s">
        <v>32</v>
      </c>
      <c r="D493" s="14" t="s">
        <v>1261</v>
      </c>
      <c r="E493" s="14" t="s">
        <v>24</v>
      </c>
      <c r="F493" s="14">
        <v>2</v>
      </c>
      <c r="G493" s="14" t="s">
        <v>534</v>
      </c>
      <c r="H493" s="14" t="s">
        <v>35</v>
      </c>
      <c r="I493" s="14" t="s">
        <v>133</v>
      </c>
      <c r="J493" s="13" t="s">
        <v>1265</v>
      </c>
      <c r="K493" s="14" t="s">
        <v>64</v>
      </c>
      <c r="L493" s="14" t="s">
        <v>22</v>
      </c>
      <c r="M493" s="14" t="s">
        <v>202</v>
      </c>
      <c r="N493" s="13">
        <v>492</v>
      </c>
      <c r="O493" s="30">
        <v>45762</v>
      </c>
      <c r="P493" s="30">
        <v>45765</v>
      </c>
      <c r="Q493" s="30">
        <v>45779</v>
      </c>
      <c r="R493" s="30">
        <v>45783</v>
      </c>
      <c r="S493" s="23">
        <f t="shared" si="29"/>
        <v>105</v>
      </c>
      <c r="T493" s="23">
        <f t="shared" si="30"/>
        <v>108</v>
      </c>
      <c r="U493" s="23">
        <f t="shared" si="31"/>
        <v>122</v>
      </c>
      <c r="V493" s="23">
        <f t="shared" si="32"/>
        <v>126</v>
      </c>
      <c r="W493" s="14" t="s">
        <v>35</v>
      </c>
      <c r="X493" s="14" t="s">
        <v>133</v>
      </c>
      <c r="Y493" s="14" t="s">
        <v>64</v>
      </c>
      <c r="Z493" s="14" t="s">
        <v>22</v>
      </c>
      <c r="AA493" s="14" t="s">
        <v>426</v>
      </c>
      <c r="AB493" s="14" t="s">
        <v>131</v>
      </c>
      <c r="AC493" s="14" t="s">
        <v>32</v>
      </c>
      <c r="AD493" s="14"/>
      <c r="AE493" s="1">
        <v>0</v>
      </c>
      <c r="AF493" s="1"/>
    </row>
    <row r="494" spans="1:32" x14ac:dyDescent="0.2">
      <c r="A494" s="14" t="s">
        <v>426</v>
      </c>
      <c r="B494" s="14" t="s">
        <v>131</v>
      </c>
      <c r="C494" s="14" t="s">
        <v>32</v>
      </c>
      <c r="D494" s="14" t="s">
        <v>1261</v>
      </c>
      <c r="E494" s="14" t="s">
        <v>17</v>
      </c>
      <c r="F494" s="14">
        <v>3</v>
      </c>
      <c r="G494" s="14" t="s">
        <v>535</v>
      </c>
      <c r="H494" s="14" t="s">
        <v>35</v>
      </c>
      <c r="I494" s="14" t="s">
        <v>133</v>
      </c>
      <c r="J494" s="13" t="s">
        <v>1266</v>
      </c>
      <c r="K494" s="14" t="s">
        <v>64</v>
      </c>
      <c r="L494" s="14" t="s">
        <v>22</v>
      </c>
      <c r="M494" s="14" t="s">
        <v>202</v>
      </c>
      <c r="N494" s="13">
        <v>493</v>
      </c>
      <c r="O494" s="30">
        <v>45748</v>
      </c>
      <c r="P494" s="30">
        <v>45762</v>
      </c>
      <c r="Q494" s="30">
        <v>45765</v>
      </c>
      <c r="R494" s="30">
        <v>45776</v>
      </c>
      <c r="S494" s="23">
        <f t="shared" si="29"/>
        <v>91</v>
      </c>
      <c r="T494" s="23">
        <f t="shared" si="30"/>
        <v>105</v>
      </c>
      <c r="U494" s="23">
        <f t="shared" si="31"/>
        <v>108</v>
      </c>
      <c r="V494" s="23">
        <f t="shared" si="32"/>
        <v>119</v>
      </c>
      <c r="W494" s="14" t="s">
        <v>35</v>
      </c>
      <c r="X494" s="14" t="s">
        <v>133</v>
      </c>
      <c r="Y494" s="14" t="s">
        <v>64</v>
      </c>
      <c r="Z494" s="14" t="s">
        <v>22</v>
      </c>
      <c r="AA494" s="14" t="s">
        <v>426</v>
      </c>
      <c r="AB494" s="14" t="s">
        <v>131</v>
      </c>
      <c r="AC494" s="14" t="s">
        <v>32</v>
      </c>
      <c r="AD494" s="14"/>
      <c r="AE494" s="1">
        <v>0</v>
      </c>
      <c r="AF494" s="1"/>
    </row>
    <row r="495" spans="1:32" x14ac:dyDescent="0.2">
      <c r="A495" s="14" t="s">
        <v>426</v>
      </c>
      <c r="B495" s="14" t="s">
        <v>131</v>
      </c>
      <c r="C495" s="14" t="s">
        <v>32</v>
      </c>
      <c r="D495" s="14" t="s">
        <v>1261</v>
      </c>
      <c r="E495" s="14" t="s">
        <v>24</v>
      </c>
      <c r="F495" s="14">
        <v>3</v>
      </c>
      <c r="G495" s="14" t="s">
        <v>536</v>
      </c>
      <c r="H495" s="14" t="s">
        <v>35</v>
      </c>
      <c r="I495" s="14" t="s">
        <v>133</v>
      </c>
      <c r="J495" s="13" t="s">
        <v>1267</v>
      </c>
      <c r="K495" s="14" t="s">
        <v>64</v>
      </c>
      <c r="L495" s="14" t="s">
        <v>22</v>
      </c>
      <c r="M495" s="14" t="s">
        <v>202</v>
      </c>
      <c r="N495" s="13">
        <v>494</v>
      </c>
      <c r="O495" s="30">
        <v>45748</v>
      </c>
      <c r="P495" s="30">
        <v>45762</v>
      </c>
      <c r="Q495" s="30">
        <v>45765</v>
      </c>
      <c r="R495" s="30">
        <v>45776</v>
      </c>
      <c r="S495" s="23">
        <f t="shared" si="29"/>
        <v>91</v>
      </c>
      <c r="T495" s="23">
        <f t="shared" si="30"/>
        <v>105</v>
      </c>
      <c r="U495" s="23">
        <f t="shared" si="31"/>
        <v>108</v>
      </c>
      <c r="V495" s="23">
        <f t="shared" si="32"/>
        <v>119</v>
      </c>
      <c r="W495" s="14" t="s">
        <v>35</v>
      </c>
      <c r="X495" s="14" t="s">
        <v>133</v>
      </c>
      <c r="Y495" s="14" t="s">
        <v>64</v>
      </c>
      <c r="Z495" s="14" t="s">
        <v>22</v>
      </c>
      <c r="AA495" s="14" t="s">
        <v>426</v>
      </c>
      <c r="AB495" s="14" t="s">
        <v>131</v>
      </c>
      <c r="AC495" s="14" t="s">
        <v>32</v>
      </c>
      <c r="AD495" s="14"/>
      <c r="AE495" s="1">
        <v>0</v>
      </c>
      <c r="AF495" s="1"/>
    </row>
    <row r="496" spans="1:32" x14ac:dyDescent="0.2">
      <c r="A496" s="14" t="s">
        <v>426</v>
      </c>
      <c r="B496" s="14" t="s">
        <v>131</v>
      </c>
      <c r="C496" s="14" t="s">
        <v>32</v>
      </c>
      <c r="D496" s="14" t="s">
        <v>1261</v>
      </c>
      <c r="E496" s="14" t="s">
        <v>17</v>
      </c>
      <c r="F496" s="14">
        <v>4</v>
      </c>
      <c r="G496" s="14" t="s">
        <v>537</v>
      </c>
      <c r="H496" s="14" t="s">
        <v>35</v>
      </c>
      <c r="I496" s="14" t="s">
        <v>133</v>
      </c>
      <c r="J496" s="13" t="s">
        <v>1268</v>
      </c>
      <c r="K496" s="14" t="s">
        <v>64</v>
      </c>
      <c r="L496" s="14" t="s">
        <v>22</v>
      </c>
      <c r="M496" s="14" t="s">
        <v>202</v>
      </c>
      <c r="N496" s="13">
        <v>495</v>
      </c>
      <c r="O496" s="30">
        <v>45758</v>
      </c>
      <c r="P496" s="30">
        <v>45762</v>
      </c>
      <c r="Q496" s="30">
        <v>45765</v>
      </c>
      <c r="R496" s="30">
        <v>45779</v>
      </c>
      <c r="S496" s="23">
        <f t="shared" si="29"/>
        <v>101</v>
      </c>
      <c r="T496" s="23">
        <f t="shared" si="30"/>
        <v>105</v>
      </c>
      <c r="U496" s="23">
        <f t="shared" si="31"/>
        <v>108</v>
      </c>
      <c r="V496" s="23">
        <f t="shared" si="32"/>
        <v>122</v>
      </c>
      <c r="W496" s="14" t="s">
        <v>35</v>
      </c>
      <c r="X496" s="14" t="s">
        <v>133</v>
      </c>
      <c r="Y496" s="14" t="s">
        <v>64</v>
      </c>
      <c r="Z496" s="14" t="s">
        <v>22</v>
      </c>
      <c r="AA496" s="14" t="s">
        <v>426</v>
      </c>
      <c r="AB496" s="14" t="s">
        <v>131</v>
      </c>
      <c r="AC496" s="14" t="s">
        <v>32</v>
      </c>
      <c r="AD496" s="14"/>
      <c r="AE496" s="1">
        <v>0</v>
      </c>
      <c r="AF496" s="1"/>
    </row>
    <row r="497" spans="1:32" x14ac:dyDescent="0.2">
      <c r="A497" s="14" t="s">
        <v>426</v>
      </c>
      <c r="B497" s="14" t="s">
        <v>131</v>
      </c>
      <c r="C497" s="14" t="s">
        <v>32</v>
      </c>
      <c r="D497" s="14" t="s">
        <v>1261</v>
      </c>
      <c r="E497" s="14" t="s">
        <v>24</v>
      </c>
      <c r="F497" s="14">
        <v>4</v>
      </c>
      <c r="G497" s="14" t="s">
        <v>538</v>
      </c>
      <c r="H497" s="14" t="s">
        <v>35</v>
      </c>
      <c r="I497" s="14" t="s">
        <v>133</v>
      </c>
      <c r="J497" s="13" t="s">
        <v>1269</v>
      </c>
      <c r="K497" s="14" t="s">
        <v>64</v>
      </c>
      <c r="L497" s="14" t="s">
        <v>22</v>
      </c>
      <c r="M497" s="14" t="s">
        <v>202</v>
      </c>
      <c r="N497" s="13">
        <v>496</v>
      </c>
      <c r="O497" s="30">
        <v>45751</v>
      </c>
      <c r="P497" s="30">
        <v>45755</v>
      </c>
      <c r="Q497" s="30">
        <v>45758</v>
      </c>
      <c r="R497" s="30">
        <v>45770</v>
      </c>
      <c r="S497" s="23">
        <f t="shared" si="29"/>
        <v>94</v>
      </c>
      <c r="T497" s="23">
        <f t="shared" si="30"/>
        <v>98</v>
      </c>
      <c r="U497" s="23">
        <f t="shared" si="31"/>
        <v>101</v>
      </c>
      <c r="V497" s="23">
        <f t="shared" si="32"/>
        <v>113</v>
      </c>
      <c r="W497" s="14" t="s">
        <v>35</v>
      </c>
      <c r="X497" s="14" t="s">
        <v>133</v>
      </c>
      <c r="Y497" s="14" t="s">
        <v>64</v>
      </c>
      <c r="Z497" s="14" t="s">
        <v>22</v>
      </c>
      <c r="AA497" s="14" t="s">
        <v>426</v>
      </c>
      <c r="AB497" s="14" t="s">
        <v>131</v>
      </c>
      <c r="AC497" s="14" t="s">
        <v>32</v>
      </c>
      <c r="AD497" s="14"/>
      <c r="AE497" s="1">
        <v>0</v>
      </c>
      <c r="AF497" s="1"/>
    </row>
    <row r="498" spans="1:32" x14ac:dyDescent="0.2">
      <c r="A498" s="20" t="s">
        <v>426</v>
      </c>
      <c r="B498" s="20" t="s">
        <v>131</v>
      </c>
      <c r="C498" s="20" t="s">
        <v>42</v>
      </c>
      <c r="D498" s="18" t="s">
        <v>1270</v>
      </c>
      <c r="E498" s="20" t="s">
        <v>17</v>
      </c>
      <c r="F498" s="20">
        <v>1</v>
      </c>
      <c r="G498" s="20" t="s">
        <v>539</v>
      </c>
      <c r="H498" s="20" t="s">
        <v>19</v>
      </c>
      <c r="I498" s="20" t="s">
        <v>133</v>
      </c>
      <c r="J498" s="19" t="s">
        <v>1271</v>
      </c>
      <c r="K498" s="20" t="s">
        <v>64</v>
      </c>
      <c r="L498" s="20" t="s">
        <v>22</v>
      </c>
      <c r="M498" s="20" t="s">
        <v>202</v>
      </c>
      <c r="N498" s="21">
        <v>497</v>
      </c>
      <c r="O498" s="29">
        <v>45765</v>
      </c>
      <c r="P498" s="2"/>
      <c r="Q498" s="29">
        <v>45776</v>
      </c>
      <c r="R498" s="29">
        <v>45779</v>
      </c>
      <c r="S498" s="23">
        <f t="shared" si="29"/>
        <v>108</v>
      </c>
      <c r="T498" s="23">
        <f>(U498+S498)/2</f>
        <v>113.5</v>
      </c>
      <c r="U498" s="23">
        <f t="shared" si="31"/>
        <v>119</v>
      </c>
      <c r="V498" s="23">
        <f t="shared" si="32"/>
        <v>122</v>
      </c>
      <c r="W498" s="20" t="s">
        <v>19</v>
      </c>
      <c r="X498" s="20" t="s">
        <v>133</v>
      </c>
      <c r="Y498" s="20" t="s">
        <v>64</v>
      </c>
      <c r="Z498" s="20" t="s">
        <v>22</v>
      </c>
      <c r="AA498" s="20" t="s">
        <v>426</v>
      </c>
      <c r="AB498" s="20" t="s">
        <v>131</v>
      </c>
      <c r="AC498" s="20" t="s">
        <v>42</v>
      </c>
      <c r="AD498" s="20"/>
      <c r="AE498" s="2">
        <v>0</v>
      </c>
      <c r="AF498" s="2"/>
    </row>
    <row r="499" spans="1:32" x14ac:dyDescent="0.2">
      <c r="A499" s="20" t="s">
        <v>426</v>
      </c>
      <c r="B499" s="20" t="s">
        <v>131</v>
      </c>
      <c r="C499" s="20" t="s">
        <v>42</v>
      </c>
      <c r="D499" s="18" t="s">
        <v>1270</v>
      </c>
      <c r="E499" s="20" t="s">
        <v>24</v>
      </c>
      <c r="F499" s="20">
        <v>1</v>
      </c>
      <c r="G499" s="20" t="s">
        <v>540</v>
      </c>
      <c r="H499" s="20" t="s">
        <v>35</v>
      </c>
      <c r="I499" s="20" t="s">
        <v>133</v>
      </c>
      <c r="J499" s="19" t="s">
        <v>1272</v>
      </c>
      <c r="K499" s="20" t="s">
        <v>64</v>
      </c>
      <c r="L499" s="20" t="s">
        <v>22</v>
      </c>
      <c r="M499" s="20" t="s">
        <v>202</v>
      </c>
      <c r="N499" s="21">
        <v>498</v>
      </c>
      <c r="O499" s="29">
        <v>45762</v>
      </c>
      <c r="P499" s="29">
        <v>45765</v>
      </c>
      <c r="Q499" s="29">
        <v>45770</v>
      </c>
      <c r="R499" s="29">
        <v>45772</v>
      </c>
      <c r="S499" s="23">
        <f t="shared" si="29"/>
        <v>105</v>
      </c>
      <c r="T499" s="23">
        <f t="shared" si="30"/>
        <v>108</v>
      </c>
      <c r="U499" s="23">
        <f t="shared" si="31"/>
        <v>113</v>
      </c>
      <c r="V499" s="23">
        <f t="shared" si="32"/>
        <v>115</v>
      </c>
      <c r="W499" s="20" t="s">
        <v>35</v>
      </c>
      <c r="X499" s="20" t="s">
        <v>133</v>
      </c>
      <c r="Y499" s="20" t="s">
        <v>64</v>
      </c>
      <c r="Z499" s="20" t="s">
        <v>22</v>
      </c>
      <c r="AA499" s="20" t="s">
        <v>426</v>
      </c>
      <c r="AB499" s="20" t="s">
        <v>131</v>
      </c>
      <c r="AC499" s="20" t="s">
        <v>42</v>
      </c>
      <c r="AD499" s="20"/>
      <c r="AE499" s="2">
        <v>0</v>
      </c>
      <c r="AF499" s="2"/>
    </row>
    <row r="500" spans="1:32" x14ac:dyDescent="0.2">
      <c r="A500" s="20" t="s">
        <v>426</v>
      </c>
      <c r="B500" s="20" t="s">
        <v>131</v>
      </c>
      <c r="C500" s="20" t="s">
        <v>42</v>
      </c>
      <c r="D500" s="18" t="s">
        <v>1270</v>
      </c>
      <c r="E500" s="20" t="s">
        <v>17</v>
      </c>
      <c r="F500" s="20">
        <v>2</v>
      </c>
      <c r="G500" s="20" t="s">
        <v>541</v>
      </c>
      <c r="H500" s="20" t="s">
        <v>35</v>
      </c>
      <c r="I500" s="20" t="s">
        <v>133</v>
      </c>
      <c r="J500" s="19" t="s">
        <v>1273</v>
      </c>
      <c r="K500" s="20" t="s">
        <v>64</v>
      </c>
      <c r="L500" s="20" t="s">
        <v>22</v>
      </c>
      <c r="M500" s="20" t="s">
        <v>202</v>
      </c>
      <c r="N500" s="21">
        <v>499</v>
      </c>
      <c r="O500" s="29">
        <v>45770</v>
      </c>
      <c r="P500" s="29">
        <v>45793</v>
      </c>
      <c r="Q500" s="29">
        <v>45800</v>
      </c>
      <c r="R500" s="29">
        <v>45804</v>
      </c>
      <c r="S500" s="23">
        <f t="shared" si="29"/>
        <v>113</v>
      </c>
      <c r="T500" s="23">
        <f t="shared" si="30"/>
        <v>136</v>
      </c>
      <c r="U500" s="23">
        <f t="shared" si="31"/>
        <v>143</v>
      </c>
      <c r="V500" s="23">
        <f t="shared" si="32"/>
        <v>147</v>
      </c>
      <c r="W500" s="20" t="s">
        <v>35</v>
      </c>
      <c r="X500" s="20" t="s">
        <v>133</v>
      </c>
      <c r="Y500" s="20" t="s">
        <v>64</v>
      </c>
      <c r="Z500" s="20" t="s">
        <v>22</v>
      </c>
      <c r="AA500" s="20" t="s">
        <v>426</v>
      </c>
      <c r="AB500" s="20" t="s">
        <v>131</v>
      </c>
      <c r="AC500" s="20" t="s">
        <v>42</v>
      </c>
      <c r="AD500" s="20"/>
      <c r="AE500" s="2">
        <v>2</v>
      </c>
      <c r="AF500" s="2" t="s">
        <v>1274</v>
      </c>
    </row>
    <row r="501" spans="1:32" x14ac:dyDescent="0.2">
      <c r="A501" s="20" t="s">
        <v>426</v>
      </c>
      <c r="B501" s="20" t="s">
        <v>131</v>
      </c>
      <c r="C501" s="20" t="s">
        <v>42</v>
      </c>
      <c r="D501" s="18" t="s">
        <v>1270</v>
      </c>
      <c r="E501" s="20" t="s">
        <v>24</v>
      </c>
      <c r="F501" s="20">
        <v>2</v>
      </c>
      <c r="G501" s="20" t="s">
        <v>542</v>
      </c>
      <c r="H501" s="20" t="s">
        <v>19</v>
      </c>
      <c r="I501" s="20" t="s">
        <v>133</v>
      </c>
      <c r="J501" s="19" t="s">
        <v>1275</v>
      </c>
      <c r="K501" s="20" t="s">
        <v>64</v>
      </c>
      <c r="L501" s="20" t="s">
        <v>22</v>
      </c>
      <c r="M501" s="20" t="s">
        <v>202</v>
      </c>
      <c r="N501" s="21">
        <v>500</v>
      </c>
      <c r="O501" s="29">
        <v>45765</v>
      </c>
      <c r="P501" s="29">
        <v>45776</v>
      </c>
      <c r="Q501" s="29">
        <v>45779</v>
      </c>
      <c r="R501" s="29">
        <v>45783</v>
      </c>
      <c r="S501" s="23">
        <f t="shared" si="29"/>
        <v>108</v>
      </c>
      <c r="T501" s="23">
        <f t="shared" si="30"/>
        <v>119</v>
      </c>
      <c r="U501" s="23">
        <f t="shared" si="31"/>
        <v>122</v>
      </c>
      <c r="V501" s="23">
        <f t="shared" si="32"/>
        <v>126</v>
      </c>
      <c r="W501" s="20" t="s">
        <v>19</v>
      </c>
      <c r="X501" s="20" t="s">
        <v>133</v>
      </c>
      <c r="Y501" s="20" t="s">
        <v>64</v>
      </c>
      <c r="Z501" s="20" t="s">
        <v>22</v>
      </c>
      <c r="AA501" s="20" t="s">
        <v>426</v>
      </c>
      <c r="AB501" s="20" t="s">
        <v>131</v>
      </c>
      <c r="AC501" s="20" t="s">
        <v>42</v>
      </c>
      <c r="AD501" s="20"/>
      <c r="AE501" s="2">
        <v>0</v>
      </c>
      <c r="AF501" s="2"/>
    </row>
    <row r="502" spans="1:32" x14ac:dyDescent="0.2">
      <c r="A502" s="20" t="s">
        <v>426</v>
      </c>
      <c r="B502" s="20" t="s">
        <v>131</v>
      </c>
      <c r="C502" s="20" t="s">
        <v>42</v>
      </c>
      <c r="D502" s="18" t="s">
        <v>1270</v>
      </c>
      <c r="E502" s="20" t="s">
        <v>17</v>
      </c>
      <c r="F502" s="20">
        <v>3</v>
      </c>
      <c r="G502" s="20" t="s">
        <v>543</v>
      </c>
      <c r="H502" s="20" t="s">
        <v>19</v>
      </c>
      <c r="I502" s="20" t="s">
        <v>133</v>
      </c>
      <c r="J502" s="19" t="s">
        <v>1276</v>
      </c>
      <c r="K502" s="20" t="s">
        <v>64</v>
      </c>
      <c r="L502" s="20" t="s">
        <v>22</v>
      </c>
      <c r="M502" s="20" t="s">
        <v>202</v>
      </c>
      <c r="N502" s="21">
        <v>501</v>
      </c>
      <c r="O502" s="29">
        <v>45765</v>
      </c>
      <c r="P502" s="29">
        <v>45776</v>
      </c>
      <c r="Q502" s="29">
        <v>45779</v>
      </c>
      <c r="R502" s="29">
        <v>45783</v>
      </c>
      <c r="S502" s="23">
        <f t="shared" si="29"/>
        <v>108</v>
      </c>
      <c r="T502" s="23">
        <f t="shared" si="30"/>
        <v>119</v>
      </c>
      <c r="U502" s="23">
        <f t="shared" si="31"/>
        <v>122</v>
      </c>
      <c r="V502" s="23">
        <f t="shared" si="32"/>
        <v>126</v>
      </c>
      <c r="W502" s="20" t="s">
        <v>19</v>
      </c>
      <c r="X502" s="20" t="s">
        <v>133</v>
      </c>
      <c r="Y502" s="20" t="s">
        <v>64</v>
      </c>
      <c r="Z502" s="20" t="s">
        <v>22</v>
      </c>
      <c r="AA502" s="20" t="s">
        <v>426</v>
      </c>
      <c r="AB502" s="20" t="s">
        <v>131</v>
      </c>
      <c r="AC502" s="20" t="s">
        <v>42</v>
      </c>
      <c r="AD502" s="20"/>
      <c r="AE502" s="2">
        <v>0</v>
      </c>
      <c r="AF502" s="2"/>
    </row>
    <row r="503" spans="1:32" x14ac:dyDescent="0.2">
      <c r="A503" s="20" t="s">
        <v>426</v>
      </c>
      <c r="B503" s="20" t="s">
        <v>131</v>
      </c>
      <c r="C503" s="20" t="s">
        <v>42</v>
      </c>
      <c r="D503" s="18" t="s">
        <v>1270</v>
      </c>
      <c r="E503" s="20" t="s">
        <v>24</v>
      </c>
      <c r="F503" s="20">
        <v>3</v>
      </c>
      <c r="G503" s="20" t="s">
        <v>544</v>
      </c>
      <c r="H503" s="20" t="s">
        <v>35</v>
      </c>
      <c r="I503" s="20" t="s">
        <v>133</v>
      </c>
      <c r="J503" s="19" t="s">
        <v>1277</v>
      </c>
      <c r="K503" s="20" t="s">
        <v>64</v>
      </c>
      <c r="L503" s="20" t="s">
        <v>22</v>
      </c>
      <c r="M503" s="20" t="s">
        <v>202</v>
      </c>
      <c r="N503" s="21">
        <v>502</v>
      </c>
      <c r="O503" s="29">
        <v>45755</v>
      </c>
      <c r="P503" s="29">
        <v>45762</v>
      </c>
      <c r="Q503" s="29">
        <v>45776</v>
      </c>
      <c r="R503" s="29">
        <v>45779</v>
      </c>
      <c r="S503" s="23">
        <f t="shared" si="29"/>
        <v>98</v>
      </c>
      <c r="T503" s="23">
        <f t="shared" si="30"/>
        <v>105</v>
      </c>
      <c r="U503" s="23">
        <f t="shared" si="31"/>
        <v>119</v>
      </c>
      <c r="V503" s="23">
        <f t="shared" si="32"/>
        <v>122</v>
      </c>
      <c r="W503" s="20" t="s">
        <v>35</v>
      </c>
      <c r="X503" s="20" t="s">
        <v>133</v>
      </c>
      <c r="Y503" s="20" t="s">
        <v>64</v>
      </c>
      <c r="Z503" s="20" t="s">
        <v>22</v>
      </c>
      <c r="AA503" s="20" t="s">
        <v>426</v>
      </c>
      <c r="AB503" s="20" t="s">
        <v>131</v>
      </c>
      <c r="AC503" s="20" t="s">
        <v>42</v>
      </c>
      <c r="AD503" s="20"/>
      <c r="AE503" s="2">
        <v>0</v>
      </c>
      <c r="AF503" s="2"/>
    </row>
    <row r="504" spans="1:32" x14ac:dyDescent="0.2">
      <c r="A504" s="20" t="s">
        <v>426</v>
      </c>
      <c r="B504" s="20" t="s">
        <v>131</v>
      </c>
      <c r="C504" s="20" t="s">
        <v>42</v>
      </c>
      <c r="D504" s="18" t="s">
        <v>1270</v>
      </c>
      <c r="E504" s="20" t="s">
        <v>17</v>
      </c>
      <c r="F504" s="20">
        <v>4</v>
      </c>
      <c r="G504" s="20" t="s">
        <v>545</v>
      </c>
      <c r="H504" s="20" t="s">
        <v>35</v>
      </c>
      <c r="I504" s="20" t="s">
        <v>133</v>
      </c>
      <c r="J504" s="19" t="s">
        <v>1278</v>
      </c>
      <c r="K504" s="20" t="s">
        <v>64</v>
      </c>
      <c r="L504" s="20" t="s">
        <v>22</v>
      </c>
      <c r="M504" s="20" t="s">
        <v>202</v>
      </c>
      <c r="N504" s="21">
        <v>503</v>
      </c>
      <c r="O504" s="29">
        <v>45755</v>
      </c>
      <c r="P504" s="29">
        <v>45765</v>
      </c>
      <c r="Q504" s="29">
        <v>45779</v>
      </c>
      <c r="R504" s="29">
        <v>45783</v>
      </c>
      <c r="S504" s="23">
        <f t="shared" si="29"/>
        <v>98</v>
      </c>
      <c r="T504" s="23">
        <f t="shared" si="30"/>
        <v>108</v>
      </c>
      <c r="U504" s="23">
        <f t="shared" si="31"/>
        <v>122</v>
      </c>
      <c r="V504" s="23">
        <f t="shared" si="32"/>
        <v>126</v>
      </c>
      <c r="W504" s="20" t="s">
        <v>35</v>
      </c>
      <c r="X504" s="20" t="s">
        <v>133</v>
      </c>
      <c r="Y504" s="20" t="s">
        <v>64</v>
      </c>
      <c r="Z504" s="20" t="s">
        <v>22</v>
      </c>
      <c r="AA504" s="20" t="s">
        <v>426</v>
      </c>
      <c r="AB504" s="20" t="s">
        <v>131</v>
      </c>
      <c r="AC504" s="20" t="s">
        <v>42</v>
      </c>
      <c r="AD504" s="20"/>
      <c r="AE504" s="2">
        <v>0</v>
      </c>
      <c r="AF504" s="2"/>
    </row>
    <row r="505" spans="1:32" x14ac:dyDescent="0.2">
      <c r="A505" s="20" t="s">
        <v>426</v>
      </c>
      <c r="B505" s="20" t="s">
        <v>131</v>
      </c>
      <c r="C505" s="20" t="s">
        <v>42</v>
      </c>
      <c r="D505" s="18" t="s">
        <v>1270</v>
      </c>
      <c r="E505" s="20" t="s">
        <v>24</v>
      </c>
      <c r="F505" s="20">
        <v>4</v>
      </c>
      <c r="G505" s="20" t="s">
        <v>546</v>
      </c>
      <c r="H505" s="20" t="s">
        <v>19</v>
      </c>
      <c r="I505" s="20" t="s">
        <v>133</v>
      </c>
      <c r="J505" s="19" t="s">
        <v>1279</v>
      </c>
      <c r="K505" s="20" t="s">
        <v>64</v>
      </c>
      <c r="L505" s="20" t="s">
        <v>22</v>
      </c>
      <c r="M505" s="20" t="s">
        <v>202</v>
      </c>
      <c r="N505" s="21">
        <v>504</v>
      </c>
      <c r="O505" s="29">
        <v>45762</v>
      </c>
      <c r="P505" s="29">
        <v>45770</v>
      </c>
      <c r="Q505" s="29">
        <v>45772</v>
      </c>
      <c r="R505" s="29">
        <v>45779</v>
      </c>
      <c r="S505" s="23">
        <f t="shared" si="29"/>
        <v>105</v>
      </c>
      <c r="T505" s="23">
        <f t="shared" si="30"/>
        <v>113</v>
      </c>
      <c r="U505" s="23">
        <f t="shared" si="31"/>
        <v>115</v>
      </c>
      <c r="V505" s="23">
        <f t="shared" si="32"/>
        <v>122</v>
      </c>
      <c r="W505" s="20" t="s">
        <v>19</v>
      </c>
      <c r="X505" s="20" t="s">
        <v>133</v>
      </c>
      <c r="Y505" s="20" t="s">
        <v>64</v>
      </c>
      <c r="Z505" s="20" t="s">
        <v>22</v>
      </c>
      <c r="AA505" s="20" t="s">
        <v>426</v>
      </c>
      <c r="AB505" s="20" t="s">
        <v>131</v>
      </c>
      <c r="AC505" s="20" t="s">
        <v>42</v>
      </c>
      <c r="AD505" s="20"/>
      <c r="AE505" s="2">
        <v>0</v>
      </c>
      <c r="AF505" s="2"/>
    </row>
    <row r="506" spans="1:32" x14ac:dyDescent="0.2">
      <c r="A506" s="14" t="s">
        <v>426</v>
      </c>
      <c r="B506" s="14" t="s">
        <v>131</v>
      </c>
      <c r="C506" s="14" t="s">
        <v>53</v>
      </c>
      <c r="D506" s="14" t="s">
        <v>1280</v>
      </c>
      <c r="E506" s="14" t="s">
        <v>17</v>
      </c>
      <c r="F506" s="14">
        <v>1</v>
      </c>
      <c r="G506" s="14" t="s">
        <v>547</v>
      </c>
      <c r="H506" s="14" t="s">
        <v>35</v>
      </c>
      <c r="I506" s="14" t="s">
        <v>133</v>
      </c>
      <c r="J506" s="13" t="s">
        <v>1281</v>
      </c>
      <c r="K506" s="14" t="s">
        <v>64</v>
      </c>
      <c r="L506" s="14" t="s">
        <v>44</v>
      </c>
      <c r="M506" s="14" t="s">
        <v>169</v>
      </c>
      <c r="N506" s="13">
        <v>505</v>
      </c>
      <c r="O506" s="30">
        <v>45748</v>
      </c>
      <c r="P506" s="30">
        <v>45762</v>
      </c>
      <c r="Q506" s="30">
        <v>45770</v>
      </c>
      <c r="R506" s="30">
        <v>45776</v>
      </c>
      <c r="S506" s="23">
        <f t="shared" si="29"/>
        <v>91</v>
      </c>
      <c r="T506" s="23">
        <f t="shared" si="30"/>
        <v>105</v>
      </c>
      <c r="U506" s="23">
        <f t="shared" si="31"/>
        <v>113</v>
      </c>
      <c r="V506" s="23">
        <f t="shared" si="32"/>
        <v>119</v>
      </c>
      <c r="W506" s="14" t="s">
        <v>35</v>
      </c>
      <c r="X506" s="14" t="s">
        <v>133</v>
      </c>
      <c r="Y506" s="14" t="s">
        <v>64</v>
      </c>
      <c r="Z506" s="14" t="s">
        <v>44</v>
      </c>
      <c r="AA506" s="14" t="s">
        <v>426</v>
      </c>
      <c r="AB506" s="14" t="s">
        <v>131</v>
      </c>
      <c r="AC506" s="14" t="s">
        <v>53</v>
      </c>
      <c r="AD506" s="14"/>
      <c r="AE506" s="1">
        <v>0</v>
      </c>
      <c r="AF506" s="1"/>
    </row>
    <row r="507" spans="1:32" x14ac:dyDescent="0.2">
      <c r="A507" s="14" t="s">
        <v>426</v>
      </c>
      <c r="B507" s="14" t="s">
        <v>131</v>
      </c>
      <c r="C507" s="14" t="s">
        <v>53</v>
      </c>
      <c r="D507" s="14" t="s">
        <v>1280</v>
      </c>
      <c r="E507" s="14" t="s">
        <v>24</v>
      </c>
      <c r="F507" s="14">
        <v>1</v>
      </c>
      <c r="G507" s="14" t="s">
        <v>548</v>
      </c>
      <c r="H507" s="14" t="s">
        <v>19</v>
      </c>
      <c r="I507" s="14" t="s">
        <v>133</v>
      </c>
      <c r="J507" s="13" t="s">
        <v>1282</v>
      </c>
      <c r="K507" s="14" t="s">
        <v>64</v>
      </c>
      <c r="L507" s="14" t="s">
        <v>44</v>
      </c>
      <c r="M507" s="14" t="s">
        <v>169</v>
      </c>
      <c r="N507" s="13">
        <v>506</v>
      </c>
      <c r="O507" s="30">
        <v>45762</v>
      </c>
      <c r="P507" s="30">
        <v>45770</v>
      </c>
      <c r="Q507" s="30">
        <v>45772</v>
      </c>
      <c r="R507" s="30">
        <v>45779</v>
      </c>
      <c r="S507" s="23">
        <f t="shared" si="29"/>
        <v>105</v>
      </c>
      <c r="T507" s="23">
        <f t="shared" si="30"/>
        <v>113</v>
      </c>
      <c r="U507" s="23">
        <f t="shared" si="31"/>
        <v>115</v>
      </c>
      <c r="V507" s="23">
        <f t="shared" si="32"/>
        <v>122</v>
      </c>
      <c r="W507" s="14" t="s">
        <v>19</v>
      </c>
      <c r="X507" s="14" t="s">
        <v>133</v>
      </c>
      <c r="Y507" s="14" t="s">
        <v>64</v>
      </c>
      <c r="Z507" s="14" t="s">
        <v>44</v>
      </c>
      <c r="AA507" s="14" t="s">
        <v>426</v>
      </c>
      <c r="AB507" s="14" t="s">
        <v>131</v>
      </c>
      <c r="AC507" s="14" t="s">
        <v>53</v>
      </c>
      <c r="AD507" s="14"/>
      <c r="AE507" s="1">
        <v>0</v>
      </c>
      <c r="AF507" s="1"/>
    </row>
    <row r="508" spans="1:32" x14ac:dyDescent="0.2">
      <c r="A508" s="14" t="s">
        <v>426</v>
      </c>
      <c r="B508" s="14" t="s">
        <v>131</v>
      </c>
      <c r="C508" s="14" t="s">
        <v>53</v>
      </c>
      <c r="D508" s="14" t="s">
        <v>1280</v>
      </c>
      <c r="E508" s="14" t="s">
        <v>17</v>
      </c>
      <c r="F508" s="14">
        <v>2</v>
      </c>
      <c r="G508" s="14" t="s">
        <v>549</v>
      </c>
      <c r="H508" s="14" t="s">
        <v>19</v>
      </c>
      <c r="I508" s="14" t="s">
        <v>133</v>
      </c>
      <c r="J508" s="13" t="s">
        <v>1283</v>
      </c>
      <c r="K508" s="14" t="s">
        <v>64</v>
      </c>
      <c r="L508" s="14" t="s">
        <v>44</v>
      </c>
      <c r="M508" s="14" t="s">
        <v>169</v>
      </c>
      <c r="N508" s="13">
        <v>507</v>
      </c>
      <c r="O508" s="30">
        <v>45770</v>
      </c>
      <c r="P508" s="30">
        <v>45776</v>
      </c>
      <c r="Q508" s="30">
        <v>45779</v>
      </c>
      <c r="R508" s="30">
        <v>45783</v>
      </c>
      <c r="S508" s="23">
        <f t="shared" si="29"/>
        <v>113</v>
      </c>
      <c r="T508" s="23">
        <f t="shared" si="30"/>
        <v>119</v>
      </c>
      <c r="U508" s="23">
        <f t="shared" si="31"/>
        <v>122</v>
      </c>
      <c r="V508" s="23">
        <f t="shared" si="32"/>
        <v>126</v>
      </c>
      <c r="W508" s="14" t="s">
        <v>19</v>
      </c>
      <c r="X508" s="14" t="s">
        <v>133</v>
      </c>
      <c r="Y508" s="14" t="s">
        <v>64</v>
      </c>
      <c r="Z508" s="14" t="s">
        <v>44</v>
      </c>
      <c r="AA508" s="14" t="s">
        <v>426</v>
      </c>
      <c r="AB508" s="14" t="s">
        <v>131</v>
      </c>
      <c r="AC508" s="14" t="s">
        <v>53</v>
      </c>
      <c r="AD508" s="14"/>
      <c r="AE508" s="1">
        <v>0</v>
      </c>
      <c r="AF508" s="1"/>
    </row>
    <row r="509" spans="1:32" x14ac:dyDescent="0.2">
      <c r="A509" s="14" t="s">
        <v>426</v>
      </c>
      <c r="B509" s="14" t="s">
        <v>131</v>
      </c>
      <c r="C509" s="14" t="s">
        <v>53</v>
      </c>
      <c r="D509" s="14" t="s">
        <v>1280</v>
      </c>
      <c r="E509" s="14" t="s">
        <v>24</v>
      </c>
      <c r="F509" s="14">
        <v>2</v>
      </c>
      <c r="G509" s="14" t="s">
        <v>550</v>
      </c>
      <c r="H509" s="14" t="s">
        <v>35</v>
      </c>
      <c r="I509" s="14" t="s">
        <v>133</v>
      </c>
      <c r="J509" s="13" t="s">
        <v>1284</v>
      </c>
      <c r="K509" s="14" t="s">
        <v>64</v>
      </c>
      <c r="L509" s="14" t="s">
        <v>44</v>
      </c>
      <c r="M509" s="14" t="s">
        <v>169</v>
      </c>
      <c r="N509" s="13">
        <v>508</v>
      </c>
      <c r="O509" s="30">
        <v>45755</v>
      </c>
      <c r="P509" s="30">
        <v>45762</v>
      </c>
      <c r="Q509" s="30">
        <v>45772</v>
      </c>
      <c r="R509" s="30">
        <v>45779</v>
      </c>
      <c r="S509" s="23">
        <f t="shared" si="29"/>
        <v>98</v>
      </c>
      <c r="T509" s="23">
        <f t="shared" si="30"/>
        <v>105</v>
      </c>
      <c r="U509" s="23">
        <f t="shared" si="31"/>
        <v>115</v>
      </c>
      <c r="V509" s="23">
        <f t="shared" si="32"/>
        <v>122</v>
      </c>
      <c r="W509" s="14" t="s">
        <v>35</v>
      </c>
      <c r="X509" s="14" t="s">
        <v>133</v>
      </c>
      <c r="Y509" s="14" t="s">
        <v>64</v>
      </c>
      <c r="Z509" s="14" t="s">
        <v>44</v>
      </c>
      <c r="AA509" s="14" t="s">
        <v>426</v>
      </c>
      <c r="AB509" s="14" t="s">
        <v>131</v>
      </c>
      <c r="AC509" s="14" t="s">
        <v>53</v>
      </c>
      <c r="AD509" s="14"/>
      <c r="AE509" s="1">
        <v>0</v>
      </c>
      <c r="AF509" s="1"/>
    </row>
    <row r="510" spans="1:32" x14ac:dyDescent="0.2">
      <c r="A510" s="14" t="s">
        <v>426</v>
      </c>
      <c r="B510" s="14" t="s">
        <v>131</v>
      </c>
      <c r="C510" s="14" t="s">
        <v>53</v>
      </c>
      <c r="D510" s="14" t="s">
        <v>1280</v>
      </c>
      <c r="E510" s="14" t="s">
        <v>17</v>
      </c>
      <c r="F510" s="14">
        <v>3</v>
      </c>
      <c r="G510" s="14" t="s">
        <v>551</v>
      </c>
      <c r="H510" s="14" t="s">
        <v>35</v>
      </c>
      <c r="I510" s="14" t="s">
        <v>133</v>
      </c>
      <c r="J510" s="13" t="s">
        <v>1285</v>
      </c>
      <c r="K510" s="14" t="s">
        <v>64</v>
      </c>
      <c r="L510" s="14" t="s">
        <v>44</v>
      </c>
      <c r="M510" s="14" t="s">
        <v>169</v>
      </c>
      <c r="N510" s="13">
        <v>509</v>
      </c>
      <c r="O510" s="30">
        <v>45755</v>
      </c>
      <c r="P510" s="30">
        <v>45762</v>
      </c>
      <c r="Q510" s="30">
        <v>45770</v>
      </c>
      <c r="R510" s="30">
        <v>45776</v>
      </c>
      <c r="S510" s="23">
        <f t="shared" si="29"/>
        <v>98</v>
      </c>
      <c r="T510" s="23">
        <f t="shared" si="30"/>
        <v>105</v>
      </c>
      <c r="U510" s="23">
        <f t="shared" si="31"/>
        <v>113</v>
      </c>
      <c r="V510" s="23">
        <f t="shared" si="32"/>
        <v>119</v>
      </c>
      <c r="W510" s="14" t="s">
        <v>35</v>
      </c>
      <c r="X510" s="14" t="s">
        <v>133</v>
      </c>
      <c r="Y510" s="14" t="s">
        <v>64</v>
      </c>
      <c r="Z510" s="14" t="s">
        <v>44</v>
      </c>
      <c r="AA510" s="14" t="s">
        <v>426</v>
      </c>
      <c r="AB510" s="14" t="s">
        <v>131</v>
      </c>
      <c r="AC510" s="14" t="s">
        <v>53</v>
      </c>
      <c r="AD510" s="14"/>
      <c r="AE510" s="1">
        <v>0</v>
      </c>
      <c r="AF510" s="1"/>
    </row>
    <row r="511" spans="1:32" x14ac:dyDescent="0.2">
      <c r="A511" s="14" t="s">
        <v>426</v>
      </c>
      <c r="B511" s="14" t="s">
        <v>131</v>
      </c>
      <c r="C511" s="14" t="s">
        <v>53</v>
      </c>
      <c r="D511" s="14" t="s">
        <v>1280</v>
      </c>
      <c r="E511" s="14" t="s">
        <v>24</v>
      </c>
      <c r="F511" s="14">
        <v>3</v>
      </c>
      <c r="G511" s="14" t="s">
        <v>552</v>
      </c>
      <c r="H511" s="14" t="s">
        <v>19</v>
      </c>
      <c r="I511" s="14" t="s">
        <v>133</v>
      </c>
      <c r="J511" s="13" t="s">
        <v>1286</v>
      </c>
      <c r="K511" s="14" t="s">
        <v>64</v>
      </c>
      <c r="L511" s="14" t="s">
        <v>44</v>
      </c>
      <c r="M511" s="14" t="s">
        <v>169</v>
      </c>
      <c r="N511" s="13">
        <v>510</v>
      </c>
      <c r="O511" s="30">
        <v>45758</v>
      </c>
      <c r="P511" s="1"/>
      <c r="Q511" s="30">
        <v>45770</v>
      </c>
      <c r="R511" s="30">
        <v>45776</v>
      </c>
      <c r="S511" s="23">
        <f t="shared" si="29"/>
        <v>101</v>
      </c>
      <c r="T511" s="23">
        <f>(U511+S511)/2</f>
        <v>107</v>
      </c>
      <c r="U511" s="23">
        <f t="shared" si="31"/>
        <v>113</v>
      </c>
      <c r="V511" s="23">
        <f t="shared" si="32"/>
        <v>119</v>
      </c>
      <c r="W511" s="14" t="s">
        <v>19</v>
      </c>
      <c r="X511" s="14" t="s">
        <v>133</v>
      </c>
      <c r="Y511" s="14" t="s">
        <v>64</v>
      </c>
      <c r="Z511" s="14" t="s">
        <v>44</v>
      </c>
      <c r="AA511" s="14" t="s">
        <v>426</v>
      </c>
      <c r="AB511" s="14" t="s">
        <v>131</v>
      </c>
      <c r="AC511" s="14" t="s">
        <v>53</v>
      </c>
      <c r="AD511" s="14"/>
      <c r="AE511" s="1">
        <v>0</v>
      </c>
      <c r="AF511" s="1"/>
    </row>
    <row r="512" spans="1:32" x14ac:dyDescent="0.2">
      <c r="A512" s="14" t="s">
        <v>426</v>
      </c>
      <c r="B512" s="14" t="s">
        <v>131</v>
      </c>
      <c r="C512" s="14" t="s">
        <v>53</v>
      </c>
      <c r="D512" s="14" t="s">
        <v>1280</v>
      </c>
      <c r="E512" s="14" t="s">
        <v>17</v>
      </c>
      <c r="F512" s="14">
        <v>4</v>
      </c>
      <c r="G512" s="14" t="s">
        <v>553</v>
      </c>
      <c r="H512" s="14" t="s">
        <v>19</v>
      </c>
      <c r="I512" s="14" t="s">
        <v>133</v>
      </c>
      <c r="J512" s="13" t="s">
        <v>1287</v>
      </c>
      <c r="K512" s="14" t="s">
        <v>64</v>
      </c>
      <c r="L512" s="14" t="s">
        <v>44</v>
      </c>
      <c r="M512" s="14" t="s">
        <v>169</v>
      </c>
      <c r="N512" s="13">
        <v>511</v>
      </c>
      <c r="O512" s="30">
        <v>45770</v>
      </c>
      <c r="P512" s="30">
        <v>45776</v>
      </c>
      <c r="Q512" s="1"/>
      <c r="R512" s="30">
        <v>45779</v>
      </c>
      <c r="S512" s="23">
        <f t="shared" si="29"/>
        <v>113</v>
      </c>
      <c r="T512" s="23">
        <f t="shared" si="30"/>
        <v>119</v>
      </c>
      <c r="U512" s="23">
        <f>(V512+T512)/2</f>
        <v>120.5</v>
      </c>
      <c r="V512" s="23">
        <f t="shared" si="32"/>
        <v>122</v>
      </c>
      <c r="W512" s="14" t="s">
        <v>19</v>
      </c>
      <c r="X512" s="14" t="s">
        <v>133</v>
      </c>
      <c r="Y512" s="14" t="s">
        <v>64</v>
      </c>
      <c r="Z512" s="14" t="s">
        <v>44</v>
      </c>
      <c r="AA512" s="14" t="s">
        <v>426</v>
      </c>
      <c r="AB512" s="14" t="s">
        <v>131</v>
      </c>
      <c r="AC512" s="14" t="s">
        <v>53</v>
      </c>
      <c r="AD512" s="14"/>
      <c r="AE512" s="1">
        <v>0</v>
      </c>
      <c r="AF512" s="1"/>
    </row>
    <row r="513" spans="1:32" x14ac:dyDescent="0.2">
      <c r="A513" s="14" t="s">
        <v>426</v>
      </c>
      <c r="B513" s="14" t="s">
        <v>131</v>
      </c>
      <c r="C513" s="14" t="s">
        <v>53</v>
      </c>
      <c r="D513" s="14" t="s">
        <v>1280</v>
      </c>
      <c r="E513" s="14" t="s">
        <v>24</v>
      </c>
      <c r="F513" s="14">
        <v>4</v>
      </c>
      <c r="G513" s="14" t="s">
        <v>554</v>
      </c>
      <c r="H513" s="14" t="s">
        <v>35</v>
      </c>
      <c r="I513" s="14" t="s">
        <v>133</v>
      </c>
      <c r="J513" s="13" t="s">
        <v>1288</v>
      </c>
      <c r="K513" s="14" t="s">
        <v>64</v>
      </c>
      <c r="L513" s="14" t="s">
        <v>44</v>
      </c>
      <c r="M513" s="14" t="s">
        <v>169</v>
      </c>
      <c r="N513" s="13">
        <v>512</v>
      </c>
      <c r="O513" s="30">
        <v>45755</v>
      </c>
      <c r="P513" s="30">
        <v>45770</v>
      </c>
      <c r="Q513" s="30">
        <v>45776</v>
      </c>
      <c r="R513" s="30">
        <v>45779</v>
      </c>
      <c r="S513" s="23">
        <f t="shared" si="29"/>
        <v>98</v>
      </c>
      <c r="T513" s="23">
        <f t="shared" si="30"/>
        <v>113</v>
      </c>
      <c r="U513" s="23">
        <f t="shared" si="31"/>
        <v>119</v>
      </c>
      <c r="V513" s="23">
        <f t="shared" si="32"/>
        <v>122</v>
      </c>
      <c r="W513" s="14" t="s">
        <v>35</v>
      </c>
      <c r="X513" s="14" t="s">
        <v>133</v>
      </c>
      <c r="Y513" s="14" t="s">
        <v>64</v>
      </c>
      <c r="Z513" s="14" t="s">
        <v>44</v>
      </c>
      <c r="AA513" s="14" t="s">
        <v>426</v>
      </c>
      <c r="AB513" s="14" t="s">
        <v>131</v>
      </c>
      <c r="AC513" s="14" t="s">
        <v>53</v>
      </c>
      <c r="AD513" s="14"/>
      <c r="AE513" s="1">
        <v>0</v>
      </c>
      <c r="AF513" s="1"/>
    </row>
    <row r="514" spans="1:32" x14ac:dyDescent="0.2">
      <c r="A514" s="20" t="s">
        <v>426</v>
      </c>
      <c r="B514" s="20" t="s">
        <v>167</v>
      </c>
      <c r="C514" s="20" t="s">
        <v>16</v>
      </c>
      <c r="D514" s="18" t="s">
        <v>1289</v>
      </c>
      <c r="E514" s="20" t="s">
        <v>17</v>
      </c>
      <c r="F514" s="20">
        <v>1</v>
      </c>
      <c r="G514" s="20" t="s">
        <v>555</v>
      </c>
      <c r="H514" s="20" t="s">
        <v>35</v>
      </c>
      <c r="I514" s="20" t="s">
        <v>133</v>
      </c>
      <c r="J514" s="19" t="s">
        <v>1290</v>
      </c>
      <c r="K514" s="20" t="s">
        <v>64</v>
      </c>
      <c r="L514" s="20" t="s">
        <v>44</v>
      </c>
      <c r="M514" s="20" t="s">
        <v>169</v>
      </c>
      <c r="N514" s="21">
        <v>513</v>
      </c>
      <c r="O514" s="29">
        <v>45755</v>
      </c>
      <c r="P514" s="29">
        <v>45762</v>
      </c>
      <c r="Q514" s="29">
        <v>45772</v>
      </c>
      <c r="R514" s="29">
        <v>45779</v>
      </c>
      <c r="S514" s="23">
        <f t="shared" si="29"/>
        <v>98</v>
      </c>
      <c r="T514" s="23">
        <f t="shared" si="30"/>
        <v>105</v>
      </c>
      <c r="U514" s="23">
        <f t="shared" si="31"/>
        <v>115</v>
      </c>
      <c r="V514" s="23">
        <f t="shared" si="32"/>
        <v>122</v>
      </c>
      <c r="W514" s="20" t="s">
        <v>35</v>
      </c>
      <c r="X514" s="20" t="s">
        <v>133</v>
      </c>
      <c r="Y514" s="20" t="s">
        <v>64</v>
      </c>
      <c r="Z514" s="20" t="s">
        <v>44</v>
      </c>
      <c r="AA514" s="20" t="s">
        <v>426</v>
      </c>
      <c r="AB514" s="20" t="s">
        <v>167</v>
      </c>
      <c r="AC514" s="20" t="s">
        <v>16</v>
      </c>
      <c r="AD514" s="20"/>
      <c r="AE514" s="2">
        <v>0</v>
      </c>
      <c r="AF514" s="2"/>
    </row>
    <row r="515" spans="1:32" x14ac:dyDescent="0.2">
      <c r="A515" s="20" t="s">
        <v>426</v>
      </c>
      <c r="B515" s="20" t="s">
        <v>167</v>
      </c>
      <c r="C515" s="20" t="s">
        <v>16</v>
      </c>
      <c r="D515" s="18" t="s">
        <v>1289</v>
      </c>
      <c r="E515" s="20" t="s">
        <v>24</v>
      </c>
      <c r="F515" s="20">
        <v>1</v>
      </c>
      <c r="G515" s="20" t="s">
        <v>556</v>
      </c>
      <c r="H515" s="20" t="s">
        <v>35</v>
      </c>
      <c r="I515" s="20" t="s">
        <v>133</v>
      </c>
      <c r="J515" s="19" t="s">
        <v>1291</v>
      </c>
      <c r="K515" s="20" t="s">
        <v>64</v>
      </c>
      <c r="L515" s="20" t="s">
        <v>44</v>
      </c>
      <c r="M515" s="20" t="s">
        <v>169</v>
      </c>
      <c r="N515" s="21">
        <v>514</v>
      </c>
      <c r="O515" s="29">
        <v>45762</v>
      </c>
      <c r="P515" s="29">
        <v>45765</v>
      </c>
      <c r="Q515" s="29">
        <v>45772</v>
      </c>
      <c r="R515" s="29">
        <v>45779</v>
      </c>
      <c r="S515" s="23">
        <f t="shared" ref="S515:S577" si="33">O515-DATE(YEAR(O515),1,1)+1</f>
        <v>105</v>
      </c>
      <c r="T515" s="23">
        <f t="shared" ref="T515:T577" si="34">P515-DATE(YEAR(P515),1,1)+1</f>
        <v>108</v>
      </c>
      <c r="U515" s="23">
        <f t="shared" ref="U515:U577" si="35">Q515-DATE(YEAR(Q515),1,1)+1</f>
        <v>115</v>
      </c>
      <c r="V515" s="23">
        <f t="shared" ref="V515:V577" si="36">R515-DATE(YEAR(R515),1,1)+1</f>
        <v>122</v>
      </c>
      <c r="W515" s="20" t="s">
        <v>35</v>
      </c>
      <c r="X515" s="20" t="s">
        <v>133</v>
      </c>
      <c r="Y515" s="20" t="s">
        <v>64</v>
      </c>
      <c r="Z515" s="20" t="s">
        <v>44</v>
      </c>
      <c r="AA515" s="20" t="s">
        <v>426</v>
      </c>
      <c r="AB515" s="20" t="s">
        <v>167</v>
      </c>
      <c r="AC515" s="20" t="s">
        <v>16</v>
      </c>
      <c r="AD515" s="20"/>
      <c r="AE515" s="2">
        <v>0</v>
      </c>
      <c r="AF515" s="2"/>
    </row>
    <row r="516" spans="1:32" x14ac:dyDescent="0.2">
      <c r="A516" s="20" t="s">
        <v>426</v>
      </c>
      <c r="B516" s="20" t="s">
        <v>167</v>
      </c>
      <c r="C516" s="20" t="s">
        <v>16</v>
      </c>
      <c r="D516" s="18" t="s">
        <v>1289</v>
      </c>
      <c r="E516" s="20" t="s">
        <v>17</v>
      </c>
      <c r="F516" s="20">
        <v>2</v>
      </c>
      <c r="G516" s="20" t="s">
        <v>557</v>
      </c>
      <c r="H516" s="20" t="s">
        <v>35</v>
      </c>
      <c r="I516" s="20" t="s">
        <v>133</v>
      </c>
      <c r="J516" s="19" t="s">
        <v>1292</v>
      </c>
      <c r="K516" s="20" t="s">
        <v>64</v>
      </c>
      <c r="L516" s="20" t="s">
        <v>44</v>
      </c>
      <c r="M516" s="20" t="s">
        <v>169</v>
      </c>
      <c r="N516" s="21">
        <v>515</v>
      </c>
      <c r="O516" s="29">
        <v>45762</v>
      </c>
      <c r="P516" s="29">
        <v>45765</v>
      </c>
      <c r="Q516" s="29">
        <v>45772</v>
      </c>
      <c r="R516" s="29">
        <v>45779</v>
      </c>
      <c r="S516" s="23">
        <f t="shared" si="33"/>
        <v>105</v>
      </c>
      <c r="T516" s="23">
        <f t="shared" si="34"/>
        <v>108</v>
      </c>
      <c r="U516" s="23">
        <f t="shared" si="35"/>
        <v>115</v>
      </c>
      <c r="V516" s="23">
        <f t="shared" si="36"/>
        <v>122</v>
      </c>
      <c r="W516" s="20" t="s">
        <v>35</v>
      </c>
      <c r="X516" s="20" t="s">
        <v>133</v>
      </c>
      <c r="Y516" s="20" t="s">
        <v>64</v>
      </c>
      <c r="Z516" s="20" t="s">
        <v>44</v>
      </c>
      <c r="AA516" s="20" t="s">
        <v>426</v>
      </c>
      <c r="AB516" s="20" t="s">
        <v>167</v>
      </c>
      <c r="AC516" s="20" t="s">
        <v>16</v>
      </c>
      <c r="AD516" s="20"/>
      <c r="AE516" s="2">
        <v>0</v>
      </c>
      <c r="AF516" s="2"/>
    </row>
    <row r="517" spans="1:32" x14ac:dyDescent="0.2">
      <c r="A517" s="20" t="s">
        <v>426</v>
      </c>
      <c r="B517" s="20" t="s">
        <v>167</v>
      </c>
      <c r="C517" s="20" t="s">
        <v>16</v>
      </c>
      <c r="D517" s="18" t="s">
        <v>1289</v>
      </c>
      <c r="E517" s="20" t="s">
        <v>24</v>
      </c>
      <c r="F517" s="20">
        <v>2</v>
      </c>
      <c r="G517" s="20" t="s">
        <v>558</v>
      </c>
      <c r="H517" s="20" t="s">
        <v>35</v>
      </c>
      <c r="I517" s="20" t="s">
        <v>133</v>
      </c>
      <c r="J517" s="19" t="s">
        <v>1293</v>
      </c>
      <c r="K517" s="20" t="s">
        <v>64</v>
      </c>
      <c r="L517" s="20" t="s">
        <v>44</v>
      </c>
      <c r="M517" s="20" t="s">
        <v>169</v>
      </c>
      <c r="N517" s="21">
        <v>516</v>
      </c>
      <c r="O517" s="29">
        <v>45751</v>
      </c>
      <c r="P517" s="29">
        <v>45762</v>
      </c>
      <c r="Q517" s="29">
        <v>45772</v>
      </c>
      <c r="R517" s="29">
        <v>45779</v>
      </c>
      <c r="S517" s="23">
        <f t="shared" si="33"/>
        <v>94</v>
      </c>
      <c r="T517" s="23">
        <f t="shared" si="34"/>
        <v>105</v>
      </c>
      <c r="U517" s="23">
        <f t="shared" si="35"/>
        <v>115</v>
      </c>
      <c r="V517" s="23">
        <f t="shared" si="36"/>
        <v>122</v>
      </c>
      <c r="W517" s="20" t="s">
        <v>35</v>
      </c>
      <c r="X517" s="20" t="s">
        <v>133</v>
      </c>
      <c r="Y517" s="20" t="s">
        <v>64</v>
      </c>
      <c r="Z517" s="20" t="s">
        <v>44</v>
      </c>
      <c r="AA517" s="20" t="s">
        <v>426</v>
      </c>
      <c r="AB517" s="20" t="s">
        <v>167</v>
      </c>
      <c r="AC517" s="20" t="s">
        <v>16</v>
      </c>
      <c r="AD517" s="20"/>
      <c r="AE517" s="2">
        <v>0</v>
      </c>
      <c r="AF517" s="2"/>
    </row>
    <row r="518" spans="1:32" x14ac:dyDescent="0.2">
      <c r="A518" s="20" t="s">
        <v>426</v>
      </c>
      <c r="B518" s="20" t="s">
        <v>167</v>
      </c>
      <c r="C518" s="20" t="s">
        <v>16</v>
      </c>
      <c r="D518" s="18" t="s">
        <v>1289</v>
      </c>
      <c r="E518" s="20" t="s">
        <v>17</v>
      </c>
      <c r="F518" s="20">
        <v>3</v>
      </c>
      <c r="G518" s="20" t="s">
        <v>559</v>
      </c>
      <c r="H518" s="20" t="s">
        <v>35</v>
      </c>
      <c r="I518" s="20" t="s">
        <v>133</v>
      </c>
      <c r="J518" s="19" t="s">
        <v>1294</v>
      </c>
      <c r="K518" s="20" t="s">
        <v>64</v>
      </c>
      <c r="L518" s="20" t="s">
        <v>44</v>
      </c>
      <c r="M518" s="20" t="s">
        <v>169</v>
      </c>
      <c r="N518" s="21">
        <v>517</v>
      </c>
      <c r="O518" s="29">
        <v>45765</v>
      </c>
      <c r="P518" s="29">
        <v>45776</v>
      </c>
      <c r="Q518" s="29">
        <v>45779</v>
      </c>
      <c r="R518" s="29">
        <v>45783</v>
      </c>
      <c r="S518" s="23">
        <f t="shared" si="33"/>
        <v>108</v>
      </c>
      <c r="T518" s="23">
        <f t="shared" si="34"/>
        <v>119</v>
      </c>
      <c r="U518" s="23">
        <f t="shared" si="35"/>
        <v>122</v>
      </c>
      <c r="V518" s="23">
        <f t="shared" si="36"/>
        <v>126</v>
      </c>
      <c r="W518" s="20" t="s">
        <v>35</v>
      </c>
      <c r="X518" s="20" t="s">
        <v>133</v>
      </c>
      <c r="Y518" s="20" t="s">
        <v>64</v>
      </c>
      <c r="Z518" s="20" t="s">
        <v>44</v>
      </c>
      <c r="AA518" s="20" t="s">
        <v>426</v>
      </c>
      <c r="AB518" s="20" t="s">
        <v>167</v>
      </c>
      <c r="AC518" s="20" t="s">
        <v>16</v>
      </c>
      <c r="AD518" s="20"/>
      <c r="AE518" s="2">
        <v>0</v>
      </c>
      <c r="AF518" s="2"/>
    </row>
    <row r="519" spans="1:32" x14ac:dyDescent="0.2">
      <c r="A519" s="20" t="s">
        <v>426</v>
      </c>
      <c r="B519" s="20" t="s">
        <v>167</v>
      </c>
      <c r="C519" s="20" t="s">
        <v>16</v>
      </c>
      <c r="D519" s="18" t="s">
        <v>1289</v>
      </c>
      <c r="E519" s="20" t="s">
        <v>24</v>
      </c>
      <c r="F519" s="20">
        <v>3</v>
      </c>
      <c r="G519" s="20" t="s">
        <v>560</v>
      </c>
      <c r="H519" s="20" t="s">
        <v>35</v>
      </c>
      <c r="I519" s="20" t="s">
        <v>133</v>
      </c>
      <c r="J519" s="19" t="s">
        <v>1295</v>
      </c>
      <c r="K519" s="20" t="s">
        <v>64</v>
      </c>
      <c r="L519" s="20" t="s">
        <v>44</v>
      </c>
      <c r="M519" s="20" t="s">
        <v>169</v>
      </c>
      <c r="N519" s="21">
        <v>518</v>
      </c>
      <c r="O519" s="29">
        <v>45751</v>
      </c>
      <c r="P519" s="29">
        <v>45762</v>
      </c>
      <c r="Q519" s="29">
        <v>45776</v>
      </c>
      <c r="R519" s="29">
        <v>45779</v>
      </c>
      <c r="S519" s="23">
        <f t="shared" si="33"/>
        <v>94</v>
      </c>
      <c r="T519" s="23">
        <f t="shared" si="34"/>
        <v>105</v>
      </c>
      <c r="U519" s="23">
        <f t="shared" si="35"/>
        <v>119</v>
      </c>
      <c r="V519" s="23">
        <f t="shared" si="36"/>
        <v>122</v>
      </c>
      <c r="W519" s="20" t="s">
        <v>35</v>
      </c>
      <c r="X519" s="20" t="s">
        <v>133</v>
      </c>
      <c r="Y519" s="20" t="s">
        <v>64</v>
      </c>
      <c r="Z519" s="20" t="s">
        <v>44</v>
      </c>
      <c r="AA519" s="20" t="s">
        <v>426</v>
      </c>
      <c r="AB519" s="20" t="s">
        <v>167</v>
      </c>
      <c r="AC519" s="20" t="s">
        <v>16</v>
      </c>
      <c r="AD519" s="20"/>
      <c r="AE519" s="2">
        <v>0</v>
      </c>
      <c r="AF519" s="2"/>
    </row>
    <row r="520" spans="1:32" x14ac:dyDescent="0.2">
      <c r="A520" s="20" t="s">
        <v>426</v>
      </c>
      <c r="B520" s="20" t="s">
        <v>167</v>
      </c>
      <c r="C520" s="20" t="s">
        <v>16</v>
      </c>
      <c r="D520" s="18" t="s">
        <v>1289</v>
      </c>
      <c r="E520" s="20" t="s">
        <v>17</v>
      </c>
      <c r="F520" s="20">
        <v>4</v>
      </c>
      <c r="G520" s="20" t="s">
        <v>561</v>
      </c>
      <c r="H520" s="20" t="s">
        <v>35</v>
      </c>
      <c r="I520" s="20" t="s">
        <v>133</v>
      </c>
      <c r="J520" s="19" t="s">
        <v>1296</v>
      </c>
      <c r="K520" s="20" t="s">
        <v>64</v>
      </c>
      <c r="L520" s="20" t="s">
        <v>44</v>
      </c>
      <c r="M520" s="20" t="s">
        <v>169</v>
      </c>
      <c r="N520" s="21">
        <v>519</v>
      </c>
      <c r="O520" s="29">
        <v>45762</v>
      </c>
      <c r="P520" s="29">
        <v>45765</v>
      </c>
      <c r="Q520" s="29">
        <v>45776</v>
      </c>
      <c r="R520" s="29">
        <v>45779</v>
      </c>
      <c r="S520" s="23">
        <f t="shared" si="33"/>
        <v>105</v>
      </c>
      <c r="T520" s="23">
        <f t="shared" si="34"/>
        <v>108</v>
      </c>
      <c r="U520" s="23">
        <f t="shared" si="35"/>
        <v>119</v>
      </c>
      <c r="V520" s="23">
        <f t="shared" si="36"/>
        <v>122</v>
      </c>
      <c r="W520" s="20" t="s">
        <v>35</v>
      </c>
      <c r="X520" s="20" t="s">
        <v>133</v>
      </c>
      <c r="Y520" s="20" t="s">
        <v>64</v>
      </c>
      <c r="Z520" s="20" t="s">
        <v>44</v>
      </c>
      <c r="AA520" s="20" t="s">
        <v>426</v>
      </c>
      <c r="AB520" s="20" t="s">
        <v>167</v>
      </c>
      <c r="AC520" s="20" t="s">
        <v>16</v>
      </c>
      <c r="AD520" s="20"/>
      <c r="AE520" s="2">
        <v>0</v>
      </c>
      <c r="AF520" s="2"/>
    </row>
    <row r="521" spans="1:32" x14ac:dyDescent="0.2">
      <c r="A521" s="20" t="s">
        <v>426</v>
      </c>
      <c r="B521" s="20" t="s">
        <v>167</v>
      </c>
      <c r="C521" s="20" t="s">
        <v>16</v>
      </c>
      <c r="D521" s="18" t="s">
        <v>1289</v>
      </c>
      <c r="E521" s="20" t="s">
        <v>24</v>
      </c>
      <c r="F521" s="20">
        <v>4</v>
      </c>
      <c r="G521" s="20" t="s">
        <v>562</v>
      </c>
      <c r="H521" s="20" t="s">
        <v>35</v>
      </c>
      <c r="I521" s="20" t="s">
        <v>133</v>
      </c>
      <c r="J521" s="19" t="s">
        <v>1297</v>
      </c>
      <c r="K521" s="20" t="s">
        <v>64</v>
      </c>
      <c r="L521" s="20" t="s">
        <v>44</v>
      </c>
      <c r="M521" s="20" t="s">
        <v>169</v>
      </c>
      <c r="N521" s="21">
        <v>520</v>
      </c>
      <c r="O521" s="29">
        <v>45755</v>
      </c>
      <c r="P521" s="29">
        <v>45762</v>
      </c>
      <c r="Q521" s="29">
        <v>45770</v>
      </c>
      <c r="R521" s="29">
        <v>45776</v>
      </c>
      <c r="S521" s="23">
        <f t="shared" si="33"/>
        <v>98</v>
      </c>
      <c r="T521" s="23">
        <f t="shared" si="34"/>
        <v>105</v>
      </c>
      <c r="U521" s="23">
        <f t="shared" si="35"/>
        <v>113</v>
      </c>
      <c r="V521" s="23">
        <f t="shared" si="36"/>
        <v>119</v>
      </c>
      <c r="W521" s="20" t="s">
        <v>35</v>
      </c>
      <c r="X521" s="20" t="s">
        <v>133</v>
      </c>
      <c r="Y521" s="20" t="s">
        <v>64</v>
      </c>
      <c r="Z521" s="20" t="s">
        <v>44</v>
      </c>
      <c r="AA521" s="20" t="s">
        <v>426</v>
      </c>
      <c r="AB521" s="20" t="s">
        <v>167</v>
      </c>
      <c r="AC521" s="20" t="s">
        <v>16</v>
      </c>
      <c r="AD521" s="20"/>
      <c r="AE521" s="2">
        <v>2</v>
      </c>
      <c r="AF521" s="2" t="s">
        <v>1298</v>
      </c>
    </row>
    <row r="522" spans="1:32" x14ac:dyDescent="0.2">
      <c r="A522" s="14" t="s">
        <v>426</v>
      </c>
      <c r="B522" s="14" t="s">
        <v>167</v>
      </c>
      <c r="C522" s="14" t="s">
        <v>32</v>
      </c>
      <c r="D522" s="14" t="s">
        <v>1299</v>
      </c>
      <c r="E522" s="14" t="s">
        <v>17</v>
      </c>
      <c r="F522" s="14">
        <v>1</v>
      </c>
      <c r="G522" s="14" t="s">
        <v>563</v>
      </c>
      <c r="H522" s="14" t="s">
        <v>19</v>
      </c>
      <c r="I522" s="14" t="s">
        <v>133</v>
      </c>
      <c r="J522" s="13" t="s">
        <v>1300</v>
      </c>
      <c r="K522" s="14" t="s">
        <v>64</v>
      </c>
      <c r="L522" s="14" t="s">
        <v>44</v>
      </c>
      <c r="M522" s="14" t="s">
        <v>169</v>
      </c>
      <c r="N522" s="13">
        <v>521</v>
      </c>
      <c r="O522" s="30">
        <v>45762</v>
      </c>
      <c r="P522" s="30">
        <v>45770</v>
      </c>
      <c r="Q522" s="30">
        <v>45772</v>
      </c>
      <c r="R522" s="30">
        <v>45779</v>
      </c>
      <c r="S522" s="23">
        <f t="shared" si="33"/>
        <v>105</v>
      </c>
      <c r="T522" s="23">
        <f t="shared" si="34"/>
        <v>113</v>
      </c>
      <c r="U522" s="23">
        <f t="shared" si="35"/>
        <v>115</v>
      </c>
      <c r="V522" s="23">
        <f t="shared" si="36"/>
        <v>122</v>
      </c>
      <c r="W522" s="14" t="s">
        <v>19</v>
      </c>
      <c r="X522" s="14" t="s">
        <v>133</v>
      </c>
      <c r="Y522" s="14" t="s">
        <v>64</v>
      </c>
      <c r="Z522" s="14" t="s">
        <v>44</v>
      </c>
      <c r="AA522" s="14" t="s">
        <v>426</v>
      </c>
      <c r="AB522" s="14" t="s">
        <v>167</v>
      </c>
      <c r="AC522" s="14" t="s">
        <v>32</v>
      </c>
      <c r="AD522" s="14"/>
      <c r="AE522" s="1">
        <v>0</v>
      </c>
      <c r="AF522" s="1"/>
    </row>
    <row r="523" spans="1:32" x14ac:dyDescent="0.2">
      <c r="A523" s="14" t="s">
        <v>426</v>
      </c>
      <c r="B523" s="14" t="s">
        <v>167</v>
      </c>
      <c r="C523" s="14" t="s">
        <v>32</v>
      </c>
      <c r="D523" s="14" t="s">
        <v>1299</v>
      </c>
      <c r="E523" s="14" t="s">
        <v>24</v>
      </c>
      <c r="F523" s="14">
        <v>1</v>
      </c>
      <c r="G523" s="14" t="s">
        <v>564</v>
      </c>
      <c r="H523" s="14" t="s">
        <v>19</v>
      </c>
      <c r="I523" s="14" t="s">
        <v>133</v>
      </c>
      <c r="J523" s="13" t="s">
        <v>1301</v>
      </c>
      <c r="K523" s="14" t="s">
        <v>64</v>
      </c>
      <c r="L523" s="14" t="s">
        <v>44</v>
      </c>
      <c r="M523" s="14" t="s">
        <v>169</v>
      </c>
      <c r="N523" s="13">
        <v>522</v>
      </c>
      <c r="O523" s="30">
        <v>45765</v>
      </c>
      <c r="P523" s="30">
        <v>45772</v>
      </c>
      <c r="Q523" s="30">
        <v>45776</v>
      </c>
      <c r="R523" s="30">
        <v>45783</v>
      </c>
      <c r="S523" s="23">
        <f t="shared" si="33"/>
        <v>108</v>
      </c>
      <c r="T523" s="23">
        <f t="shared" si="34"/>
        <v>115</v>
      </c>
      <c r="U523" s="23">
        <f t="shared" si="35"/>
        <v>119</v>
      </c>
      <c r="V523" s="23">
        <f t="shared" si="36"/>
        <v>126</v>
      </c>
      <c r="W523" s="14" t="s">
        <v>19</v>
      </c>
      <c r="X523" s="14" t="s">
        <v>133</v>
      </c>
      <c r="Y523" s="14" t="s">
        <v>64</v>
      </c>
      <c r="Z523" s="14" t="s">
        <v>44</v>
      </c>
      <c r="AA523" s="14" t="s">
        <v>426</v>
      </c>
      <c r="AB523" s="14" t="s">
        <v>167</v>
      </c>
      <c r="AC523" s="14" t="s">
        <v>32</v>
      </c>
      <c r="AD523" s="14"/>
      <c r="AE523" s="1">
        <v>0</v>
      </c>
      <c r="AF523" s="1"/>
    </row>
    <row r="524" spans="1:32" x14ac:dyDescent="0.2">
      <c r="A524" s="14" t="s">
        <v>426</v>
      </c>
      <c r="B524" s="14" t="s">
        <v>167</v>
      </c>
      <c r="C524" s="14" t="s">
        <v>32</v>
      </c>
      <c r="D524" s="14" t="s">
        <v>1299</v>
      </c>
      <c r="E524" s="14" t="s">
        <v>17</v>
      </c>
      <c r="F524" s="14">
        <v>2</v>
      </c>
      <c r="G524" s="14" t="s">
        <v>565</v>
      </c>
      <c r="H524" s="14" t="s">
        <v>19</v>
      </c>
      <c r="I524" s="14" t="s">
        <v>133</v>
      </c>
      <c r="J524" s="13" t="s">
        <v>1302</v>
      </c>
      <c r="K524" s="14" t="s">
        <v>64</v>
      </c>
      <c r="L524" s="14" t="s">
        <v>44</v>
      </c>
      <c r="M524" s="14" t="s">
        <v>169</v>
      </c>
      <c r="N524" s="13">
        <v>523</v>
      </c>
      <c r="O524" s="30">
        <v>45762</v>
      </c>
      <c r="P524" s="30">
        <v>45770</v>
      </c>
      <c r="Q524" s="30">
        <v>45776</v>
      </c>
      <c r="R524" s="30">
        <v>45779</v>
      </c>
      <c r="S524" s="23">
        <f t="shared" si="33"/>
        <v>105</v>
      </c>
      <c r="T524" s="23">
        <f t="shared" si="34"/>
        <v>113</v>
      </c>
      <c r="U524" s="23">
        <f t="shared" si="35"/>
        <v>119</v>
      </c>
      <c r="V524" s="23">
        <f t="shared" si="36"/>
        <v>122</v>
      </c>
      <c r="W524" s="14" t="s">
        <v>19</v>
      </c>
      <c r="X524" s="14" t="s">
        <v>133</v>
      </c>
      <c r="Y524" s="14" t="s">
        <v>64</v>
      </c>
      <c r="Z524" s="14" t="s">
        <v>44</v>
      </c>
      <c r="AA524" s="14" t="s">
        <v>426</v>
      </c>
      <c r="AB524" s="14" t="s">
        <v>167</v>
      </c>
      <c r="AC524" s="14" t="s">
        <v>32</v>
      </c>
      <c r="AD524" s="14"/>
      <c r="AE524" s="1">
        <v>0</v>
      </c>
      <c r="AF524" s="1"/>
    </row>
    <row r="525" spans="1:32" x14ac:dyDescent="0.2">
      <c r="A525" s="14" t="s">
        <v>426</v>
      </c>
      <c r="B525" s="14" t="s">
        <v>167</v>
      </c>
      <c r="C525" s="14" t="s">
        <v>32</v>
      </c>
      <c r="D525" s="14" t="s">
        <v>1299</v>
      </c>
      <c r="E525" s="14" t="s">
        <v>24</v>
      </c>
      <c r="F525" s="14">
        <v>2</v>
      </c>
      <c r="G525" s="14" t="s">
        <v>566</v>
      </c>
      <c r="H525" s="14" t="s">
        <v>19</v>
      </c>
      <c r="I525" s="14" t="s">
        <v>133</v>
      </c>
      <c r="J525" s="13" t="s">
        <v>1303</v>
      </c>
      <c r="K525" s="14" t="s">
        <v>64</v>
      </c>
      <c r="L525" s="14" t="s">
        <v>44</v>
      </c>
      <c r="M525" s="14" t="s">
        <v>169</v>
      </c>
      <c r="N525" s="13">
        <v>524</v>
      </c>
      <c r="O525" s="30">
        <v>45765</v>
      </c>
      <c r="P525" s="30">
        <v>45770</v>
      </c>
      <c r="Q525" s="30">
        <v>45776</v>
      </c>
      <c r="R525" s="30">
        <v>45779</v>
      </c>
      <c r="S525" s="23">
        <f t="shared" si="33"/>
        <v>108</v>
      </c>
      <c r="T525" s="23">
        <f t="shared" si="34"/>
        <v>113</v>
      </c>
      <c r="U525" s="23">
        <f t="shared" si="35"/>
        <v>119</v>
      </c>
      <c r="V525" s="23">
        <f t="shared" si="36"/>
        <v>122</v>
      </c>
      <c r="W525" s="14" t="s">
        <v>19</v>
      </c>
      <c r="X525" s="14" t="s">
        <v>133</v>
      </c>
      <c r="Y525" s="14" t="s">
        <v>64</v>
      </c>
      <c r="Z525" s="14" t="s">
        <v>44</v>
      </c>
      <c r="AA525" s="14" t="s">
        <v>426</v>
      </c>
      <c r="AB525" s="14" t="s">
        <v>167</v>
      </c>
      <c r="AC525" s="14" t="s">
        <v>32</v>
      </c>
      <c r="AD525" s="14"/>
      <c r="AE525" s="1">
        <v>0</v>
      </c>
      <c r="AF525" s="1"/>
    </row>
    <row r="526" spans="1:32" x14ac:dyDescent="0.2">
      <c r="A526" s="14" t="s">
        <v>426</v>
      </c>
      <c r="B526" s="14" t="s">
        <v>167</v>
      </c>
      <c r="C526" s="14" t="s">
        <v>32</v>
      </c>
      <c r="D526" s="14" t="s">
        <v>1299</v>
      </c>
      <c r="E526" s="14" t="s">
        <v>17</v>
      </c>
      <c r="F526" s="14">
        <v>3</v>
      </c>
      <c r="G526" s="14" t="s">
        <v>567</v>
      </c>
      <c r="H526" s="14" t="s">
        <v>19</v>
      </c>
      <c r="I526" s="14" t="s">
        <v>133</v>
      </c>
      <c r="J526" s="13" t="s">
        <v>1304</v>
      </c>
      <c r="K526" s="14" t="s">
        <v>64</v>
      </c>
      <c r="L526" s="14" t="s">
        <v>44</v>
      </c>
      <c r="M526" s="14" t="s">
        <v>169</v>
      </c>
      <c r="N526" s="13">
        <v>525</v>
      </c>
      <c r="O526" s="30">
        <v>45765</v>
      </c>
      <c r="P526" s="30">
        <v>45776</v>
      </c>
      <c r="Q526" s="30">
        <v>45779</v>
      </c>
      <c r="R526" s="30">
        <v>45783</v>
      </c>
      <c r="S526" s="23">
        <f t="shared" si="33"/>
        <v>108</v>
      </c>
      <c r="T526" s="23">
        <f t="shared" si="34"/>
        <v>119</v>
      </c>
      <c r="U526" s="23">
        <f t="shared" si="35"/>
        <v>122</v>
      </c>
      <c r="V526" s="23">
        <f t="shared" si="36"/>
        <v>126</v>
      </c>
      <c r="W526" s="14" t="s">
        <v>19</v>
      </c>
      <c r="X526" s="14" t="s">
        <v>133</v>
      </c>
      <c r="Y526" s="14" t="s">
        <v>64</v>
      </c>
      <c r="Z526" s="14" t="s">
        <v>44</v>
      </c>
      <c r="AA526" s="14" t="s">
        <v>426</v>
      </c>
      <c r="AB526" s="14" t="s">
        <v>167</v>
      </c>
      <c r="AC526" s="14" t="s">
        <v>32</v>
      </c>
      <c r="AD526" s="14"/>
      <c r="AE526" s="1">
        <v>0</v>
      </c>
      <c r="AF526" s="1"/>
    </row>
    <row r="527" spans="1:32" x14ac:dyDescent="0.2">
      <c r="A527" s="14" t="s">
        <v>426</v>
      </c>
      <c r="B527" s="14" t="s">
        <v>167</v>
      </c>
      <c r="C527" s="14" t="s">
        <v>32</v>
      </c>
      <c r="D527" s="14" t="s">
        <v>1299</v>
      </c>
      <c r="E527" s="14" t="s">
        <v>24</v>
      </c>
      <c r="F527" s="14">
        <v>3</v>
      </c>
      <c r="G527" s="14" t="s">
        <v>568</v>
      </c>
      <c r="H527" s="14" t="s">
        <v>19</v>
      </c>
      <c r="I527" s="14" t="s">
        <v>133</v>
      </c>
      <c r="J527" s="13" t="s">
        <v>1305</v>
      </c>
      <c r="K527" s="14" t="s">
        <v>64</v>
      </c>
      <c r="L527" s="14" t="s">
        <v>44</v>
      </c>
      <c r="M527" s="14" t="s">
        <v>169</v>
      </c>
      <c r="N527" s="13">
        <v>526</v>
      </c>
      <c r="O527" s="30">
        <v>45762</v>
      </c>
      <c r="P527" s="1"/>
      <c r="Q527" s="30">
        <v>45770</v>
      </c>
      <c r="R527" s="30">
        <v>45776</v>
      </c>
      <c r="S527" s="23">
        <f t="shared" si="33"/>
        <v>105</v>
      </c>
      <c r="T527" s="23">
        <f>(U527+S527)/2</f>
        <v>109</v>
      </c>
      <c r="U527" s="23">
        <f t="shared" si="35"/>
        <v>113</v>
      </c>
      <c r="V527" s="23">
        <f t="shared" si="36"/>
        <v>119</v>
      </c>
      <c r="W527" s="14" t="s">
        <v>19</v>
      </c>
      <c r="X527" s="14" t="s">
        <v>133</v>
      </c>
      <c r="Y527" s="14" t="s">
        <v>64</v>
      </c>
      <c r="Z527" s="14" t="s">
        <v>44</v>
      </c>
      <c r="AA527" s="14" t="s">
        <v>426</v>
      </c>
      <c r="AB527" s="14" t="s">
        <v>167</v>
      </c>
      <c r="AC527" s="14" t="s">
        <v>32</v>
      </c>
      <c r="AD527" s="14"/>
      <c r="AE527" s="1">
        <v>0</v>
      </c>
      <c r="AF527" s="1"/>
    </row>
    <row r="528" spans="1:32" x14ac:dyDescent="0.2">
      <c r="A528" s="14" t="s">
        <v>426</v>
      </c>
      <c r="B528" s="14" t="s">
        <v>167</v>
      </c>
      <c r="C528" s="14" t="s">
        <v>32</v>
      </c>
      <c r="D528" s="14" t="s">
        <v>1299</v>
      </c>
      <c r="E528" s="14" t="s">
        <v>17</v>
      </c>
      <c r="F528" s="14">
        <v>4</v>
      </c>
      <c r="G528" s="14" t="s">
        <v>569</v>
      </c>
      <c r="H528" s="14" t="s">
        <v>19</v>
      </c>
      <c r="I528" s="14" t="s">
        <v>133</v>
      </c>
      <c r="J528" s="13" t="s">
        <v>1306</v>
      </c>
      <c r="K528" s="14" t="s">
        <v>64</v>
      </c>
      <c r="L528" s="14" t="s">
        <v>44</v>
      </c>
      <c r="M528" s="14" t="s">
        <v>169</v>
      </c>
      <c r="N528" s="13">
        <v>527</v>
      </c>
      <c r="O528" s="30">
        <v>45765</v>
      </c>
      <c r="P528" s="30">
        <v>45776</v>
      </c>
      <c r="Q528" s="30">
        <v>45779</v>
      </c>
      <c r="R528" s="30">
        <v>45783</v>
      </c>
      <c r="S528" s="23">
        <f t="shared" si="33"/>
        <v>108</v>
      </c>
      <c r="T528" s="23">
        <f t="shared" si="34"/>
        <v>119</v>
      </c>
      <c r="U528" s="23">
        <f t="shared" si="35"/>
        <v>122</v>
      </c>
      <c r="V528" s="23">
        <f t="shared" si="36"/>
        <v>126</v>
      </c>
      <c r="W528" s="14" t="s">
        <v>19</v>
      </c>
      <c r="X528" s="14" t="s">
        <v>133</v>
      </c>
      <c r="Y528" s="14" t="s">
        <v>64</v>
      </c>
      <c r="Z528" s="14" t="s">
        <v>44</v>
      </c>
      <c r="AA528" s="14" t="s">
        <v>426</v>
      </c>
      <c r="AB528" s="14" t="s">
        <v>167</v>
      </c>
      <c r="AC528" s="14" t="s">
        <v>32</v>
      </c>
      <c r="AD528" s="14"/>
      <c r="AE528" s="1">
        <v>0</v>
      </c>
      <c r="AF528" s="1"/>
    </row>
    <row r="529" spans="1:32" x14ac:dyDescent="0.2">
      <c r="A529" s="14" t="s">
        <v>426</v>
      </c>
      <c r="B529" s="14" t="s">
        <v>167</v>
      </c>
      <c r="C529" s="14" t="s">
        <v>32</v>
      </c>
      <c r="D529" s="14" t="s">
        <v>1299</v>
      </c>
      <c r="E529" s="14" t="s">
        <v>24</v>
      </c>
      <c r="F529" s="14">
        <v>4</v>
      </c>
      <c r="G529" s="14" t="s">
        <v>570</v>
      </c>
      <c r="H529" s="14" t="s">
        <v>19</v>
      </c>
      <c r="I529" s="14" t="s">
        <v>133</v>
      </c>
      <c r="J529" s="13" t="s">
        <v>1307</v>
      </c>
      <c r="K529" s="14" t="s">
        <v>64</v>
      </c>
      <c r="L529" s="14" t="s">
        <v>44</v>
      </c>
      <c r="M529" s="14" t="s">
        <v>169</v>
      </c>
      <c r="N529" s="13">
        <v>528</v>
      </c>
      <c r="O529" s="30">
        <v>45758</v>
      </c>
      <c r="P529" s="30">
        <v>45765</v>
      </c>
      <c r="Q529" s="30">
        <v>45770</v>
      </c>
      <c r="R529" s="30">
        <v>45772</v>
      </c>
      <c r="S529" s="23">
        <f t="shared" si="33"/>
        <v>101</v>
      </c>
      <c r="T529" s="23">
        <f t="shared" si="34"/>
        <v>108</v>
      </c>
      <c r="U529" s="23">
        <f t="shared" si="35"/>
        <v>113</v>
      </c>
      <c r="V529" s="23">
        <f t="shared" si="36"/>
        <v>115</v>
      </c>
      <c r="W529" s="14" t="s">
        <v>19</v>
      </c>
      <c r="X529" s="14" t="s">
        <v>133</v>
      </c>
      <c r="Y529" s="14" t="s">
        <v>64</v>
      </c>
      <c r="Z529" s="14" t="s">
        <v>44</v>
      </c>
      <c r="AA529" s="14" t="s">
        <v>426</v>
      </c>
      <c r="AB529" s="14" t="s">
        <v>167</v>
      </c>
      <c r="AC529" s="14" t="s">
        <v>32</v>
      </c>
      <c r="AD529" s="14"/>
      <c r="AE529" s="1">
        <v>0</v>
      </c>
      <c r="AF529" s="1"/>
    </row>
    <row r="530" spans="1:32" x14ac:dyDescent="0.2">
      <c r="A530" s="20" t="s">
        <v>426</v>
      </c>
      <c r="B530" s="20" t="s">
        <v>167</v>
      </c>
      <c r="C530" s="20" t="s">
        <v>42</v>
      </c>
      <c r="D530" s="18" t="s">
        <v>1308</v>
      </c>
      <c r="E530" s="20" t="s">
        <v>17</v>
      </c>
      <c r="F530" s="20">
        <v>1</v>
      </c>
      <c r="G530" s="20" t="s">
        <v>571</v>
      </c>
      <c r="H530" s="20" t="s">
        <v>19</v>
      </c>
      <c r="I530" s="20" t="s">
        <v>133</v>
      </c>
      <c r="J530" s="19" t="s">
        <v>1309</v>
      </c>
      <c r="K530" s="20" t="s">
        <v>21</v>
      </c>
      <c r="L530" s="20" t="s">
        <v>44</v>
      </c>
      <c r="M530" s="20" t="s">
        <v>143</v>
      </c>
      <c r="N530" s="21">
        <v>529</v>
      </c>
      <c r="O530" s="29">
        <v>45762</v>
      </c>
      <c r="P530" s="29">
        <v>45765</v>
      </c>
      <c r="Q530" s="29">
        <v>45770</v>
      </c>
      <c r="R530" s="29">
        <v>45776</v>
      </c>
      <c r="S530" s="23">
        <f t="shared" si="33"/>
        <v>105</v>
      </c>
      <c r="T530" s="23">
        <f t="shared" si="34"/>
        <v>108</v>
      </c>
      <c r="U530" s="23">
        <f t="shared" si="35"/>
        <v>113</v>
      </c>
      <c r="V530" s="23">
        <f t="shared" si="36"/>
        <v>119</v>
      </c>
      <c r="W530" s="20" t="s">
        <v>19</v>
      </c>
      <c r="X530" s="20" t="s">
        <v>133</v>
      </c>
      <c r="Y530" s="20" t="s">
        <v>21</v>
      </c>
      <c r="Z530" s="20" t="s">
        <v>44</v>
      </c>
      <c r="AA530" s="20" t="s">
        <v>426</v>
      </c>
      <c r="AB530" s="20" t="s">
        <v>167</v>
      </c>
      <c r="AC530" s="20" t="s">
        <v>42</v>
      </c>
      <c r="AD530" s="20"/>
      <c r="AE530" s="2">
        <v>0</v>
      </c>
      <c r="AF530" s="2"/>
    </row>
    <row r="531" spans="1:32" x14ac:dyDescent="0.2">
      <c r="A531" s="20" t="s">
        <v>426</v>
      </c>
      <c r="B531" s="20" t="s">
        <v>167</v>
      </c>
      <c r="C531" s="20" t="s">
        <v>42</v>
      </c>
      <c r="D531" s="18" t="s">
        <v>1308</v>
      </c>
      <c r="E531" s="20" t="s">
        <v>24</v>
      </c>
      <c r="F531" s="20">
        <v>1</v>
      </c>
      <c r="G531" s="20" t="s">
        <v>572</v>
      </c>
      <c r="H531" s="20" t="s">
        <v>19</v>
      </c>
      <c r="I531" s="20" t="s">
        <v>133</v>
      </c>
      <c r="J531" s="19" t="s">
        <v>1310</v>
      </c>
      <c r="K531" s="20" t="s">
        <v>21</v>
      </c>
      <c r="L531" s="20" t="s">
        <v>44</v>
      </c>
      <c r="M531" s="20" t="s">
        <v>143</v>
      </c>
      <c r="N531" s="21">
        <v>530</v>
      </c>
      <c r="O531" s="29">
        <v>45765</v>
      </c>
      <c r="P531" s="29">
        <v>45770</v>
      </c>
      <c r="Q531" s="29">
        <v>45776</v>
      </c>
      <c r="R531" s="29">
        <v>45779</v>
      </c>
      <c r="S531" s="23">
        <f t="shared" si="33"/>
        <v>108</v>
      </c>
      <c r="T531" s="23">
        <f t="shared" si="34"/>
        <v>113</v>
      </c>
      <c r="U531" s="23">
        <f t="shared" si="35"/>
        <v>119</v>
      </c>
      <c r="V531" s="23">
        <f t="shared" si="36"/>
        <v>122</v>
      </c>
      <c r="W531" s="20" t="s">
        <v>19</v>
      </c>
      <c r="X531" s="20" t="s">
        <v>133</v>
      </c>
      <c r="Y531" s="20" t="s">
        <v>21</v>
      </c>
      <c r="Z531" s="20" t="s">
        <v>44</v>
      </c>
      <c r="AA531" s="20" t="s">
        <v>426</v>
      </c>
      <c r="AB531" s="20" t="s">
        <v>167</v>
      </c>
      <c r="AC531" s="20" t="s">
        <v>42</v>
      </c>
      <c r="AD531" s="20"/>
      <c r="AE531" s="2">
        <v>0</v>
      </c>
      <c r="AF531" s="2"/>
    </row>
    <row r="532" spans="1:32" x14ac:dyDescent="0.2">
      <c r="A532" s="20" t="s">
        <v>426</v>
      </c>
      <c r="B532" s="20" t="s">
        <v>167</v>
      </c>
      <c r="C532" s="20" t="s">
        <v>42</v>
      </c>
      <c r="D532" s="18" t="s">
        <v>1308</v>
      </c>
      <c r="E532" s="20" t="s">
        <v>17</v>
      </c>
      <c r="F532" s="20">
        <v>2</v>
      </c>
      <c r="G532" s="20" t="s">
        <v>573</v>
      </c>
      <c r="H532" s="20" t="s">
        <v>19</v>
      </c>
      <c r="I532" s="20" t="s">
        <v>133</v>
      </c>
      <c r="J532" s="19" t="s">
        <v>1311</v>
      </c>
      <c r="K532" s="20" t="s">
        <v>21</v>
      </c>
      <c r="L532" s="20" t="s">
        <v>44</v>
      </c>
      <c r="M532" s="20" t="s">
        <v>143</v>
      </c>
      <c r="N532" s="21">
        <v>531</v>
      </c>
      <c r="O532" s="29">
        <v>45765</v>
      </c>
      <c r="P532" s="29">
        <v>45776</v>
      </c>
      <c r="Q532" s="29">
        <v>45779</v>
      </c>
      <c r="R532" s="29">
        <v>45783</v>
      </c>
      <c r="S532" s="23">
        <f t="shared" si="33"/>
        <v>108</v>
      </c>
      <c r="T532" s="23">
        <f t="shared" si="34"/>
        <v>119</v>
      </c>
      <c r="U532" s="23">
        <f t="shared" si="35"/>
        <v>122</v>
      </c>
      <c r="V532" s="23">
        <f t="shared" si="36"/>
        <v>126</v>
      </c>
      <c r="W532" s="20" t="s">
        <v>19</v>
      </c>
      <c r="X532" s="20" t="s">
        <v>133</v>
      </c>
      <c r="Y532" s="20" t="s">
        <v>21</v>
      </c>
      <c r="Z532" s="20" t="s">
        <v>44</v>
      </c>
      <c r="AA532" s="20" t="s">
        <v>426</v>
      </c>
      <c r="AB532" s="20" t="s">
        <v>167</v>
      </c>
      <c r="AC532" s="20" t="s">
        <v>42</v>
      </c>
      <c r="AD532" s="20"/>
      <c r="AE532" s="2">
        <v>0</v>
      </c>
      <c r="AF532" s="2"/>
    </row>
    <row r="533" spans="1:32" x14ac:dyDescent="0.2">
      <c r="A533" s="20" t="s">
        <v>426</v>
      </c>
      <c r="B533" s="20" t="s">
        <v>167</v>
      </c>
      <c r="C533" s="20" t="s">
        <v>42</v>
      </c>
      <c r="D533" s="18" t="s">
        <v>1308</v>
      </c>
      <c r="E533" s="20" t="s">
        <v>24</v>
      </c>
      <c r="F533" s="20">
        <v>2</v>
      </c>
      <c r="G533" s="20" t="s">
        <v>574</v>
      </c>
      <c r="H533" s="20" t="s">
        <v>19</v>
      </c>
      <c r="I533" s="20" t="s">
        <v>133</v>
      </c>
      <c r="J533" s="19" t="s">
        <v>1312</v>
      </c>
      <c r="K533" s="20" t="s">
        <v>21</v>
      </c>
      <c r="L533" s="20" t="s">
        <v>44</v>
      </c>
      <c r="M533" s="20" t="s">
        <v>143</v>
      </c>
      <c r="N533" s="21">
        <v>532</v>
      </c>
      <c r="O533" s="29">
        <v>45772</v>
      </c>
      <c r="P533" s="2"/>
      <c r="Q533" s="29">
        <v>45779</v>
      </c>
      <c r="R533" s="29">
        <v>45783</v>
      </c>
      <c r="S533" s="23">
        <f t="shared" si="33"/>
        <v>115</v>
      </c>
      <c r="T533" s="23">
        <f>(U533+S533)/2</f>
        <v>118.5</v>
      </c>
      <c r="U533" s="23">
        <f t="shared" si="35"/>
        <v>122</v>
      </c>
      <c r="V533" s="23">
        <f t="shared" si="36"/>
        <v>126</v>
      </c>
      <c r="W533" s="20" t="s">
        <v>19</v>
      </c>
      <c r="X533" s="20" t="s">
        <v>133</v>
      </c>
      <c r="Y533" s="20" t="s">
        <v>21</v>
      </c>
      <c r="Z533" s="20" t="s">
        <v>44</v>
      </c>
      <c r="AA533" s="20" t="s">
        <v>426</v>
      </c>
      <c r="AB533" s="20" t="s">
        <v>167</v>
      </c>
      <c r="AC533" s="20" t="s">
        <v>42</v>
      </c>
      <c r="AD533" s="20"/>
      <c r="AE533" s="2">
        <v>0</v>
      </c>
      <c r="AF533" s="2"/>
    </row>
    <row r="534" spans="1:32" x14ac:dyDescent="0.2">
      <c r="A534" s="20" t="s">
        <v>426</v>
      </c>
      <c r="B534" s="20" t="s">
        <v>167</v>
      </c>
      <c r="C534" s="20" t="s">
        <v>42</v>
      </c>
      <c r="D534" s="18" t="s">
        <v>1308</v>
      </c>
      <c r="E534" s="20" t="s">
        <v>17</v>
      </c>
      <c r="F534" s="20">
        <v>3</v>
      </c>
      <c r="G534" s="20" t="s">
        <v>575</v>
      </c>
      <c r="H534" s="20" t="s">
        <v>19</v>
      </c>
      <c r="I534" s="20" t="s">
        <v>133</v>
      </c>
      <c r="J534" s="19" t="s">
        <v>1313</v>
      </c>
      <c r="K534" s="20" t="s">
        <v>21</v>
      </c>
      <c r="L534" s="20" t="s">
        <v>44</v>
      </c>
      <c r="M534" s="20" t="s">
        <v>143</v>
      </c>
      <c r="N534" s="21">
        <v>533</v>
      </c>
      <c r="O534" s="29">
        <v>45758</v>
      </c>
      <c r="P534" s="29">
        <v>45762</v>
      </c>
      <c r="Q534" s="29">
        <v>45765</v>
      </c>
      <c r="R534" s="29">
        <v>45770</v>
      </c>
      <c r="S534" s="23">
        <f t="shared" si="33"/>
        <v>101</v>
      </c>
      <c r="T534" s="23">
        <f t="shared" si="34"/>
        <v>105</v>
      </c>
      <c r="U534" s="23">
        <f t="shared" si="35"/>
        <v>108</v>
      </c>
      <c r="V534" s="23">
        <f t="shared" si="36"/>
        <v>113</v>
      </c>
      <c r="W534" s="20" t="s">
        <v>19</v>
      </c>
      <c r="X534" s="20" t="s">
        <v>133</v>
      </c>
      <c r="Y534" s="20" t="s">
        <v>21</v>
      </c>
      <c r="Z534" s="20" t="s">
        <v>44</v>
      </c>
      <c r="AA534" s="20" t="s">
        <v>426</v>
      </c>
      <c r="AB534" s="20" t="s">
        <v>167</v>
      </c>
      <c r="AC534" s="20" t="s">
        <v>42</v>
      </c>
      <c r="AD534" s="20"/>
      <c r="AE534" s="2">
        <v>0</v>
      </c>
      <c r="AF534" s="2"/>
    </row>
    <row r="535" spans="1:32" x14ac:dyDescent="0.2">
      <c r="A535" s="20" t="s">
        <v>426</v>
      </c>
      <c r="B535" s="20" t="s">
        <v>167</v>
      </c>
      <c r="C535" s="20" t="s">
        <v>42</v>
      </c>
      <c r="D535" s="18" t="s">
        <v>1308</v>
      </c>
      <c r="E535" s="20" t="s">
        <v>24</v>
      </c>
      <c r="F535" s="20">
        <v>3</v>
      </c>
      <c r="G535" s="20" t="s">
        <v>576</v>
      </c>
      <c r="H535" s="20" t="s">
        <v>19</v>
      </c>
      <c r="I535" s="20" t="s">
        <v>133</v>
      </c>
      <c r="J535" s="19" t="s">
        <v>1314</v>
      </c>
      <c r="K535" s="20" t="s">
        <v>21</v>
      </c>
      <c r="L535" s="20" t="s">
        <v>44</v>
      </c>
      <c r="M535" s="20" t="s">
        <v>143</v>
      </c>
      <c r="N535" s="21">
        <v>534</v>
      </c>
      <c r="O535" s="29">
        <v>45762</v>
      </c>
      <c r="P535" s="29">
        <v>45770</v>
      </c>
      <c r="Q535" s="29">
        <v>45772</v>
      </c>
      <c r="R535" s="29">
        <v>45779</v>
      </c>
      <c r="S535" s="23">
        <f t="shared" si="33"/>
        <v>105</v>
      </c>
      <c r="T535" s="23">
        <f t="shared" si="34"/>
        <v>113</v>
      </c>
      <c r="U535" s="23">
        <f t="shared" si="35"/>
        <v>115</v>
      </c>
      <c r="V535" s="23">
        <f t="shared" si="36"/>
        <v>122</v>
      </c>
      <c r="W535" s="20" t="s">
        <v>19</v>
      </c>
      <c r="X535" s="20" t="s">
        <v>133</v>
      </c>
      <c r="Y535" s="20" t="s">
        <v>21</v>
      </c>
      <c r="Z535" s="20" t="s">
        <v>44</v>
      </c>
      <c r="AA535" s="20" t="s">
        <v>426</v>
      </c>
      <c r="AB535" s="20" t="s">
        <v>167</v>
      </c>
      <c r="AC535" s="20" t="s">
        <v>42</v>
      </c>
      <c r="AD535" s="20"/>
      <c r="AE535" s="2">
        <v>0</v>
      </c>
      <c r="AF535" s="2"/>
    </row>
    <row r="536" spans="1:32" x14ac:dyDescent="0.2">
      <c r="A536" s="20" t="s">
        <v>426</v>
      </c>
      <c r="B536" s="20" t="s">
        <v>167</v>
      </c>
      <c r="C536" s="20" t="s">
        <v>42</v>
      </c>
      <c r="D536" s="18" t="s">
        <v>1308</v>
      </c>
      <c r="E536" s="20" t="s">
        <v>17</v>
      </c>
      <c r="F536" s="20">
        <v>4</v>
      </c>
      <c r="G536" s="20" t="s">
        <v>577</v>
      </c>
      <c r="H536" s="20" t="s">
        <v>19</v>
      </c>
      <c r="I536" s="20" t="s">
        <v>133</v>
      </c>
      <c r="J536" s="19" t="s">
        <v>1315</v>
      </c>
      <c r="K536" s="20" t="s">
        <v>21</v>
      </c>
      <c r="L536" s="20" t="s">
        <v>44</v>
      </c>
      <c r="M536" s="20" t="s">
        <v>143</v>
      </c>
      <c r="N536" s="21">
        <v>535</v>
      </c>
      <c r="O536" s="29">
        <v>45762</v>
      </c>
      <c r="P536" s="29">
        <v>45770</v>
      </c>
      <c r="Q536" s="29">
        <v>45772</v>
      </c>
      <c r="R536" s="29">
        <v>45779</v>
      </c>
      <c r="S536" s="23">
        <f t="shared" si="33"/>
        <v>105</v>
      </c>
      <c r="T536" s="23">
        <f t="shared" si="34"/>
        <v>113</v>
      </c>
      <c r="U536" s="23">
        <f t="shared" si="35"/>
        <v>115</v>
      </c>
      <c r="V536" s="23">
        <f t="shared" si="36"/>
        <v>122</v>
      </c>
      <c r="W536" s="20" t="s">
        <v>19</v>
      </c>
      <c r="X536" s="20" t="s">
        <v>133</v>
      </c>
      <c r="Y536" s="20" t="s">
        <v>21</v>
      </c>
      <c r="Z536" s="20" t="s">
        <v>44</v>
      </c>
      <c r="AA536" s="20" t="s">
        <v>426</v>
      </c>
      <c r="AB536" s="20" t="s">
        <v>167</v>
      </c>
      <c r="AC536" s="20" t="s">
        <v>42</v>
      </c>
      <c r="AD536" s="20"/>
      <c r="AE536" s="2">
        <v>0</v>
      </c>
      <c r="AF536" s="2"/>
    </row>
    <row r="537" spans="1:32" x14ac:dyDescent="0.2">
      <c r="A537" s="20" t="s">
        <v>426</v>
      </c>
      <c r="B537" s="20" t="s">
        <v>167</v>
      </c>
      <c r="C537" s="20" t="s">
        <v>42</v>
      </c>
      <c r="D537" s="18" t="s">
        <v>1308</v>
      </c>
      <c r="E537" s="20" t="s">
        <v>24</v>
      </c>
      <c r="F537" s="20">
        <v>4</v>
      </c>
      <c r="G537" s="20" t="s">
        <v>578</v>
      </c>
      <c r="H537" s="20" t="s">
        <v>19</v>
      </c>
      <c r="I537" s="20" t="s">
        <v>133</v>
      </c>
      <c r="J537" s="19" t="s">
        <v>1316</v>
      </c>
      <c r="K537" s="20" t="s">
        <v>21</v>
      </c>
      <c r="L537" s="20" t="s">
        <v>44</v>
      </c>
      <c r="M537" s="20" t="s">
        <v>143</v>
      </c>
      <c r="N537" s="21">
        <v>536</v>
      </c>
      <c r="O537" s="29">
        <v>45762</v>
      </c>
      <c r="P537" s="29">
        <v>45770</v>
      </c>
      <c r="Q537" s="29">
        <v>45772</v>
      </c>
      <c r="R537" s="29">
        <v>45779</v>
      </c>
      <c r="S537" s="23">
        <f t="shared" si="33"/>
        <v>105</v>
      </c>
      <c r="T537" s="23">
        <f t="shared" si="34"/>
        <v>113</v>
      </c>
      <c r="U537" s="23">
        <f t="shared" si="35"/>
        <v>115</v>
      </c>
      <c r="V537" s="23">
        <f t="shared" si="36"/>
        <v>122</v>
      </c>
      <c r="W537" s="20" t="s">
        <v>19</v>
      </c>
      <c r="X537" s="20" t="s">
        <v>133</v>
      </c>
      <c r="Y537" s="20" t="s">
        <v>21</v>
      </c>
      <c r="Z537" s="20" t="s">
        <v>44</v>
      </c>
      <c r="AA537" s="20" t="s">
        <v>426</v>
      </c>
      <c r="AB537" s="20" t="s">
        <v>167</v>
      </c>
      <c r="AC537" s="20" t="s">
        <v>42</v>
      </c>
      <c r="AD537" s="20"/>
      <c r="AE537" s="2">
        <v>0</v>
      </c>
      <c r="AF537" s="2"/>
    </row>
    <row r="538" spans="1:32" x14ac:dyDescent="0.2">
      <c r="A538" s="14" t="s">
        <v>426</v>
      </c>
      <c r="B538" s="14" t="s">
        <v>167</v>
      </c>
      <c r="C538" s="14" t="s">
        <v>53</v>
      </c>
      <c r="D538" s="14" t="s">
        <v>1317</v>
      </c>
      <c r="E538" s="14" t="s">
        <v>17</v>
      </c>
      <c r="F538" s="14">
        <v>1</v>
      </c>
      <c r="G538" s="14" t="s">
        <v>579</v>
      </c>
      <c r="H538" s="14" t="s">
        <v>35</v>
      </c>
      <c r="I538" s="14" t="s">
        <v>133</v>
      </c>
      <c r="J538" s="13" t="s">
        <v>1318</v>
      </c>
      <c r="K538" s="14" t="s">
        <v>21</v>
      </c>
      <c r="L538" s="14" t="s">
        <v>44</v>
      </c>
      <c r="M538" s="14" t="s">
        <v>143</v>
      </c>
      <c r="N538" s="13">
        <v>537</v>
      </c>
      <c r="O538" s="30">
        <v>45762</v>
      </c>
      <c r="P538" s="30">
        <v>45776</v>
      </c>
      <c r="Q538" s="30">
        <v>45779</v>
      </c>
      <c r="R538" s="30">
        <v>45783</v>
      </c>
      <c r="S538" s="23">
        <f t="shared" si="33"/>
        <v>105</v>
      </c>
      <c r="T538" s="23">
        <f t="shared" si="34"/>
        <v>119</v>
      </c>
      <c r="U538" s="23">
        <f t="shared" si="35"/>
        <v>122</v>
      </c>
      <c r="V538" s="23">
        <f t="shared" si="36"/>
        <v>126</v>
      </c>
      <c r="W538" s="14" t="s">
        <v>35</v>
      </c>
      <c r="X538" s="14" t="s">
        <v>133</v>
      </c>
      <c r="Y538" s="14" t="s">
        <v>21</v>
      </c>
      <c r="Z538" s="14" t="s">
        <v>44</v>
      </c>
      <c r="AA538" s="14" t="s">
        <v>426</v>
      </c>
      <c r="AB538" s="14" t="s">
        <v>167</v>
      </c>
      <c r="AC538" s="14" t="s">
        <v>53</v>
      </c>
      <c r="AD538" s="14"/>
      <c r="AE538" s="1">
        <v>0</v>
      </c>
      <c r="AF538" s="1"/>
    </row>
    <row r="539" spans="1:32" x14ac:dyDescent="0.2">
      <c r="A539" s="14" t="s">
        <v>426</v>
      </c>
      <c r="B539" s="14" t="s">
        <v>167</v>
      </c>
      <c r="C539" s="14" t="s">
        <v>53</v>
      </c>
      <c r="D539" s="14" t="s">
        <v>1317</v>
      </c>
      <c r="E539" s="14" t="s">
        <v>24</v>
      </c>
      <c r="F539" s="14">
        <v>1</v>
      </c>
      <c r="G539" s="14" t="s">
        <v>580</v>
      </c>
      <c r="H539" s="14" t="s">
        <v>35</v>
      </c>
      <c r="I539" s="14" t="s">
        <v>133</v>
      </c>
      <c r="J539" s="13" t="s">
        <v>1319</v>
      </c>
      <c r="K539" s="14" t="s">
        <v>21</v>
      </c>
      <c r="L539" s="14" t="s">
        <v>44</v>
      </c>
      <c r="M539" s="14" t="s">
        <v>143</v>
      </c>
      <c r="N539" s="13">
        <v>538</v>
      </c>
      <c r="O539" s="30">
        <v>45779</v>
      </c>
      <c r="P539" s="30">
        <v>45783</v>
      </c>
      <c r="Q539" s="30">
        <v>45790</v>
      </c>
      <c r="R539" s="30">
        <v>45793</v>
      </c>
      <c r="S539" s="23">
        <f t="shared" si="33"/>
        <v>122</v>
      </c>
      <c r="T539" s="23">
        <f t="shared" si="34"/>
        <v>126</v>
      </c>
      <c r="U539" s="23">
        <f t="shared" si="35"/>
        <v>133</v>
      </c>
      <c r="V539" s="23">
        <f t="shared" si="36"/>
        <v>136</v>
      </c>
      <c r="W539" s="14" t="s">
        <v>35</v>
      </c>
      <c r="X539" s="14" t="s">
        <v>133</v>
      </c>
      <c r="Y539" s="14" t="s">
        <v>21</v>
      </c>
      <c r="Z539" s="14" t="s">
        <v>44</v>
      </c>
      <c r="AA539" s="14" t="s">
        <v>426</v>
      </c>
      <c r="AB539" s="14" t="s">
        <v>167</v>
      </c>
      <c r="AC539" s="14" t="s">
        <v>53</v>
      </c>
      <c r="AD539" s="14"/>
      <c r="AE539" s="1">
        <v>0</v>
      </c>
      <c r="AF539" s="1"/>
    </row>
    <row r="540" spans="1:32" x14ac:dyDescent="0.2">
      <c r="A540" s="14" t="s">
        <v>426</v>
      </c>
      <c r="B540" s="14" t="s">
        <v>167</v>
      </c>
      <c r="C540" s="14" t="s">
        <v>53</v>
      </c>
      <c r="D540" s="14" t="s">
        <v>1317</v>
      </c>
      <c r="E540" s="14" t="s">
        <v>17</v>
      </c>
      <c r="F540" s="14">
        <v>2</v>
      </c>
      <c r="G540" s="14" t="s">
        <v>581</v>
      </c>
      <c r="H540" s="14" t="s">
        <v>35</v>
      </c>
      <c r="I540" s="14" t="s">
        <v>133</v>
      </c>
      <c r="J540" s="13" t="s">
        <v>1320</v>
      </c>
      <c r="K540" s="14" t="s">
        <v>21</v>
      </c>
      <c r="L540" s="14" t="s">
        <v>44</v>
      </c>
      <c r="M540" s="14" t="s">
        <v>143</v>
      </c>
      <c r="N540" s="13">
        <v>539</v>
      </c>
      <c r="O540" s="30">
        <v>45776</v>
      </c>
      <c r="P540" s="30">
        <v>45783</v>
      </c>
      <c r="Q540" s="30">
        <v>45790</v>
      </c>
      <c r="R540" s="30">
        <v>45793</v>
      </c>
      <c r="S540" s="23">
        <f t="shared" si="33"/>
        <v>119</v>
      </c>
      <c r="T540" s="23">
        <f t="shared" si="34"/>
        <v>126</v>
      </c>
      <c r="U540" s="23">
        <f t="shared" si="35"/>
        <v>133</v>
      </c>
      <c r="V540" s="23">
        <f t="shared" si="36"/>
        <v>136</v>
      </c>
      <c r="W540" s="14" t="s">
        <v>35</v>
      </c>
      <c r="X540" s="14" t="s">
        <v>133</v>
      </c>
      <c r="Y540" s="14" t="s">
        <v>21</v>
      </c>
      <c r="Z540" s="14" t="s">
        <v>44</v>
      </c>
      <c r="AA540" s="14" t="s">
        <v>426</v>
      </c>
      <c r="AB540" s="14" t="s">
        <v>167</v>
      </c>
      <c r="AC540" s="14" t="s">
        <v>53</v>
      </c>
      <c r="AD540" s="14"/>
      <c r="AE540" s="1">
        <v>0</v>
      </c>
      <c r="AF540" s="1"/>
    </row>
    <row r="541" spans="1:32" x14ac:dyDescent="0.2">
      <c r="A541" s="14" t="s">
        <v>426</v>
      </c>
      <c r="B541" s="14" t="s">
        <v>167</v>
      </c>
      <c r="C541" s="14" t="s">
        <v>53</v>
      </c>
      <c r="D541" s="14" t="s">
        <v>1317</v>
      </c>
      <c r="E541" s="14" t="s">
        <v>24</v>
      </c>
      <c r="F541" s="14">
        <v>2</v>
      </c>
      <c r="G541" s="14" t="s">
        <v>582</v>
      </c>
      <c r="H541" s="14" t="s">
        <v>35</v>
      </c>
      <c r="I541" s="14" t="s">
        <v>133</v>
      </c>
      <c r="J541" s="13" t="s">
        <v>1321</v>
      </c>
      <c r="K541" s="14" t="s">
        <v>21</v>
      </c>
      <c r="L541" s="14" t="s">
        <v>44</v>
      </c>
      <c r="M541" s="14" t="s">
        <v>143</v>
      </c>
      <c r="N541" s="13">
        <v>540</v>
      </c>
      <c r="O541" s="30">
        <v>45762</v>
      </c>
      <c r="P541" s="30">
        <v>45776</v>
      </c>
      <c r="Q541" s="30">
        <v>45779</v>
      </c>
      <c r="R541" s="30">
        <v>45783</v>
      </c>
      <c r="S541" s="23">
        <f t="shared" si="33"/>
        <v>105</v>
      </c>
      <c r="T541" s="23">
        <f t="shared" si="34"/>
        <v>119</v>
      </c>
      <c r="U541" s="23">
        <f t="shared" si="35"/>
        <v>122</v>
      </c>
      <c r="V541" s="23">
        <f t="shared" si="36"/>
        <v>126</v>
      </c>
      <c r="W541" s="14" t="s">
        <v>35</v>
      </c>
      <c r="X541" s="14" t="s">
        <v>133</v>
      </c>
      <c r="Y541" s="14" t="s">
        <v>21</v>
      </c>
      <c r="Z541" s="14" t="s">
        <v>44</v>
      </c>
      <c r="AA541" s="14" t="s">
        <v>426</v>
      </c>
      <c r="AB541" s="14" t="s">
        <v>167</v>
      </c>
      <c r="AC541" s="14" t="s">
        <v>53</v>
      </c>
      <c r="AD541" s="14"/>
      <c r="AE541" s="1">
        <v>0</v>
      </c>
      <c r="AF541" s="1"/>
    </row>
    <row r="542" spans="1:32" x14ac:dyDescent="0.2">
      <c r="A542" s="14" t="s">
        <v>426</v>
      </c>
      <c r="B542" s="14" t="s">
        <v>167</v>
      </c>
      <c r="C542" s="14" t="s">
        <v>53</v>
      </c>
      <c r="D542" s="14" t="s">
        <v>1317</v>
      </c>
      <c r="E542" s="14" t="s">
        <v>17</v>
      </c>
      <c r="F542" s="14">
        <v>3</v>
      </c>
      <c r="G542" s="14" t="s">
        <v>583</v>
      </c>
      <c r="H542" s="14" t="s">
        <v>35</v>
      </c>
      <c r="I542" s="14" t="s">
        <v>133</v>
      </c>
      <c r="J542" s="13" t="s">
        <v>1322</v>
      </c>
      <c r="K542" s="14" t="s">
        <v>21</v>
      </c>
      <c r="L542" s="14" t="s">
        <v>44</v>
      </c>
      <c r="M542" s="14" t="s">
        <v>143</v>
      </c>
      <c r="N542" s="13">
        <v>541</v>
      </c>
      <c r="O542" s="30">
        <v>45765</v>
      </c>
      <c r="P542" s="30">
        <v>45772</v>
      </c>
      <c r="Q542" s="30">
        <v>45779</v>
      </c>
      <c r="R542" s="30">
        <v>45783</v>
      </c>
      <c r="S542" s="23">
        <f t="shared" si="33"/>
        <v>108</v>
      </c>
      <c r="T542" s="23">
        <f t="shared" si="34"/>
        <v>115</v>
      </c>
      <c r="U542" s="23">
        <f t="shared" si="35"/>
        <v>122</v>
      </c>
      <c r="V542" s="23">
        <f t="shared" si="36"/>
        <v>126</v>
      </c>
      <c r="W542" s="14" t="s">
        <v>35</v>
      </c>
      <c r="X542" s="14" t="s">
        <v>133</v>
      </c>
      <c r="Y542" s="14" t="s">
        <v>21</v>
      </c>
      <c r="Z542" s="14" t="s">
        <v>44</v>
      </c>
      <c r="AA542" s="14" t="s">
        <v>426</v>
      </c>
      <c r="AB542" s="14" t="s">
        <v>167</v>
      </c>
      <c r="AC542" s="14" t="s">
        <v>53</v>
      </c>
      <c r="AD542" s="14"/>
      <c r="AE542" s="1">
        <v>0</v>
      </c>
      <c r="AF542" s="1"/>
    </row>
    <row r="543" spans="1:32" x14ac:dyDescent="0.2">
      <c r="A543" s="14" t="s">
        <v>426</v>
      </c>
      <c r="B543" s="14" t="s">
        <v>167</v>
      </c>
      <c r="C543" s="14" t="s">
        <v>53</v>
      </c>
      <c r="D543" s="14" t="s">
        <v>1317</v>
      </c>
      <c r="E543" s="14" t="s">
        <v>24</v>
      </c>
      <c r="F543" s="14">
        <v>3</v>
      </c>
      <c r="G543" s="14" t="s">
        <v>584</v>
      </c>
      <c r="H543" s="14" t="s">
        <v>35</v>
      </c>
      <c r="I543" s="14" t="s">
        <v>133</v>
      </c>
      <c r="J543" s="13" t="s">
        <v>1323</v>
      </c>
      <c r="K543" s="14" t="s">
        <v>21</v>
      </c>
      <c r="L543" s="14" t="s">
        <v>44</v>
      </c>
      <c r="M543" s="14" t="s">
        <v>143</v>
      </c>
      <c r="N543" s="13">
        <v>542</v>
      </c>
      <c r="O543" s="30">
        <v>45748</v>
      </c>
      <c r="P543" s="30">
        <v>45762</v>
      </c>
      <c r="Q543" s="30">
        <v>45765</v>
      </c>
      <c r="R543" s="30">
        <v>45776</v>
      </c>
      <c r="S543" s="23">
        <f t="shared" si="33"/>
        <v>91</v>
      </c>
      <c r="T543" s="23">
        <f t="shared" si="34"/>
        <v>105</v>
      </c>
      <c r="U543" s="23">
        <f t="shared" si="35"/>
        <v>108</v>
      </c>
      <c r="V543" s="23">
        <f t="shared" si="36"/>
        <v>119</v>
      </c>
      <c r="W543" s="14" t="s">
        <v>35</v>
      </c>
      <c r="X543" s="14" t="s">
        <v>133</v>
      </c>
      <c r="Y543" s="14" t="s">
        <v>21</v>
      </c>
      <c r="Z543" s="14" t="s">
        <v>44</v>
      </c>
      <c r="AA543" s="14" t="s">
        <v>426</v>
      </c>
      <c r="AB543" s="14" t="s">
        <v>167</v>
      </c>
      <c r="AC543" s="14" t="s">
        <v>53</v>
      </c>
      <c r="AD543" s="14"/>
      <c r="AE543" s="1">
        <v>0</v>
      </c>
      <c r="AF543" s="1"/>
    </row>
    <row r="544" spans="1:32" x14ac:dyDescent="0.2">
      <c r="A544" s="14" t="s">
        <v>426</v>
      </c>
      <c r="B544" s="14" t="s">
        <v>167</v>
      </c>
      <c r="C544" s="14" t="s">
        <v>53</v>
      </c>
      <c r="D544" s="14" t="s">
        <v>1317</v>
      </c>
      <c r="E544" s="14" t="s">
        <v>17</v>
      </c>
      <c r="F544" s="14">
        <v>4</v>
      </c>
      <c r="G544" s="14" t="s">
        <v>585</v>
      </c>
      <c r="H544" s="14" t="s">
        <v>35</v>
      </c>
      <c r="I544" s="14" t="s">
        <v>133</v>
      </c>
      <c r="J544" s="13" t="s">
        <v>1324</v>
      </c>
      <c r="K544" s="14" t="s">
        <v>21</v>
      </c>
      <c r="L544" s="14" t="s">
        <v>44</v>
      </c>
      <c r="M544" s="14" t="s">
        <v>143</v>
      </c>
      <c r="N544" s="13">
        <v>543</v>
      </c>
      <c r="O544" s="30">
        <v>45770</v>
      </c>
      <c r="P544" s="30">
        <v>45779</v>
      </c>
      <c r="Q544" s="30">
        <v>45783</v>
      </c>
      <c r="R544" s="30">
        <v>45790</v>
      </c>
      <c r="S544" s="23">
        <f t="shared" si="33"/>
        <v>113</v>
      </c>
      <c r="T544" s="23">
        <f t="shared" si="34"/>
        <v>122</v>
      </c>
      <c r="U544" s="23">
        <f t="shared" si="35"/>
        <v>126</v>
      </c>
      <c r="V544" s="23">
        <f t="shared" si="36"/>
        <v>133</v>
      </c>
      <c r="W544" s="14" t="s">
        <v>35</v>
      </c>
      <c r="X544" s="14" t="s">
        <v>133</v>
      </c>
      <c r="Y544" s="14" t="s">
        <v>21</v>
      </c>
      <c r="Z544" s="14" t="s">
        <v>44</v>
      </c>
      <c r="AA544" s="14" t="s">
        <v>426</v>
      </c>
      <c r="AB544" s="14" t="s">
        <v>167</v>
      </c>
      <c r="AC544" s="14" t="s">
        <v>53</v>
      </c>
      <c r="AD544" s="14"/>
      <c r="AE544" s="1">
        <v>0</v>
      </c>
      <c r="AF544" s="1"/>
    </row>
    <row r="545" spans="1:32" x14ac:dyDescent="0.2">
      <c r="A545" s="14" t="s">
        <v>426</v>
      </c>
      <c r="B545" s="14" t="s">
        <v>167</v>
      </c>
      <c r="C545" s="14" t="s">
        <v>53</v>
      </c>
      <c r="D545" s="14" t="s">
        <v>1317</v>
      </c>
      <c r="E545" s="14" t="s">
        <v>24</v>
      </c>
      <c r="F545" s="14">
        <v>4</v>
      </c>
      <c r="G545" s="14" t="s">
        <v>584</v>
      </c>
      <c r="H545" s="14" t="s">
        <v>35</v>
      </c>
      <c r="I545" s="14" t="s">
        <v>133</v>
      </c>
      <c r="J545" s="13" t="s">
        <v>1325</v>
      </c>
      <c r="K545" s="14" t="s">
        <v>21</v>
      </c>
      <c r="L545" s="14" t="s">
        <v>44</v>
      </c>
      <c r="M545" s="14" t="s">
        <v>143</v>
      </c>
      <c r="N545" s="13">
        <v>544</v>
      </c>
      <c r="O545" s="30">
        <v>45762</v>
      </c>
      <c r="P545" s="30">
        <v>45772</v>
      </c>
      <c r="Q545" s="30">
        <v>45779</v>
      </c>
      <c r="R545" s="30">
        <v>45783</v>
      </c>
      <c r="S545" s="23">
        <f t="shared" si="33"/>
        <v>105</v>
      </c>
      <c r="T545" s="23">
        <f t="shared" si="34"/>
        <v>115</v>
      </c>
      <c r="U545" s="23">
        <f t="shared" si="35"/>
        <v>122</v>
      </c>
      <c r="V545" s="23">
        <f t="shared" si="36"/>
        <v>126</v>
      </c>
      <c r="W545" s="14" t="s">
        <v>35</v>
      </c>
      <c r="X545" s="14" t="s">
        <v>133</v>
      </c>
      <c r="Y545" s="14" t="s">
        <v>21</v>
      </c>
      <c r="Z545" s="14" t="s">
        <v>44</v>
      </c>
      <c r="AA545" s="14" t="s">
        <v>426</v>
      </c>
      <c r="AB545" s="14" t="s">
        <v>167</v>
      </c>
      <c r="AC545" s="14" t="s">
        <v>53</v>
      </c>
      <c r="AD545" s="14"/>
      <c r="AE545" s="1">
        <v>0</v>
      </c>
      <c r="AF545" s="1"/>
    </row>
    <row r="546" spans="1:32" x14ac:dyDescent="0.2">
      <c r="A546" s="20" t="s">
        <v>426</v>
      </c>
      <c r="B546" s="20" t="s">
        <v>200</v>
      </c>
      <c r="C546" s="20" t="s">
        <v>16</v>
      </c>
      <c r="D546" s="18" t="s">
        <v>1326</v>
      </c>
      <c r="E546" s="20" t="s">
        <v>17</v>
      </c>
      <c r="F546" s="20">
        <v>1</v>
      </c>
      <c r="G546" s="20" t="s">
        <v>586</v>
      </c>
      <c r="H546" s="20" t="s">
        <v>19</v>
      </c>
      <c r="I546" s="20" t="s">
        <v>133</v>
      </c>
      <c r="J546" s="19" t="s">
        <v>1327</v>
      </c>
      <c r="K546" s="20" t="s">
        <v>21</v>
      </c>
      <c r="L546" s="20" t="s">
        <v>22</v>
      </c>
      <c r="M546" s="20" t="s">
        <v>134</v>
      </c>
      <c r="N546" s="21">
        <v>545</v>
      </c>
      <c r="O546" s="29">
        <v>45762</v>
      </c>
      <c r="P546" s="29">
        <v>45770</v>
      </c>
      <c r="Q546" s="29">
        <v>45776</v>
      </c>
      <c r="R546" s="29">
        <v>45779</v>
      </c>
      <c r="S546" s="23">
        <f t="shared" si="33"/>
        <v>105</v>
      </c>
      <c r="T546" s="23">
        <f t="shared" si="34"/>
        <v>113</v>
      </c>
      <c r="U546" s="23">
        <f t="shared" si="35"/>
        <v>119</v>
      </c>
      <c r="V546" s="23">
        <f t="shared" si="36"/>
        <v>122</v>
      </c>
      <c r="W546" s="20" t="s">
        <v>19</v>
      </c>
      <c r="X546" s="20" t="s">
        <v>133</v>
      </c>
      <c r="Y546" s="20" t="s">
        <v>21</v>
      </c>
      <c r="Z546" s="20" t="s">
        <v>22</v>
      </c>
      <c r="AA546" s="20" t="s">
        <v>426</v>
      </c>
      <c r="AB546" s="20" t="s">
        <v>200</v>
      </c>
      <c r="AC546" s="20" t="s">
        <v>16</v>
      </c>
      <c r="AD546" s="20"/>
      <c r="AE546" s="2">
        <v>0</v>
      </c>
      <c r="AF546" s="2"/>
    </row>
    <row r="547" spans="1:32" x14ac:dyDescent="0.2">
      <c r="A547" s="20" t="s">
        <v>426</v>
      </c>
      <c r="B547" s="20" t="s">
        <v>200</v>
      </c>
      <c r="C547" s="20" t="s">
        <v>16</v>
      </c>
      <c r="D547" s="18" t="s">
        <v>1326</v>
      </c>
      <c r="E547" s="20" t="s">
        <v>24</v>
      </c>
      <c r="F547" s="20">
        <v>1</v>
      </c>
      <c r="G547" s="20" t="s">
        <v>587</v>
      </c>
      <c r="H547" s="20" t="s">
        <v>35</v>
      </c>
      <c r="I547" s="20" t="s">
        <v>133</v>
      </c>
      <c r="J547" s="19" t="s">
        <v>1328</v>
      </c>
      <c r="K547" s="20" t="s">
        <v>21</v>
      </c>
      <c r="L547" s="20" t="s">
        <v>22</v>
      </c>
      <c r="M547" s="20" t="s">
        <v>134</v>
      </c>
      <c r="N547" s="21">
        <v>546</v>
      </c>
      <c r="O547" s="29">
        <v>45751</v>
      </c>
      <c r="P547" s="29">
        <v>45762</v>
      </c>
      <c r="Q547" s="29">
        <v>45770</v>
      </c>
      <c r="R547" s="29">
        <v>45779</v>
      </c>
      <c r="S547" s="23">
        <f t="shared" si="33"/>
        <v>94</v>
      </c>
      <c r="T547" s="23">
        <f t="shared" si="34"/>
        <v>105</v>
      </c>
      <c r="U547" s="23">
        <f t="shared" si="35"/>
        <v>113</v>
      </c>
      <c r="V547" s="23">
        <f t="shared" si="36"/>
        <v>122</v>
      </c>
      <c r="W547" s="20" t="s">
        <v>35</v>
      </c>
      <c r="X547" s="20" t="s">
        <v>133</v>
      </c>
      <c r="Y547" s="20" t="s">
        <v>21</v>
      </c>
      <c r="Z547" s="20" t="s">
        <v>22</v>
      </c>
      <c r="AA547" s="20" t="s">
        <v>426</v>
      </c>
      <c r="AB547" s="20" t="s">
        <v>200</v>
      </c>
      <c r="AC547" s="20" t="s">
        <v>16</v>
      </c>
      <c r="AD547" s="20"/>
      <c r="AE547" s="2">
        <v>0</v>
      </c>
      <c r="AF547" s="2"/>
    </row>
    <row r="548" spans="1:32" x14ac:dyDescent="0.2">
      <c r="A548" s="20" t="s">
        <v>426</v>
      </c>
      <c r="B548" s="20" t="s">
        <v>200</v>
      </c>
      <c r="C548" s="20" t="s">
        <v>16</v>
      </c>
      <c r="D548" s="18" t="s">
        <v>1326</v>
      </c>
      <c r="E548" s="20" t="s">
        <v>17</v>
      </c>
      <c r="F548" s="20">
        <v>2</v>
      </c>
      <c r="G548" s="20" t="s">
        <v>588</v>
      </c>
      <c r="H548" s="20" t="s">
        <v>35</v>
      </c>
      <c r="I548" s="20" t="s">
        <v>133</v>
      </c>
      <c r="J548" s="19" t="s">
        <v>1329</v>
      </c>
      <c r="K548" s="20" t="s">
        <v>21</v>
      </c>
      <c r="L548" s="20" t="s">
        <v>22</v>
      </c>
      <c r="M548" s="20" t="s">
        <v>134</v>
      </c>
      <c r="N548" s="21">
        <v>547</v>
      </c>
      <c r="O548" s="29">
        <v>45755</v>
      </c>
      <c r="P548" s="29">
        <v>45762</v>
      </c>
      <c r="Q548" s="29">
        <v>45772</v>
      </c>
      <c r="R548" s="29">
        <v>45779</v>
      </c>
      <c r="S548" s="23">
        <f t="shared" si="33"/>
        <v>98</v>
      </c>
      <c r="T548" s="23">
        <f t="shared" si="34"/>
        <v>105</v>
      </c>
      <c r="U548" s="23">
        <f t="shared" si="35"/>
        <v>115</v>
      </c>
      <c r="V548" s="23">
        <f t="shared" si="36"/>
        <v>122</v>
      </c>
      <c r="W548" s="20" t="s">
        <v>35</v>
      </c>
      <c r="X548" s="20" t="s">
        <v>133</v>
      </c>
      <c r="Y548" s="20" t="s">
        <v>21</v>
      </c>
      <c r="Z548" s="20" t="s">
        <v>22</v>
      </c>
      <c r="AA548" s="20" t="s">
        <v>426</v>
      </c>
      <c r="AB548" s="20" t="s">
        <v>200</v>
      </c>
      <c r="AC548" s="20" t="s">
        <v>16</v>
      </c>
      <c r="AD548" s="20"/>
      <c r="AE548" s="2">
        <v>0</v>
      </c>
      <c r="AF548" s="2"/>
    </row>
    <row r="549" spans="1:32" x14ac:dyDescent="0.2">
      <c r="A549" s="20" t="s">
        <v>426</v>
      </c>
      <c r="B549" s="20" t="s">
        <v>200</v>
      </c>
      <c r="C549" s="20" t="s">
        <v>16</v>
      </c>
      <c r="D549" s="18" t="s">
        <v>1326</v>
      </c>
      <c r="E549" s="20" t="s">
        <v>24</v>
      </c>
      <c r="F549" s="20">
        <v>2</v>
      </c>
      <c r="G549" s="20" t="s">
        <v>589</v>
      </c>
      <c r="H549" s="20" t="s">
        <v>19</v>
      </c>
      <c r="I549" s="20" t="s">
        <v>133</v>
      </c>
      <c r="J549" s="19" t="s">
        <v>1330</v>
      </c>
      <c r="K549" s="20" t="s">
        <v>21</v>
      </c>
      <c r="L549" s="20" t="s">
        <v>22</v>
      </c>
      <c r="M549" s="20" t="s">
        <v>134</v>
      </c>
      <c r="N549" s="21">
        <v>548</v>
      </c>
      <c r="O549" s="29">
        <v>45762</v>
      </c>
      <c r="P549" s="29">
        <v>45765</v>
      </c>
      <c r="Q549" s="29">
        <v>45770</v>
      </c>
      <c r="R549" s="29">
        <v>45772</v>
      </c>
      <c r="S549" s="23">
        <f t="shared" si="33"/>
        <v>105</v>
      </c>
      <c r="T549" s="23">
        <f t="shared" si="34"/>
        <v>108</v>
      </c>
      <c r="U549" s="23">
        <f t="shared" si="35"/>
        <v>113</v>
      </c>
      <c r="V549" s="23">
        <f t="shared" si="36"/>
        <v>115</v>
      </c>
      <c r="W549" s="20" t="s">
        <v>19</v>
      </c>
      <c r="X549" s="20" t="s">
        <v>133</v>
      </c>
      <c r="Y549" s="20" t="s">
        <v>21</v>
      </c>
      <c r="Z549" s="20" t="s">
        <v>22</v>
      </c>
      <c r="AA549" s="20" t="s">
        <v>426</v>
      </c>
      <c r="AB549" s="20" t="s">
        <v>200</v>
      </c>
      <c r="AC549" s="20" t="s">
        <v>16</v>
      </c>
      <c r="AD549" s="20"/>
      <c r="AE549" s="2">
        <v>0</v>
      </c>
      <c r="AF549" s="2"/>
    </row>
    <row r="550" spans="1:32" x14ac:dyDescent="0.2">
      <c r="A550" s="20" t="s">
        <v>426</v>
      </c>
      <c r="B550" s="20" t="s">
        <v>200</v>
      </c>
      <c r="C550" s="20" t="s">
        <v>16</v>
      </c>
      <c r="D550" s="18" t="s">
        <v>1326</v>
      </c>
      <c r="E550" s="20" t="s">
        <v>17</v>
      </c>
      <c r="F550" s="20">
        <v>3</v>
      </c>
      <c r="G550" s="20" t="s">
        <v>590</v>
      </c>
      <c r="H550" s="20" t="s">
        <v>19</v>
      </c>
      <c r="I550" s="20" t="s">
        <v>133</v>
      </c>
      <c r="J550" s="19" t="s">
        <v>1331</v>
      </c>
      <c r="K550" s="20" t="s">
        <v>21</v>
      </c>
      <c r="L550" s="20" t="s">
        <v>22</v>
      </c>
      <c r="M550" s="20" t="s">
        <v>134</v>
      </c>
      <c r="N550" s="21">
        <v>549</v>
      </c>
      <c r="O550" s="29">
        <v>45762</v>
      </c>
      <c r="P550" s="29">
        <v>45770</v>
      </c>
      <c r="Q550" s="29">
        <v>45776</v>
      </c>
      <c r="R550" s="29">
        <v>45779</v>
      </c>
      <c r="S550" s="23">
        <f t="shared" si="33"/>
        <v>105</v>
      </c>
      <c r="T550" s="23">
        <f t="shared" si="34"/>
        <v>113</v>
      </c>
      <c r="U550" s="23">
        <f t="shared" si="35"/>
        <v>119</v>
      </c>
      <c r="V550" s="23">
        <f t="shared" si="36"/>
        <v>122</v>
      </c>
      <c r="W550" s="20" t="s">
        <v>19</v>
      </c>
      <c r="X550" s="20" t="s">
        <v>133</v>
      </c>
      <c r="Y550" s="20" t="s">
        <v>21</v>
      </c>
      <c r="Z550" s="20" t="s">
        <v>22</v>
      </c>
      <c r="AA550" s="20" t="s">
        <v>426</v>
      </c>
      <c r="AB550" s="20" t="s">
        <v>200</v>
      </c>
      <c r="AC550" s="20" t="s">
        <v>16</v>
      </c>
      <c r="AD550" s="20"/>
      <c r="AE550" s="2">
        <v>0</v>
      </c>
      <c r="AF550" s="2"/>
    </row>
    <row r="551" spans="1:32" x14ac:dyDescent="0.2">
      <c r="A551" s="20" t="s">
        <v>426</v>
      </c>
      <c r="B551" s="20" t="s">
        <v>200</v>
      </c>
      <c r="C551" s="20" t="s">
        <v>16</v>
      </c>
      <c r="D551" s="18" t="s">
        <v>1326</v>
      </c>
      <c r="E551" s="20" t="s">
        <v>24</v>
      </c>
      <c r="F551" s="20">
        <v>3</v>
      </c>
      <c r="G551" s="20" t="s">
        <v>591</v>
      </c>
      <c r="H551" s="20" t="s">
        <v>35</v>
      </c>
      <c r="I551" s="20" t="s">
        <v>133</v>
      </c>
      <c r="J551" s="19" t="s">
        <v>1332</v>
      </c>
      <c r="K551" s="20" t="s">
        <v>21</v>
      </c>
      <c r="L551" s="20" t="s">
        <v>22</v>
      </c>
      <c r="M551" s="20" t="s">
        <v>134</v>
      </c>
      <c r="N551" s="21">
        <v>550</v>
      </c>
      <c r="O551" s="29">
        <v>45758</v>
      </c>
      <c r="P551" s="29">
        <v>45762</v>
      </c>
      <c r="Q551" s="29">
        <v>45776</v>
      </c>
      <c r="R551" s="29">
        <v>45779</v>
      </c>
      <c r="S551" s="23">
        <f t="shared" si="33"/>
        <v>101</v>
      </c>
      <c r="T551" s="23">
        <f t="shared" si="34"/>
        <v>105</v>
      </c>
      <c r="U551" s="23">
        <f t="shared" si="35"/>
        <v>119</v>
      </c>
      <c r="V551" s="23">
        <f t="shared" si="36"/>
        <v>122</v>
      </c>
      <c r="W551" s="20" t="s">
        <v>35</v>
      </c>
      <c r="X551" s="20" t="s">
        <v>133</v>
      </c>
      <c r="Y551" s="20" t="s">
        <v>21</v>
      </c>
      <c r="Z551" s="20" t="s">
        <v>22</v>
      </c>
      <c r="AA551" s="20" t="s">
        <v>426</v>
      </c>
      <c r="AB551" s="20" t="s">
        <v>200</v>
      </c>
      <c r="AC551" s="20" t="s">
        <v>16</v>
      </c>
      <c r="AD551" s="20"/>
      <c r="AE551" s="2">
        <v>0</v>
      </c>
      <c r="AF551" s="2"/>
    </row>
    <row r="552" spans="1:32" x14ac:dyDescent="0.2">
      <c r="A552" s="20" t="s">
        <v>426</v>
      </c>
      <c r="B552" s="20" t="s">
        <v>200</v>
      </c>
      <c r="C552" s="20" t="s">
        <v>16</v>
      </c>
      <c r="D552" s="18" t="s">
        <v>1326</v>
      </c>
      <c r="E552" s="20" t="s">
        <v>17</v>
      </c>
      <c r="F552" s="20">
        <v>4</v>
      </c>
      <c r="G552" s="20" t="s">
        <v>592</v>
      </c>
      <c r="H552" s="20" t="s">
        <v>35</v>
      </c>
      <c r="I552" s="20" t="s">
        <v>133</v>
      </c>
      <c r="J552" s="19" t="s">
        <v>1333</v>
      </c>
      <c r="K552" s="20" t="s">
        <v>21</v>
      </c>
      <c r="L552" s="20" t="s">
        <v>22</v>
      </c>
      <c r="M552" s="20" t="s">
        <v>134</v>
      </c>
      <c r="N552" s="21">
        <v>551</v>
      </c>
      <c r="O552" s="29">
        <v>45762</v>
      </c>
      <c r="P552" s="29">
        <v>45770</v>
      </c>
      <c r="Q552" s="29">
        <v>45779</v>
      </c>
      <c r="R552" s="29">
        <v>45783</v>
      </c>
      <c r="S552" s="23">
        <f t="shared" si="33"/>
        <v>105</v>
      </c>
      <c r="T552" s="23">
        <f t="shared" si="34"/>
        <v>113</v>
      </c>
      <c r="U552" s="23">
        <f t="shared" si="35"/>
        <v>122</v>
      </c>
      <c r="V552" s="23">
        <f t="shared" si="36"/>
        <v>126</v>
      </c>
      <c r="W552" s="20" t="s">
        <v>35</v>
      </c>
      <c r="X552" s="20" t="s">
        <v>133</v>
      </c>
      <c r="Y552" s="20" t="s">
        <v>21</v>
      </c>
      <c r="Z552" s="20" t="s">
        <v>22</v>
      </c>
      <c r="AA552" s="20" t="s">
        <v>426</v>
      </c>
      <c r="AB552" s="20" t="s">
        <v>200</v>
      </c>
      <c r="AC552" s="20" t="s">
        <v>16</v>
      </c>
      <c r="AD552" s="20"/>
      <c r="AE552" s="2">
        <v>0</v>
      </c>
      <c r="AF552" s="2"/>
    </row>
    <row r="553" spans="1:32" x14ac:dyDescent="0.2">
      <c r="A553" s="20" t="s">
        <v>426</v>
      </c>
      <c r="B553" s="20" t="s">
        <v>200</v>
      </c>
      <c r="C553" s="20" t="s">
        <v>16</v>
      </c>
      <c r="D553" s="18" t="s">
        <v>1326</v>
      </c>
      <c r="E553" s="20" t="s">
        <v>24</v>
      </c>
      <c r="F553" s="20">
        <v>4</v>
      </c>
      <c r="G553" s="20" t="s">
        <v>593</v>
      </c>
      <c r="H553" s="20" t="s">
        <v>19</v>
      </c>
      <c r="I553" s="20" t="s">
        <v>133</v>
      </c>
      <c r="J553" s="19" t="s">
        <v>1334</v>
      </c>
      <c r="K553" s="20" t="s">
        <v>21</v>
      </c>
      <c r="L553" s="20" t="s">
        <v>22</v>
      </c>
      <c r="M553" s="20" t="s">
        <v>134</v>
      </c>
      <c r="N553" s="21">
        <v>552</v>
      </c>
      <c r="O553" s="29">
        <v>45755</v>
      </c>
      <c r="P553" s="2"/>
      <c r="Q553" s="29">
        <v>45762</v>
      </c>
      <c r="R553" s="29">
        <v>45770</v>
      </c>
      <c r="S553" s="23">
        <f t="shared" si="33"/>
        <v>98</v>
      </c>
      <c r="T553" s="23">
        <f>(U553+S553)/2</f>
        <v>101.5</v>
      </c>
      <c r="U553" s="23">
        <f t="shared" si="35"/>
        <v>105</v>
      </c>
      <c r="V553" s="23">
        <f t="shared" si="36"/>
        <v>113</v>
      </c>
      <c r="W553" s="20" t="s">
        <v>19</v>
      </c>
      <c r="X553" s="20" t="s">
        <v>133</v>
      </c>
      <c r="Y553" s="20" t="s">
        <v>21</v>
      </c>
      <c r="Z553" s="20" t="s">
        <v>22</v>
      </c>
      <c r="AA553" s="20" t="s">
        <v>426</v>
      </c>
      <c r="AB553" s="20" t="s">
        <v>200</v>
      </c>
      <c r="AC553" s="20" t="s">
        <v>16</v>
      </c>
      <c r="AD553" s="20"/>
      <c r="AE553" s="2">
        <v>0</v>
      </c>
      <c r="AF553" s="2"/>
    </row>
    <row r="554" spans="1:32" x14ac:dyDescent="0.2">
      <c r="A554" s="14" t="s">
        <v>426</v>
      </c>
      <c r="B554" s="14" t="s">
        <v>200</v>
      </c>
      <c r="C554" s="14" t="s">
        <v>32</v>
      </c>
      <c r="D554" s="14" t="s">
        <v>1335</v>
      </c>
      <c r="E554" s="14" t="s">
        <v>17</v>
      </c>
      <c r="F554" s="14">
        <v>1</v>
      </c>
      <c r="G554" s="14" t="s">
        <v>594</v>
      </c>
      <c r="H554" s="14" t="s">
        <v>19</v>
      </c>
      <c r="I554" s="14" t="s">
        <v>133</v>
      </c>
      <c r="J554" s="13" t="s">
        <v>1336</v>
      </c>
      <c r="K554" s="14" t="s">
        <v>21</v>
      </c>
      <c r="L554" s="14" t="s">
        <v>22</v>
      </c>
      <c r="M554" s="14" t="s">
        <v>134</v>
      </c>
      <c r="N554" s="13">
        <v>553</v>
      </c>
      <c r="O554" s="30">
        <v>45770</v>
      </c>
      <c r="P554" s="30">
        <v>45776</v>
      </c>
      <c r="Q554" s="30">
        <v>45779</v>
      </c>
      <c r="R554" s="30">
        <v>45783</v>
      </c>
      <c r="S554" s="23">
        <f t="shared" si="33"/>
        <v>113</v>
      </c>
      <c r="T554" s="23">
        <f t="shared" si="34"/>
        <v>119</v>
      </c>
      <c r="U554" s="23">
        <f t="shared" si="35"/>
        <v>122</v>
      </c>
      <c r="V554" s="23">
        <f t="shared" si="36"/>
        <v>126</v>
      </c>
      <c r="W554" s="14" t="s">
        <v>19</v>
      </c>
      <c r="X554" s="14" t="s">
        <v>133</v>
      </c>
      <c r="Y554" s="14" t="s">
        <v>21</v>
      </c>
      <c r="Z554" s="14" t="s">
        <v>22</v>
      </c>
      <c r="AA554" s="14" t="s">
        <v>426</v>
      </c>
      <c r="AB554" s="14" t="s">
        <v>200</v>
      </c>
      <c r="AC554" s="14" t="s">
        <v>32</v>
      </c>
      <c r="AD554" s="14"/>
      <c r="AE554" s="1">
        <v>0</v>
      </c>
      <c r="AF554" s="1"/>
    </row>
    <row r="555" spans="1:32" x14ac:dyDescent="0.2">
      <c r="A555" s="14" t="s">
        <v>426</v>
      </c>
      <c r="B555" s="14" t="s">
        <v>200</v>
      </c>
      <c r="C555" s="14" t="s">
        <v>32</v>
      </c>
      <c r="D555" s="14" t="s">
        <v>1335</v>
      </c>
      <c r="E555" s="14" t="s">
        <v>24</v>
      </c>
      <c r="F555" s="14">
        <v>1</v>
      </c>
      <c r="G555" s="14" t="s">
        <v>595</v>
      </c>
      <c r="H555" s="14" t="s">
        <v>19</v>
      </c>
      <c r="I555" s="14" t="s">
        <v>133</v>
      </c>
      <c r="J555" s="13" t="s">
        <v>1337</v>
      </c>
      <c r="K555" s="14" t="s">
        <v>21</v>
      </c>
      <c r="L555" s="14" t="s">
        <v>22</v>
      </c>
      <c r="M555" s="14" t="s">
        <v>134</v>
      </c>
      <c r="N555" s="13">
        <v>554</v>
      </c>
      <c r="O555" s="30">
        <v>45770</v>
      </c>
      <c r="P555" s="30">
        <v>45776</v>
      </c>
      <c r="Q555" s="30">
        <v>45779</v>
      </c>
      <c r="R555" s="30">
        <v>45783</v>
      </c>
      <c r="S555" s="23">
        <f t="shared" si="33"/>
        <v>113</v>
      </c>
      <c r="T555" s="23">
        <f t="shared" si="34"/>
        <v>119</v>
      </c>
      <c r="U555" s="23">
        <f t="shared" si="35"/>
        <v>122</v>
      </c>
      <c r="V555" s="23">
        <f t="shared" si="36"/>
        <v>126</v>
      </c>
      <c r="W555" s="14" t="s">
        <v>19</v>
      </c>
      <c r="X555" s="14" t="s">
        <v>133</v>
      </c>
      <c r="Y555" s="14" t="s">
        <v>21</v>
      </c>
      <c r="Z555" s="14" t="s">
        <v>22</v>
      </c>
      <c r="AA555" s="14" t="s">
        <v>426</v>
      </c>
      <c r="AB555" s="14" t="s">
        <v>200</v>
      </c>
      <c r="AC555" s="14" t="s">
        <v>32</v>
      </c>
      <c r="AD555" s="14"/>
      <c r="AE555" s="1">
        <v>0</v>
      </c>
      <c r="AF555" s="1"/>
    </row>
    <row r="556" spans="1:32" x14ac:dyDescent="0.2">
      <c r="A556" s="14" t="s">
        <v>426</v>
      </c>
      <c r="B556" s="14" t="s">
        <v>200</v>
      </c>
      <c r="C556" s="14" t="s">
        <v>32</v>
      </c>
      <c r="D556" s="14" t="s">
        <v>1335</v>
      </c>
      <c r="E556" s="14" t="s">
        <v>17</v>
      </c>
      <c r="F556" s="14">
        <v>2</v>
      </c>
      <c r="G556" s="14" t="s">
        <v>596</v>
      </c>
      <c r="H556" s="14" t="s">
        <v>19</v>
      </c>
      <c r="I556" s="14" t="s">
        <v>133</v>
      </c>
      <c r="J556" s="13" t="s">
        <v>1338</v>
      </c>
      <c r="K556" s="14" t="s">
        <v>21</v>
      </c>
      <c r="L556" s="14" t="s">
        <v>22</v>
      </c>
      <c r="M556" s="14" t="s">
        <v>134</v>
      </c>
      <c r="N556" s="13">
        <v>555</v>
      </c>
      <c r="O556" s="30">
        <v>45765</v>
      </c>
      <c r="P556" s="30">
        <v>45776</v>
      </c>
      <c r="Q556" s="30">
        <v>45779</v>
      </c>
      <c r="R556" s="30">
        <v>45783</v>
      </c>
      <c r="S556" s="23">
        <f t="shared" si="33"/>
        <v>108</v>
      </c>
      <c r="T556" s="23">
        <f t="shared" si="34"/>
        <v>119</v>
      </c>
      <c r="U556" s="23">
        <f t="shared" si="35"/>
        <v>122</v>
      </c>
      <c r="V556" s="23">
        <f t="shared" si="36"/>
        <v>126</v>
      </c>
      <c r="W556" s="14" t="s">
        <v>19</v>
      </c>
      <c r="X556" s="14" t="s">
        <v>133</v>
      </c>
      <c r="Y556" s="14" t="s">
        <v>21</v>
      </c>
      <c r="Z556" s="14" t="s">
        <v>22</v>
      </c>
      <c r="AA556" s="14" t="s">
        <v>426</v>
      </c>
      <c r="AB556" s="14" t="s">
        <v>200</v>
      </c>
      <c r="AC556" s="14" t="s">
        <v>32</v>
      </c>
      <c r="AD556" s="14"/>
      <c r="AE556" s="1">
        <v>0</v>
      </c>
      <c r="AF556" s="1"/>
    </row>
    <row r="557" spans="1:32" x14ac:dyDescent="0.2">
      <c r="A557" s="14" t="s">
        <v>426</v>
      </c>
      <c r="B557" s="14" t="s">
        <v>200</v>
      </c>
      <c r="C557" s="14" t="s">
        <v>32</v>
      </c>
      <c r="D557" s="14" t="s">
        <v>1335</v>
      </c>
      <c r="E557" s="14" t="s">
        <v>24</v>
      </c>
      <c r="F557" s="14">
        <v>2</v>
      </c>
      <c r="G557" s="14" t="s">
        <v>597</v>
      </c>
      <c r="H557" s="14" t="s">
        <v>19</v>
      </c>
      <c r="I557" s="14" t="s">
        <v>133</v>
      </c>
      <c r="J557" s="13" t="s">
        <v>1339</v>
      </c>
      <c r="K557" s="14" t="s">
        <v>21</v>
      </c>
      <c r="L557" s="14" t="s">
        <v>22</v>
      </c>
      <c r="M557" s="14" t="s">
        <v>134</v>
      </c>
      <c r="N557" s="13">
        <v>556</v>
      </c>
      <c r="O557" s="30">
        <v>45770</v>
      </c>
      <c r="P557" s="30">
        <v>45776</v>
      </c>
      <c r="Q557" s="30">
        <v>45779</v>
      </c>
      <c r="R557" s="30">
        <v>45783</v>
      </c>
      <c r="S557" s="23">
        <f t="shared" si="33"/>
        <v>113</v>
      </c>
      <c r="T557" s="23">
        <f t="shared" si="34"/>
        <v>119</v>
      </c>
      <c r="U557" s="23">
        <f t="shared" si="35"/>
        <v>122</v>
      </c>
      <c r="V557" s="23">
        <f t="shared" si="36"/>
        <v>126</v>
      </c>
      <c r="W557" s="14" t="s">
        <v>19</v>
      </c>
      <c r="X557" s="14" t="s">
        <v>133</v>
      </c>
      <c r="Y557" s="14" t="s">
        <v>21</v>
      </c>
      <c r="Z557" s="14" t="s">
        <v>22</v>
      </c>
      <c r="AA557" s="14" t="s">
        <v>426</v>
      </c>
      <c r="AB557" s="14" t="s">
        <v>200</v>
      </c>
      <c r="AC557" s="14" t="s">
        <v>32</v>
      </c>
      <c r="AD557" s="14"/>
      <c r="AE557" s="1">
        <v>0</v>
      </c>
      <c r="AF557" s="1"/>
    </row>
    <row r="558" spans="1:32" x14ac:dyDescent="0.2">
      <c r="A558" s="14" t="s">
        <v>426</v>
      </c>
      <c r="B558" s="14" t="s">
        <v>200</v>
      </c>
      <c r="C558" s="14" t="s">
        <v>32</v>
      </c>
      <c r="D558" s="14" t="s">
        <v>1335</v>
      </c>
      <c r="E558" s="14" t="s">
        <v>17</v>
      </c>
      <c r="F558" s="14">
        <v>3</v>
      </c>
      <c r="G558" s="14" t="s">
        <v>598</v>
      </c>
      <c r="H558" s="14" t="s">
        <v>19</v>
      </c>
      <c r="I558" s="14" t="s">
        <v>133</v>
      </c>
      <c r="J558" s="13" t="s">
        <v>1340</v>
      </c>
      <c r="K558" s="14" t="s">
        <v>21</v>
      </c>
      <c r="L558" s="14" t="s">
        <v>22</v>
      </c>
      <c r="M558" s="14" t="s">
        <v>134</v>
      </c>
      <c r="N558" s="13">
        <v>557</v>
      </c>
      <c r="O558" s="30">
        <v>45772</v>
      </c>
      <c r="P558" s="30">
        <v>45776</v>
      </c>
      <c r="Q558" s="30">
        <v>45779</v>
      </c>
      <c r="R558" s="30">
        <v>45783</v>
      </c>
      <c r="S558" s="23">
        <f t="shared" si="33"/>
        <v>115</v>
      </c>
      <c r="T558" s="23">
        <f t="shared" si="34"/>
        <v>119</v>
      </c>
      <c r="U558" s="23">
        <f t="shared" si="35"/>
        <v>122</v>
      </c>
      <c r="V558" s="23">
        <f t="shared" si="36"/>
        <v>126</v>
      </c>
      <c r="W558" s="14" t="s">
        <v>19</v>
      </c>
      <c r="X558" s="14" t="s">
        <v>133</v>
      </c>
      <c r="Y558" s="14" t="s">
        <v>21</v>
      </c>
      <c r="Z558" s="14" t="s">
        <v>22</v>
      </c>
      <c r="AA558" s="14" t="s">
        <v>426</v>
      </c>
      <c r="AB558" s="14" t="s">
        <v>200</v>
      </c>
      <c r="AC558" s="14" t="s">
        <v>32</v>
      </c>
      <c r="AD558" s="14"/>
      <c r="AE558" s="1">
        <v>0</v>
      </c>
      <c r="AF558" s="1"/>
    </row>
    <row r="559" spans="1:32" x14ac:dyDescent="0.2">
      <c r="A559" s="14" t="s">
        <v>426</v>
      </c>
      <c r="B559" s="14" t="s">
        <v>200</v>
      </c>
      <c r="C559" s="14" t="s">
        <v>32</v>
      </c>
      <c r="D559" s="14" t="s">
        <v>1335</v>
      </c>
      <c r="E559" s="14" t="s">
        <v>24</v>
      </c>
      <c r="F559" s="14">
        <v>3</v>
      </c>
      <c r="G559" s="14" t="s">
        <v>599</v>
      </c>
      <c r="H559" s="14" t="s">
        <v>19</v>
      </c>
      <c r="I559" s="14" t="s">
        <v>133</v>
      </c>
      <c r="J559" s="13" t="s">
        <v>1341</v>
      </c>
      <c r="K559" s="14" t="s">
        <v>21</v>
      </c>
      <c r="L559" s="14" t="s">
        <v>22</v>
      </c>
      <c r="M559" s="14" t="s">
        <v>134</v>
      </c>
      <c r="N559" s="13">
        <v>558</v>
      </c>
      <c r="O559" s="30">
        <v>45772</v>
      </c>
      <c r="P559" s="1"/>
      <c r="Q559" s="30">
        <v>45779</v>
      </c>
      <c r="R559" s="30">
        <v>45783</v>
      </c>
      <c r="S559" s="23">
        <f t="shared" si="33"/>
        <v>115</v>
      </c>
      <c r="T559" s="23">
        <f>(U559+S559)/2</f>
        <v>118.5</v>
      </c>
      <c r="U559" s="23">
        <f t="shared" si="35"/>
        <v>122</v>
      </c>
      <c r="V559" s="23">
        <f t="shared" si="36"/>
        <v>126</v>
      </c>
      <c r="W559" s="14" t="s">
        <v>19</v>
      </c>
      <c r="X559" s="14" t="s">
        <v>133</v>
      </c>
      <c r="Y559" s="14" t="s">
        <v>21</v>
      </c>
      <c r="Z559" s="14" t="s">
        <v>22</v>
      </c>
      <c r="AA559" s="14" t="s">
        <v>426</v>
      </c>
      <c r="AB559" s="14" t="s">
        <v>200</v>
      </c>
      <c r="AC559" s="14" t="s">
        <v>32</v>
      </c>
      <c r="AD559" s="14"/>
      <c r="AE559" s="1">
        <v>0</v>
      </c>
      <c r="AF559" s="1"/>
    </row>
    <row r="560" spans="1:32" x14ac:dyDescent="0.2">
      <c r="A560" s="14" t="s">
        <v>426</v>
      </c>
      <c r="B560" s="14" t="s">
        <v>200</v>
      </c>
      <c r="C560" s="14" t="s">
        <v>32</v>
      </c>
      <c r="D560" s="14" t="s">
        <v>1335</v>
      </c>
      <c r="E560" s="14" t="s">
        <v>17</v>
      </c>
      <c r="F560" s="14">
        <v>4</v>
      </c>
      <c r="G560" s="14" t="s">
        <v>600</v>
      </c>
      <c r="H560" s="14" t="s">
        <v>19</v>
      </c>
      <c r="I560" s="14" t="s">
        <v>133</v>
      </c>
      <c r="J560" s="13" t="s">
        <v>1342</v>
      </c>
      <c r="K560" s="14" t="s">
        <v>21</v>
      </c>
      <c r="L560" s="14" t="s">
        <v>22</v>
      </c>
      <c r="M560" s="14" t="s">
        <v>134</v>
      </c>
      <c r="N560" s="13">
        <v>559</v>
      </c>
      <c r="O560" s="30">
        <v>45762</v>
      </c>
      <c r="P560" s="1"/>
      <c r="Q560" s="30">
        <v>45770</v>
      </c>
      <c r="R560" s="30">
        <v>45776</v>
      </c>
      <c r="S560" s="23">
        <f t="shared" si="33"/>
        <v>105</v>
      </c>
      <c r="T560" s="23">
        <f>(U560+S560)/2</f>
        <v>109</v>
      </c>
      <c r="U560" s="23">
        <f t="shared" si="35"/>
        <v>113</v>
      </c>
      <c r="V560" s="23">
        <f t="shared" si="36"/>
        <v>119</v>
      </c>
      <c r="W560" s="14" t="s">
        <v>19</v>
      </c>
      <c r="X560" s="14" t="s">
        <v>133</v>
      </c>
      <c r="Y560" s="14" t="s">
        <v>21</v>
      </c>
      <c r="Z560" s="14" t="s">
        <v>22</v>
      </c>
      <c r="AA560" s="14" t="s">
        <v>426</v>
      </c>
      <c r="AB560" s="14" t="s">
        <v>200</v>
      </c>
      <c r="AC560" s="14" t="s">
        <v>32</v>
      </c>
      <c r="AD560" s="14"/>
      <c r="AE560" s="1">
        <v>0</v>
      </c>
      <c r="AF560" s="1"/>
    </row>
    <row r="561" spans="1:32" x14ac:dyDescent="0.2">
      <c r="A561" s="14" t="s">
        <v>426</v>
      </c>
      <c r="B561" s="14" t="s">
        <v>200</v>
      </c>
      <c r="C561" s="14" t="s">
        <v>32</v>
      </c>
      <c r="D561" s="14" t="s">
        <v>1335</v>
      </c>
      <c r="E561" s="14" t="s">
        <v>24</v>
      </c>
      <c r="F561" s="14">
        <v>4</v>
      </c>
      <c r="G561" s="14" t="s">
        <v>601</v>
      </c>
      <c r="H561" s="14" t="s">
        <v>19</v>
      </c>
      <c r="I561" s="14" t="s">
        <v>133</v>
      </c>
      <c r="J561" s="13" t="s">
        <v>1343</v>
      </c>
      <c r="K561" s="14" t="s">
        <v>21</v>
      </c>
      <c r="L561" s="14" t="s">
        <v>22</v>
      </c>
      <c r="M561" s="14" t="s">
        <v>134</v>
      </c>
      <c r="N561" s="13">
        <v>560</v>
      </c>
      <c r="O561" s="30">
        <v>45770</v>
      </c>
      <c r="P561" s="30">
        <v>45772</v>
      </c>
      <c r="Q561" s="30">
        <v>45776</v>
      </c>
      <c r="R561" s="30">
        <v>45779</v>
      </c>
      <c r="S561" s="23">
        <f t="shared" si="33"/>
        <v>113</v>
      </c>
      <c r="T561" s="23">
        <f t="shared" si="34"/>
        <v>115</v>
      </c>
      <c r="U561" s="23">
        <f t="shared" si="35"/>
        <v>119</v>
      </c>
      <c r="V561" s="23">
        <f t="shared" si="36"/>
        <v>122</v>
      </c>
      <c r="W561" s="14" t="s">
        <v>19</v>
      </c>
      <c r="X561" s="14" t="s">
        <v>133</v>
      </c>
      <c r="Y561" s="14" t="s">
        <v>21</v>
      </c>
      <c r="Z561" s="14" t="s">
        <v>22</v>
      </c>
      <c r="AA561" s="14" t="s">
        <v>426</v>
      </c>
      <c r="AB561" s="14" t="s">
        <v>200</v>
      </c>
      <c r="AC561" s="14" t="s">
        <v>32</v>
      </c>
      <c r="AD561" s="14"/>
      <c r="AE561" s="1">
        <v>0</v>
      </c>
      <c r="AF561" s="1"/>
    </row>
    <row r="562" spans="1:32" x14ac:dyDescent="0.2">
      <c r="A562" s="20" t="s">
        <v>426</v>
      </c>
      <c r="B562" s="20" t="s">
        <v>200</v>
      </c>
      <c r="C562" s="20" t="s">
        <v>42</v>
      </c>
      <c r="D562" s="18" t="s">
        <v>1344</v>
      </c>
      <c r="E562" s="20" t="s">
        <v>17</v>
      </c>
      <c r="F562" s="20">
        <v>1</v>
      </c>
      <c r="G562" s="20" t="s">
        <v>602</v>
      </c>
      <c r="H562" s="20" t="s">
        <v>19</v>
      </c>
      <c r="I562" s="20" t="s">
        <v>133</v>
      </c>
      <c r="J562" s="19" t="s">
        <v>1345</v>
      </c>
      <c r="K562" s="20" t="s">
        <v>21</v>
      </c>
      <c r="L562" s="20" t="s">
        <v>44</v>
      </c>
      <c r="M562" s="20" t="s">
        <v>143</v>
      </c>
      <c r="N562" s="21">
        <v>561</v>
      </c>
      <c r="O562" s="29">
        <v>45762</v>
      </c>
      <c r="P562" s="29">
        <v>45770</v>
      </c>
      <c r="Q562" s="29">
        <v>45776</v>
      </c>
      <c r="R562" s="29">
        <v>45779</v>
      </c>
      <c r="S562" s="23">
        <f t="shared" si="33"/>
        <v>105</v>
      </c>
      <c r="T562" s="23">
        <f t="shared" si="34"/>
        <v>113</v>
      </c>
      <c r="U562" s="23">
        <f t="shared" si="35"/>
        <v>119</v>
      </c>
      <c r="V562" s="23">
        <f t="shared" si="36"/>
        <v>122</v>
      </c>
      <c r="W562" s="20" t="s">
        <v>19</v>
      </c>
      <c r="X562" s="20" t="s">
        <v>133</v>
      </c>
      <c r="Y562" s="20" t="s">
        <v>21</v>
      </c>
      <c r="Z562" s="20" t="s">
        <v>44</v>
      </c>
      <c r="AA562" s="20" t="s">
        <v>426</v>
      </c>
      <c r="AB562" s="20" t="s">
        <v>200</v>
      </c>
      <c r="AC562" s="20" t="s">
        <v>42</v>
      </c>
      <c r="AD562" s="20"/>
      <c r="AE562" s="2">
        <v>0</v>
      </c>
      <c r="AF562" s="2"/>
    </row>
    <row r="563" spans="1:32" x14ac:dyDescent="0.2">
      <c r="A563" s="20" t="s">
        <v>426</v>
      </c>
      <c r="B563" s="20" t="s">
        <v>200</v>
      </c>
      <c r="C563" s="20" t="s">
        <v>42</v>
      </c>
      <c r="D563" s="18" t="s">
        <v>1344</v>
      </c>
      <c r="E563" s="20" t="s">
        <v>24</v>
      </c>
      <c r="F563" s="20">
        <v>1</v>
      </c>
      <c r="G563" s="20" t="s">
        <v>603</v>
      </c>
      <c r="H563" s="20" t="s">
        <v>35</v>
      </c>
      <c r="I563" s="20" t="s">
        <v>133</v>
      </c>
      <c r="J563" s="19" t="s">
        <v>1346</v>
      </c>
      <c r="K563" s="20" t="s">
        <v>21</v>
      </c>
      <c r="L563" s="20" t="s">
        <v>44</v>
      </c>
      <c r="M563" s="20" t="s">
        <v>143</v>
      </c>
      <c r="N563" s="21">
        <v>562</v>
      </c>
      <c r="O563" s="29">
        <v>45758</v>
      </c>
      <c r="P563" s="29">
        <v>45762</v>
      </c>
      <c r="Q563" s="29">
        <v>45779</v>
      </c>
      <c r="R563" s="29">
        <v>45783</v>
      </c>
      <c r="S563" s="23">
        <f t="shared" si="33"/>
        <v>101</v>
      </c>
      <c r="T563" s="23">
        <f t="shared" si="34"/>
        <v>105</v>
      </c>
      <c r="U563" s="23">
        <f t="shared" si="35"/>
        <v>122</v>
      </c>
      <c r="V563" s="23">
        <f t="shared" si="36"/>
        <v>126</v>
      </c>
      <c r="W563" s="20" t="s">
        <v>35</v>
      </c>
      <c r="X563" s="20" t="s">
        <v>133</v>
      </c>
      <c r="Y563" s="20" t="s">
        <v>21</v>
      </c>
      <c r="Z563" s="20" t="s">
        <v>44</v>
      </c>
      <c r="AA563" s="20" t="s">
        <v>426</v>
      </c>
      <c r="AB563" s="20" t="s">
        <v>200</v>
      </c>
      <c r="AC563" s="20" t="s">
        <v>42</v>
      </c>
      <c r="AD563" s="20"/>
      <c r="AE563" s="2">
        <v>0</v>
      </c>
      <c r="AF563" s="2"/>
    </row>
    <row r="564" spans="1:32" x14ac:dyDescent="0.2">
      <c r="A564" s="20" t="s">
        <v>426</v>
      </c>
      <c r="B564" s="20" t="s">
        <v>200</v>
      </c>
      <c r="C564" s="20" t="s">
        <v>42</v>
      </c>
      <c r="D564" s="18" t="s">
        <v>1344</v>
      </c>
      <c r="E564" s="20" t="s">
        <v>17</v>
      </c>
      <c r="F564" s="20">
        <v>2</v>
      </c>
      <c r="G564" s="20" t="s">
        <v>604</v>
      </c>
      <c r="H564" s="20" t="s">
        <v>35</v>
      </c>
      <c r="I564" s="20" t="s">
        <v>133</v>
      </c>
      <c r="J564" s="19" t="s">
        <v>1347</v>
      </c>
      <c r="K564" s="20" t="s">
        <v>21</v>
      </c>
      <c r="L564" s="20" t="s">
        <v>44</v>
      </c>
      <c r="M564" s="20" t="s">
        <v>143</v>
      </c>
      <c r="N564" s="21">
        <v>563</v>
      </c>
      <c r="O564" s="29">
        <v>45762</v>
      </c>
      <c r="P564" s="29">
        <v>45770</v>
      </c>
      <c r="Q564" s="29">
        <v>45779</v>
      </c>
      <c r="R564" s="29">
        <v>45783</v>
      </c>
      <c r="S564" s="23">
        <f t="shared" si="33"/>
        <v>105</v>
      </c>
      <c r="T564" s="23">
        <f t="shared" si="34"/>
        <v>113</v>
      </c>
      <c r="U564" s="23">
        <f t="shared" si="35"/>
        <v>122</v>
      </c>
      <c r="V564" s="23">
        <f t="shared" si="36"/>
        <v>126</v>
      </c>
      <c r="W564" s="20" t="s">
        <v>35</v>
      </c>
      <c r="X564" s="20" t="s">
        <v>133</v>
      </c>
      <c r="Y564" s="20" t="s">
        <v>21</v>
      </c>
      <c r="Z564" s="20" t="s">
        <v>44</v>
      </c>
      <c r="AA564" s="20" t="s">
        <v>426</v>
      </c>
      <c r="AB564" s="20" t="s">
        <v>200</v>
      </c>
      <c r="AC564" s="20" t="s">
        <v>42</v>
      </c>
      <c r="AD564" s="20"/>
      <c r="AE564" s="2">
        <v>0</v>
      </c>
      <c r="AF564" s="2"/>
    </row>
    <row r="565" spans="1:32" x14ac:dyDescent="0.2">
      <c r="A565" s="20" t="s">
        <v>426</v>
      </c>
      <c r="B565" s="20" t="s">
        <v>200</v>
      </c>
      <c r="C565" s="20" t="s">
        <v>42</v>
      </c>
      <c r="D565" s="18" t="s">
        <v>1344</v>
      </c>
      <c r="E565" s="20" t="s">
        <v>24</v>
      </c>
      <c r="F565" s="20">
        <v>2</v>
      </c>
      <c r="G565" s="20" t="s">
        <v>605</v>
      </c>
      <c r="H565" s="20" t="s">
        <v>19</v>
      </c>
      <c r="I565" s="20" t="s">
        <v>133</v>
      </c>
      <c r="J565" s="19" t="s">
        <v>1348</v>
      </c>
      <c r="K565" s="20" t="s">
        <v>21</v>
      </c>
      <c r="L565" s="20" t="s">
        <v>44</v>
      </c>
      <c r="M565" s="20" t="s">
        <v>143</v>
      </c>
      <c r="N565" s="21">
        <v>564</v>
      </c>
      <c r="O565" s="29">
        <v>45765</v>
      </c>
      <c r="P565" s="29">
        <v>45770</v>
      </c>
      <c r="Q565" s="29">
        <v>45776</v>
      </c>
      <c r="R565" s="29">
        <v>45779</v>
      </c>
      <c r="S565" s="23">
        <f t="shared" si="33"/>
        <v>108</v>
      </c>
      <c r="T565" s="23">
        <f t="shared" si="34"/>
        <v>113</v>
      </c>
      <c r="U565" s="23">
        <f t="shared" si="35"/>
        <v>119</v>
      </c>
      <c r="V565" s="23">
        <f t="shared" si="36"/>
        <v>122</v>
      </c>
      <c r="W565" s="20" t="s">
        <v>19</v>
      </c>
      <c r="X565" s="20" t="s">
        <v>133</v>
      </c>
      <c r="Y565" s="20" t="s">
        <v>21</v>
      </c>
      <c r="Z565" s="20" t="s">
        <v>44</v>
      </c>
      <c r="AA565" s="20" t="s">
        <v>426</v>
      </c>
      <c r="AB565" s="20" t="s">
        <v>200</v>
      </c>
      <c r="AC565" s="20" t="s">
        <v>42</v>
      </c>
      <c r="AD565" s="20"/>
      <c r="AE565" s="2">
        <v>0</v>
      </c>
      <c r="AF565" s="2"/>
    </row>
    <row r="566" spans="1:32" x14ac:dyDescent="0.2">
      <c r="A566" s="20" t="s">
        <v>426</v>
      </c>
      <c r="B566" s="20" t="s">
        <v>200</v>
      </c>
      <c r="C566" s="20" t="s">
        <v>42</v>
      </c>
      <c r="D566" s="18" t="s">
        <v>1344</v>
      </c>
      <c r="E566" s="20" t="s">
        <v>17</v>
      </c>
      <c r="F566" s="20">
        <v>3</v>
      </c>
      <c r="G566" s="20" t="s">
        <v>606</v>
      </c>
      <c r="H566" s="20" t="s">
        <v>19</v>
      </c>
      <c r="I566" s="20" t="s">
        <v>133</v>
      </c>
      <c r="J566" s="19" t="s">
        <v>1349</v>
      </c>
      <c r="K566" s="20" t="s">
        <v>21</v>
      </c>
      <c r="L566" s="20" t="s">
        <v>44</v>
      </c>
      <c r="M566" s="20" t="s">
        <v>143</v>
      </c>
      <c r="N566" s="21">
        <v>565</v>
      </c>
      <c r="O566" s="29">
        <v>45772</v>
      </c>
      <c r="P566" s="2"/>
      <c r="Q566" s="29">
        <v>45779</v>
      </c>
      <c r="R566" s="29">
        <v>45783</v>
      </c>
      <c r="S566" s="23">
        <f t="shared" si="33"/>
        <v>115</v>
      </c>
      <c r="T566" s="23">
        <f>(U566+S566)/2</f>
        <v>118.5</v>
      </c>
      <c r="U566" s="23">
        <f t="shared" si="35"/>
        <v>122</v>
      </c>
      <c r="V566" s="23">
        <f t="shared" si="36"/>
        <v>126</v>
      </c>
      <c r="W566" s="20" t="s">
        <v>19</v>
      </c>
      <c r="X566" s="20" t="s">
        <v>133</v>
      </c>
      <c r="Y566" s="20" t="s">
        <v>21</v>
      </c>
      <c r="Z566" s="20" t="s">
        <v>44</v>
      </c>
      <c r="AA566" s="20" t="s">
        <v>426</v>
      </c>
      <c r="AB566" s="20" t="s">
        <v>200</v>
      </c>
      <c r="AC566" s="20" t="s">
        <v>42</v>
      </c>
      <c r="AD566" s="20"/>
      <c r="AE566" s="2">
        <v>0</v>
      </c>
      <c r="AF566" s="2"/>
    </row>
    <row r="567" spans="1:32" x14ac:dyDescent="0.2">
      <c r="A567" s="20" t="s">
        <v>426</v>
      </c>
      <c r="B567" s="20" t="s">
        <v>200</v>
      </c>
      <c r="C567" s="20" t="s">
        <v>42</v>
      </c>
      <c r="D567" s="18" t="s">
        <v>1344</v>
      </c>
      <c r="E567" s="20" t="s">
        <v>24</v>
      </c>
      <c r="F567" s="20">
        <v>3</v>
      </c>
      <c r="G567" s="20" t="s">
        <v>607</v>
      </c>
      <c r="H567" s="20" t="s">
        <v>35</v>
      </c>
      <c r="I567" s="20" t="s">
        <v>133</v>
      </c>
      <c r="J567" s="19" t="s">
        <v>1350</v>
      </c>
      <c r="K567" s="20" t="s">
        <v>21</v>
      </c>
      <c r="L567" s="20" t="s">
        <v>44</v>
      </c>
      <c r="M567" s="20" t="s">
        <v>143</v>
      </c>
      <c r="N567" s="21">
        <v>566</v>
      </c>
      <c r="O567" s="29">
        <v>45770</v>
      </c>
      <c r="P567" s="29">
        <v>45776</v>
      </c>
      <c r="Q567" s="29">
        <v>45779</v>
      </c>
      <c r="R567" s="29">
        <v>45783</v>
      </c>
      <c r="S567" s="23">
        <f t="shared" si="33"/>
        <v>113</v>
      </c>
      <c r="T567" s="23">
        <f t="shared" si="34"/>
        <v>119</v>
      </c>
      <c r="U567" s="23">
        <f t="shared" si="35"/>
        <v>122</v>
      </c>
      <c r="V567" s="23">
        <f t="shared" si="36"/>
        <v>126</v>
      </c>
      <c r="W567" s="20" t="s">
        <v>35</v>
      </c>
      <c r="X567" s="20" t="s">
        <v>133</v>
      </c>
      <c r="Y567" s="20" t="s">
        <v>21</v>
      </c>
      <c r="Z567" s="20" t="s">
        <v>44</v>
      </c>
      <c r="AA567" s="20" t="s">
        <v>426</v>
      </c>
      <c r="AB567" s="20" t="s">
        <v>200</v>
      </c>
      <c r="AC567" s="20" t="s">
        <v>42</v>
      </c>
      <c r="AD567" s="20"/>
      <c r="AE567" s="2">
        <v>0</v>
      </c>
      <c r="AF567" s="2"/>
    </row>
    <row r="568" spans="1:32" x14ac:dyDescent="0.2">
      <c r="A568" s="20" t="s">
        <v>426</v>
      </c>
      <c r="B568" s="20" t="s">
        <v>200</v>
      </c>
      <c r="C568" s="20" t="s">
        <v>42</v>
      </c>
      <c r="D568" s="18" t="s">
        <v>1344</v>
      </c>
      <c r="E568" s="20" t="s">
        <v>17</v>
      </c>
      <c r="F568" s="20">
        <v>4</v>
      </c>
      <c r="G568" s="20" t="s">
        <v>608</v>
      </c>
      <c r="H568" s="20" t="s">
        <v>35</v>
      </c>
      <c r="I568" s="20" t="s">
        <v>133</v>
      </c>
      <c r="J568" s="19" t="s">
        <v>1351</v>
      </c>
      <c r="K568" s="20" t="s">
        <v>21</v>
      </c>
      <c r="L568" s="20" t="s">
        <v>44</v>
      </c>
      <c r="M568" s="20" t="s">
        <v>143</v>
      </c>
      <c r="N568" s="21">
        <v>567</v>
      </c>
      <c r="O568" s="29">
        <v>45772</v>
      </c>
      <c r="P568" s="29">
        <v>45779</v>
      </c>
      <c r="Q568" s="29">
        <v>45783</v>
      </c>
      <c r="R568" s="29">
        <v>45790</v>
      </c>
      <c r="S568" s="23">
        <f t="shared" si="33"/>
        <v>115</v>
      </c>
      <c r="T568" s="23">
        <f t="shared" si="34"/>
        <v>122</v>
      </c>
      <c r="U568" s="23">
        <f t="shared" si="35"/>
        <v>126</v>
      </c>
      <c r="V568" s="23">
        <f t="shared" si="36"/>
        <v>133</v>
      </c>
      <c r="W568" s="20" t="s">
        <v>35</v>
      </c>
      <c r="X568" s="20" t="s">
        <v>133</v>
      </c>
      <c r="Y568" s="20" t="s">
        <v>21</v>
      </c>
      <c r="Z568" s="20" t="s">
        <v>44</v>
      </c>
      <c r="AA568" s="20" t="s">
        <v>426</v>
      </c>
      <c r="AB568" s="20" t="s">
        <v>200</v>
      </c>
      <c r="AC568" s="20" t="s">
        <v>42</v>
      </c>
      <c r="AD568" s="20"/>
      <c r="AE568" s="2">
        <v>0</v>
      </c>
      <c r="AF568" s="2"/>
    </row>
    <row r="569" spans="1:32" x14ac:dyDescent="0.2">
      <c r="A569" s="20" t="s">
        <v>426</v>
      </c>
      <c r="B569" s="20" t="s">
        <v>200</v>
      </c>
      <c r="C569" s="20" t="s">
        <v>42</v>
      </c>
      <c r="D569" s="18" t="s">
        <v>1344</v>
      </c>
      <c r="E569" s="20" t="s">
        <v>24</v>
      </c>
      <c r="F569" s="20">
        <v>4</v>
      </c>
      <c r="G569" s="20" t="s">
        <v>609</v>
      </c>
      <c r="H569" s="20" t="s">
        <v>19</v>
      </c>
      <c r="I569" s="20" t="s">
        <v>133</v>
      </c>
      <c r="J569" s="19" t="s">
        <v>1352</v>
      </c>
      <c r="K569" s="20" t="s">
        <v>21</v>
      </c>
      <c r="L569" s="20" t="s">
        <v>44</v>
      </c>
      <c r="M569" s="20" t="s">
        <v>143</v>
      </c>
      <c r="N569" s="21">
        <v>568</v>
      </c>
      <c r="O569" s="29">
        <v>45765</v>
      </c>
      <c r="P569" s="29">
        <v>45776</v>
      </c>
      <c r="Q569" s="29">
        <v>45779</v>
      </c>
      <c r="R569" s="29">
        <v>45783</v>
      </c>
      <c r="S569" s="23">
        <f t="shared" si="33"/>
        <v>108</v>
      </c>
      <c r="T569" s="23">
        <f t="shared" si="34"/>
        <v>119</v>
      </c>
      <c r="U569" s="23">
        <f t="shared" si="35"/>
        <v>122</v>
      </c>
      <c r="V569" s="23">
        <f t="shared" si="36"/>
        <v>126</v>
      </c>
      <c r="W569" s="20" t="s">
        <v>19</v>
      </c>
      <c r="X569" s="20" t="s">
        <v>133</v>
      </c>
      <c r="Y569" s="20" t="s">
        <v>21</v>
      </c>
      <c r="Z569" s="20" t="s">
        <v>44</v>
      </c>
      <c r="AA569" s="20" t="s">
        <v>426</v>
      </c>
      <c r="AB569" s="20" t="s">
        <v>200</v>
      </c>
      <c r="AC569" s="20" t="s">
        <v>42</v>
      </c>
      <c r="AD569" s="20"/>
      <c r="AE569" s="2">
        <v>0</v>
      </c>
      <c r="AF569" s="2"/>
    </row>
    <row r="570" spans="1:32" x14ac:dyDescent="0.2">
      <c r="A570" s="14" t="s">
        <v>426</v>
      </c>
      <c r="B570" s="14" t="s">
        <v>200</v>
      </c>
      <c r="C570" s="14" t="s">
        <v>53</v>
      </c>
      <c r="D570" s="14" t="s">
        <v>1353</v>
      </c>
      <c r="E570" s="14" t="s">
        <v>17</v>
      </c>
      <c r="F570" s="14">
        <v>1</v>
      </c>
      <c r="G570" s="14" t="s">
        <v>610</v>
      </c>
      <c r="H570" s="14" t="s">
        <v>35</v>
      </c>
      <c r="I570" s="14" t="s">
        <v>133</v>
      </c>
      <c r="J570" s="13" t="s">
        <v>1354</v>
      </c>
      <c r="K570" s="14" t="s">
        <v>21</v>
      </c>
      <c r="L570" s="14" t="s">
        <v>22</v>
      </c>
      <c r="M570" s="14" t="s">
        <v>134</v>
      </c>
      <c r="N570" s="13">
        <v>569</v>
      </c>
      <c r="O570" s="30">
        <v>45755</v>
      </c>
      <c r="P570" s="30">
        <v>45762</v>
      </c>
      <c r="Q570" s="30">
        <v>45765</v>
      </c>
      <c r="R570" s="30">
        <v>45779</v>
      </c>
      <c r="S570" s="23">
        <f t="shared" si="33"/>
        <v>98</v>
      </c>
      <c r="T570" s="23">
        <f t="shared" si="34"/>
        <v>105</v>
      </c>
      <c r="U570" s="23">
        <f t="shared" si="35"/>
        <v>108</v>
      </c>
      <c r="V570" s="23">
        <f t="shared" si="36"/>
        <v>122</v>
      </c>
      <c r="W570" s="14" t="s">
        <v>35</v>
      </c>
      <c r="X570" s="14" t="s">
        <v>133</v>
      </c>
      <c r="Y570" s="14" t="s">
        <v>21</v>
      </c>
      <c r="Z570" s="14" t="s">
        <v>22</v>
      </c>
      <c r="AA570" s="14" t="s">
        <v>426</v>
      </c>
      <c r="AB570" s="14" t="s">
        <v>200</v>
      </c>
      <c r="AC570" s="14" t="s">
        <v>53</v>
      </c>
      <c r="AD570" s="14"/>
      <c r="AE570" s="1">
        <v>0</v>
      </c>
      <c r="AF570" s="1"/>
    </row>
    <row r="571" spans="1:32" x14ac:dyDescent="0.2">
      <c r="A571" s="14" t="s">
        <v>426</v>
      </c>
      <c r="B571" s="14" t="s">
        <v>200</v>
      </c>
      <c r="C571" s="14" t="s">
        <v>53</v>
      </c>
      <c r="D571" s="14" t="s">
        <v>1353</v>
      </c>
      <c r="E571" s="14" t="s">
        <v>24</v>
      </c>
      <c r="F571" s="14">
        <v>1</v>
      </c>
      <c r="G571" s="14" t="s">
        <v>611</v>
      </c>
      <c r="H571" s="14" t="s">
        <v>35</v>
      </c>
      <c r="I571" s="14" t="s">
        <v>133</v>
      </c>
      <c r="J571" s="13" t="s">
        <v>1355</v>
      </c>
      <c r="K571" s="14" t="s">
        <v>21</v>
      </c>
      <c r="L571" s="14" t="s">
        <v>22</v>
      </c>
      <c r="M571" s="14" t="s">
        <v>134</v>
      </c>
      <c r="N571" s="13">
        <v>570</v>
      </c>
      <c r="O571" s="30">
        <v>45762</v>
      </c>
      <c r="P571" s="30">
        <v>45776</v>
      </c>
      <c r="Q571" s="30">
        <v>45779</v>
      </c>
      <c r="R571" s="30">
        <v>45783</v>
      </c>
      <c r="S571" s="23">
        <f t="shared" si="33"/>
        <v>105</v>
      </c>
      <c r="T571" s="23">
        <f t="shared" si="34"/>
        <v>119</v>
      </c>
      <c r="U571" s="23">
        <f t="shared" si="35"/>
        <v>122</v>
      </c>
      <c r="V571" s="23">
        <f t="shared" si="36"/>
        <v>126</v>
      </c>
      <c r="W571" s="14" t="s">
        <v>35</v>
      </c>
      <c r="X571" s="14" t="s">
        <v>133</v>
      </c>
      <c r="Y571" s="14" t="s">
        <v>21</v>
      </c>
      <c r="Z571" s="14" t="s">
        <v>22</v>
      </c>
      <c r="AA571" s="14" t="s">
        <v>426</v>
      </c>
      <c r="AB571" s="14" t="s">
        <v>200</v>
      </c>
      <c r="AC571" s="14" t="s">
        <v>53</v>
      </c>
      <c r="AD571" s="14"/>
      <c r="AE571" s="1">
        <v>0</v>
      </c>
      <c r="AF571" s="1"/>
    </row>
    <row r="572" spans="1:32" x14ac:dyDescent="0.2">
      <c r="A572" s="14" t="s">
        <v>426</v>
      </c>
      <c r="B572" s="14" t="s">
        <v>200</v>
      </c>
      <c r="C572" s="14" t="s">
        <v>53</v>
      </c>
      <c r="D572" s="14" t="s">
        <v>1353</v>
      </c>
      <c r="E572" s="14" t="s">
        <v>17</v>
      </c>
      <c r="F572" s="14">
        <v>2</v>
      </c>
      <c r="G572" s="14" t="s">
        <v>612</v>
      </c>
      <c r="H572" s="14" t="s">
        <v>35</v>
      </c>
      <c r="I572" s="14" t="s">
        <v>133</v>
      </c>
      <c r="J572" s="13" t="s">
        <v>1356</v>
      </c>
      <c r="K572" s="14" t="s">
        <v>21</v>
      </c>
      <c r="L572" s="14" t="s">
        <v>22</v>
      </c>
      <c r="M572" s="14" t="s">
        <v>134</v>
      </c>
      <c r="N572" s="13">
        <v>571</v>
      </c>
      <c r="O572" s="30">
        <v>45770</v>
      </c>
      <c r="P572" s="30">
        <v>45776</v>
      </c>
      <c r="Q572" s="30">
        <v>45779</v>
      </c>
      <c r="R572" s="30">
        <v>45783</v>
      </c>
      <c r="S572" s="23">
        <f t="shared" si="33"/>
        <v>113</v>
      </c>
      <c r="T572" s="23">
        <f t="shared" si="34"/>
        <v>119</v>
      </c>
      <c r="U572" s="23">
        <f t="shared" si="35"/>
        <v>122</v>
      </c>
      <c r="V572" s="23">
        <f t="shared" si="36"/>
        <v>126</v>
      </c>
      <c r="W572" s="14" t="s">
        <v>35</v>
      </c>
      <c r="X572" s="14" t="s">
        <v>133</v>
      </c>
      <c r="Y572" s="14" t="s">
        <v>21</v>
      </c>
      <c r="Z572" s="14" t="s">
        <v>22</v>
      </c>
      <c r="AA572" s="14" t="s">
        <v>426</v>
      </c>
      <c r="AB572" s="14" t="s">
        <v>200</v>
      </c>
      <c r="AC572" s="14" t="s">
        <v>53</v>
      </c>
      <c r="AD572" s="14"/>
      <c r="AE572" s="1">
        <v>0</v>
      </c>
      <c r="AF572" s="1"/>
    </row>
    <row r="573" spans="1:32" x14ac:dyDescent="0.2">
      <c r="A573" s="14" t="s">
        <v>426</v>
      </c>
      <c r="B573" s="14" t="s">
        <v>200</v>
      </c>
      <c r="C573" s="14" t="s">
        <v>53</v>
      </c>
      <c r="D573" s="14" t="s">
        <v>1353</v>
      </c>
      <c r="E573" s="14" t="s">
        <v>24</v>
      </c>
      <c r="F573" s="14">
        <v>2</v>
      </c>
      <c r="G573" s="14" t="s">
        <v>613</v>
      </c>
      <c r="H573" s="14" t="s">
        <v>35</v>
      </c>
      <c r="I573" s="14" t="s">
        <v>133</v>
      </c>
      <c r="J573" s="13" t="s">
        <v>1357</v>
      </c>
      <c r="K573" s="14" t="s">
        <v>21</v>
      </c>
      <c r="L573" s="14" t="s">
        <v>22</v>
      </c>
      <c r="M573" s="14" t="s">
        <v>134</v>
      </c>
      <c r="N573" s="13">
        <v>572</v>
      </c>
      <c r="O573" s="30">
        <v>45751</v>
      </c>
      <c r="P573" s="30">
        <v>45758</v>
      </c>
      <c r="Q573" s="30">
        <v>45765</v>
      </c>
      <c r="R573" s="30">
        <v>45776</v>
      </c>
      <c r="S573" s="23">
        <f t="shared" si="33"/>
        <v>94</v>
      </c>
      <c r="T573" s="23">
        <f t="shared" si="34"/>
        <v>101</v>
      </c>
      <c r="U573" s="23">
        <f t="shared" si="35"/>
        <v>108</v>
      </c>
      <c r="V573" s="23">
        <f t="shared" si="36"/>
        <v>119</v>
      </c>
      <c r="W573" s="14" t="s">
        <v>35</v>
      </c>
      <c r="X573" s="14" t="s">
        <v>133</v>
      </c>
      <c r="Y573" s="14" t="s">
        <v>21</v>
      </c>
      <c r="Z573" s="14" t="s">
        <v>22</v>
      </c>
      <c r="AA573" s="14" t="s">
        <v>426</v>
      </c>
      <c r="AB573" s="14" t="s">
        <v>200</v>
      </c>
      <c r="AC573" s="14" t="s">
        <v>53</v>
      </c>
      <c r="AD573" s="14"/>
      <c r="AE573" s="1">
        <v>0</v>
      </c>
      <c r="AF573" s="1"/>
    </row>
    <row r="574" spans="1:32" x14ac:dyDescent="0.2">
      <c r="A574" s="14" t="s">
        <v>426</v>
      </c>
      <c r="B574" s="14" t="s">
        <v>200</v>
      </c>
      <c r="C574" s="14" t="s">
        <v>53</v>
      </c>
      <c r="D574" s="14" t="s">
        <v>1353</v>
      </c>
      <c r="E574" s="14" t="s">
        <v>17</v>
      </c>
      <c r="F574" s="14">
        <v>3</v>
      </c>
      <c r="G574" s="14" t="s">
        <v>614</v>
      </c>
      <c r="H574" s="14" t="s">
        <v>35</v>
      </c>
      <c r="I574" s="14" t="s">
        <v>133</v>
      </c>
      <c r="J574" s="13" t="s">
        <v>1358</v>
      </c>
      <c r="K574" s="14" t="s">
        <v>21</v>
      </c>
      <c r="L574" s="14" t="s">
        <v>22</v>
      </c>
      <c r="M574" s="14" t="s">
        <v>134</v>
      </c>
      <c r="N574" s="13">
        <v>573</v>
      </c>
      <c r="O574" s="30">
        <v>45762</v>
      </c>
      <c r="P574" s="30">
        <v>45779</v>
      </c>
      <c r="Q574" s="30">
        <v>45783</v>
      </c>
      <c r="R574" s="30">
        <v>45786</v>
      </c>
      <c r="S574" s="23">
        <f t="shared" si="33"/>
        <v>105</v>
      </c>
      <c r="T574" s="23">
        <f t="shared" si="34"/>
        <v>122</v>
      </c>
      <c r="U574" s="23">
        <f t="shared" si="35"/>
        <v>126</v>
      </c>
      <c r="V574" s="23">
        <f t="shared" si="36"/>
        <v>129</v>
      </c>
      <c r="W574" s="14" t="s">
        <v>35</v>
      </c>
      <c r="X574" s="14" t="s">
        <v>133</v>
      </c>
      <c r="Y574" s="14" t="s">
        <v>21</v>
      </c>
      <c r="Z574" s="14" t="s">
        <v>22</v>
      </c>
      <c r="AA574" s="14" t="s">
        <v>426</v>
      </c>
      <c r="AB574" s="14" t="s">
        <v>200</v>
      </c>
      <c r="AC574" s="14" t="s">
        <v>53</v>
      </c>
      <c r="AD574" s="14"/>
      <c r="AE574" s="1">
        <v>0</v>
      </c>
      <c r="AF574" s="1"/>
    </row>
    <row r="575" spans="1:32" x14ac:dyDescent="0.2">
      <c r="A575" s="14" t="s">
        <v>426</v>
      </c>
      <c r="B575" s="14" t="s">
        <v>200</v>
      </c>
      <c r="C575" s="14" t="s">
        <v>53</v>
      </c>
      <c r="D575" s="14" t="s">
        <v>1353</v>
      </c>
      <c r="E575" s="14" t="s">
        <v>24</v>
      </c>
      <c r="F575" s="14">
        <v>3</v>
      </c>
      <c r="G575" s="14" t="s">
        <v>615</v>
      </c>
      <c r="H575" s="14" t="s">
        <v>35</v>
      </c>
      <c r="I575" s="14" t="s">
        <v>133</v>
      </c>
      <c r="J575" s="13" t="s">
        <v>1359</v>
      </c>
      <c r="K575" s="14" t="s">
        <v>21</v>
      </c>
      <c r="L575" s="14" t="s">
        <v>22</v>
      </c>
      <c r="M575" s="14" t="s">
        <v>134</v>
      </c>
      <c r="N575" s="13">
        <v>574</v>
      </c>
      <c r="O575" s="30">
        <v>45755</v>
      </c>
      <c r="P575" s="30">
        <v>45765</v>
      </c>
      <c r="Q575" s="30">
        <v>45772</v>
      </c>
      <c r="R575" s="30">
        <v>45776</v>
      </c>
      <c r="S575" s="23">
        <f t="shared" si="33"/>
        <v>98</v>
      </c>
      <c r="T575" s="23">
        <f t="shared" si="34"/>
        <v>108</v>
      </c>
      <c r="U575" s="23">
        <f t="shared" si="35"/>
        <v>115</v>
      </c>
      <c r="V575" s="23">
        <f t="shared" si="36"/>
        <v>119</v>
      </c>
      <c r="W575" s="14" t="s">
        <v>35</v>
      </c>
      <c r="X575" s="14" t="s">
        <v>133</v>
      </c>
      <c r="Y575" s="14" t="s">
        <v>21</v>
      </c>
      <c r="Z575" s="14" t="s">
        <v>22</v>
      </c>
      <c r="AA575" s="14" t="s">
        <v>426</v>
      </c>
      <c r="AB575" s="14" t="s">
        <v>200</v>
      </c>
      <c r="AC575" s="14" t="s">
        <v>53</v>
      </c>
      <c r="AD575" s="14"/>
      <c r="AE575" s="1">
        <v>0</v>
      </c>
      <c r="AF575" s="1"/>
    </row>
    <row r="576" spans="1:32" x14ac:dyDescent="0.2">
      <c r="A576" s="14" t="s">
        <v>426</v>
      </c>
      <c r="B576" s="14" t="s">
        <v>200</v>
      </c>
      <c r="C576" s="14" t="s">
        <v>53</v>
      </c>
      <c r="D576" s="14" t="s">
        <v>1353</v>
      </c>
      <c r="E576" s="14" t="s">
        <v>17</v>
      </c>
      <c r="F576" s="14">
        <v>4</v>
      </c>
      <c r="G576" s="14" t="s">
        <v>616</v>
      </c>
      <c r="H576" s="14" t="s">
        <v>35</v>
      </c>
      <c r="I576" s="14" t="s">
        <v>133</v>
      </c>
      <c r="J576" s="13" t="s">
        <v>1360</v>
      </c>
      <c r="K576" s="14" t="s">
        <v>21</v>
      </c>
      <c r="L576" s="14" t="s">
        <v>22</v>
      </c>
      <c r="M576" s="14" t="s">
        <v>134</v>
      </c>
      <c r="N576" s="13">
        <v>575</v>
      </c>
      <c r="O576" s="30">
        <v>45755</v>
      </c>
      <c r="P576" s="30">
        <v>45762</v>
      </c>
      <c r="Q576" s="30">
        <v>45776</v>
      </c>
      <c r="R576" s="30">
        <v>45779</v>
      </c>
      <c r="S576" s="23">
        <f t="shared" si="33"/>
        <v>98</v>
      </c>
      <c r="T576" s="23">
        <f t="shared" si="34"/>
        <v>105</v>
      </c>
      <c r="U576" s="23">
        <f t="shared" si="35"/>
        <v>119</v>
      </c>
      <c r="V576" s="23">
        <f t="shared" si="36"/>
        <v>122</v>
      </c>
      <c r="W576" s="14" t="s">
        <v>35</v>
      </c>
      <c r="X576" s="14" t="s">
        <v>133</v>
      </c>
      <c r="Y576" s="14" t="s">
        <v>21</v>
      </c>
      <c r="Z576" s="14" t="s">
        <v>22</v>
      </c>
      <c r="AA576" s="14" t="s">
        <v>426</v>
      </c>
      <c r="AB576" s="14" t="s">
        <v>200</v>
      </c>
      <c r="AC576" s="14" t="s">
        <v>53</v>
      </c>
      <c r="AD576" s="14"/>
      <c r="AE576" s="1">
        <v>0</v>
      </c>
      <c r="AF576" s="1"/>
    </row>
    <row r="577" spans="1:32" x14ac:dyDescent="0.2">
      <c r="A577" s="14" t="s">
        <v>426</v>
      </c>
      <c r="B577" s="14" t="s">
        <v>200</v>
      </c>
      <c r="C577" s="14" t="s">
        <v>53</v>
      </c>
      <c r="D577" s="14" t="s">
        <v>1353</v>
      </c>
      <c r="E577" s="14" t="s">
        <v>24</v>
      </c>
      <c r="F577" s="14">
        <v>4</v>
      </c>
      <c r="G577" s="14" t="s">
        <v>617</v>
      </c>
      <c r="H577" s="14" t="s">
        <v>35</v>
      </c>
      <c r="I577" s="14" t="s">
        <v>133</v>
      </c>
      <c r="J577" s="13" t="s">
        <v>1361</v>
      </c>
      <c r="K577" s="14" t="s">
        <v>21</v>
      </c>
      <c r="L577" s="14" t="s">
        <v>22</v>
      </c>
      <c r="M577" s="14" t="s">
        <v>134</v>
      </c>
      <c r="N577" s="13">
        <v>576</v>
      </c>
      <c r="O577" s="30">
        <v>45755</v>
      </c>
      <c r="P577" s="30">
        <v>45762</v>
      </c>
      <c r="Q577" s="30">
        <v>45772</v>
      </c>
      <c r="R577" s="30">
        <v>45779</v>
      </c>
      <c r="S577" s="23">
        <f t="shared" si="33"/>
        <v>98</v>
      </c>
      <c r="T577" s="23">
        <f t="shared" si="34"/>
        <v>105</v>
      </c>
      <c r="U577" s="23">
        <f t="shared" si="35"/>
        <v>115</v>
      </c>
      <c r="V577" s="23">
        <f t="shared" si="36"/>
        <v>122</v>
      </c>
      <c r="W577" s="14" t="s">
        <v>35</v>
      </c>
      <c r="X577" s="14" t="s">
        <v>133</v>
      </c>
      <c r="Y577" s="14" t="s">
        <v>21</v>
      </c>
      <c r="Z577" s="14" t="s">
        <v>22</v>
      </c>
      <c r="AA577" s="14" t="s">
        <v>426</v>
      </c>
      <c r="AB577" s="14" t="s">
        <v>200</v>
      </c>
      <c r="AC577" s="14" t="s">
        <v>53</v>
      </c>
      <c r="AD577" s="14"/>
      <c r="AE577" s="1">
        <v>0</v>
      </c>
      <c r="AF577" s="1"/>
    </row>
    <row r="578" spans="1:32" x14ac:dyDescent="0.2">
      <c r="A578" s="32"/>
      <c r="B578" s="32"/>
      <c r="C578" s="32"/>
      <c r="D578" s="32"/>
      <c r="E578" s="32"/>
      <c r="F578" s="32"/>
      <c r="G578" s="32"/>
      <c r="H578" s="32"/>
      <c r="I578" s="32"/>
      <c r="J578" s="33"/>
      <c r="K578" s="32"/>
      <c r="L578" s="32"/>
      <c r="M578" s="32"/>
      <c r="N578" s="33"/>
      <c r="R578" s="9"/>
      <c r="S578" s="23"/>
      <c r="T578" s="23"/>
      <c r="U578" s="23"/>
      <c r="V578" s="23"/>
      <c r="W578" s="1"/>
      <c r="X578" s="1"/>
      <c r="Y578" s="1"/>
      <c r="Z578" s="1"/>
      <c r="AE578" s="9"/>
    </row>
    <row r="579" spans="1:32" x14ac:dyDescent="0.2">
      <c r="A579" s="34" t="s">
        <v>14</v>
      </c>
      <c r="B579" s="34" t="s">
        <v>15</v>
      </c>
      <c r="C579" s="34" t="s">
        <v>42</v>
      </c>
      <c r="D579" s="34" t="s">
        <v>727</v>
      </c>
      <c r="E579" s="34" t="s">
        <v>618</v>
      </c>
      <c r="F579" s="34">
        <v>1</v>
      </c>
      <c r="G579" s="34" t="s">
        <v>1362</v>
      </c>
      <c r="H579" s="34" t="s">
        <v>11</v>
      </c>
      <c r="I579" s="34" t="s">
        <v>20</v>
      </c>
      <c r="J579" s="13" t="s">
        <v>1363</v>
      </c>
      <c r="K579" s="15" t="s">
        <v>21</v>
      </c>
      <c r="L579" s="15" t="s">
        <v>44</v>
      </c>
      <c r="M579" s="15" t="s">
        <v>45</v>
      </c>
      <c r="N579" s="13">
        <v>601</v>
      </c>
      <c r="O579" s="30">
        <v>45748</v>
      </c>
      <c r="P579" s="30">
        <v>45755</v>
      </c>
      <c r="Q579" s="30">
        <v>45758</v>
      </c>
      <c r="R579" s="30">
        <v>45762</v>
      </c>
      <c r="S579" s="23">
        <f t="shared" ref="S579:S642" si="37">O579-DATE(YEAR(O579),1,1)+1</f>
        <v>91</v>
      </c>
      <c r="T579" s="23">
        <f t="shared" ref="T579:T642" si="38">P579-DATE(YEAR(P579),1,1)+1</f>
        <v>98</v>
      </c>
      <c r="U579" s="23">
        <f t="shared" ref="U579:U642" si="39">Q579-DATE(YEAR(Q579),1,1)+1</f>
        <v>101</v>
      </c>
      <c r="V579" s="23">
        <f t="shared" ref="V579:V642" si="40">R579-DATE(YEAR(R579),1,1)+1</f>
        <v>105</v>
      </c>
      <c r="W579" s="15" t="s">
        <v>11</v>
      </c>
      <c r="X579" s="15" t="s">
        <v>20</v>
      </c>
      <c r="Y579" s="15" t="s">
        <v>21</v>
      </c>
      <c r="Z579" s="15" t="s">
        <v>44</v>
      </c>
      <c r="AA579" s="15" t="s">
        <v>14</v>
      </c>
      <c r="AB579" s="15" t="s">
        <v>15</v>
      </c>
      <c r="AC579" s="15" t="s">
        <v>42</v>
      </c>
      <c r="AD579" s="15"/>
      <c r="AE579" s="1">
        <v>0</v>
      </c>
      <c r="AF579" s="1"/>
    </row>
    <row r="580" spans="1:32" x14ac:dyDescent="0.2">
      <c r="A580" s="34" t="s">
        <v>14</v>
      </c>
      <c r="B580" s="34" t="s">
        <v>15</v>
      </c>
      <c r="C580" s="34" t="s">
        <v>42</v>
      </c>
      <c r="D580" s="34" t="s">
        <v>727</v>
      </c>
      <c r="E580" s="34" t="s">
        <v>619</v>
      </c>
      <c r="F580" s="34">
        <v>1</v>
      </c>
      <c r="G580" s="34" t="s">
        <v>1364</v>
      </c>
      <c r="H580" s="34" t="s">
        <v>11</v>
      </c>
      <c r="I580" s="34" t="s">
        <v>20</v>
      </c>
      <c r="J580" s="13" t="s">
        <v>1365</v>
      </c>
      <c r="K580" s="15" t="s">
        <v>21</v>
      </c>
      <c r="L580" s="15" t="s">
        <v>44</v>
      </c>
      <c r="M580" s="15" t="s">
        <v>45</v>
      </c>
      <c r="N580" s="13">
        <v>602</v>
      </c>
      <c r="O580" s="30">
        <v>45748</v>
      </c>
      <c r="P580" s="30">
        <v>45755</v>
      </c>
      <c r="Q580" s="30">
        <v>45762</v>
      </c>
      <c r="R580" s="30">
        <v>45765</v>
      </c>
      <c r="S580" s="23">
        <f t="shared" si="37"/>
        <v>91</v>
      </c>
      <c r="T580" s="23">
        <f t="shared" si="38"/>
        <v>98</v>
      </c>
      <c r="U580" s="23">
        <f t="shared" si="39"/>
        <v>105</v>
      </c>
      <c r="V580" s="23">
        <f t="shared" si="40"/>
        <v>108</v>
      </c>
      <c r="W580" s="15" t="s">
        <v>11</v>
      </c>
      <c r="X580" s="15" t="s">
        <v>20</v>
      </c>
      <c r="Y580" s="15" t="s">
        <v>21</v>
      </c>
      <c r="Z580" s="15" t="s">
        <v>44</v>
      </c>
      <c r="AA580" s="15" t="s">
        <v>14</v>
      </c>
      <c r="AB580" s="15" t="s">
        <v>15</v>
      </c>
      <c r="AC580" s="15" t="s">
        <v>42</v>
      </c>
      <c r="AD580" s="15"/>
      <c r="AE580" s="1">
        <v>0</v>
      </c>
      <c r="AF580" s="1"/>
    </row>
    <row r="581" spans="1:32" x14ac:dyDescent="0.2">
      <c r="A581" s="34" t="s">
        <v>14</v>
      </c>
      <c r="B581" s="34" t="s">
        <v>15</v>
      </c>
      <c r="C581" s="34" t="s">
        <v>42</v>
      </c>
      <c r="D581" s="34" t="s">
        <v>727</v>
      </c>
      <c r="E581" s="34" t="s">
        <v>620</v>
      </c>
      <c r="F581" s="34">
        <v>1</v>
      </c>
      <c r="G581" s="34" t="s">
        <v>1366</v>
      </c>
      <c r="H581" s="34" t="s">
        <v>11</v>
      </c>
      <c r="I581" s="34" t="s">
        <v>20</v>
      </c>
      <c r="J581" s="13" t="s">
        <v>1367</v>
      </c>
      <c r="K581" s="15" t="s">
        <v>21</v>
      </c>
      <c r="L581" s="15" t="s">
        <v>44</v>
      </c>
      <c r="M581" s="15" t="s">
        <v>45</v>
      </c>
      <c r="N581" s="13">
        <v>603</v>
      </c>
      <c r="O581" s="30">
        <v>45748</v>
      </c>
      <c r="P581" s="30">
        <v>45755</v>
      </c>
      <c r="Q581" s="30">
        <v>45762</v>
      </c>
      <c r="R581" s="30">
        <v>45765</v>
      </c>
      <c r="S581" s="23">
        <f t="shared" si="37"/>
        <v>91</v>
      </c>
      <c r="T581" s="23">
        <f t="shared" si="38"/>
        <v>98</v>
      </c>
      <c r="U581" s="23">
        <f t="shared" si="39"/>
        <v>105</v>
      </c>
      <c r="V581" s="23">
        <f t="shared" si="40"/>
        <v>108</v>
      </c>
      <c r="W581" s="15" t="s">
        <v>11</v>
      </c>
      <c r="X581" s="15" t="s">
        <v>20</v>
      </c>
      <c r="Y581" s="15" t="s">
        <v>21</v>
      </c>
      <c r="Z581" s="15" t="s">
        <v>44</v>
      </c>
      <c r="AA581" s="15" t="s">
        <v>14</v>
      </c>
      <c r="AB581" s="15" t="s">
        <v>15</v>
      </c>
      <c r="AC581" s="15" t="s">
        <v>42</v>
      </c>
      <c r="AD581" s="15"/>
      <c r="AE581" s="1">
        <v>0</v>
      </c>
      <c r="AF581" s="1"/>
    </row>
    <row r="582" spans="1:32" x14ac:dyDescent="0.2">
      <c r="A582" s="34" t="s">
        <v>14</v>
      </c>
      <c r="B582" s="34" t="s">
        <v>15</v>
      </c>
      <c r="C582" s="34" t="s">
        <v>42</v>
      </c>
      <c r="D582" s="34" t="s">
        <v>727</v>
      </c>
      <c r="E582" s="34" t="s">
        <v>618</v>
      </c>
      <c r="F582" s="34">
        <v>2</v>
      </c>
      <c r="G582" s="34" t="s">
        <v>1368</v>
      </c>
      <c r="H582" s="34" t="s">
        <v>11</v>
      </c>
      <c r="I582" s="34" t="s">
        <v>20</v>
      </c>
      <c r="J582" s="13" t="s">
        <v>1369</v>
      </c>
      <c r="K582" s="15" t="s">
        <v>21</v>
      </c>
      <c r="L582" s="15" t="s">
        <v>44</v>
      </c>
      <c r="M582" s="15" t="s">
        <v>45</v>
      </c>
      <c r="N582" s="13">
        <v>604</v>
      </c>
      <c r="O582" s="30">
        <v>45748</v>
      </c>
      <c r="P582" s="30">
        <v>45755</v>
      </c>
      <c r="Q582" s="30">
        <v>45758</v>
      </c>
      <c r="R582" s="30">
        <v>45762</v>
      </c>
      <c r="S582" s="23">
        <f t="shared" si="37"/>
        <v>91</v>
      </c>
      <c r="T582" s="23">
        <f t="shared" si="38"/>
        <v>98</v>
      </c>
      <c r="U582" s="23">
        <f t="shared" si="39"/>
        <v>101</v>
      </c>
      <c r="V582" s="23">
        <f t="shared" si="40"/>
        <v>105</v>
      </c>
      <c r="W582" s="15" t="s">
        <v>11</v>
      </c>
      <c r="X582" s="15" t="s">
        <v>20</v>
      </c>
      <c r="Y582" s="15" t="s">
        <v>21</v>
      </c>
      <c r="Z582" s="15" t="s">
        <v>44</v>
      </c>
      <c r="AA582" s="15" t="s">
        <v>14</v>
      </c>
      <c r="AB582" s="15" t="s">
        <v>15</v>
      </c>
      <c r="AC582" s="15" t="s">
        <v>42</v>
      </c>
      <c r="AD582" s="15"/>
      <c r="AE582" s="1">
        <v>0</v>
      </c>
      <c r="AF582" s="1"/>
    </row>
    <row r="583" spans="1:32" x14ac:dyDescent="0.2">
      <c r="A583" s="34" t="s">
        <v>14</v>
      </c>
      <c r="B583" s="34" t="s">
        <v>15</v>
      </c>
      <c r="C583" s="34" t="s">
        <v>42</v>
      </c>
      <c r="D583" s="34" t="s">
        <v>727</v>
      </c>
      <c r="E583" s="34" t="s">
        <v>619</v>
      </c>
      <c r="F583" s="34">
        <v>2</v>
      </c>
      <c r="G583" s="34" t="s">
        <v>1370</v>
      </c>
      <c r="H583" s="34" t="s">
        <v>11</v>
      </c>
      <c r="I583" s="34" t="s">
        <v>20</v>
      </c>
      <c r="J583" s="13" t="s">
        <v>1371</v>
      </c>
      <c r="K583" s="15" t="s">
        <v>21</v>
      </c>
      <c r="L583" s="15" t="s">
        <v>44</v>
      </c>
      <c r="M583" s="15" t="s">
        <v>45</v>
      </c>
      <c r="N583" s="13">
        <v>605</v>
      </c>
      <c r="O583" s="30">
        <v>45748</v>
      </c>
      <c r="P583" s="30">
        <v>45755</v>
      </c>
      <c r="Q583" s="30">
        <v>45758</v>
      </c>
      <c r="R583" s="30">
        <v>45765</v>
      </c>
      <c r="S583" s="23">
        <f t="shared" si="37"/>
        <v>91</v>
      </c>
      <c r="T583" s="23">
        <f t="shared" si="38"/>
        <v>98</v>
      </c>
      <c r="U583" s="23">
        <f t="shared" si="39"/>
        <v>101</v>
      </c>
      <c r="V583" s="23">
        <f t="shared" si="40"/>
        <v>108</v>
      </c>
      <c r="W583" s="15" t="s">
        <v>11</v>
      </c>
      <c r="X583" s="15" t="s">
        <v>20</v>
      </c>
      <c r="Y583" s="15" t="s">
        <v>21</v>
      </c>
      <c r="Z583" s="15" t="s">
        <v>44</v>
      </c>
      <c r="AA583" s="15" t="s">
        <v>14</v>
      </c>
      <c r="AB583" s="15" t="s">
        <v>15</v>
      </c>
      <c r="AC583" s="15" t="s">
        <v>42</v>
      </c>
      <c r="AD583" s="15"/>
      <c r="AE583" s="1">
        <v>0</v>
      </c>
      <c r="AF583" s="1"/>
    </row>
    <row r="584" spans="1:32" x14ac:dyDescent="0.2">
      <c r="A584" s="34" t="s">
        <v>14</v>
      </c>
      <c r="B584" s="34" t="s">
        <v>15</v>
      </c>
      <c r="C584" s="34" t="s">
        <v>42</v>
      </c>
      <c r="D584" s="34" t="s">
        <v>727</v>
      </c>
      <c r="E584" s="34" t="s">
        <v>620</v>
      </c>
      <c r="F584" s="34">
        <v>2</v>
      </c>
      <c r="G584" s="34" t="s">
        <v>1372</v>
      </c>
      <c r="H584" s="34" t="s">
        <v>11</v>
      </c>
      <c r="I584" s="34" t="s">
        <v>20</v>
      </c>
      <c r="J584" s="13" t="s">
        <v>1373</v>
      </c>
      <c r="K584" s="15" t="s">
        <v>21</v>
      </c>
      <c r="L584" s="15" t="s">
        <v>44</v>
      </c>
      <c r="M584" s="15" t="s">
        <v>45</v>
      </c>
      <c r="N584" s="13">
        <v>606</v>
      </c>
      <c r="O584" s="30">
        <v>45748</v>
      </c>
      <c r="P584" s="30">
        <v>45755</v>
      </c>
      <c r="Q584" s="30">
        <v>45762</v>
      </c>
      <c r="R584" s="30">
        <v>45770</v>
      </c>
      <c r="S584" s="23">
        <f t="shared" si="37"/>
        <v>91</v>
      </c>
      <c r="T584" s="23">
        <f t="shared" si="38"/>
        <v>98</v>
      </c>
      <c r="U584" s="23">
        <f t="shared" si="39"/>
        <v>105</v>
      </c>
      <c r="V584" s="23">
        <f t="shared" si="40"/>
        <v>113</v>
      </c>
      <c r="W584" s="15" t="s">
        <v>11</v>
      </c>
      <c r="X584" s="15" t="s">
        <v>20</v>
      </c>
      <c r="Y584" s="15" t="s">
        <v>21</v>
      </c>
      <c r="Z584" s="15" t="s">
        <v>44</v>
      </c>
      <c r="AA584" s="15" t="s">
        <v>14</v>
      </c>
      <c r="AB584" s="15" t="s">
        <v>15</v>
      </c>
      <c r="AC584" s="15" t="s">
        <v>42</v>
      </c>
      <c r="AD584" s="15"/>
      <c r="AE584" s="1">
        <v>0</v>
      </c>
      <c r="AF584" s="1"/>
    </row>
    <row r="585" spans="1:32" x14ac:dyDescent="0.2">
      <c r="A585" s="35" t="s">
        <v>14</v>
      </c>
      <c r="B585" s="35" t="s">
        <v>15</v>
      </c>
      <c r="C585" s="35" t="s">
        <v>53</v>
      </c>
      <c r="D585" s="31" t="s">
        <v>736</v>
      </c>
      <c r="E585" s="35" t="s">
        <v>618</v>
      </c>
      <c r="F585" s="35">
        <v>1</v>
      </c>
      <c r="G585" s="35" t="s">
        <v>1374</v>
      </c>
      <c r="H585" s="35" t="s">
        <v>11</v>
      </c>
      <c r="I585" s="35" t="s">
        <v>20</v>
      </c>
      <c r="J585" s="21" t="s">
        <v>1375</v>
      </c>
      <c r="K585" s="22" t="s">
        <v>21</v>
      </c>
      <c r="L585" s="22" t="s">
        <v>44</v>
      </c>
      <c r="M585" s="22" t="s">
        <v>45</v>
      </c>
      <c r="N585" s="21">
        <v>607</v>
      </c>
      <c r="O585" s="29">
        <v>45748</v>
      </c>
      <c r="P585" s="29">
        <v>45751</v>
      </c>
      <c r="Q585" s="29">
        <v>45755</v>
      </c>
      <c r="R585" s="29">
        <v>45762</v>
      </c>
      <c r="S585" s="23">
        <f t="shared" si="37"/>
        <v>91</v>
      </c>
      <c r="T585" s="23">
        <f t="shared" si="38"/>
        <v>94</v>
      </c>
      <c r="U585" s="23">
        <f t="shared" si="39"/>
        <v>98</v>
      </c>
      <c r="V585" s="23">
        <f t="shared" si="40"/>
        <v>105</v>
      </c>
      <c r="W585" s="22" t="s">
        <v>11</v>
      </c>
      <c r="X585" s="22" t="s">
        <v>20</v>
      </c>
      <c r="Y585" s="22" t="s">
        <v>21</v>
      </c>
      <c r="Z585" s="22" t="s">
        <v>44</v>
      </c>
      <c r="AA585" s="22" t="s">
        <v>14</v>
      </c>
      <c r="AB585" s="22" t="s">
        <v>15</v>
      </c>
      <c r="AC585" s="22" t="s">
        <v>53</v>
      </c>
      <c r="AD585" s="22"/>
      <c r="AE585" s="2">
        <v>0</v>
      </c>
      <c r="AF585" s="2"/>
    </row>
    <row r="586" spans="1:32" x14ac:dyDescent="0.2">
      <c r="A586" s="35" t="s">
        <v>14</v>
      </c>
      <c r="B586" s="35" t="s">
        <v>15</v>
      </c>
      <c r="C586" s="35" t="s">
        <v>53</v>
      </c>
      <c r="D586" s="31" t="s">
        <v>736</v>
      </c>
      <c r="E586" s="35" t="s">
        <v>619</v>
      </c>
      <c r="F586" s="35">
        <v>1</v>
      </c>
      <c r="G586" s="35" t="s">
        <v>1376</v>
      </c>
      <c r="H586" s="35" t="s">
        <v>11</v>
      </c>
      <c r="I586" s="35" t="s">
        <v>20</v>
      </c>
      <c r="J586" s="21" t="s">
        <v>1377</v>
      </c>
      <c r="K586" s="22" t="s">
        <v>21</v>
      </c>
      <c r="L586" s="22" t="s">
        <v>44</v>
      </c>
      <c r="M586" s="22" t="s">
        <v>45</v>
      </c>
      <c r="N586" s="21">
        <v>608</v>
      </c>
      <c r="O586" s="29">
        <v>45748</v>
      </c>
      <c r="P586" s="29">
        <v>45755</v>
      </c>
      <c r="Q586" s="29">
        <v>45758</v>
      </c>
      <c r="R586" s="29">
        <v>45762</v>
      </c>
      <c r="S586" s="23">
        <f t="shared" si="37"/>
        <v>91</v>
      </c>
      <c r="T586" s="23">
        <f t="shared" si="38"/>
        <v>98</v>
      </c>
      <c r="U586" s="23">
        <f t="shared" si="39"/>
        <v>101</v>
      </c>
      <c r="V586" s="23">
        <f t="shared" si="40"/>
        <v>105</v>
      </c>
      <c r="W586" s="22" t="s">
        <v>11</v>
      </c>
      <c r="X586" s="22" t="s">
        <v>20</v>
      </c>
      <c r="Y586" s="22" t="s">
        <v>21</v>
      </c>
      <c r="Z586" s="22" t="s">
        <v>44</v>
      </c>
      <c r="AA586" s="22" t="s">
        <v>14</v>
      </c>
      <c r="AB586" s="22" t="s">
        <v>15</v>
      </c>
      <c r="AC586" s="22" t="s">
        <v>53</v>
      </c>
      <c r="AD586" s="22"/>
      <c r="AE586" s="2">
        <v>0</v>
      </c>
      <c r="AF586" s="2"/>
    </row>
    <row r="587" spans="1:32" x14ac:dyDescent="0.2">
      <c r="A587" s="35" t="s">
        <v>14</v>
      </c>
      <c r="B587" s="35" t="s">
        <v>15</v>
      </c>
      <c r="C587" s="35" t="s">
        <v>53</v>
      </c>
      <c r="D587" s="31" t="s">
        <v>736</v>
      </c>
      <c r="E587" s="35" t="s">
        <v>620</v>
      </c>
      <c r="F587" s="35">
        <v>1</v>
      </c>
      <c r="G587" s="35" t="s">
        <v>1378</v>
      </c>
      <c r="H587" s="35" t="s">
        <v>11</v>
      </c>
      <c r="I587" s="35" t="s">
        <v>20</v>
      </c>
      <c r="J587" s="21" t="s">
        <v>1379</v>
      </c>
      <c r="K587" s="22" t="s">
        <v>21</v>
      </c>
      <c r="L587" s="22" t="s">
        <v>44</v>
      </c>
      <c r="M587" s="22" t="s">
        <v>45</v>
      </c>
      <c r="N587" s="21">
        <v>609</v>
      </c>
      <c r="O587" s="29">
        <v>45748</v>
      </c>
      <c r="P587" s="29">
        <v>45755</v>
      </c>
      <c r="Q587" s="29">
        <v>45762</v>
      </c>
      <c r="R587" s="29">
        <v>45765</v>
      </c>
      <c r="S587" s="23">
        <f t="shared" si="37"/>
        <v>91</v>
      </c>
      <c r="T587" s="23">
        <f t="shared" si="38"/>
        <v>98</v>
      </c>
      <c r="U587" s="23">
        <f t="shared" si="39"/>
        <v>105</v>
      </c>
      <c r="V587" s="23">
        <f t="shared" si="40"/>
        <v>108</v>
      </c>
      <c r="W587" s="22" t="s">
        <v>11</v>
      </c>
      <c r="X587" s="22" t="s">
        <v>20</v>
      </c>
      <c r="Y587" s="22" t="s">
        <v>21</v>
      </c>
      <c r="Z587" s="22" t="s">
        <v>44</v>
      </c>
      <c r="AA587" s="22" t="s">
        <v>14</v>
      </c>
      <c r="AB587" s="22" t="s">
        <v>15</v>
      </c>
      <c r="AC587" s="22" t="s">
        <v>53</v>
      </c>
      <c r="AD587" s="22"/>
      <c r="AE587" s="2">
        <v>0</v>
      </c>
      <c r="AF587" s="2"/>
    </row>
    <row r="588" spans="1:32" x14ac:dyDescent="0.2">
      <c r="A588" s="35" t="s">
        <v>14</v>
      </c>
      <c r="B588" s="35" t="s">
        <v>15</v>
      </c>
      <c r="C588" s="35" t="s">
        <v>53</v>
      </c>
      <c r="D588" s="31" t="s">
        <v>736</v>
      </c>
      <c r="E588" s="35" t="s">
        <v>618</v>
      </c>
      <c r="F588" s="35">
        <v>2</v>
      </c>
      <c r="G588" s="35" t="s">
        <v>1380</v>
      </c>
      <c r="H588" s="35" t="s">
        <v>11</v>
      </c>
      <c r="I588" s="35" t="s">
        <v>20</v>
      </c>
      <c r="J588" s="21" t="s">
        <v>1381</v>
      </c>
      <c r="K588" s="22" t="s">
        <v>21</v>
      </c>
      <c r="L588" s="22" t="s">
        <v>44</v>
      </c>
      <c r="M588" s="22" t="s">
        <v>45</v>
      </c>
      <c r="N588" s="21">
        <v>610</v>
      </c>
      <c r="O588" s="29">
        <v>45748</v>
      </c>
      <c r="P588" s="29">
        <v>45755</v>
      </c>
      <c r="Q588" s="29">
        <v>45758</v>
      </c>
      <c r="R588" s="29">
        <v>45762</v>
      </c>
      <c r="S588" s="23">
        <f t="shared" si="37"/>
        <v>91</v>
      </c>
      <c r="T588" s="23">
        <f t="shared" si="38"/>
        <v>98</v>
      </c>
      <c r="U588" s="23">
        <f t="shared" si="39"/>
        <v>101</v>
      </c>
      <c r="V588" s="23">
        <f t="shared" si="40"/>
        <v>105</v>
      </c>
      <c r="W588" s="22" t="s">
        <v>11</v>
      </c>
      <c r="X588" s="22" t="s">
        <v>20</v>
      </c>
      <c r="Y588" s="22" t="s">
        <v>21</v>
      </c>
      <c r="Z588" s="22" t="s">
        <v>44</v>
      </c>
      <c r="AA588" s="22" t="s">
        <v>14</v>
      </c>
      <c r="AB588" s="22" t="s">
        <v>15</v>
      </c>
      <c r="AC588" s="22" t="s">
        <v>53</v>
      </c>
      <c r="AD588" s="22"/>
      <c r="AE588" s="2">
        <v>0</v>
      </c>
      <c r="AF588" s="2"/>
    </row>
    <row r="589" spans="1:32" x14ac:dyDescent="0.2">
      <c r="A589" s="35" t="s">
        <v>14</v>
      </c>
      <c r="B589" s="35" t="s">
        <v>15</v>
      </c>
      <c r="C589" s="35" t="s">
        <v>53</v>
      </c>
      <c r="D589" s="31" t="s">
        <v>736</v>
      </c>
      <c r="E589" s="35" t="s">
        <v>619</v>
      </c>
      <c r="F589" s="35">
        <v>2</v>
      </c>
      <c r="G589" s="35" t="s">
        <v>1382</v>
      </c>
      <c r="H589" s="35" t="s">
        <v>11</v>
      </c>
      <c r="I589" s="35" t="s">
        <v>20</v>
      </c>
      <c r="J589" s="21" t="s">
        <v>1383</v>
      </c>
      <c r="K589" s="22" t="s">
        <v>21</v>
      </c>
      <c r="L589" s="22" t="s">
        <v>44</v>
      </c>
      <c r="M589" s="22" t="s">
        <v>45</v>
      </c>
      <c r="N589" s="21">
        <v>611</v>
      </c>
      <c r="O589" s="29">
        <v>45748</v>
      </c>
      <c r="P589" s="29">
        <v>45755</v>
      </c>
      <c r="Q589" s="29">
        <v>45758</v>
      </c>
      <c r="R589" s="29">
        <v>45762</v>
      </c>
      <c r="S589" s="23">
        <f t="shared" si="37"/>
        <v>91</v>
      </c>
      <c r="T589" s="23">
        <f t="shared" si="38"/>
        <v>98</v>
      </c>
      <c r="U589" s="23">
        <f t="shared" si="39"/>
        <v>101</v>
      </c>
      <c r="V589" s="23">
        <f t="shared" si="40"/>
        <v>105</v>
      </c>
      <c r="W589" s="22" t="s">
        <v>11</v>
      </c>
      <c r="X589" s="22" t="s">
        <v>20</v>
      </c>
      <c r="Y589" s="22" t="s">
        <v>21</v>
      </c>
      <c r="Z589" s="22" t="s">
        <v>44</v>
      </c>
      <c r="AA589" s="22" t="s">
        <v>14</v>
      </c>
      <c r="AB589" s="22" t="s">
        <v>15</v>
      </c>
      <c r="AC589" s="22" t="s">
        <v>53</v>
      </c>
      <c r="AD589" s="22"/>
      <c r="AE589" s="2">
        <v>0</v>
      </c>
      <c r="AF589" s="2"/>
    </row>
    <row r="590" spans="1:32" x14ac:dyDescent="0.2">
      <c r="A590" s="35" t="s">
        <v>14</v>
      </c>
      <c r="B590" s="35" t="s">
        <v>15</v>
      </c>
      <c r="C590" s="35" t="s">
        <v>53</v>
      </c>
      <c r="D590" s="31" t="s">
        <v>736</v>
      </c>
      <c r="E590" s="35" t="s">
        <v>620</v>
      </c>
      <c r="F590" s="35">
        <v>2</v>
      </c>
      <c r="G590" s="35" t="s">
        <v>1384</v>
      </c>
      <c r="H590" s="35" t="s">
        <v>11</v>
      </c>
      <c r="I590" s="35" t="s">
        <v>20</v>
      </c>
      <c r="J590" s="21" t="s">
        <v>1385</v>
      </c>
      <c r="K590" s="22" t="s">
        <v>21</v>
      </c>
      <c r="L590" s="22" t="s">
        <v>44</v>
      </c>
      <c r="M590" s="22" t="s">
        <v>45</v>
      </c>
      <c r="N590" s="21">
        <v>612</v>
      </c>
      <c r="O590" s="29">
        <v>45748</v>
      </c>
      <c r="P590" s="29">
        <v>45755</v>
      </c>
      <c r="Q590" s="29">
        <v>45762</v>
      </c>
      <c r="R590" s="29">
        <v>45765</v>
      </c>
      <c r="S590" s="23">
        <f t="shared" si="37"/>
        <v>91</v>
      </c>
      <c r="T590" s="23">
        <f t="shared" si="38"/>
        <v>98</v>
      </c>
      <c r="U590" s="23">
        <f t="shared" si="39"/>
        <v>105</v>
      </c>
      <c r="V590" s="23">
        <f t="shared" si="40"/>
        <v>108</v>
      </c>
      <c r="W590" s="22" t="s">
        <v>11</v>
      </c>
      <c r="X590" s="22" t="s">
        <v>20</v>
      </c>
      <c r="Y590" s="22" t="s">
        <v>21</v>
      </c>
      <c r="Z590" s="22" t="s">
        <v>44</v>
      </c>
      <c r="AA590" s="22" t="s">
        <v>14</v>
      </c>
      <c r="AB590" s="22" t="s">
        <v>15</v>
      </c>
      <c r="AC590" s="22" t="s">
        <v>53</v>
      </c>
      <c r="AD590" s="22"/>
      <c r="AE590" s="2">
        <v>0</v>
      </c>
      <c r="AF590" s="2"/>
    </row>
    <row r="591" spans="1:32" x14ac:dyDescent="0.2">
      <c r="A591" s="34" t="s">
        <v>14</v>
      </c>
      <c r="B591" s="34" t="s">
        <v>62</v>
      </c>
      <c r="C591" s="34" t="s">
        <v>16</v>
      </c>
      <c r="D591" s="34" t="s">
        <v>745</v>
      </c>
      <c r="E591" s="34" t="s">
        <v>618</v>
      </c>
      <c r="F591" s="34">
        <v>1</v>
      </c>
      <c r="G591" s="34" t="s">
        <v>1386</v>
      </c>
      <c r="H591" s="34" t="s">
        <v>11</v>
      </c>
      <c r="I591" s="34" t="s">
        <v>20</v>
      </c>
      <c r="J591" s="13" t="s">
        <v>1387</v>
      </c>
      <c r="K591" s="15" t="s">
        <v>64</v>
      </c>
      <c r="L591" s="15" t="s">
        <v>44</v>
      </c>
      <c r="M591" s="15" t="s">
        <v>65</v>
      </c>
      <c r="N591" s="13">
        <v>613</v>
      </c>
      <c r="O591" s="30">
        <v>45748</v>
      </c>
      <c r="P591" s="30">
        <v>45755</v>
      </c>
      <c r="Q591" s="30">
        <v>45762</v>
      </c>
      <c r="R591" s="30">
        <v>45770</v>
      </c>
      <c r="S591" s="23">
        <f t="shared" si="37"/>
        <v>91</v>
      </c>
      <c r="T591" s="23">
        <f t="shared" si="38"/>
        <v>98</v>
      </c>
      <c r="U591" s="23">
        <f t="shared" si="39"/>
        <v>105</v>
      </c>
      <c r="V591" s="23">
        <f t="shared" si="40"/>
        <v>113</v>
      </c>
      <c r="W591" s="15" t="s">
        <v>11</v>
      </c>
      <c r="X591" s="15" t="s">
        <v>20</v>
      </c>
      <c r="Y591" s="15" t="s">
        <v>64</v>
      </c>
      <c r="Z591" s="15" t="s">
        <v>44</v>
      </c>
      <c r="AA591" s="15" t="s">
        <v>14</v>
      </c>
      <c r="AB591" s="15" t="s">
        <v>62</v>
      </c>
      <c r="AC591" s="15" t="s">
        <v>16</v>
      </c>
      <c r="AD591" s="15"/>
      <c r="AE591" s="1">
        <v>0</v>
      </c>
      <c r="AF591" s="1"/>
    </row>
    <row r="592" spans="1:32" x14ac:dyDescent="0.2">
      <c r="A592" s="34" t="s">
        <v>14</v>
      </c>
      <c r="B592" s="34" t="s">
        <v>62</v>
      </c>
      <c r="C592" s="34" t="s">
        <v>16</v>
      </c>
      <c r="D592" s="34" t="s">
        <v>745</v>
      </c>
      <c r="E592" s="34" t="s">
        <v>619</v>
      </c>
      <c r="F592" s="34">
        <v>1</v>
      </c>
      <c r="G592" s="34" t="s">
        <v>1388</v>
      </c>
      <c r="H592" s="34" t="s">
        <v>11</v>
      </c>
      <c r="I592" s="34" t="s">
        <v>20</v>
      </c>
      <c r="J592" s="13" t="s">
        <v>1389</v>
      </c>
      <c r="K592" s="15" t="s">
        <v>64</v>
      </c>
      <c r="L592" s="15" t="s">
        <v>44</v>
      </c>
      <c r="M592" s="15" t="s">
        <v>65</v>
      </c>
      <c r="N592" s="13">
        <v>614</v>
      </c>
      <c r="O592" s="30">
        <v>45748</v>
      </c>
      <c r="P592" s="30">
        <v>45755</v>
      </c>
      <c r="Q592" s="30">
        <v>45762</v>
      </c>
      <c r="R592" s="30">
        <v>45765</v>
      </c>
      <c r="S592" s="23">
        <f t="shared" si="37"/>
        <v>91</v>
      </c>
      <c r="T592" s="23">
        <f t="shared" si="38"/>
        <v>98</v>
      </c>
      <c r="U592" s="23">
        <f t="shared" si="39"/>
        <v>105</v>
      </c>
      <c r="V592" s="23">
        <f t="shared" si="40"/>
        <v>108</v>
      </c>
      <c r="W592" s="15" t="s">
        <v>11</v>
      </c>
      <c r="X592" s="15" t="s">
        <v>20</v>
      </c>
      <c r="Y592" s="15" t="s">
        <v>64</v>
      </c>
      <c r="Z592" s="15" t="s">
        <v>44</v>
      </c>
      <c r="AA592" s="15" t="s">
        <v>14</v>
      </c>
      <c r="AB592" s="15" t="s">
        <v>62</v>
      </c>
      <c r="AC592" s="15" t="s">
        <v>16</v>
      </c>
      <c r="AD592" s="15"/>
      <c r="AE592" s="1">
        <v>0</v>
      </c>
      <c r="AF592" s="1"/>
    </row>
    <row r="593" spans="1:32" x14ac:dyDescent="0.2">
      <c r="A593" s="34" t="s">
        <v>14</v>
      </c>
      <c r="B593" s="34" t="s">
        <v>62</v>
      </c>
      <c r="C593" s="34" t="s">
        <v>16</v>
      </c>
      <c r="D593" s="34" t="s">
        <v>745</v>
      </c>
      <c r="E593" s="34" t="s">
        <v>620</v>
      </c>
      <c r="F593" s="34">
        <v>1</v>
      </c>
      <c r="G593" s="34" t="s">
        <v>1390</v>
      </c>
      <c r="H593" s="34" t="s">
        <v>11</v>
      </c>
      <c r="I593" s="34" t="s">
        <v>20</v>
      </c>
      <c r="J593" s="13" t="s">
        <v>1391</v>
      </c>
      <c r="K593" s="15" t="s">
        <v>64</v>
      </c>
      <c r="L593" s="15" t="s">
        <v>44</v>
      </c>
      <c r="M593" s="15" t="s">
        <v>65</v>
      </c>
      <c r="N593" s="13">
        <v>615</v>
      </c>
      <c r="O593" s="30">
        <v>45748</v>
      </c>
      <c r="P593" s="30">
        <v>45755</v>
      </c>
      <c r="Q593" s="30">
        <v>45762</v>
      </c>
      <c r="R593" s="30">
        <v>45765</v>
      </c>
      <c r="S593" s="23">
        <f t="shared" si="37"/>
        <v>91</v>
      </c>
      <c r="T593" s="23">
        <f t="shared" si="38"/>
        <v>98</v>
      </c>
      <c r="U593" s="23">
        <f t="shared" si="39"/>
        <v>105</v>
      </c>
      <c r="V593" s="23">
        <f t="shared" si="40"/>
        <v>108</v>
      </c>
      <c r="W593" s="15" t="s">
        <v>11</v>
      </c>
      <c r="X593" s="15" t="s">
        <v>20</v>
      </c>
      <c r="Y593" s="15" t="s">
        <v>64</v>
      </c>
      <c r="Z593" s="15" t="s">
        <v>44</v>
      </c>
      <c r="AA593" s="15" t="s">
        <v>14</v>
      </c>
      <c r="AB593" s="15" t="s">
        <v>62</v>
      </c>
      <c r="AC593" s="15" t="s">
        <v>16</v>
      </c>
      <c r="AD593" s="15"/>
      <c r="AE593" s="1">
        <v>0</v>
      </c>
      <c r="AF593" s="1"/>
    </row>
    <row r="594" spans="1:32" x14ac:dyDescent="0.2">
      <c r="A594" s="34" t="s">
        <v>14</v>
      </c>
      <c r="B594" s="34" t="s">
        <v>62</v>
      </c>
      <c r="C594" s="34" t="s">
        <v>16</v>
      </c>
      <c r="D594" s="34" t="s">
        <v>745</v>
      </c>
      <c r="E594" s="34" t="s">
        <v>618</v>
      </c>
      <c r="F594" s="34">
        <v>2</v>
      </c>
      <c r="G594" s="34" t="s">
        <v>1392</v>
      </c>
      <c r="H594" s="34" t="s">
        <v>11</v>
      </c>
      <c r="I594" s="34" t="s">
        <v>20</v>
      </c>
      <c r="J594" s="13" t="s">
        <v>1393</v>
      </c>
      <c r="K594" s="15" t="s">
        <v>64</v>
      </c>
      <c r="L594" s="15" t="s">
        <v>44</v>
      </c>
      <c r="M594" s="15" t="s">
        <v>65</v>
      </c>
      <c r="N594" s="13">
        <v>616</v>
      </c>
      <c r="O594" s="30">
        <v>45748</v>
      </c>
      <c r="P594" s="30">
        <v>45755</v>
      </c>
      <c r="Q594" s="30">
        <v>45762</v>
      </c>
      <c r="R594" s="30">
        <v>45765</v>
      </c>
      <c r="S594" s="23">
        <f t="shared" si="37"/>
        <v>91</v>
      </c>
      <c r="T594" s="23">
        <f t="shared" si="38"/>
        <v>98</v>
      </c>
      <c r="U594" s="23">
        <f t="shared" si="39"/>
        <v>105</v>
      </c>
      <c r="V594" s="23">
        <f t="shared" si="40"/>
        <v>108</v>
      </c>
      <c r="W594" s="15" t="s">
        <v>11</v>
      </c>
      <c r="X594" s="15" t="s">
        <v>20</v>
      </c>
      <c r="Y594" s="15" t="s">
        <v>64</v>
      </c>
      <c r="Z594" s="15" t="s">
        <v>44</v>
      </c>
      <c r="AA594" s="15" t="s">
        <v>14</v>
      </c>
      <c r="AB594" s="15" t="s">
        <v>62</v>
      </c>
      <c r="AC594" s="15" t="s">
        <v>16</v>
      </c>
      <c r="AD594" s="15"/>
      <c r="AE594" s="1">
        <v>0</v>
      </c>
      <c r="AF594" s="1"/>
    </row>
    <row r="595" spans="1:32" x14ac:dyDescent="0.2">
      <c r="A595" s="34" t="s">
        <v>14</v>
      </c>
      <c r="B595" s="34" t="s">
        <v>62</v>
      </c>
      <c r="C595" s="34" t="s">
        <v>16</v>
      </c>
      <c r="D595" s="34" t="s">
        <v>745</v>
      </c>
      <c r="E595" s="34" t="s">
        <v>619</v>
      </c>
      <c r="F595" s="34">
        <v>2</v>
      </c>
      <c r="G595" s="34" t="s">
        <v>1394</v>
      </c>
      <c r="H595" s="34" t="s">
        <v>11</v>
      </c>
      <c r="I595" s="34" t="s">
        <v>20</v>
      </c>
      <c r="J595" s="13" t="s">
        <v>1395</v>
      </c>
      <c r="K595" s="15" t="s">
        <v>64</v>
      </c>
      <c r="L595" s="15" t="s">
        <v>44</v>
      </c>
      <c r="M595" s="15" t="s">
        <v>65</v>
      </c>
      <c r="N595" s="13">
        <v>617</v>
      </c>
      <c r="O595" s="30">
        <v>45748</v>
      </c>
      <c r="P595" s="30">
        <v>45755</v>
      </c>
      <c r="Q595" s="30">
        <v>45758</v>
      </c>
      <c r="R595" s="30">
        <v>45765</v>
      </c>
      <c r="S595" s="23">
        <f t="shared" si="37"/>
        <v>91</v>
      </c>
      <c r="T595" s="23">
        <f t="shared" si="38"/>
        <v>98</v>
      </c>
      <c r="U595" s="23">
        <f t="shared" si="39"/>
        <v>101</v>
      </c>
      <c r="V595" s="23">
        <f t="shared" si="40"/>
        <v>108</v>
      </c>
      <c r="W595" s="15" t="s">
        <v>11</v>
      </c>
      <c r="X595" s="15" t="s">
        <v>20</v>
      </c>
      <c r="Y595" s="15" t="s">
        <v>64</v>
      </c>
      <c r="Z595" s="15" t="s">
        <v>44</v>
      </c>
      <c r="AA595" s="15" t="s">
        <v>14</v>
      </c>
      <c r="AB595" s="15" t="s">
        <v>62</v>
      </c>
      <c r="AC595" s="15" t="s">
        <v>16</v>
      </c>
      <c r="AD595" s="15"/>
      <c r="AE595" s="1">
        <v>0</v>
      </c>
      <c r="AF595" s="1"/>
    </row>
    <row r="596" spans="1:32" x14ac:dyDescent="0.2">
      <c r="A596" s="34" t="s">
        <v>14</v>
      </c>
      <c r="B596" s="34" t="s">
        <v>62</v>
      </c>
      <c r="C596" s="34" t="s">
        <v>16</v>
      </c>
      <c r="D596" s="34" t="s">
        <v>745</v>
      </c>
      <c r="E596" s="34" t="s">
        <v>620</v>
      </c>
      <c r="F596" s="34">
        <v>2</v>
      </c>
      <c r="G596" s="34" t="s">
        <v>1396</v>
      </c>
      <c r="H596" s="34" t="s">
        <v>11</v>
      </c>
      <c r="I596" s="34" t="s">
        <v>20</v>
      </c>
      <c r="J596" s="13" t="s">
        <v>1397</v>
      </c>
      <c r="K596" s="15" t="s">
        <v>64</v>
      </c>
      <c r="L596" s="15" t="s">
        <v>44</v>
      </c>
      <c r="M596" s="15" t="s">
        <v>65</v>
      </c>
      <c r="N596" s="13">
        <v>618</v>
      </c>
      <c r="O596" s="30">
        <v>45748</v>
      </c>
      <c r="P596" s="30">
        <v>45755</v>
      </c>
      <c r="Q596" s="30">
        <v>45758</v>
      </c>
      <c r="R596" s="30">
        <v>45762</v>
      </c>
      <c r="S596" s="23">
        <f t="shared" si="37"/>
        <v>91</v>
      </c>
      <c r="T596" s="23">
        <f t="shared" si="38"/>
        <v>98</v>
      </c>
      <c r="U596" s="23">
        <f t="shared" si="39"/>
        <v>101</v>
      </c>
      <c r="V596" s="23">
        <f t="shared" si="40"/>
        <v>105</v>
      </c>
      <c r="W596" s="15" t="s">
        <v>11</v>
      </c>
      <c r="X596" s="15" t="s">
        <v>20</v>
      </c>
      <c r="Y596" s="15" t="s">
        <v>64</v>
      </c>
      <c r="Z596" s="15" t="s">
        <v>44</v>
      </c>
      <c r="AA596" s="15" t="s">
        <v>14</v>
      </c>
      <c r="AB596" s="15" t="s">
        <v>62</v>
      </c>
      <c r="AC596" s="15" t="s">
        <v>16</v>
      </c>
      <c r="AD596" s="15"/>
      <c r="AE596" s="1">
        <v>0</v>
      </c>
      <c r="AF596" s="1"/>
    </row>
    <row r="597" spans="1:32" x14ac:dyDescent="0.2">
      <c r="A597" s="35" t="s">
        <v>14</v>
      </c>
      <c r="B597" s="35" t="s">
        <v>62</v>
      </c>
      <c r="C597" s="35" t="s">
        <v>42</v>
      </c>
      <c r="D597" s="31" t="s">
        <v>763</v>
      </c>
      <c r="E597" s="35" t="s">
        <v>618</v>
      </c>
      <c r="F597" s="35">
        <v>1</v>
      </c>
      <c r="G597" s="35" t="s">
        <v>1398</v>
      </c>
      <c r="H597" s="35" t="s">
        <v>11</v>
      </c>
      <c r="I597" s="35" t="s">
        <v>20</v>
      </c>
      <c r="J597" s="21" t="s">
        <v>1399</v>
      </c>
      <c r="K597" s="22" t="s">
        <v>21</v>
      </c>
      <c r="L597" s="22" t="s">
        <v>44</v>
      </c>
      <c r="M597" s="22" t="s">
        <v>45</v>
      </c>
      <c r="N597" s="21">
        <v>619</v>
      </c>
      <c r="O597" s="29">
        <v>45748</v>
      </c>
      <c r="P597" s="29">
        <v>45755</v>
      </c>
      <c r="Q597" s="29">
        <v>45762</v>
      </c>
      <c r="R597" s="29">
        <v>45772</v>
      </c>
      <c r="S597" s="23">
        <f t="shared" si="37"/>
        <v>91</v>
      </c>
      <c r="T597" s="23">
        <f t="shared" si="38"/>
        <v>98</v>
      </c>
      <c r="U597" s="23">
        <f t="shared" si="39"/>
        <v>105</v>
      </c>
      <c r="V597" s="23">
        <f t="shared" si="40"/>
        <v>115</v>
      </c>
      <c r="W597" s="22" t="s">
        <v>11</v>
      </c>
      <c r="X597" s="22" t="s">
        <v>20</v>
      </c>
      <c r="Y597" s="22" t="s">
        <v>21</v>
      </c>
      <c r="Z597" s="22" t="s">
        <v>44</v>
      </c>
      <c r="AA597" s="22" t="s">
        <v>14</v>
      </c>
      <c r="AB597" s="22" t="s">
        <v>62</v>
      </c>
      <c r="AC597" s="22" t="s">
        <v>42</v>
      </c>
      <c r="AD597" s="22"/>
      <c r="AE597" s="2">
        <v>0</v>
      </c>
      <c r="AF597" s="2"/>
    </row>
    <row r="598" spans="1:32" x14ac:dyDescent="0.2">
      <c r="A598" s="35" t="s">
        <v>14</v>
      </c>
      <c r="B598" s="35" t="s">
        <v>62</v>
      </c>
      <c r="C598" s="35" t="s">
        <v>42</v>
      </c>
      <c r="D598" s="31" t="s">
        <v>763</v>
      </c>
      <c r="E598" s="35" t="s">
        <v>619</v>
      </c>
      <c r="F598" s="35">
        <v>1</v>
      </c>
      <c r="G598" s="35" t="s">
        <v>1400</v>
      </c>
      <c r="H598" s="35" t="s">
        <v>11</v>
      </c>
      <c r="I598" s="35" t="s">
        <v>20</v>
      </c>
      <c r="J598" s="21" t="s">
        <v>1401</v>
      </c>
      <c r="K598" s="22" t="s">
        <v>21</v>
      </c>
      <c r="L598" s="22" t="s">
        <v>44</v>
      </c>
      <c r="M598" s="22" t="s">
        <v>45</v>
      </c>
      <c r="N598" s="21">
        <v>620</v>
      </c>
      <c r="O598" s="29">
        <v>45748</v>
      </c>
      <c r="P598" s="29">
        <v>45755</v>
      </c>
      <c r="Q598" s="29">
        <v>45762</v>
      </c>
      <c r="R598" s="29">
        <v>45765</v>
      </c>
      <c r="S598" s="23">
        <f t="shared" si="37"/>
        <v>91</v>
      </c>
      <c r="T598" s="23">
        <f t="shared" si="38"/>
        <v>98</v>
      </c>
      <c r="U598" s="23">
        <f t="shared" si="39"/>
        <v>105</v>
      </c>
      <c r="V598" s="23">
        <f t="shared" si="40"/>
        <v>108</v>
      </c>
      <c r="W598" s="22" t="s">
        <v>11</v>
      </c>
      <c r="X598" s="22" t="s">
        <v>20</v>
      </c>
      <c r="Y598" s="22" t="s">
        <v>21</v>
      </c>
      <c r="Z598" s="22" t="s">
        <v>44</v>
      </c>
      <c r="AA598" s="22" t="s">
        <v>14</v>
      </c>
      <c r="AB598" s="22" t="s">
        <v>62</v>
      </c>
      <c r="AC598" s="22" t="s">
        <v>42</v>
      </c>
      <c r="AD598" s="22"/>
      <c r="AE598" s="2">
        <v>0</v>
      </c>
      <c r="AF598" s="2"/>
    </row>
    <row r="599" spans="1:32" x14ac:dyDescent="0.2">
      <c r="A599" s="35" t="s">
        <v>14</v>
      </c>
      <c r="B599" s="35" t="s">
        <v>62</v>
      </c>
      <c r="C599" s="35" t="s">
        <v>42</v>
      </c>
      <c r="D599" s="31" t="s">
        <v>763</v>
      </c>
      <c r="E599" s="35" t="s">
        <v>620</v>
      </c>
      <c r="F599" s="35">
        <v>1</v>
      </c>
      <c r="G599" s="35" t="s">
        <v>1402</v>
      </c>
      <c r="H599" s="35" t="s">
        <v>11</v>
      </c>
      <c r="I599" s="35" t="s">
        <v>20</v>
      </c>
      <c r="J599" s="21" t="s">
        <v>1403</v>
      </c>
      <c r="K599" s="22" t="s">
        <v>21</v>
      </c>
      <c r="L599" s="22" t="s">
        <v>44</v>
      </c>
      <c r="M599" s="22" t="s">
        <v>45</v>
      </c>
      <c r="N599" s="21">
        <v>621</v>
      </c>
      <c r="O599" s="29">
        <v>45748</v>
      </c>
      <c r="P599" s="29">
        <v>45755</v>
      </c>
      <c r="Q599" s="29">
        <v>45762</v>
      </c>
      <c r="R599" s="29">
        <v>45770</v>
      </c>
      <c r="S599" s="23">
        <f t="shared" si="37"/>
        <v>91</v>
      </c>
      <c r="T599" s="23">
        <f t="shared" si="38"/>
        <v>98</v>
      </c>
      <c r="U599" s="23">
        <f t="shared" si="39"/>
        <v>105</v>
      </c>
      <c r="V599" s="23">
        <f t="shared" si="40"/>
        <v>113</v>
      </c>
      <c r="W599" s="22" t="s">
        <v>11</v>
      </c>
      <c r="X599" s="22" t="s">
        <v>20</v>
      </c>
      <c r="Y599" s="22" t="s">
        <v>21</v>
      </c>
      <c r="Z599" s="22" t="s">
        <v>44</v>
      </c>
      <c r="AA599" s="22" t="s">
        <v>14</v>
      </c>
      <c r="AB599" s="22" t="s">
        <v>62</v>
      </c>
      <c r="AC599" s="22" t="s">
        <v>42</v>
      </c>
      <c r="AD599" s="22"/>
      <c r="AE599" s="2">
        <v>0</v>
      </c>
      <c r="AF599" s="2"/>
    </row>
    <row r="600" spans="1:32" x14ac:dyDescent="0.2">
      <c r="A600" s="35" t="s">
        <v>14</v>
      </c>
      <c r="B600" s="35" t="s">
        <v>62</v>
      </c>
      <c r="C600" s="35" t="s">
        <v>42</v>
      </c>
      <c r="D600" s="31" t="s">
        <v>763</v>
      </c>
      <c r="E600" s="35" t="s">
        <v>618</v>
      </c>
      <c r="F600" s="35">
        <v>2</v>
      </c>
      <c r="G600" s="35" t="s">
        <v>1404</v>
      </c>
      <c r="H600" s="35" t="s">
        <v>11</v>
      </c>
      <c r="I600" s="35" t="s">
        <v>20</v>
      </c>
      <c r="J600" s="21" t="s">
        <v>1405</v>
      </c>
      <c r="K600" s="22" t="s">
        <v>21</v>
      </c>
      <c r="L600" s="22" t="s">
        <v>44</v>
      </c>
      <c r="M600" s="22" t="s">
        <v>45</v>
      </c>
      <c r="N600" s="21">
        <v>622</v>
      </c>
      <c r="O600" s="29">
        <v>45748</v>
      </c>
      <c r="P600" s="29">
        <v>45755</v>
      </c>
      <c r="Q600" s="29">
        <v>45758</v>
      </c>
      <c r="R600" s="29">
        <v>45765</v>
      </c>
      <c r="S600" s="23">
        <f t="shared" si="37"/>
        <v>91</v>
      </c>
      <c r="T600" s="23">
        <f t="shared" si="38"/>
        <v>98</v>
      </c>
      <c r="U600" s="23">
        <f t="shared" si="39"/>
        <v>101</v>
      </c>
      <c r="V600" s="23">
        <f t="shared" si="40"/>
        <v>108</v>
      </c>
      <c r="W600" s="22" t="s">
        <v>11</v>
      </c>
      <c r="X600" s="22" t="s">
        <v>20</v>
      </c>
      <c r="Y600" s="22" t="s">
        <v>21</v>
      </c>
      <c r="Z600" s="22" t="s">
        <v>44</v>
      </c>
      <c r="AA600" s="22" t="s">
        <v>14</v>
      </c>
      <c r="AB600" s="22" t="s">
        <v>62</v>
      </c>
      <c r="AC600" s="22" t="s">
        <v>42</v>
      </c>
      <c r="AD600" s="22"/>
      <c r="AE600" s="2">
        <v>0</v>
      </c>
      <c r="AF600" s="2"/>
    </row>
    <row r="601" spans="1:32" x14ac:dyDescent="0.2">
      <c r="A601" s="35" t="s">
        <v>14</v>
      </c>
      <c r="B601" s="35" t="s">
        <v>62</v>
      </c>
      <c r="C601" s="35" t="s">
        <v>42</v>
      </c>
      <c r="D601" s="31" t="s">
        <v>763</v>
      </c>
      <c r="E601" s="35" t="s">
        <v>619</v>
      </c>
      <c r="F601" s="35">
        <v>2</v>
      </c>
      <c r="G601" s="35" t="s">
        <v>1406</v>
      </c>
      <c r="H601" s="35" t="s">
        <v>11</v>
      </c>
      <c r="I601" s="35" t="s">
        <v>20</v>
      </c>
      <c r="J601" s="21" t="s">
        <v>1407</v>
      </c>
      <c r="K601" s="22" t="s">
        <v>21</v>
      </c>
      <c r="L601" s="22" t="s">
        <v>44</v>
      </c>
      <c r="M601" s="22" t="s">
        <v>45</v>
      </c>
      <c r="N601" s="21">
        <v>623</v>
      </c>
      <c r="O601" s="29">
        <v>45748</v>
      </c>
      <c r="P601" s="29">
        <v>45755</v>
      </c>
      <c r="Q601" s="29">
        <v>45762</v>
      </c>
      <c r="R601" s="29">
        <v>45765</v>
      </c>
      <c r="S601" s="23">
        <f t="shared" si="37"/>
        <v>91</v>
      </c>
      <c r="T601" s="23">
        <f t="shared" si="38"/>
        <v>98</v>
      </c>
      <c r="U601" s="23">
        <f t="shared" si="39"/>
        <v>105</v>
      </c>
      <c r="V601" s="23">
        <f t="shared" si="40"/>
        <v>108</v>
      </c>
      <c r="W601" s="22" t="s">
        <v>11</v>
      </c>
      <c r="X601" s="22" t="s">
        <v>20</v>
      </c>
      <c r="Y601" s="22" t="s">
        <v>21</v>
      </c>
      <c r="Z601" s="22" t="s">
        <v>44</v>
      </c>
      <c r="AA601" s="22" t="s">
        <v>14</v>
      </c>
      <c r="AB601" s="22" t="s">
        <v>62</v>
      </c>
      <c r="AC601" s="22" t="s">
        <v>42</v>
      </c>
      <c r="AD601" s="22"/>
      <c r="AE601" s="2">
        <v>0</v>
      </c>
      <c r="AF601" s="2"/>
    </row>
    <row r="602" spans="1:32" x14ac:dyDescent="0.2">
      <c r="A602" s="35" t="s">
        <v>14</v>
      </c>
      <c r="B602" s="35" t="s">
        <v>62</v>
      </c>
      <c r="C602" s="35" t="s">
        <v>42</v>
      </c>
      <c r="D602" s="31" t="s">
        <v>763</v>
      </c>
      <c r="E602" s="35" t="s">
        <v>620</v>
      </c>
      <c r="F602" s="35">
        <v>2</v>
      </c>
      <c r="G602" s="35" t="s">
        <v>1408</v>
      </c>
      <c r="H602" s="35" t="s">
        <v>11</v>
      </c>
      <c r="I602" s="35" t="s">
        <v>20</v>
      </c>
      <c r="J602" s="21" t="s">
        <v>1409</v>
      </c>
      <c r="K602" s="22" t="s">
        <v>21</v>
      </c>
      <c r="L602" s="22" t="s">
        <v>44</v>
      </c>
      <c r="M602" s="22" t="s">
        <v>45</v>
      </c>
      <c r="N602" s="21">
        <v>624</v>
      </c>
      <c r="O602" s="29">
        <v>45748</v>
      </c>
      <c r="P602" s="29">
        <v>45755</v>
      </c>
      <c r="Q602" s="29">
        <v>45758</v>
      </c>
      <c r="R602" s="29">
        <v>45762</v>
      </c>
      <c r="S602" s="23">
        <f t="shared" si="37"/>
        <v>91</v>
      </c>
      <c r="T602" s="23">
        <f t="shared" si="38"/>
        <v>98</v>
      </c>
      <c r="U602" s="23">
        <f t="shared" si="39"/>
        <v>101</v>
      </c>
      <c r="V602" s="23">
        <f t="shared" si="40"/>
        <v>105</v>
      </c>
      <c r="W602" s="22" t="s">
        <v>11</v>
      </c>
      <c r="X602" s="22" t="s">
        <v>20</v>
      </c>
      <c r="Y602" s="22" t="s">
        <v>21</v>
      </c>
      <c r="Z602" s="22" t="s">
        <v>44</v>
      </c>
      <c r="AA602" s="22" t="s">
        <v>14</v>
      </c>
      <c r="AB602" s="22" t="s">
        <v>62</v>
      </c>
      <c r="AC602" s="22" t="s">
        <v>42</v>
      </c>
      <c r="AD602" s="22"/>
      <c r="AE602" s="2">
        <v>0</v>
      </c>
      <c r="AF602" s="2"/>
    </row>
    <row r="603" spans="1:32" x14ac:dyDescent="0.2">
      <c r="A603" s="34" t="s">
        <v>14</v>
      </c>
      <c r="B603" s="34" t="s">
        <v>98</v>
      </c>
      <c r="C603" s="34" t="s">
        <v>42</v>
      </c>
      <c r="D603" s="34" t="s">
        <v>799</v>
      </c>
      <c r="E603" s="34" t="s">
        <v>618</v>
      </c>
      <c r="F603" s="34">
        <v>1</v>
      </c>
      <c r="G603" s="34" t="s">
        <v>1410</v>
      </c>
      <c r="H603" s="34" t="s">
        <v>11</v>
      </c>
      <c r="I603" s="34" t="s">
        <v>20</v>
      </c>
      <c r="J603" s="13" t="s">
        <v>1411</v>
      </c>
      <c r="K603" s="15" t="s">
        <v>64</v>
      </c>
      <c r="L603" s="15" t="s">
        <v>44</v>
      </c>
      <c r="M603" s="15" t="s">
        <v>65</v>
      </c>
      <c r="N603" s="13">
        <v>625</v>
      </c>
      <c r="O603" s="30">
        <v>45748</v>
      </c>
      <c r="P603" s="30">
        <v>45755</v>
      </c>
      <c r="Q603" s="30">
        <v>45762</v>
      </c>
      <c r="R603" s="30">
        <v>45765</v>
      </c>
      <c r="S603" s="23">
        <f t="shared" si="37"/>
        <v>91</v>
      </c>
      <c r="T603" s="23">
        <f t="shared" si="38"/>
        <v>98</v>
      </c>
      <c r="U603" s="23">
        <f t="shared" si="39"/>
        <v>105</v>
      </c>
      <c r="V603" s="23">
        <f t="shared" si="40"/>
        <v>108</v>
      </c>
      <c r="W603" s="15" t="s">
        <v>11</v>
      </c>
      <c r="X603" s="15" t="s">
        <v>20</v>
      </c>
      <c r="Y603" s="15" t="s">
        <v>64</v>
      </c>
      <c r="Z603" s="15" t="s">
        <v>44</v>
      </c>
      <c r="AA603" s="15" t="s">
        <v>14</v>
      </c>
      <c r="AB603" s="15" t="s">
        <v>98</v>
      </c>
      <c r="AC603" s="15" t="s">
        <v>42</v>
      </c>
      <c r="AD603" s="15"/>
      <c r="AE603" s="1">
        <v>0</v>
      </c>
      <c r="AF603" s="1"/>
    </row>
    <row r="604" spans="1:32" x14ac:dyDescent="0.2">
      <c r="A604" s="34" t="s">
        <v>14</v>
      </c>
      <c r="B604" s="34" t="s">
        <v>98</v>
      </c>
      <c r="C604" s="34" t="s">
        <v>42</v>
      </c>
      <c r="D604" s="34" t="s">
        <v>799</v>
      </c>
      <c r="E604" s="34" t="s">
        <v>619</v>
      </c>
      <c r="F604" s="34">
        <v>1</v>
      </c>
      <c r="G604" s="34" t="s">
        <v>1412</v>
      </c>
      <c r="H604" s="34" t="s">
        <v>11</v>
      </c>
      <c r="I604" s="34" t="s">
        <v>20</v>
      </c>
      <c r="J604" s="13" t="s">
        <v>1413</v>
      </c>
      <c r="K604" s="15" t="s">
        <v>64</v>
      </c>
      <c r="L604" s="15" t="s">
        <v>44</v>
      </c>
      <c r="M604" s="15" t="s">
        <v>65</v>
      </c>
      <c r="N604" s="13">
        <v>626</v>
      </c>
      <c r="O604" s="30">
        <v>45748</v>
      </c>
      <c r="P604" s="30">
        <v>45755</v>
      </c>
      <c r="Q604" s="30">
        <v>45762</v>
      </c>
      <c r="R604" s="30">
        <v>45765</v>
      </c>
      <c r="S604" s="23">
        <f t="shared" si="37"/>
        <v>91</v>
      </c>
      <c r="T604" s="23">
        <f t="shared" si="38"/>
        <v>98</v>
      </c>
      <c r="U604" s="23">
        <f t="shared" si="39"/>
        <v>105</v>
      </c>
      <c r="V604" s="23">
        <f t="shared" si="40"/>
        <v>108</v>
      </c>
      <c r="W604" s="15" t="s">
        <v>11</v>
      </c>
      <c r="X604" s="15" t="s">
        <v>20</v>
      </c>
      <c r="Y604" s="15" t="s">
        <v>64</v>
      </c>
      <c r="Z604" s="15" t="s">
        <v>44</v>
      </c>
      <c r="AA604" s="15" t="s">
        <v>14</v>
      </c>
      <c r="AB604" s="15" t="s">
        <v>98</v>
      </c>
      <c r="AC604" s="15" t="s">
        <v>42</v>
      </c>
      <c r="AD604" s="15"/>
      <c r="AE604" s="1">
        <v>0</v>
      </c>
      <c r="AF604" s="1"/>
    </row>
    <row r="605" spans="1:32" x14ac:dyDescent="0.2">
      <c r="A605" s="34" t="s">
        <v>14</v>
      </c>
      <c r="B605" s="34" t="s">
        <v>98</v>
      </c>
      <c r="C605" s="34" t="s">
        <v>42</v>
      </c>
      <c r="D605" s="34" t="s">
        <v>799</v>
      </c>
      <c r="E605" s="34" t="s">
        <v>620</v>
      </c>
      <c r="F605" s="34">
        <v>1</v>
      </c>
      <c r="G605" s="34" t="s">
        <v>1414</v>
      </c>
      <c r="H605" s="34" t="s">
        <v>11</v>
      </c>
      <c r="I605" s="34" t="s">
        <v>20</v>
      </c>
      <c r="J605" s="13" t="s">
        <v>1415</v>
      </c>
      <c r="K605" s="15" t="s">
        <v>64</v>
      </c>
      <c r="L605" s="15" t="s">
        <v>44</v>
      </c>
      <c r="M605" s="15" t="s">
        <v>65</v>
      </c>
      <c r="N605" s="13">
        <v>627</v>
      </c>
      <c r="O605" s="30">
        <v>45748</v>
      </c>
      <c r="P605" s="30">
        <v>45755</v>
      </c>
      <c r="Q605" s="30">
        <v>45762</v>
      </c>
      <c r="R605" s="30">
        <v>45765</v>
      </c>
      <c r="S605" s="23">
        <f t="shared" si="37"/>
        <v>91</v>
      </c>
      <c r="T605" s="23">
        <f t="shared" si="38"/>
        <v>98</v>
      </c>
      <c r="U605" s="23">
        <f t="shared" si="39"/>
        <v>105</v>
      </c>
      <c r="V605" s="23">
        <f t="shared" si="40"/>
        <v>108</v>
      </c>
      <c r="W605" s="15" t="s">
        <v>11</v>
      </c>
      <c r="X605" s="15" t="s">
        <v>20</v>
      </c>
      <c r="Y605" s="15" t="s">
        <v>64</v>
      </c>
      <c r="Z605" s="15" t="s">
        <v>44</v>
      </c>
      <c r="AA605" s="15" t="s">
        <v>14</v>
      </c>
      <c r="AB605" s="15" t="s">
        <v>98</v>
      </c>
      <c r="AC605" s="15" t="s">
        <v>42</v>
      </c>
      <c r="AD605" s="15"/>
      <c r="AE605" s="1">
        <v>0</v>
      </c>
      <c r="AF605" s="1"/>
    </row>
    <row r="606" spans="1:32" x14ac:dyDescent="0.2">
      <c r="A606" s="34" t="s">
        <v>14</v>
      </c>
      <c r="B606" s="34" t="s">
        <v>98</v>
      </c>
      <c r="C606" s="34" t="s">
        <v>42</v>
      </c>
      <c r="D606" s="34" t="s">
        <v>799</v>
      </c>
      <c r="E606" s="34" t="s">
        <v>618</v>
      </c>
      <c r="F606" s="34">
        <v>2</v>
      </c>
      <c r="G606" s="34" t="s">
        <v>1416</v>
      </c>
      <c r="H606" s="34" t="s">
        <v>11</v>
      </c>
      <c r="I606" s="34" t="s">
        <v>20</v>
      </c>
      <c r="J606" s="13" t="s">
        <v>1417</v>
      </c>
      <c r="K606" s="15" t="s">
        <v>64</v>
      </c>
      <c r="L606" s="15" t="s">
        <v>44</v>
      </c>
      <c r="M606" s="15" t="s">
        <v>65</v>
      </c>
      <c r="N606" s="13">
        <v>628</v>
      </c>
      <c r="O606" s="30">
        <v>45748</v>
      </c>
      <c r="P606" s="30">
        <v>45755</v>
      </c>
      <c r="Q606" s="30">
        <v>45758</v>
      </c>
      <c r="R606" s="30">
        <v>45762</v>
      </c>
      <c r="S606" s="23">
        <f t="shared" si="37"/>
        <v>91</v>
      </c>
      <c r="T606" s="23">
        <f t="shared" si="38"/>
        <v>98</v>
      </c>
      <c r="U606" s="23">
        <f t="shared" si="39"/>
        <v>101</v>
      </c>
      <c r="V606" s="23">
        <f t="shared" si="40"/>
        <v>105</v>
      </c>
      <c r="W606" s="15" t="s">
        <v>11</v>
      </c>
      <c r="X606" s="15" t="s">
        <v>20</v>
      </c>
      <c r="Y606" s="15" t="s">
        <v>64</v>
      </c>
      <c r="Z606" s="15" t="s">
        <v>44</v>
      </c>
      <c r="AA606" s="15" t="s">
        <v>14</v>
      </c>
      <c r="AB606" s="15" t="s">
        <v>98</v>
      </c>
      <c r="AC606" s="15" t="s">
        <v>42</v>
      </c>
      <c r="AD606" s="15"/>
      <c r="AE606" s="1">
        <v>0</v>
      </c>
      <c r="AF606" s="1"/>
    </row>
    <row r="607" spans="1:32" x14ac:dyDescent="0.2">
      <c r="A607" s="34" t="s">
        <v>14</v>
      </c>
      <c r="B607" s="34" t="s">
        <v>98</v>
      </c>
      <c r="C607" s="34" t="s">
        <v>42</v>
      </c>
      <c r="D607" s="34" t="s">
        <v>799</v>
      </c>
      <c r="E607" s="34" t="s">
        <v>619</v>
      </c>
      <c r="F607" s="34">
        <v>2</v>
      </c>
      <c r="G607" s="34" t="s">
        <v>1418</v>
      </c>
      <c r="H607" s="34" t="s">
        <v>11</v>
      </c>
      <c r="I607" s="34" t="s">
        <v>20</v>
      </c>
      <c r="J607" s="13" t="s">
        <v>1419</v>
      </c>
      <c r="K607" s="15" t="s">
        <v>64</v>
      </c>
      <c r="L607" s="15" t="s">
        <v>44</v>
      </c>
      <c r="M607" s="15" t="s">
        <v>65</v>
      </c>
      <c r="N607" s="13">
        <v>629</v>
      </c>
      <c r="O607" s="30">
        <v>45748</v>
      </c>
      <c r="P607" s="30">
        <v>45755</v>
      </c>
      <c r="Q607" s="30">
        <v>45758</v>
      </c>
      <c r="R607" s="30">
        <v>45762</v>
      </c>
      <c r="S607" s="23">
        <f t="shared" si="37"/>
        <v>91</v>
      </c>
      <c r="T607" s="23">
        <f t="shared" si="38"/>
        <v>98</v>
      </c>
      <c r="U607" s="23">
        <f t="shared" si="39"/>
        <v>101</v>
      </c>
      <c r="V607" s="23">
        <f t="shared" si="40"/>
        <v>105</v>
      </c>
      <c r="W607" s="15" t="s">
        <v>11</v>
      </c>
      <c r="X607" s="15" t="s">
        <v>20</v>
      </c>
      <c r="Y607" s="15" t="s">
        <v>64</v>
      </c>
      <c r="Z607" s="15" t="s">
        <v>44</v>
      </c>
      <c r="AA607" s="15" t="s">
        <v>14</v>
      </c>
      <c r="AB607" s="15" t="s">
        <v>98</v>
      </c>
      <c r="AC607" s="15" t="s">
        <v>42</v>
      </c>
      <c r="AD607" s="15"/>
      <c r="AE607" s="1">
        <v>0</v>
      </c>
      <c r="AF607" s="1"/>
    </row>
    <row r="608" spans="1:32" x14ac:dyDescent="0.2">
      <c r="A608" s="34" t="s">
        <v>14</v>
      </c>
      <c r="B608" s="34" t="s">
        <v>98</v>
      </c>
      <c r="C608" s="34" t="s">
        <v>42</v>
      </c>
      <c r="D608" s="34" t="s">
        <v>799</v>
      </c>
      <c r="E608" s="34" t="s">
        <v>620</v>
      </c>
      <c r="F608" s="34">
        <v>2</v>
      </c>
      <c r="G608" s="34" t="s">
        <v>1420</v>
      </c>
      <c r="H608" s="34" t="s">
        <v>11</v>
      </c>
      <c r="I608" s="34" t="s">
        <v>20</v>
      </c>
      <c r="J608" s="13" t="s">
        <v>1421</v>
      </c>
      <c r="K608" s="15" t="s">
        <v>64</v>
      </c>
      <c r="L608" s="15" t="s">
        <v>44</v>
      </c>
      <c r="M608" s="15" t="s">
        <v>65</v>
      </c>
      <c r="N608" s="13">
        <v>630</v>
      </c>
      <c r="O608" s="30">
        <v>45748</v>
      </c>
      <c r="P608" s="30">
        <v>45755</v>
      </c>
      <c r="Q608" s="30">
        <v>45758</v>
      </c>
      <c r="R608" s="30">
        <v>45762</v>
      </c>
      <c r="S608" s="23">
        <f t="shared" si="37"/>
        <v>91</v>
      </c>
      <c r="T608" s="23">
        <f t="shared" si="38"/>
        <v>98</v>
      </c>
      <c r="U608" s="23">
        <f t="shared" si="39"/>
        <v>101</v>
      </c>
      <c r="V608" s="23">
        <f t="shared" si="40"/>
        <v>105</v>
      </c>
      <c r="W608" s="15" t="s">
        <v>11</v>
      </c>
      <c r="X608" s="15" t="s">
        <v>20</v>
      </c>
      <c r="Y608" s="15" t="s">
        <v>64</v>
      </c>
      <c r="Z608" s="15" t="s">
        <v>44</v>
      </c>
      <c r="AA608" s="15" t="s">
        <v>14</v>
      </c>
      <c r="AB608" s="15" t="s">
        <v>98</v>
      </c>
      <c r="AC608" s="15" t="s">
        <v>42</v>
      </c>
      <c r="AD608" s="15"/>
      <c r="AE608" s="1">
        <v>0</v>
      </c>
      <c r="AF608" s="1"/>
    </row>
    <row r="609" spans="1:32" x14ac:dyDescent="0.2">
      <c r="A609" s="35" t="s">
        <v>14</v>
      </c>
      <c r="B609" s="35" t="s">
        <v>98</v>
      </c>
      <c r="C609" s="35" t="s">
        <v>53</v>
      </c>
      <c r="D609" s="31" t="s">
        <v>808</v>
      </c>
      <c r="E609" s="35" t="s">
        <v>618</v>
      </c>
      <c r="F609" s="35">
        <v>1</v>
      </c>
      <c r="G609" s="35" t="s">
        <v>1422</v>
      </c>
      <c r="H609" s="35" t="s">
        <v>11</v>
      </c>
      <c r="I609" s="35" t="s">
        <v>20</v>
      </c>
      <c r="J609" s="21" t="s">
        <v>1423</v>
      </c>
      <c r="K609" s="22" t="s">
        <v>64</v>
      </c>
      <c r="L609" s="22" t="s">
        <v>44</v>
      </c>
      <c r="M609" s="22" t="s">
        <v>65</v>
      </c>
      <c r="N609" s="21">
        <v>631</v>
      </c>
      <c r="O609" s="29">
        <v>45748</v>
      </c>
      <c r="P609" s="29">
        <v>45751</v>
      </c>
      <c r="Q609" s="29">
        <v>45755</v>
      </c>
      <c r="R609" s="29">
        <v>45762</v>
      </c>
      <c r="S609" s="23">
        <f t="shared" si="37"/>
        <v>91</v>
      </c>
      <c r="T609" s="23">
        <f t="shared" si="38"/>
        <v>94</v>
      </c>
      <c r="U609" s="23">
        <f t="shared" si="39"/>
        <v>98</v>
      </c>
      <c r="V609" s="23">
        <f t="shared" si="40"/>
        <v>105</v>
      </c>
      <c r="W609" s="22" t="s">
        <v>11</v>
      </c>
      <c r="X609" s="22" t="s">
        <v>20</v>
      </c>
      <c r="Y609" s="22" t="s">
        <v>64</v>
      </c>
      <c r="Z609" s="22" t="s">
        <v>44</v>
      </c>
      <c r="AA609" s="22" t="s">
        <v>14</v>
      </c>
      <c r="AB609" s="22" t="s">
        <v>98</v>
      </c>
      <c r="AC609" s="22" t="s">
        <v>53</v>
      </c>
      <c r="AD609" s="22"/>
      <c r="AE609" s="2">
        <v>0</v>
      </c>
      <c r="AF609" s="2"/>
    </row>
    <row r="610" spans="1:32" x14ac:dyDescent="0.2">
      <c r="A610" s="35" t="s">
        <v>14</v>
      </c>
      <c r="B610" s="35" t="s">
        <v>98</v>
      </c>
      <c r="C610" s="35" t="s">
        <v>53</v>
      </c>
      <c r="D610" s="31" t="s">
        <v>808</v>
      </c>
      <c r="E610" s="35" t="s">
        <v>619</v>
      </c>
      <c r="F610" s="35">
        <v>1</v>
      </c>
      <c r="G610" s="35" t="s">
        <v>1424</v>
      </c>
      <c r="H610" s="35" t="s">
        <v>11</v>
      </c>
      <c r="I610" s="35" t="s">
        <v>20</v>
      </c>
      <c r="J610" s="21" t="s">
        <v>1425</v>
      </c>
      <c r="K610" s="22" t="s">
        <v>64</v>
      </c>
      <c r="L610" s="22" t="s">
        <v>44</v>
      </c>
      <c r="M610" s="22" t="s">
        <v>65</v>
      </c>
      <c r="N610" s="21">
        <v>632</v>
      </c>
      <c r="O610" s="29">
        <v>45748</v>
      </c>
      <c r="P610" s="29">
        <v>45755</v>
      </c>
      <c r="Q610" s="29">
        <v>45762</v>
      </c>
      <c r="R610" s="29">
        <v>45765</v>
      </c>
      <c r="S610" s="23">
        <f t="shared" si="37"/>
        <v>91</v>
      </c>
      <c r="T610" s="23">
        <f t="shared" si="38"/>
        <v>98</v>
      </c>
      <c r="U610" s="23">
        <f t="shared" si="39"/>
        <v>105</v>
      </c>
      <c r="V610" s="23">
        <f t="shared" si="40"/>
        <v>108</v>
      </c>
      <c r="W610" s="22" t="s">
        <v>11</v>
      </c>
      <c r="X610" s="22" t="s">
        <v>20</v>
      </c>
      <c r="Y610" s="22" t="s">
        <v>64</v>
      </c>
      <c r="Z610" s="22" t="s">
        <v>44</v>
      </c>
      <c r="AA610" s="22" t="s">
        <v>14</v>
      </c>
      <c r="AB610" s="22" t="s">
        <v>98</v>
      </c>
      <c r="AC610" s="22" t="s">
        <v>53</v>
      </c>
      <c r="AD610" s="22"/>
      <c r="AE610" s="2">
        <v>0</v>
      </c>
      <c r="AF610" s="2"/>
    </row>
    <row r="611" spans="1:32" x14ac:dyDescent="0.2">
      <c r="A611" s="35" t="s">
        <v>14</v>
      </c>
      <c r="B611" s="35" t="s">
        <v>98</v>
      </c>
      <c r="C611" s="35" t="s">
        <v>53</v>
      </c>
      <c r="D611" s="31" t="s">
        <v>808</v>
      </c>
      <c r="E611" s="35" t="s">
        <v>620</v>
      </c>
      <c r="F611" s="35">
        <v>1</v>
      </c>
      <c r="G611" s="35" t="s">
        <v>1426</v>
      </c>
      <c r="H611" s="35" t="s">
        <v>11</v>
      </c>
      <c r="I611" s="35" t="s">
        <v>20</v>
      </c>
      <c r="J611" s="21" t="s">
        <v>1427</v>
      </c>
      <c r="K611" s="22" t="s">
        <v>64</v>
      </c>
      <c r="L611" s="22" t="s">
        <v>44</v>
      </c>
      <c r="M611" s="22" t="s">
        <v>65</v>
      </c>
      <c r="N611" s="21">
        <v>633</v>
      </c>
      <c r="O611" s="29">
        <v>45748</v>
      </c>
      <c r="P611" s="29">
        <v>45755</v>
      </c>
      <c r="Q611" s="29">
        <v>45758</v>
      </c>
      <c r="R611" s="29">
        <v>45765</v>
      </c>
      <c r="S611" s="23">
        <f t="shared" si="37"/>
        <v>91</v>
      </c>
      <c r="T611" s="23">
        <f t="shared" si="38"/>
        <v>98</v>
      </c>
      <c r="U611" s="23">
        <f t="shared" si="39"/>
        <v>101</v>
      </c>
      <c r="V611" s="23">
        <f t="shared" si="40"/>
        <v>108</v>
      </c>
      <c r="W611" s="22" t="s">
        <v>11</v>
      </c>
      <c r="X611" s="22" t="s">
        <v>20</v>
      </c>
      <c r="Y611" s="22" t="s">
        <v>64</v>
      </c>
      <c r="Z611" s="22" t="s">
        <v>44</v>
      </c>
      <c r="AA611" s="22" t="s">
        <v>14</v>
      </c>
      <c r="AB611" s="22" t="s">
        <v>98</v>
      </c>
      <c r="AC611" s="22" t="s">
        <v>53</v>
      </c>
      <c r="AD611" s="22"/>
      <c r="AE611" s="2">
        <v>0</v>
      </c>
      <c r="AF611" s="2"/>
    </row>
    <row r="612" spans="1:32" x14ac:dyDescent="0.2">
      <c r="A612" s="35" t="s">
        <v>14</v>
      </c>
      <c r="B612" s="35" t="s">
        <v>98</v>
      </c>
      <c r="C612" s="35" t="s">
        <v>53</v>
      </c>
      <c r="D612" s="31" t="s">
        <v>808</v>
      </c>
      <c r="E612" s="35" t="s">
        <v>618</v>
      </c>
      <c r="F612" s="35">
        <v>2</v>
      </c>
      <c r="G612" s="35" t="s">
        <v>1428</v>
      </c>
      <c r="H612" s="35" t="s">
        <v>11</v>
      </c>
      <c r="I612" s="35" t="s">
        <v>20</v>
      </c>
      <c r="J612" s="21" t="s">
        <v>1429</v>
      </c>
      <c r="K612" s="22" t="s">
        <v>64</v>
      </c>
      <c r="L612" s="22" t="s">
        <v>44</v>
      </c>
      <c r="M612" s="22" t="s">
        <v>65</v>
      </c>
      <c r="N612" s="21">
        <v>634</v>
      </c>
      <c r="O612" s="29">
        <v>45748</v>
      </c>
      <c r="P612" s="29">
        <v>45755</v>
      </c>
      <c r="Q612" s="29">
        <v>45762</v>
      </c>
      <c r="R612" s="29">
        <v>45765</v>
      </c>
      <c r="S612" s="23">
        <f t="shared" si="37"/>
        <v>91</v>
      </c>
      <c r="T612" s="23">
        <f t="shared" si="38"/>
        <v>98</v>
      </c>
      <c r="U612" s="23">
        <f t="shared" si="39"/>
        <v>105</v>
      </c>
      <c r="V612" s="23">
        <f t="shared" si="40"/>
        <v>108</v>
      </c>
      <c r="W612" s="22" t="s">
        <v>11</v>
      </c>
      <c r="X612" s="22" t="s">
        <v>20</v>
      </c>
      <c r="Y612" s="22" t="s">
        <v>64</v>
      </c>
      <c r="Z612" s="22" t="s">
        <v>44</v>
      </c>
      <c r="AA612" s="22" t="s">
        <v>14</v>
      </c>
      <c r="AB612" s="22" t="s">
        <v>98</v>
      </c>
      <c r="AC612" s="22" t="s">
        <v>53</v>
      </c>
      <c r="AD612" s="22"/>
      <c r="AE612" s="2">
        <v>0</v>
      </c>
      <c r="AF612" s="2"/>
    </row>
    <row r="613" spans="1:32" x14ac:dyDescent="0.2">
      <c r="A613" s="35" t="s">
        <v>14</v>
      </c>
      <c r="B613" s="35" t="s">
        <v>98</v>
      </c>
      <c r="C613" s="35" t="s">
        <v>53</v>
      </c>
      <c r="D613" s="31" t="s">
        <v>808</v>
      </c>
      <c r="E613" s="35" t="s">
        <v>619</v>
      </c>
      <c r="F613" s="35">
        <v>2</v>
      </c>
      <c r="G613" s="35" t="s">
        <v>1430</v>
      </c>
      <c r="H613" s="35" t="s">
        <v>11</v>
      </c>
      <c r="I613" s="35" t="s">
        <v>20</v>
      </c>
      <c r="J613" s="21" t="s">
        <v>1431</v>
      </c>
      <c r="K613" s="22" t="s">
        <v>64</v>
      </c>
      <c r="L613" s="22" t="s">
        <v>44</v>
      </c>
      <c r="M613" s="22" t="s">
        <v>65</v>
      </c>
      <c r="N613" s="21">
        <v>635</v>
      </c>
      <c r="O613" s="29">
        <v>45748</v>
      </c>
      <c r="P613" s="29">
        <v>45755</v>
      </c>
      <c r="Q613" s="29">
        <v>45762</v>
      </c>
      <c r="R613" s="29">
        <v>45765</v>
      </c>
      <c r="S613" s="23">
        <f t="shared" si="37"/>
        <v>91</v>
      </c>
      <c r="T613" s="23">
        <f t="shared" si="38"/>
        <v>98</v>
      </c>
      <c r="U613" s="23">
        <f t="shared" si="39"/>
        <v>105</v>
      </c>
      <c r="V613" s="23">
        <f t="shared" si="40"/>
        <v>108</v>
      </c>
      <c r="W613" s="22" t="s">
        <v>11</v>
      </c>
      <c r="X613" s="22" t="s">
        <v>20</v>
      </c>
      <c r="Y613" s="22" t="s">
        <v>64</v>
      </c>
      <c r="Z613" s="22" t="s">
        <v>44</v>
      </c>
      <c r="AA613" s="22" t="s">
        <v>14</v>
      </c>
      <c r="AB613" s="22" t="s">
        <v>98</v>
      </c>
      <c r="AC613" s="22" t="s">
        <v>53</v>
      </c>
      <c r="AD613" s="22"/>
      <c r="AE613" s="2">
        <v>0</v>
      </c>
      <c r="AF613" s="2"/>
    </row>
    <row r="614" spans="1:32" x14ac:dyDescent="0.2">
      <c r="A614" s="35" t="s">
        <v>14</v>
      </c>
      <c r="B614" s="35" t="s">
        <v>98</v>
      </c>
      <c r="C614" s="35" t="s">
        <v>53</v>
      </c>
      <c r="D614" s="31" t="s">
        <v>808</v>
      </c>
      <c r="E614" s="35" t="s">
        <v>620</v>
      </c>
      <c r="F614" s="35">
        <v>2</v>
      </c>
      <c r="G614" s="35" t="s">
        <v>1432</v>
      </c>
      <c r="H614" s="35" t="s">
        <v>11</v>
      </c>
      <c r="I614" s="35" t="s">
        <v>20</v>
      </c>
      <c r="J614" s="21" t="s">
        <v>1433</v>
      </c>
      <c r="K614" s="22" t="s">
        <v>64</v>
      </c>
      <c r="L614" s="22" t="s">
        <v>44</v>
      </c>
      <c r="M614" s="22" t="s">
        <v>65</v>
      </c>
      <c r="N614" s="21">
        <v>636</v>
      </c>
      <c r="O614" s="29">
        <v>45748</v>
      </c>
      <c r="P614" s="29">
        <v>45751</v>
      </c>
      <c r="Q614" s="29">
        <v>45758</v>
      </c>
      <c r="R614" s="29">
        <v>45762</v>
      </c>
      <c r="S614" s="23">
        <f t="shared" si="37"/>
        <v>91</v>
      </c>
      <c r="T614" s="23">
        <f t="shared" si="38"/>
        <v>94</v>
      </c>
      <c r="U614" s="23">
        <f t="shared" si="39"/>
        <v>101</v>
      </c>
      <c r="V614" s="23">
        <f t="shared" si="40"/>
        <v>105</v>
      </c>
      <c r="W614" s="22" t="s">
        <v>11</v>
      </c>
      <c r="X614" s="22" t="s">
        <v>20</v>
      </c>
      <c r="Y614" s="22" t="s">
        <v>64</v>
      </c>
      <c r="Z614" s="22" t="s">
        <v>44</v>
      </c>
      <c r="AA614" s="22" t="s">
        <v>14</v>
      </c>
      <c r="AB614" s="22" t="s">
        <v>98</v>
      </c>
      <c r="AC614" s="22" t="s">
        <v>53</v>
      </c>
      <c r="AD614" s="22"/>
      <c r="AE614" s="2">
        <v>0</v>
      </c>
      <c r="AF614" s="2"/>
    </row>
    <row r="615" spans="1:32" x14ac:dyDescent="0.2">
      <c r="A615" s="34" t="s">
        <v>14</v>
      </c>
      <c r="B615" s="34" t="s">
        <v>131</v>
      </c>
      <c r="C615" s="34" t="s">
        <v>32</v>
      </c>
      <c r="D615" s="34" t="s">
        <v>826</v>
      </c>
      <c r="E615" s="34" t="s">
        <v>618</v>
      </c>
      <c r="F615" s="34">
        <v>1</v>
      </c>
      <c r="G615" s="34" t="s">
        <v>1434</v>
      </c>
      <c r="H615" s="34" t="s">
        <v>11</v>
      </c>
      <c r="I615" s="34" t="s">
        <v>133</v>
      </c>
      <c r="J615" s="13" t="s">
        <v>1435</v>
      </c>
      <c r="K615" s="15" t="s">
        <v>21</v>
      </c>
      <c r="L615" s="15" t="s">
        <v>44</v>
      </c>
      <c r="M615" s="15" t="s">
        <v>143</v>
      </c>
      <c r="N615" s="13">
        <v>637</v>
      </c>
      <c r="O615" s="30">
        <v>45748</v>
      </c>
      <c r="P615" s="30">
        <v>45755</v>
      </c>
      <c r="Q615" s="30">
        <v>45758</v>
      </c>
      <c r="R615" s="30">
        <v>45765</v>
      </c>
      <c r="S615" s="23">
        <f t="shared" si="37"/>
        <v>91</v>
      </c>
      <c r="T615" s="23">
        <f t="shared" si="38"/>
        <v>98</v>
      </c>
      <c r="U615" s="23">
        <f t="shared" si="39"/>
        <v>101</v>
      </c>
      <c r="V615" s="23">
        <f t="shared" si="40"/>
        <v>108</v>
      </c>
      <c r="W615" s="15" t="s">
        <v>11</v>
      </c>
      <c r="X615" s="15" t="s">
        <v>133</v>
      </c>
      <c r="Y615" s="15" t="s">
        <v>21</v>
      </c>
      <c r="Z615" s="15" t="s">
        <v>44</v>
      </c>
      <c r="AA615" s="15" t="s">
        <v>14</v>
      </c>
      <c r="AB615" s="15" t="s">
        <v>131</v>
      </c>
      <c r="AC615" s="15" t="s">
        <v>32</v>
      </c>
      <c r="AD615" s="15"/>
      <c r="AE615" s="1">
        <v>0</v>
      </c>
      <c r="AF615" s="1"/>
    </row>
    <row r="616" spans="1:32" x14ac:dyDescent="0.2">
      <c r="A616" s="34" t="s">
        <v>14</v>
      </c>
      <c r="B616" s="34" t="s">
        <v>131</v>
      </c>
      <c r="C616" s="34" t="s">
        <v>32</v>
      </c>
      <c r="D616" s="34" t="s">
        <v>826</v>
      </c>
      <c r="E616" s="34" t="s">
        <v>619</v>
      </c>
      <c r="F616" s="34">
        <v>1</v>
      </c>
      <c r="G616" s="34" t="s">
        <v>1436</v>
      </c>
      <c r="H616" s="34" t="s">
        <v>11</v>
      </c>
      <c r="I616" s="34" t="s">
        <v>133</v>
      </c>
      <c r="J616" s="13" t="s">
        <v>1437</v>
      </c>
      <c r="K616" s="15" t="s">
        <v>21</v>
      </c>
      <c r="L616" s="15" t="s">
        <v>44</v>
      </c>
      <c r="M616" s="15" t="s">
        <v>143</v>
      </c>
      <c r="N616" s="13">
        <v>638</v>
      </c>
      <c r="O616" s="30">
        <v>45748</v>
      </c>
      <c r="P616" s="30">
        <v>45751</v>
      </c>
      <c r="Q616" s="30">
        <v>45755</v>
      </c>
      <c r="R616" s="30">
        <v>45762</v>
      </c>
      <c r="S616" s="23">
        <f t="shared" si="37"/>
        <v>91</v>
      </c>
      <c r="T616" s="23">
        <f t="shared" si="38"/>
        <v>94</v>
      </c>
      <c r="U616" s="23">
        <f t="shared" si="39"/>
        <v>98</v>
      </c>
      <c r="V616" s="23">
        <f t="shared" si="40"/>
        <v>105</v>
      </c>
      <c r="W616" s="15" t="s">
        <v>11</v>
      </c>
      <c r="X616" s="15" t="s">
        <v>133</v>
      </c>
      <c r="Y616" s="15" t="s">
        <v>21</v>
      </c>
      <c r="Z616" s="15" t="s">
        <v>44</v>
      </c>
      <c r="AA616" s="15" t="s">
        <v>14</v>
      </c>
      <c r="AB616" s="15" t="s">
        <v>131</v>
      </c>
      <c r="AC616" s="15" t="s">
        <v>32</v>
      </c>
      <c r="AD616" s="15"/>
      <c r="AE616" s="1">
        <v>0</v>
      </c>
      <c r="AF616" s="1"/>
    </row>
    <row r="617" spans="1:32" x14ac:dyDescent="0.2">
      <c r="A617" s="34" t="s">
        <v>14</v>
      </c>
      <c r="B617" s="34" t="s">
        <v>131</v>
      </c>
      <c r="C617" s="34" t="s">
        <v>32</v>
      </c>
      <c r="D617" s="34" t="s">
        <v>826</v>
      </c>
      <c r="E617" s="34" t="s">
        <v>620</v>
      </c>
      <c r="F617" s="34">
        <v>1</v>
      </c>
      <c r="G617" s="34" t="s">
        <v>1438</v>
      </c>
      <c r="H617" s="34" t="s">
        <v>11</v>
      </c>
      <c r="I617" s="34" t="s">
        <v>133</v>
      </c>
      <c r="J617" s="13" t="s">
        <v>1439</v>
      </c>
      <c r="K617" s="15" t="s">
        <v>21</v>
      </c>
      <c r="L617" s="15" t="s">
        <v>44</v>
      </c>
      <c r="M617" s="15" t="s">
        <v>143</v>
      </c>
      <c r="N617" s="13">
        <v>639</v>
      </c>
      <c r="O617" s="30">
        <v>45748</v>
      </c>
      <c r="P617" s="30">
        <v>45755</v>
      </c>
      <c r="Q617" s="30">
        <v>45758</v>
      </c>
      <c r="R617" s="30">
        <v>45765</v>
      </c>
      <c r="S617" s="23">
        <f t="shared" si="37"/>
        <v>91</v>
      </c>
      <c r="T617" s="23">
        <f t="shared" si="38"/>
        <v>98</v>
      </c>
      <c r="U617" s="23">
        <f t="shared" si="39"/>
        <v>101</v>
      </c>
      <c r="V617" s="23">
        <f t="shared" si="40"/>
        <v>108</v>
      </c>
      <c r="W617" s="15" t="s">
        <v>11</v>
      </c>
      <c r="X617" s="15" t="s">
        <v>133</v>
      </c>
      <c r="Y617" s="15" t="s">
        <v>21</v>
      </c>
      <c r="Z617" s="15" t="s">
        <v>44</v>
      </c>
      <c r="AA617" s="15" t="s">
        <v>14</v>
      </c>
      <c r="AB617" s="15" t="s">
        <v>131</v>
      </c>
      <c r="AC617" s="15" t="s">
        <v>32</v>
      </c>
      <c r="AD617" s="15"/>
      <c r="AE617" s="1">
        <v>0</v>
      </c>
      <c r="AF617" s="1"/>
    </row>
    <row r="618" spans="1:32" x14ac:dyDescent="0.2">
      <c r="A618" s="34" t="s">
        <v>14</v>
      </c>
      <c r="B618" s="34" t="s">
        <v>131</v>
      </c>
      <c r="C618" s="34" t="s">
        <v>32</v>
      </c>
      <c r="D618" s="34" t="s">
        <v>826</v>
      </c>
      <c r="E618" s="34" t="s">
        <v>618</v>
      </c>
      <c r="F618" s="34">
        <v>2</v>
      </c>
      <c r="G618" s="34" t="s">
        <v>1440</v>
      </c>
      <c r="H618" s="34" t="s">
        <v>11</v>
      </c>
      <c r="I618" s="34" t="s">
        <v>133</v>
      </c>
      <c r="J618" s="13" t="s">
        <v>1441</v>
      </c>
      <c r="K618" s="15" t="s">
        <v>21</v>
      </c>
      <c r="L618" s="15" t="s">
        <v>44</v>
      </c>
      <c r="M618" s="15" t="s">
        <v>143</v>
      </c>
      <c r="N618" s="13">
        <v>640</v>
      </c>
      <c r="O618" s="30">
        <v>45748</v>
      </c>
      <c r="P618" s="30">
        <v>45755</v>
      </c>
      <c r="Q618" s="30">
        <v>45758</v>
      </c>
      <c r="R618" s="30">
        <v>45765</v>
      </c>
      <c r="S618" s="23">
        <f t="shared" si="37"/>
        <v>91</v>
      </c>
      <c r="T618" s="23">
        <f t="shared" si="38"/>
        <v>98</v>
      </c>
      <c r="U618" s="23">
        <f t="shared" si="39"/>
        <v>101</v>
      </c>
      <c r="V618" s="23">
        <f t="shared" si="40"/>
        <v>108</v>
      </c>
      <c r="W618" s="15" t="s">
        <v>11</v>
      </c>
      <c r="X618" s="15" t="s">
        <v>133</v>
      </c>
      <c r="Y618" s="15" t="s">
        <v>21</v>
      </c>
      <c r="Z618" s="15" t="s">
        <v>44</v>
      </c>
      <c r="AA618" s="15" t="s">
        <v>14</v>
      </c>
      <c r="AB618" s="15" t="s">
        <v>131</v>
      </c>
      <c r="AC618" s="15" t="s">
        <v>32</v>
      </c>
      <c r="AD618" s="15"/>
      <c r="AE618" s="1">
        <v>0</v>
      </c>
      <c r="AF618" s="1"/>
    </row>
    <row r="619" spans="1:32" x14ac:dyDescent="0.2">
      <c r="A619" s="34" t="s">
        <v>14</v>
      </c>
      <c r="B619" s="34" t="s">
        <v>131</v>
      </c>
      <c r="C619" s="34" t="s">
        <v>32</v>
      </c>
      <c r="D619" s="34" t="s">
        <v>826</v>
      </c>
      <c r="E619" s="34" t="s">
        <v>619</v>
      </c>
      <c r="F619" s="34">
        <v>2</v>
      </c>
      <c r="G619" s="34" t="s">
        <v>1442</v>
      </c>
      <c r="H619" s="34" t="s">
        <v>11</v>
      </c>
      <c r="I619" s="34" t="s">
        <v>133</v>
      </c>
      <c r="J619" s="13" t="s">
        <v>1443</v>
      </c>
      <c r="K619" s="15" t="s">
        <v>21</v>
      </c>
      <c r="L619" s="15" t="s">
        <v>44</v>
      </c>
      <c r="M619" s="15" t="s">
        <v>143</v>
      </c>
      <c r="N619" s="13">
        <v>641</v>
      </c>
      <c r="O619" s="30">
        <v>45748</v>
      </c>
      <c r="P619" s="30">
        <v>45755</v>
      </c>
      <c r="Q619" s="30">
        <v>45758</v>
      </c>
      <c r="R619" s="30">
        <v>45762</v>
      </c>
      <c r="S619" s="23">
        <f t="shared" si="37"/>
        <v>91</v>
      </c>
      <c r="T619" s="23">
        <f t="shared" si="38"/>
        <v>98</v>
      </c>
      <c r="U619" s="23">
        <f t="shared" si="39"/>
        <v>101</v>
      </c>
      <c r="V619" s="23">
        <f t="shared" si="40"/>
        <v>105</v>
      </c>
      <c r="W619" s="15" t="s">
        <v>11</v>
      </c>
      <c r="X619" s="15" t="s">
        <v>133</v>
      </c>
      <c r="Y619" s="15" t="s">
        <v>21</v>
      </c>
      <c r="Z619" s="15" t="s">
        <v>44</v>
      </c>
      <c r="AA619" s="15" t="s">
        <v>14</v>
      </c>
      <c r="AB619" s="15" t="s">
        <v>131</v>
      </c>
      <c r="AC619" s="15" t="s">
        <v>32</v>
      </c>
      <c r="AD619" s="15"/>
      <c r="AE619" s="1">
        <v>0</v>
      </c>
      <c r="AF619" s="1"/>
    </row>
    <row r="620" spans="1:32" x14ac:dyDescent="0.2">
      <c r="A620" s="34" t="s">
        <v>14</v>
      </c>
      <c r="B620" s="34" t="s">
        <v>131</v>
      </c>
      <c r="C620" s="34" t="s">
        <v>32</v>
      </c>
      <c r="D620" s="34" t="s">
        <v>826</v>
      </c>
      <c r="E620" s="34" t="s">
        <v>620</v>
      </c>
      <c r="F620" s="34">
        <v>2</v>
      </c>
      <c r="G620" s="34" t="s">
        <v>1444</v>
      </c>
      <c r="H620" s="34" t="s">
        <v>11</v>
      </c>
      <c r="I620" s="34" t="s">
        <v>133</v>
      </c>
      <c r="J620" s="13" t="s">
        <v>1445</v>
      </c>
      <c r="K620" s="15" t="s">
        <v>21</v>
      </c>
      <c r="L620" s="15" t="s">
        <v>44</v>
      </c>
      <c r="M620" s="15" t="s">
        <v>143</v>
      </c>
      <c r="N620" s="13">
        <v>642</v>
      </c>
      <c r="O620" s="30">
        <v>45748</v>
      </c>
      <c r="P620" s="30">
        <v>45755</v>
      </c>
      <c r="Q620" s="30">
        <v>45762</v>
      </c>
      <c r="R620" s="30">
        <v>45765</v>
      </c>
      <c r="S620" s="23">
        <f t="shared" si="37"/>
        <v>91</v>
      </c>
      <c r="T620" s="23">
        <f t="shared" si="38"/>
        <v>98</v>
      </c>
      <c r="U620" s="23">
        <f t="shared" si="39"/>
        <v>105</v>
      </c>
      <c r="V620" s="23">
        <f t="shared" si="40"/>
        <v>108</v>
      </c>
      <c r="W620" s="15" t="s">
        <v>11</v>
      </c>
      <c r="X620" s="15" t="s">
        <v>133</v>
      </c>
      <c r="Y620" s="15" t="s">
        <v>21</v>
      </c>
      <c r="Z620" s="15" t="s">
        <v>44</v>
      </c>
      <c r="AA620" s="15" t="s">
        <v>14</v>
      </c>
      <c r="AB620" s="15" t="s">
        <v>131</v>
      </c>
      <c r="AC620" s="15" t="s">
        <v>32</v>
      </c>
      <c r="AD620" s="15"/>
      <c r="AE620" s="1">
        <v>0</v>
      </c>
      <c r="AF620" s="1"/>
    </row>
    <row r="621" spans="1:32" x14ac:dyDescent="0.2">
      <c r="A621" s="35" t="s">
        <v>14</v>
      </c>
      <c r="B621" s="35" t="s">
        <v>131</v>
      </c>
      <c r="C621" s="35" t="s">
        <v>42</v>
      </c>
      <c r="D621" s="31" t="s">
        <v>835</v>
      </c>
      <c r="E621" s="35" t="s">
        <v>618</v>
      </c>
      <c r="F621" s="35">
        <v>1</v>
      </c>
      <c r="G621" s="35" t="s">
        <v>1446</v>
      </c>
      <c r="H621" s="35" t="s">
        <v>11</v>
      </c>
      <c r="I621" s="35" t="s">
        <v>133</v>
      </c>
      <c r="J621" s="21" t="s">
        <v>1447</v>
      </c>
      <c r="K621" s="22" t="s">
        <v>21</v>
      </c>
      <c r="L621" s="22" t="s">
        <v>44</v>
      </c>
      <c r="M621" s="22" t="s">
        <v>143</v>
      </c>
      <c r="N621" s="21">
        <v>643</v>
      </c>
      <c r="O621" s="29"/>
      <c r="P621" s="29"/>
      <c r="Q621" s="29"/>
      <c r="R621" s="29"/>
      <c r="S621" s="23"/>
      <c r="T621" s="23"/>
      <c r="U621" s="23"/>
      <c r="V621" s="23"/>
      <c r="W621" s="22" t="s">
        <v>11</v>
      </c>
      <c r="X621" s="22" t="s">
        <v>133</v>
      </c>
      <c r="Y621" s="22" t="s">
        <v>21</v>
      </c>
      <c r="Z621" s="22" t="s">
        <v>44</v>
      </c>
      <c r="AA621" s="22" t="s">
        <v>14</v>
      </c>
      <c r="AB621" s="22" t="s">
        <v>131</v>
      </c>
      <c r="AC621" s="22" t="s">
        <v>42</v>
      </c>
      <c r="AD621" s="22"/>
      <c r="AE621" s="2">
        <v>1</v>
      </c>
      <c r="AF621" s="2" t="s">
        <v>1448</v>
      </c>
    </row>
    <row r="622" spans="1:32" x14ac:dyDescent="0.2">
      <c r="A622" s="35" t="s">
        <v>14</v>
      </c>
      <c r="B622" s="35" t="s">
        <v>131</v>
      </c>
      <c r="C622" s="35" t="s">
        <v>42</v>
      </c>
      <c r="D622" s="31" t="s">
        <v>835</v>
      </c>
      <c r="E622" s="35" t="s">
        <v>619</v>
      </c>
      <c r="F622" s="35">
        <v>1</v>
      </c>
      <c r="G622" s="35" t="s">
        <v>1449</v>
      </c>
      <c r="H622" s="35" t="s">
        <v>11</v>
      </c>
      <c r="I622" s="35" t="s">
        <v>133</v>
      </c>
      <c r="J622" s="21" t="s">
        <v>1450</v>
      </c>
      <c r="K622" s="22" t="s">
        <v>21</v>
      </c>
      <c r="L622" s="22" t="s">
        <v>44</v>
      </c>
      <c r="M622" s="22" t="s">
        <v>143</v>
      </c>
      <c r="N622" s="21">
        <v>644</v>
      </c>
      <c r="O622" s="29">
        <v>45755</v>
      </c>
      <c r="P622" s="29">
        <v>45776</v>
      </c>
      <c r="Q622" s="29"/>
      <c r="R622" s="29"/>
      <c r="S622" s="23">
        <f t="shared" si="37"/>
        <v>98</v>
      </c>
      <c r="T622" s="23">
        <f t="shared" si="38"/>
        <v>119</v>
      </c>
      <c r="U622" s="23">
        <f t="shared" si="39"/>
        <v>0</v>
      </c>
      <c r="V622" s="23">
        <f t="shared" si="40"/>
        <v>0</v>
      </c>
      <c r="W622" s="22" t="s">
        <v>11</v>
      </c>
      <c r="X622" s="22" t="s">
        <v>133</v>
      </c>
      <c r="Y622" s="22" t="s">
        <v>21</v>
      </c>
      <c r="Z622" s="22" t="s">
        <v>44</v>
      </c>
      <c r="AA622" s="22" t="s">
        <v>14</v>
      </c>
      <c r="AB622" s="22" t="s">
        <v>131</v>
      </c>
      <c r="AC622" s="22" t="s">
        <v>42</v>
      </c>
      <c r="AD622" s="22"/>
      <c r="AE622" s="2">
        <v>2</v>
      </c>
      <c r="AF622" s="2" t="s">
        <v>1451</v>
      </c>
    </row>
    <row r="623" spans="1:32" x14ac:dyDescent="0.2">
      <c r="A623" s="35" t="s">
        <v>14</v>
      </c>
      <c r="B623" s="35" t="s">
        <v>131</v>
      </c>
      <c r="C623" s="35" t="s">
        <v>42</v>
      </c>
      <c r="D623" s="31" t="s">
        <v>835</v>
      </c>
      <c r="E623" s="35" t="s">
        <v>620</v>
      </c>
      <c r="F623" s="35">
        <v>1</v>
      </c>
      <c r="G623" s="35" t="s">
        <v>1452</v>
      </c>
      <c r="H623" s="35" t="s">
        <v>11</v>
      </c>
      <c r="I623" s="35" t="s">
        <v>133</v>
      </c>
      <c r="J623" s="21" t="s">
        <v>1453</v>
      </c>
      <c r="K623" s="22" t="s">
        <v>21</v>
      </c>
      <c r="L623" s="22" t="s">
        <v>44</v>
      </c>
      <c r="M623" s="22" t="s">
        <v>143</v>
      </c>
      <c r="N623" s="21">
        <v>645</v>
      </c>
      <c r="O623" s="29">
        <v>45748</v>
      </c>
      <c r="P623" s="29">
        <v>45755</v>
      </c>
      <c r="Q623" s="29">
        <v>45762</v>
      </c>
      <c r="R623" s="29">
        <v>45765</v>
      </c>
      <c r="S623" s="23">
        <f t="shared" si="37"/>
        <v>91</v>
      </c>
      <c r="T623" s="23">
        <f t="shared" si="38"/>
        <v>98</v>
      </c>
      <c r="U623" s="23">
        <f t="shared" si="39"/>
        <v>105</v>
      </c>
      <c r="V623" s="23">
        <f t="shared" si="40"/>
        <v>108</v>
      </c>
      <c r="W623" s="22" t="s">
        <v>11</v>
      </c>
      <c r="X623" s="22" t="s">
        <v>133</v>
      </c>
      <c r="Y623" s="22" t="s">
        <v>21</v>
      </c>
      <c r="Z623" s="22" t="s">
        <v>44</v>
      </c>
      <c r="AA623" s="22" t="s">
        <v>14</v>
      </c>
      <c r="AB623" s="22" t="s">
        <v>131</v>
      </c>
      <c r="AC623" s="22" t="s">
        <v>42</v>
      </c>
      <c r="AD623" s="22"/>
      <c r="AE623" s="2">
        <v>0</v>
      </c>
      <c r="AF623" s="2"/>
    </row>
    <row r="624" spans="1:32" x14ac:dyDescent="0.2">
      <c r="A624" s="35" t="s">
        <v>14</v>
      </c>
      <c r="B624" s="35" t="s">
        <v>131</v>
      </c>
      <c r="C624" s="35" t="s">
        <v>42</v>
      </c>
      <c r="D624" s="31" t="s">
        <v>835</v>
      </c>
      <c r="E624" s="35" t="s">
        <v>618</v>
      </c>
      <c r="F624" s="35">
        <v>2</v>
      </c>
      <c r="G624" s="35" t="s">
        <v>1454</v>
      </c>
      <c r="H624" s="35" t="s">
        <v>11</v>
      </c>
      <c r="I624" s="35" t="s">
        <v>133</v>
      </c>
      <c r="J624" s="21" t="s">
        <v>1455</v>
      </c>
      <c r="K624" s="22" t="s">
        <v>21</v>
      </c>
      <c r="L624" s="22" t="s">
        <v>44</v>
      </c>
      <c r="M624" s="22" t="s">
        <v>143</v>
      </c>
      <c r="N624" s="21">
        <v>646</v>
      </c>
      <c r="O624" s="29"/>
      <c r="P624" s="29"/>
      <c r="Q624" s="29"/>
      <c r="R624" s="29"/>
      <c r="S624" s="23"/>
      <c r="T624" s="23"/>
      <c r="U624" s="23"/>
      <c r="V624" s="23"/>
      <c r="W624" s="22" t="s">
        <v>11</v>
      </c>
      <c r="X624" s="22" t="s">
        <v>133</v>
      </c>
      <c r="Y624" s="22" t="s">
        <v>21</v>
      </c>
      <c r="Z624" s="22" t="s">
        <v>44</v>
      </c>
      <c r="AA624" s="22" t="s">
        <v>14</v>
      </c>
      <c r="AB624" s="22" t="s">
        <v>131</v>
      </c>
      <c r="AC624" s="22" t="s">
        <v>42</v>
      </c>
      <c r="AD624" s="22"/>
      <c r="AE624" s="2">
        <v>1</v>
      </c>
      <c r="AF624" s="2" t="s">
        <v>1448</v>
      </c>
    </row>
    <row r="625" spans="1:32" x14ac:dyDescent="0.2">
      <c r="A625" s="35" t="s">
        <v>14</v>
      </c>
      <c r="B625" s="35" t="s">
        <v>131</v>
      </c>
      <c r="C625" s="35" t="s">
        <v>42</v>
      </c>
      <c r="D625" s="31" t="s">
        <v>835</v>
      </c>
      <c r="E625" s="35" t="s">
        <v>619</v>
      </c>
      <c r="F625" s="35">
        <v>2</v>
      </c>
      <c r="G625" s="35" t="s">
        <v>1456</v>
      </c>
      <c r="H625" s="35" t="s">
        <v>11</v>
      </c>
      <c r="I625" s="35" t="s">
        <v>133</v>
      </c>
      <c r="J625" s="21" t="s">
        <v>1457</v>
      </c>
      <c r="K625" s="22" t="s">
        <v>21</v>
      </c>
      <c r="L625" s="22" t="s">
        <v>44</v>
      </c>
      <c r="M625" s="22" t="s">
        <v>143</v>
      </c>
      <c r="N625" s="21">
        <v>647</v>
      </c>
      <c r="O625" s="29">
        <v>45751</v>
      </c>
      <c r="P625" s="29">
        <v>45755</v>
      </c>
      <c r="Q625" s="29">
        <v>45762</v>
      </c>
      <c r="R625" s="29">
        <v>45770</v>
      </c>
      <c r="S625" s="23">
        <f t="shared" si="37"/>
        <v>94</v>
      </c>
      <c r="T625" s="23">
        <f t="shared" si="38"/>
        <v>98</v>
      </c>
      <c r="U625" s="23">
        <f t="shared" si="39"/>
        <v>105</v>
      </c>
      <c r="V625" s="23">
        <f t="shared" si="40"/>
        <v>113</v>
      </c>
      <c r="W625" s="22" t="s">
        <v>11</v>
      </c>
      <c r="X625" s="22" t="s">
        <v>133</v>
      </c>
      <c r="Y625" s="22" t="s">
        <v>21</v>
      </c>
      <c r="Z625" s="22" t="s">
        <v>44</v>
      </c>
      <c r="AA625" s="22" t="s">
        <v>14</v>
      </c>
      <c r="AB625" s="22" t="s">
        <v>131</v>
      </c>
      <c r="AC625" s="22" t="s">
        <v>42</v>
      </c>
      <c r="AD625" s="22"/>
      <c r="AE625" s="2">
        <v>0</v>
      </c>
      <c r="AF625" s="2"/>
    </row>
    <row r="626" spans="1:32" x14ac:dyDescent="0.2">
      <c r="A626" s="35" t="s">
        <v>14</v>
      </c>
      <c r="B626" s="35" t="s">
        <v>131</v>
      </c>
      <c r="C626" s="35" t="s">
        <v>42</v>
      </c>
      <c r="D626" s="31" t="s">
        <v>835</v>
      </c>
      <c r="E626" s="35" t="s">
        <v>620</v>
      </c>
      <c r="F626" s="35">
        <v>2</v>
      </c>
      <c r="G626" s="35" t="s">
        <v>1458</v>
      </c>
      <c r="H626" s="35" t="s">
        <v>11</v>
      </c>
      <c r="I626" s="35" t="s">
        <v>133</v>
      </c>
      <c r="J626" s="21" t="s">
        <v>1459</v>
      </c>
      <c r="K626" s="22" t="s">
        <v>21</v>
      </c>
      <c r="L626" s="22" t="s">
        <v>44</v>
      </c>
      <c r="M626" s="22" t="s">
        <v>143</v>
      </c>
      <c r="N626" s="21">
        <v>648</v>
      </c>
      <c r="O626" s="29">
        <v>45748</v>
      </c>
      <c r="P626" s="29">
        <v>45755</v>
      </c>
      <c r="Q626" s="29">
        <v>45758</v>
      </c>
      <c r="R626" s="29">
        <v>45762</v>
      </c>
      <c r="S626" s="23">
        <f t="shared" si="37"/>
        <v>91</v>
      </c>
      <c r="T626" s="23">
        <f t="shared" si="38"/>
        <v>98</v>
      </c>
      <c r="U626" s="23">
        <f t="shared" si="39"/>
        <v>101</v>
      </c>
      <c r="V626" s="23">
        <f t="shared" si="40"/>
        <v>105</v>
      </c>
      <c r="W626" s="22" t="s">
        <v>11</v>
      </c>
      <c r="X626" s="22" t="s">
        <v>133</v>
      </c>
      <c r="Y626" s="22" t="s">
        <v>21</v>
      </c>
      <c r="Z626" s="22" t="s">
        <v>44</v>
      </c>
      <c r="AA626" s="22" t="s">
        <v>14</v>
      </c>
      <c r="AB626" s="22" t="s">
        <v>131</v>
      </c>
      <c r="AC626" s="22" t="s">
        <v>42</v>
      </c>
      <c r="AD626" s="22"/>
      <c r="AE626" s="2">
        <v>0</v>
      </c>
      <c r="AF626" s="2"/>
    </row>
    <row r="627" spans="1:32" x14ac:dyDescent="0.2">
      <c r="A627" s="34" t="s">
        <v>14</v>
      </c>
      <c r="B627" s="34" t="s">
        <v>131</v>
      </c>
      <c r="C627" s="34" t="s">
        <v>53</v>
      </c>
      <c r="D627" s="34" t="s">
        <v>844</v>
      </c>
      <c r="E627" s="34" t="s">
        <v>618</v>
      </c>
      <c r="F627" s="34">
        <v>1</v>
      </c>
      <c r="G627" s="34" t="s">
        <v>1460</v>
      </c>
      <c r="H627" s="34" t="s">
        <v>11</v>
      </c>
      <c r="I627" s="34" t="s">
        <v>133</v>
      </c>
      <c r="J627" s="13" t="s">
        <v>1461</v>
      </c>
      <c r="K627" s="15" t="s">
        <v>21</v>
      </c>
      <c r="L627" s="15" t="s">
        <v>44</v>
      </c>
      <c r="M627" s="15" t="s">
        <v>143</v>
      </c>
      <c r="N627" s="13">
        <v>649</v>
      </c>
      <c r="O627" s="30">
        <v>45748</v>
      </c>
      <c r="P627" s="30">
        <v>45762</v>
      </c>
      <c r="Q627" s="30">
        <v>45770</v>
      </c>
      <c r="R627" s="30">
        <v>45783</v>
      </c>
      <c r="S627" s="23">
        <f t="shared" si="37"/>
        <v>91</v>
      </c>
      <c r="T627" s="23">
        <f t="shared" si="38"/>
        <v>105</v>
      </c>
      <c r="U627" s="23">
        <f t="shared" si="39"/>
        <v>113</v>
      </c>
      <c r="V627" s="23">
        <f t="shared" si="40"/>
        <v>126</v>
      </c>
      <c r="W627" s="15" t="s">
        <v>11</v>
      </c>
      <c r="X627" s="15" t="s">
        <v>133</v>
      </c>
      <c r="Y627" s="15" t="s">
        <v>21</v>
      </c>
      <c r="Z627" s="15" t="s">
        <v>44</v>
      </c>
      <c r="AA627" s="15" t="s">
        <v>14</v>
      </c>
      <c r="AB627" s="15" t="s">
        <v>131</v>
      </c>
      <c r="AC627" s="15" t="s">
        <v>53</v>
      </c>
      <c r="AD627" s="15"/>
      <c r="AE627" s="1">
        <v>0</v>
      </c>
      <c r="AF627" s="1"/>
    </row>
    <row r="628" spans="1:32" x14ac:dyDescent="0.2">
      <c r="A628" s="34" t="s">
        <v>14</v>
      </c>
      <c r="B628" s="34" t="s">
        <v>131</v>
      </c>
      <c r="C628" s="34" t="s">
        <v>53</v>
      </c>
      <c r="D628" s="34" t="s">
        <v>844</v>
      </c>
      <c r="E628" s="34" t="s">
        <v>619</v>
      </c>
      <c r="F628" s="34">
        <v>1</v>
      </c>
      <c r="G628" s="34" t="s">
        <v>1462</v>
      </c>
      <c r="H628" s="34" t="s">
        <v>11</v>
      </c>
      <c r="I628" s="34" t="s">
        <v>133</v>
      </c>
      <c r="J628" s="13" t="s">
        <v>1463</v>
      </c>
      <c r="K628" s="15" t="s">
        <v>21</v>
      </c>
      <c r="L628" s="15" t="s">
        <v>44</v>
      </c>
      <c r="M628" s="15" t="s">
        <v>143</v>
      </c>
      <c r="N628" s="13">
        <v>650</v>
      </c>
      <c r="O628" s="30">
        <v>45748</v>
      </c>
      <c r="P628" s="30">
        <v>45755</v>
      </c>
      <c r="Q628" s="30">
        <v>45758</v>
      </c>
      <c r="R628" s="30">
        <v>45762</v>
      </c>
      <c r="S628" s="23">
        <f t="shared" si="37"/>
        <v>91</v>
      </c>
      <c r="T628" s="23">
        <f t="shared" si="38"/>
        <v>98</v>
      </c>
      <c r="U628" s="23">
        <f t="shared" si="39"/>
        <v>101</v>
      </c>
      <c r="V628" s="23">
        <f t="shared" si="40"/>
        <v>105</v>
      </c>
      <c r="W628" s="15" t="s">
        <v>11</v>
      </c>
      <c r="X628" s="15" t="s">
        <v>133</v>
      </c>
      <c r="Y628" s="15" t="s">
        <v>21</v>
      </c>
      <c r="Z628" s="15" t="s">
        <v>44</v>
      </c>
      <c r="AA628" s="15" t="s">
        <v>14</v>
      </c>
      <c r="AB628" s="15" t="s">
        <v>131</v>
      </c>
      <c r="AC628" s="15" t="s">
        <v>53</v>
      </c>
      <c r="AD628" s="15"/>
      <c r="AE628" s="1">
        <v>0</v>
      </c>
      <c r="AF628" s="1"/>
    </row>
    <row r="629" spans="1:32" x14ac:dyDescent="0.2">
      <c r="A629" s="34" t="s">
        <v>14</v>
      </c>
      <c r="B629" s="34" t="s">
        <v>131</v>
      </c>
      <c r="C629" s="34" t="s">
        <v>53</v>
      </c>
      <c r="D629" s="34" t="s">
        <v>844</v>
      </c>
      <c r="E629" s="34" t="s">
        <v>620</v>
      </c>
      <c r="F629" s="34">
        <v>1</v>
      </c>
      <c r="G629" s="34" t="s">
        <v>1464</v>
      </c>
      <c r="H629" s="34" t="s">
        <v>11</v>
      </c>
      <c r="I629" s="34" t="s">
        <v>133</v>
      </c>
      <c r="J629" s="13" t="s">
        <v>1465</v>
      </c>
      <c r="K629" s="15" t="s">
        <v>21</v>
      </c>
      <c r="L629" s="15" t="s">
        <v>44</v>
      </c>
      <c r="M629" s="15" t="s">
        <v>143</v>
      </c>
      <c r="N629" s="13">
        <v>651</v>
      </c>
      <c r="O629" s="30">
        <v>45748</v>
      </c>
      <c r="P629" s="30">
        <v>45755</v>
      </c>
      <c r="Q629" s="30">
        <v>45758</v>
      </c>
      <c r="R629" s="30">
        <v>45762</v>
      </c>
      <c r="S629" s="23">
        <f t="shared" si="37"/>
        <v>91</v>
      </c>
      <c r="T629" s="23">
        <f t="shared" si="38"/>
        <v>98</v>
      </c>
      <c r="U629" s="23">
        <f t="shared" si="39"/>
        <v>101</v>
      </c>
      <c r="V629" s="23">
        <f t="shared" si="40"/>
        <v>105</v>
      </c>
      <c r="W629" s="15" t="s">
        <v>11</v>
      </c>
      <c r="X629" s="15" t="s">
        <v>133</v>
      </c>
      <c r="Y629" s="15" t="s">
        <v>21</v>
      </c>
      <c r="Z629" s="15" t="s">
        <v>44</v>
      </c>
      <c r="AA629" s="15" t="s">
        <v>14</v>
      </c>
      <c r="AB629" s="15" t="s">
        <v>131</v>
      </c>
      <c r="AC629" s="15" t="s">
        <v>53</v>
      </c>
      <c r="AD629" s="15"/>
      <c r="AE629" s="1">
        <v>0</v>
      </c>
      <c r="AF629" s="1"/>
    </row>
    <row r="630" spans="1:32" x14ac:dyDescent="0.2">
      <c r="A630" s="34" t="s">
        <v>14</v>
      </c>
      <c r="B630" s="34" t="s">
        <v>131</v>
      </c>
      <c r="C630" s="34" t="s">
        <v>53</v>
      </c>
      <c r="D630" s="34" t="s">
        <v>844</v>
      </c>
      <c r="E630" s="34" t="s">
        <v>618</v>
      </c>
      <c r="F630" s="34">
        <v>2</v>
      </c>
      <c r="G630" s="34" t="s">
        <v>1466</v>
      </c>
      <c r="H630" s="34" t="s">
        <v>11</v>
      </c>
      <c r="I630" s="34" t="s">
        <v>133</v>
      </c>
      <c r="J630" s="13" t="s">
        <v>1467</v>
      </c>
      <c r="K630" s="15" t="s">
        <v>21</v>
      </c>
      <c r="L630" s="15" t="s">
        <v>44</v>
      </c>
      <c r="M630" s="15" t="s">
        <v>143</v>
      </c>
      <c r="N630" s="13">
        <v>652</v>
      </c>
      <c r="O630" s="30">
        <v>45748</v>
      </c>
      <c r="P630" s="30">
        <v>45755</v>
      </c>
      <c r="Q630" s="30">
        <v>45758</v>
      </c>
      <c r="R630" s="30">
        <v>45762</v>
      </c>
      <c r="S630" s="23">
        <f t="shared" si="37"/>
        <v>91</v>
      </c>
      <c r="T630" s="23">
        <f t="shared" si="38"/>
        <v>98</v>
      </c>
      <c r="U630" s="23">
        <f t="shared" si="39"/>
        <v>101</v>
      </c>
      <c r="V630" s="23">
        <f t="shared" si="40"/>
        <v>105</v>
      </c>
      <c r="W630" s="15" t="s">
        <v>11</v>
      </c>
      <c r="X630" s="15" t="s">
        <v>133</v>
      </c>
      <c r="Y630" s="15" t="s">
        <v>21</v>
      </c>
      <c r="Z630" s="15" t="s">
        <v>44</v>
      </c>
      <c r="AA630" s="15" t="s">
        <v>14</v>
      </c>
      <c r="AB630" s="15" t="s">
        <v>131</v>
      </c>
      <c r="AC630" s="15" t="s">
        <v>53</v>
      </c>
      <c r="AD630" s="15"/>
      <c r="AE630" s="1">
        <v>0</v>
      </c>
      <c r="AF630" s="1"/>
    </row>
    <row r="631" spans="1:32" x14ac:dyDescent="0.2">
      <c r="A631" s="34" t="s">
        <v>14</v>
      </c>
      <c r="B631" s="34" t="s">
        <v>131</v>
      </c>
      <c r="C631" s="34" t="s">
        <v>53</v>
      </c>
      <c r="D631" s="34" t="s">
        <v>844</v>
      </c>
      <c r="E631" s="34" t="s">
        <v>619</v>
      </c>
      <c r="F631" s="34">
        <v>2</v>
      </c>
      <c r="G631" s="34" t="s">
        <v>1468</v>
      </c>
      <c r="H631" s="34" t="s">
        <v>11</v>
      </c>
      <c r="I631" s="34" t="s">
        <v>133</v>
      </c>
      <c r="J631" s="13" t="s">
        <v>1469</v>
      </c>
      <c r="K631" s="15" t="s">
        <v>21</v>
      </c>
      <c r="L631" s="15" t="s">
        <v>44</v>
      </c>
      <c r="M631" s="15" t="s">
        <v>143</v>
      </c>
      <c r="N631" s="13">
        <v>653</v>
      </c>
      <c r="O631" s="30">
        <v>45748</v>
      </c>
      <c r="P631" s="30">
        <v>45758</v>
      </c>
      <c r="Q631" s="30">
        <v>45762</v>
      </c>
      <c r="R631" s="30">
        <v>45765</v>
      </c>
      <c r="S631" s="23">
        <f t="shared" si="37"/>
        <v>91</v>
      </c>
      <c r="T631" s="23">
        <f t="shared" si="38"/>
        <v>101</v>
      </c>
      <c r="U631" s="23">
        <f t="shared" si="39"/>
        <v>105</v>
      </c>
      <c r="V631" s="23">
        <f t="shared" si="40"/>
        <v>108</v>
      </c>
      <c r="W631" s="15" t="s">
        <v>11</v>
      </c>
      <c r="X631" s="15" t="s">
        <v>133</v>
      </c>
      <c r="Y631" s="15" t="s">
        <v>21</v>
      </c>
      <c r="Z631" s="15" t="s">
        <v>44</v>
      </c>
      <c r="AA631" s="15" t="s">
        <v>14</v>
      </c>
      <c r="AB631" s="15" t="s">
        <v>131</v>
      </c>
      <c r="AC631" s="15" t="s">
        <v>53</v>
      </c>
      <c r="AD631" s="15"/>
      <c r="AE631" s="1">
        <v>0</v>
      </c>
      <c r="AF631" s="1"/>
    </row>
    <row r="632" spans="1:32" x14ac:dyDescent="0.2">
      <c r="A632" s="34" t="s">
        <v>14</v>
      </c>
      <c r="B632" s="34" t="s">
        <v>131</v>
      </c>
      <c r="C632" s="34" t="s">
        <v>53</v>
      </c>
      <c r="D632" s="34" t="s">
        <v>844</v>
      </c>
      <c r="E632" s="34" t="s">
        <v>620</v>
      </c>
      <c r="F632" s="34">
        <v>2</v>
      </c>
      <c r="G632" s="34" t="s">
        <v>1470</v>
      </c>
      <c r="H632" s="34" t="s">
        <v>11</v>
      </c>
      <c r="I632" s="34" t="s">
        <v>133</v>
      </c>
      <c r="J632" s="13" t="s">
        <v>1471</v>
      </c>
      <c r="K632" s="15" t="s">
        <v>21</v>
      </c>
      <c r="L632" s="15" t="s">
        <v>44</v>
      </c>
      <c r="M632" s="15" t="s">
        <v>143</v>
      </c>
      <c r="N632" s="13">
        <v>654</v>
      </c>
      <c r="O632" s="30"/>
      <c r="P632" s="30"/>
      <c r="Q632" s="30"/>
      <c r="R632" s="30"/>
      <c r="S632" s="23"/>
      <c r="T632" s="23"/>
      <c r="U632" s="23"/>
      <c r="V632" s="23"/>
      <c r="W632" s="15" t="s">
        <v>11</v>
      </c>
      <c r="X632" s="15" t="s">
        <v>133</v>
      </c>
      <c r="Y632" s="15" t="s">
        <v>21</v>
      </c>
      <c r="Z632" s="15" t="s">
        <v>44</v>
      </c>
      <c r="AA632" s="15" t="s">
        <v>14</v>
      </c>
      <c r="AB632" s="15" t="s">
        <v>131</v>
      </c>
      <c r="AC632" s="15" t="s">
        <v>53</v>
      </c>
      <c r="AD632" s="15"/>
      <c r="AE632" s="1">
        <v>1</v>
      </c>
      <c r="AF632" s="1" t="s">
        <v>1448</v>
      </c>
    </row>
    <row r="633" spans="1:32" x14ac:dyDescent="0.2">
      <c r="A633" s="35" t="s">
        <v>14</v>
      </c>
      <c r="B633" s="35" t="s">
        <v>167</v>
      </c>
      <c r="C633" s="35" t="s">
        <v>16</v>
      </c>
      <c r="D633" s="31" t="s">
        <v>853</v>
      </c>
      <c r="E633" s="35" t="s">
        <v>618</v>
      </c>
      <c r="F633" s="35">
        <v>1</v>
      </c>
      <c r="G633" s="35" t="s">
        <v>1472</v>
      </c>
      <c r="H633" s="35" t="s">
        <v>11</v>
      </c>
      <c r="I633" s="35" t="s">
        <v>133</v>
      </c>
      <c r="J633" s="21" t="s">
        <v>1473</v>
      </c>
      <c r="K633" s="22" t="s">
        <v>64</v>
      </c>
      <c r="L633" s="22" t="s">
        <v>44</v>
      </c>
      <c r="M633" s="22" t="s">
        <v>169</v>
      </c>
      <c r="N633" s="21">
        <v>655</v>
      </c>
      <c r="O633" s="29">
        <v>45748</v>
      </c>
      <c r="P633" s="29">
        <v>45758</v>
      </c>
      <c r="Q633" s="29">
        <v>45762</v>
      </c>
      <c r="R633" s="29">
        <v>45770</v>
      </c>
      <c r="S633" s="23">
        <f t="shared" si="37"/>
        <v>91</v>
      </c>
      <c r="T633" s="23">
        <f t="shared" si="38"/>
        <v>101</v>
      </c>
      <c r="U633" s="23">
        <f t="shared" si="39"/>
        <v>105</v>
      </c>
      <c r="V633" s="23">
        <f t="shared" si="40"/>
        <v>113</v>
      </c>
      <c r="W633" s="22" t="s">
        <v>11</v>
      </c>
      <c r="X633" s="22" t="s">
        <v>133</v>
      </c>
      <c r="Y633" s="22" t="s">
        <v>64</v>
      </c>
      <c r="Z633" s="22" t="s">
        <v>44</v>
      </c>
      <c r="AA633" s="22" t="s">
        <v>14</v>
      </c>
      <c r="AB633" s="22" t="s">
        <v>167</v>
      </c>
      <c r="AC633" s="22" t="s">
        <v>16</v>
      </c>
      <c r="AD633" s="22"/>
      <c r="AE633" s="2">
        <v>0</v>
      </c>
      <c r="AF633" s="2"/>
    </row>
    <row r="634" spans="1:32" x14ac:dyDescent="0.2">
      <c r="A634" s="35" t="s">
        <v>14</v>
      </c>
      <c r="B634" s="35" t="s">
        <v>167</v>
      </c>
      <c r="C634" s="35" t="s">
        <v>16</v>
      </c>
      <c r="D634" s="31" t="s">
        <v>853</v>
      </c>
      <c r="E634" s="35" t="s">
        <v>619</v>
      </c>
      <c r="F634" s="35">
        <v>1</v>
      </c>
      <c r="G634" s="35" t="s">
        <v>1474</v>
      </c>
      <c r="H634" s="35" t="s">
        <v>11</v>
      </c>
      <c r="I634" s="35" t="s">
        <v>133</v>
      </c>
      <c r="J634" s="21" t="s">
        <v>1475</v>
      </c>
      <c r="K634" s="22" t="s">
        <v>64</v>
      </c>
      <c r="L634" s="22" t="s">
        <v>44</v>
      </c>
      <c r="M634" s="22" t="s">
        <v>169</v>
      </c>
      <c r="N634" s="21">
        <v>656</v>
      </c>
      <c r="O634" s="29">
        <v>45748</v>
      </c>
      <c r="P634" s="29">
        <v>45755</v>
      </c>
      <c r="Q634" s="29">
        <v>45762</v>
      </c>
      <c r="R634" s="29">
        <v>45765</v>
      </c>
      <c r="S634" s="23">
        <f t="shared" si="37"/>
        <v>91</v>
      </c>
      <c r="T634" s="23">
        <f t="shared" si="38"/>
        <v>98</v>
      </c>
      <c r="U634" s="23">
        <f t="shared" si="39"/>
        <v>105</v>
      </c>
      <c r="V634" s="23">
        <f t="shared" si="40"/>
        <v>108</v>
      </c>
      <c r="W634" s="22" t="s">
        <v>11</v>
      </c>
      <c r="X634" s="22" t="s">
        <v>133</v>
      </c>
      <c r="Y634" s="22" t="s">
        <v>64</v>
      </c>
      <c r="Z634" s="22" t="s">
        <v>44</v>
      </c>
      <c r="AA634" s="22" t="s">
        <v>14</v>
      </c>
      <c r="AB634" s="22" t="s">
        <v>167</v>
      </c>
      <c r="AC634" s="22" t="s">
        <v>16</v>
      </c>
      <c r="AD634" s="22"/>
      <c r="AE634" s="2">
        <v>0</v>
      </c>
      <c r="AF634" s="2"/>
    </row>
    <row r="635" spans="1:32" x14ac:dyDescent="0.2">
      <c r="A635" s="35" t="s">
        <v>14</v>
      </c>
      <c r="B635" s="35" t="s">
        <v>167</v>
      </c>
      <c r="C635" s="35" t="s">
        <v>16</v>
      </c>
      <c r="D635" s="31" t="s">
        <v>853</v>
      </c>
      <c r="E635" s="35" t="s">
        <v>620</v>
      </c>
      <c r="F635" s="35">
        <v>1</v>
      </c>
      <c r="G635" s="35" t="s">
        <v>1476</v>
      </c>
      <c r="H635" s="35" t="s">
        <v>11</v>
      </c>
      <c r="I635" s="35" t="s">
        <v>133</v>
      </c>
      <c r="J635" s="21" t="s">
        <v>1477</v>
      </c>
      <c r="K635" s="22" t="s">
        <v>64</v>
      </c>
      <c r="L635" s="22" t="s">
        <v>44</v>
      </c>
      <c r="M635" s="22" t="s">
        <v>169</v>
      </c>
      <c r="N635" s="21">
        <v>657</v>
      </c>
      <c r="O635" s="29">
        <v>45748</v>
      </c>
      <c r="P635" s="29">
        <v>45755</v>
      </c>
      <c r="Q635" s="29">
        <v>45758</v>
      </c>
      <c r="R635" s="29">
        <v>45765</v>
      </c>
      <c r="S635" s="23">
        <f t="shared" si="37"/>
        <v>91</v>
      </c>
      <c r="T635" s="23">
        <f t="shared" si="38"/>
        <v>98</v>
      </c>
      <c r="U635" s="23">
        <f t="shared" si="39"/>
        <v>101</v>
      </c>
      <c r="V635" s="23">
        <f t="shared" si="40"/>
        <v>108</v>
      </c>
      <c r="W635" s="22" t="s">
        <v>11</v>
      </c>
      <c r="X635" s="22" t="s">
        <v>133</v>
      </c>
      <c r="Y635" s="22" t="s">
        <v>64</v>
      </c>
      <c r="Z635" s="22" t="s">
        <v>44</v>
      </c>
      <c r="AA635" s="22" t="s">
        <v>14</v>
      </c>
      <c r="AB635" s="22" t="s">
        <v>167</v>
      </c>
      <c r="AC635" s="22" t="s">
        <v>16</v>
      </c>
      <c r="AD635" s="22"/>
      <c r="AE635" s="2">
        <v>0</v>
      </c>
      <c r="AF635" s="2"/>
    </row>
    <row r="636" spans="1:32" x14ac:dyDescent="0.2">
      <c r="A636" s="35" t="s">
        <v>14</v>
      </c>
      <c r="B636" s="35" t="s">
        <v>167</v>
      </c>
      <c r="C636" s="35" t="s">
        <v>16</v>
      </c>
      <c r="D636" s="31" t="s">
        <v>853</v>
      </c>
      <c r="E636" s="35" t="s">
        <v>618</v>
      </c>
      <c r="F636" s="35">
        <v>2</v>
      </c>
      <c r="G636" s="35" t="s">
        <v>1478</v>
      </c>
      <c r="H636" s="35" t="s">
        <v>11</v>
      </c>
      <c r="I636" s="35" t="s">
        <v>133</v>
      </c>
      <c r="J636" s="21" t="s">
        <v>1479</v>
      </c>
      <c r="K636" s="22" t="s">
        <v>64</v>
      </c>
      <c r="L636" s="22" t="s">
        <v>44</v>
      </c>
      <c r="M636" s="22" t="s">
        <v>169</v>
      </c>
      <c r="N636" s="21">
        <v>658</v>
      </c>
      <c r="O636" s="29">
        <v>45748</v>
      </c>
      <c r="P636" s="29">
        <v>45755</v>
      </c>
      <c r="Q636" s="29">
        <v>45758</v>
      </c>
      <c r="R636" s="29">
        <v>45762</v>
      </c>
      <c r="S636" s="23">
        <f t="shared" si="37"/>
        <v>91</v>
      </c>
      <c r="T636" s="23">
        <f t="shared" si="38"/>
        <v>98</v>
      </c>
      <c r="U636" s="23">
        <f t="shared" si="39"/>
        <v>101</v>
      </c>
      <c r="V636" s="23">
        <f t="shared" si="40"/>
        <v>105</v>
      </c>
      <c r="W636" s="22" t="s">
        <v>11</v>
      </c>
      <c r="X636" s="22" t="s">
        <v>133</v>
      </c>
      <c r="Y636" s="22" t="s">
        <v>64</v>
      </c>
      <c r="Z636" s="22" t="s">
        <v>44</v>
      </c>
      <c r="AA636" s="22" t="s">
        <v>14</v>
      </c>
      <c r="AB636" s="22" t="s">
        <v>167</v>
      </c>
      <c r="AC636" s="22" t="s">
        <v>16</v>
      </c>
      <c r="AD636" s="22"/>
      <c r="AE636" s="2">
        <v>0</v>
      </c>
      <c r="AF636" s="2"/>
    </row>
    <row r="637" spans="1:32" x14ac:dyDescent="0.2">
      <c r="A637" s="35" t="s">
        <v>14</v>
      </c>
      <c r="B637" s="35" t="s">
        <v>167</v>
      </c>
      <c r="C637" s="35" t="s">
        <v>16</v>
      </c>
      <c r="D637" s="31" t="s">
        <v>853</v>
      </c>
      <c r="E637" s="35" t="s">
        <v>619</v>
      </c>
      <c r="F637" s="35">
        <v>2</v>
      </c>
      <c r="G637" s="35" t="s">
        <v>1480</v>
      </c>
      <c r="H637" s="35" t="s">
        <v>11</v>
      </c>
      <c r="I637" s="35" t="s">
        <v>133</v>
      </c>
      <c r="J637" s="21" t="s">
        <v>1481</v>
      </c>
      <c r="K637" s="22" t="s">
        <v>64</v>
      </c>
      <c r="L637" s="22" t="s">
        <v>44</v>
      </c>
      <c r="M637" s="22" t="s">
        <v>169</v>
      </c>
      <c r="N637" s="21">
        <v>659</v>
      </c>
      <c r="O637" s="29">
        <v>45748</v>
      </c>
      <c r="P637" s="29">
        <v>45755</v>
      </c>
      <c r="Q637" s="29">
        <v>45758</v>
      </c>
      <c r="R637" s="29">
        <v>45762</v>
      </c>
      <c r="S637" s="23">
        <f t="shared" si="37"/>
        <v>91</v>
      </c>
      <c r="T637" s="23">
        <f t="shared" si="38"/>
        <v>98</v>
      </c>
      <c r="U637" s="23">
        <f t="shared" si="39"/>
        <v>101</v>
      </c>
      <c r="V637" s="23">
        <f t="shared" si="40"/>
        <v>105</v>
      </c>
      <c r="W637" s="22" t="s">
        <v>11</v>
      </c>
      <c r="X637" s="22" t="s">
        <v>133</v>
      </c>
      <c r="Y637" s="22" t="s">
        <v>64</v>
      </c>
      <c r="Z637" s="22" t="s">
        <v>44</v>
      </c>
      <c r="AA637" s="22" t="s">
        <v>14</v>
      </c>
      <c r="AB637" s="22" t="s">
        <v>167</v>
      </c>
      <c r="AC637" s="22" t="s">
        <v>16</v>
      </c>
      <c r="AD637" s="22"/>
      <c r="AE637" s="2">
        <v>0</v>
      </c>
      <c r="AF637" s="2"/>
    </row>
    <row r="638" spans="1:32" x14ac:dyDescent="0.2">
      <c r="A638" s="35" t="s">
        <v>14</v>
      </c>
      <c r="B638" s="35" t="s">
        <v>167</v>
      </c>
      <c r="C638" s="35" t="s">
        <v>16</v>
      </c>
      <c r="D638" s="31" t="s">
        <v>853</v>
      </c>
      <c r="E638" s="35" t="s">
        <v>620</v>
      </c>
      <c r="F638" s="35">
        <v>2</v>
      </c>
      <c r="G638" s="35" t="s">
        <v>1482</v>
      </c>
      <c r="H638" s="35" t="s">
        <v>11</v>
      </c>
      <c r="I638" s="35" t="s">
        <v>133</v>
      </c>
      <c r="J638" s="21" t="s">
        <v>1483</v>
      </c>
      <c r="K638" s="22" t="s">
        <v>64</v>
      </c>
      <c r="L638" s="22" t="s">
        <v>44</v>
      </c>
      <c r="M638" s="22" t="s">
        <v>169</v>
      </c>
      <c r="N638" s="21">
        <v>660</v>
      </c>
      <c r="O638" s="29">
        <v>45748</v>
      </c>
      <c r="P638" s="29">
        <v>45755</v>
      </c>
      <c r="Q638" s="29">
        <v>45758</v>
      </c>
      <c r="R638" s="29">
        <v>45765</v>
      </c>
      <c r="S638" s="23">
        <f t="shared" si="37"/>
        <v>91</v>
      </c>
      <c r="T638" s="23">
        <f t="shared" si="38"/>
        <v>98</v>
      </c>
      <c r="U638" s="23">
        <f t="shared" si="39"/>
        <v>101</v>
      </c>
      <c r="V638" s="23">
        <f t="shared" si="40"/>
        <v>108</v>
      </c>
      <c r="W638" s="22" t="s">
        <v>11</v>
      </c>
      <c r="X638" s="22" t="s">
        <v>133</v>
      </c>
      <c r="Y638" s="22" t="s">
        <v>64</v>
      </c>
      <c r="Z638" s="22" t="s">
        <v>44</v>
      </c>
      <c r="AA638" s="22" t="s">
        <v>14</v>
      </c>
      <c r="AB638" s="22" t="s">
        <v>167</v>
      </c>
      <c r="AC638" s="22" t="s">
        <v>16</v>
      </c>
      <c r="AD638" s="22"/>
      <c r="AE638" s="2">
        <v>0</v>
      </c>
      <c r="AF638" s="2"/>
    </row>
    <row r="639" spans="1:32" x14ac:dyDescent="0.2">
      <c r="A639" s="34" t="s">
        <v>14</v>
      </c>
      <c r="B639" s="34" t="s">
        <v>167</v>
      </c>
      <c r="C639" s="34" t="s">
        <v>32</v>
      </c>
      <c r="D639" s="34" t="s">
        <v>862</v>
      </c>
      <c r="E639" s="34" t="s">
        <v>618</v>
      </c>
      <c r="F639" s="34">
        <v>1</v>
      </c>
      <c r="G639" s="34" t="s">
        <v>1484</v>
      </c>
      <c r="H639" s="34" t="s">
        <v>11</v>
      </c>
      <c r="I639" s="34" t="s">
        <v>133</v>
      </c>
      <c r="J639" s="13" t="s">
        <v>1485</v>
      </c>
      <c r="K639" s="15" t="s">
        <v>64</v>
      </c>
      <c r="L639" s="15" t="s">
        <v>44</v>
      </c>
      <c r="M639" s="15" t="s">
        <v>169</v>
      </c>
      <c r="N639" s="13">
        <v>661</v>
      </c>
      <c r="O639" s="30">
        <v>45748</v>
      </c>
      <c r="P639" s="30">
        <v>45755</v>
      </c>
      <c r="Q639" s="30">
        <v>45758</v>
      </c>
      <c r="R639" s="30">
        <v>45765</v>
      </c>
      <c r="S639" s="23">
        <f t="shared" si="37"/>
        <v>91</v>
      </c>
      <c r="T639" s="23">
        <f t="shared" si="38"/>
        <v>98</v>
      </c>
      <c r="U639" s="23">
        <f t="shared" si="39"/>
        <v>101</v>
      </c>
      <c r="V639" s="23">
        <f t="shared" si="40"/>
        <v>108</v>
      </c>
      <c r="W639" s="15" t="s">
        <v>11</v>
      </c>
      <c r="X639" s="15" t="s">
        <v>133</v>
      </c>
      <c r="Y639" s="15" t="s">
        <v>64</v>
      </c>
      <c r="Z639" s="15" t="s">
        <v>44</v>
      </c>
      <c r="AA639" s="15" t="s">
        <v>14</v>
      </c>
      <c r="AB639" s="15" t="s">
        <v>167</v>
      </c>
      <c r="AC639" s="15" t="s">
        <v>32</v>
      </c>
      <c r="AD639" s="15"/>
      <c r="AE639" s="1">
        <v>0</v>
      </c>
      <c r="AF639" s="1"/>
    </row>
    <row r="640" spans="1:32" x14ac:dyDescent="0.2">
      <c r="A640" s="34" t="s">
        <v>14</v>
      </c>
      <c r="B640" s="34" t="s">
        <v>167</v>
      </c>
      <c r="C640" s="34" t="s">
        <v>32</v>
      </c>
      <c r="D640" s="34" t="s">
        <v>862</v>
      </c>
      <c r="E640" s="34" t="s">
        <v>619</v>
      </c>
      <c r="F640" s="34">
        <v>1</v>
      </c>
      <c r="G640" s="34" t="s">
        <v>1486</v>
      </c>
      <c r="H640" s="34" t="s">
        <v>11</v>
      </c>
      <c r="I640" s="34" t="s">
        <v>133</v>
      </c>
      <c r="J640" s="13" t="s">
        <v>1487</v>
      </c>
      <c r="K640" s="15" t="s">
        <v>64</v>
      </c>
      <c r="L640" s="15" t="s">
        <v>44</v>
      </c>
      <c r="M640" s="15" t="s">
        <v>169</v>
      </c>
      <c r="N640" s="13">
        <v>662</v>
      </c>
      <c r="O640" s="30">
        <v>45748</v>
      </c>
      <c r="P640" s="30">
        <v>45755</v>
      </c>
      <c r="Q640" s="30">
        <v>45762</v>
      </c>
      <c r="R640" s="30">
        <v>45765</v>
      </c>
      <c r="S640" s="23">
        <f t="shared" si="37"/>
        <v>91</v>
      </c>
      <c r="T640" s="23">
        <f t="shared" si="38"/>
        <v>98</v>
      </c>
      <c r="U640" s="23">
        <f t="shared" si="39"/>
        <v>105</v>
      </c>
      <c r="V640" s="23">
        <f t="shared" si="40"/>
        <v>108</v>
      </c>
      <c r="W640" s="15" t="s">
        <v>11</v>
      </c>
      <c r="X640" s="15" t="s">
        <v>133</v>
      </c>
      <c r="Y640" s="15" t="s">
        <v>64</v>
      </c>
      <c r="Z640" s="15" t="s">
        <v>44</v>
      </c>
      <c r="AA640" s="15" t="s">
        <v>14</v>
      </c>
      <c r="AB640" s="15" t="s">
        <v>167</v>
      </c>
      <c r="AC640" s="15" t="s">
        <v>32</v>
      </c>
      <c r="AD640" s="15"/>
      <c r="AE640" s="1">
        <v>0</v>
      </c>
      <c r="AF640" s="1"/>
    </row>
    <row r="641" spans="1:32" x14ac:dyDescent="0.2">
      <c r="A641" s="34" t="s">
        <v>14</v>
      </c>
      <c r="B641" s="34" t="s">
        <v>167</v>
      </c>
      <c r="C641" s="34" t="s">
        <v>32</v>
      </c>
      <c r="D641" s="34" t="s">
        <v>862</v>
      </c>
      <c r="E641" s="34" t="s">
        <v>620</v>
      </c>
      <c r="F641" s="34">
        <v>1</v>
      </c>
      <c r="G641" s="34" t="s">
        <v>1488</v>
      </c>
      <c r="H641" s="34" t="s">
        <v>11</v>
      </c>
      <c r="I641" s="34" t="s">
        <v>133</v>
      </c>
      <c r="J641" s="13" t="s">
        <v>1489</v>
      </c>
      <c r="K641" s="15" t="s">
        <v>64</v>
      </c>
      <c r="L641" s="15" t="s">
        <v>44</v>
      </c>
      <c r="M641" s="15" t="s">
        <v>169</v>
      </c>
      <c r="N641" s="13">
        <v>663</v>
      </c>
      <c r="O641" s="30">
        <v>45748</v>
      </c>
      <c r="P641" s="30">
        <v>45755</v>
      </c>
      <c r="Q641" s="30">
        <v>45762</v>
      </c>
      <c r="R641" s="30">
        <v>45765</v>
      </c>
      <c r="S641" s="23">
        <f t="shared" si="37"/>
        <v>91</v>
      </c>
      <c r="T641" s="23">
        <f t="shared" si="38"/>
        <v>98</v>
      </c>
      <c r="U641" s="23">
        <f t="shared" si="39"/>
        <v>105</v>
      </c>
      <c r="V641" s="23">
        <f t="shared" si="40"/>
        <v>108</v>
      </c>
      <c r="W641" s="15" t="s">
        <v>11</v>
      </c>
      <c r="X641" s="15" t="s">
        <v>133</v>
      </c>
      <c r="Y641" s="15" t="s">
        <v>64</v>
      </c>
      <c r="Z641" s="15" t="s">
        <v>44</v>
      </c>
      <c r="AA641" s="15" t="s">
        <v>14</v>
      </c>
      <c r="AB641" s="15" t="s">
        <v>167</v>
      </c>
      <c r="AC641" s="15" t="s">
        <v>32</v>
      </c>
      <c r="AD641" s="15"/>
      <c r="AE641" s="1">
        <v>0</v>
      </c>
      <c r="AF641" s="1"/>
    </row>
    <row r="642" spans="1:32" x14ac:dyDescent="0.2">
      <c r="A642" s="34" t="s">
        <v>14</v>
      </c>
      <c r="B642" s="34" t="s">
        <v>167</v>
      </c>
      <c r="C642" s="34" t="s">
        <v>32</v>
      </c>
      <c r="D642" s="34" t="s">
        <v>862</v>
      </c>
      <c r="E642" s="34" t="s">
        <v>618</v>
      </c>
      <c r="F642" s="34">
        <v>2</v>
      </c>
      <c r="G642" s="34" t="s">
        <v>1490</v>
      </c>
      <c r="H642" s="34" t="s">
        <v>11</v>
      </c>
      <c r="I642" s="34" t="s">
        <v>133</v>
      </c>
      <c r="J642" s="13" t="s">
        <v>1491</v>
      </c>
      <c r="K642" s="15" t="s">
        <v>64</v>
      </c>
      <c r="L642" s="15" t="s">
        <v>44</v>
      </c>
      <c r="M642" s="15" t="s">
        <v>169</v>
      </c>
      <c r="N642" s="13">
        <v>664</v>
      </c>
      <c r="O642" s="30">
        <v>45748</v>
      </c>
      <c r="P642" s="30">
        <v>45755</v>
      </c>
      <c r="Q642" s="30">
        <v>45762</v>
      </c>
      <c r="R642" s="30">
        <v>45765</v>
      </c>
      <c r="S642" s="23">
        <f t="shared" si="37"/>
        <v>91</v>
      </c>
      <c r="T642" s="23">
        <f t="shared" si="38"/>
        <v>98</v>
      </c>
      <c r="U642" s="23">
        <f t="shared" si="39"/>
        <v>105</v>
      </c>
      <c r="V642" s="23">
        <f t="shared" si="40"/>
        <v>108</v>
      </c>
      <c r="W642" s="15" t="s">
        <v>11</v>
      </c>
      <c r="X642" s="15" t="s">
        <v>133</v>
      </c>
      <c r="Y642" s="15" t="s">
        <v>64</v>
      </c>
      <c r="Z642" s="15" t="s">
        <v>44</v>
      </c>
      <c r="AA642" s="15" t="s">
        <v>14</v>
      </c>
      <c r="AB642" s="15" t="s">
        <v>167</v>
      </c>
      <c r="AC642" s="15" t="s">
        <v>32</v>
      </c>
      <c r="AD642" s="15"/>
      <c r="AE642" s="1">
        <v>0</v>
      </c>
      <c r="AF642" s="1"/>
    </row>
    <row r="643" spans="1:32" x14ac:dyDescent="0.2">
      <c r="A643" s="34" t="s">
        <v>14</v>
      </c>
      <c r="B643" s="34" t="s">
        <v>167</v>
      </c>
      <c r="C643" s="34" t="s">
        <v>32</v>
      </c>
      <c r="D643" s="34" t="s">
        <v>862</v>
      </c>
      <c r="E643" s="34" t="s">
        <v>619</v>
      </c>
      <c r="F643" s="34">
        <v>2</v>
      </c>
      <c r="G643" s="34" t="s">
        <v>1492</v>
      </c>
      <c r="H643" s="34" t="s">
        <v>11</v>
      </c>
      <c r="I643" s="34" t="s">
        <v>133</v>
      </c>
      <c r="J643" s="13" t="s">
        <v>1493</v>
      </c>
      <c r="K643" s="15" t="s">
        <v>64</v>
      </c>
      <c r="L643" s="15" t="s">
        <v>44</v>
      </c>
      <c r="M643" s="15" t="s">
        <v>169</v>
      </c>
      <c r="N643" s="13">
        <v>665</v>
      </c>
      <c r="O643" s="30">
        <v>45748</v>
      </c>
      <c r="P643" s="30">
        <v>45755</v>
      </c>
      <c r="Q643" s="30">
        <v>45758</v>
      </c>
      <c r="R643" s="30">
        <v>45765</v>
      </c>
      <c r="S643" s="23">
        <f t="shared" ref="S643:S706" si="41">O643-DATE(YEAR(O643),1,1)+1</f>
        <v>91</v>
      </c>
      <c r="T643" s="23">
        <f t="shared" ref="T643:T706" si="42">P643-DATE(YEAR(P643),1,1)+1</f>
        <v>98</v>
      </c>
      <c r="U643" s="23">
        <f t="shared" ref="U643:U706" si="43">Q643-DATE(YEAR(Q643),1,1)+1</f>
        <v>101</v>
      </c>
      <c r="V643" s="23">
        <f t="shared" ref="V643:V706" si="44">R643-DATE(YEAR(R643),1,1)+1</f>
        <v>108</v>
      </c>
      <c r="W643" s="15" t="s">
        <v>11</v>
      </c>
      <c r="X643" s="15" t="s">
        <v>133</v>
      </c>
      <c r="Y643" s="15" t="s">
        <v>64</v>
      </c>
      <c r="Z643" s="15" t="s">
        <v>44</v>
      </c>
      <c r="AA643" s="15" t="s">
        <v>14</v>
      </c>
      <c r="AB643" s="15" t="s">
        <v>167</v>
      </c>
      <c r="AC643" s="15" t="s">
        <v>32</v>
      </c>
      <c r="AD643" s="15"/>
      <c r="AE643" s="1">
        <v>0</v>
      </c>
      <c r="AF643" s="1"/>
    </row>
    <row r="644" spans="1:32" x14ac:dyDescent="0.2">
      <c r="A644" s="34" t="s">
        <v>14</v>
      </c>
      <c r="B644" s="34" t="s">
        <v>167</v>
      </c>
      <c r="C644" s="34" t="s">
        <v>32</v>
      </c>
      <c r="D644" s="34" t="s">
        <v>862</v>
      </c>
      <c r="E644" s="34" t="s">
        <v>620</v>
      </c>
      <c r="F644" s="34">
        <v>2</v>
      </c>
      <c r="G644" s="34" t="s">
        <v>1494</v>
      </c>
      <c r="H644" s="34" t="s">
        <v>11</v>
      </c>
      <c r="I644" s="34" t="s">
        <v>133</v>
      </c>
      <c r="J644" s="13" t="s">
        <v>1495</v>
      </c>
      <c r="K644" s="15" t="s">
        <v>64</v>
      </c>
      <c r="L644" s="15" t="s">
        <v>44</v>
      </c>
      <c r="M644" s="15" t="s">
        <v>169</v>
      </c>
      <c r="N644" s="13">
        <v>666</v>
      </c>
      <c r="O644" s="30">
        <v>45748</v>
      </c>
      <c r="P644" s="30">
        <v>45755</v>
      </c>
      <c r="Q644" s="30">
        <v>45758</v>
      </c>
      <c r="R644" s="30">
        <v>45765</v>
      </c>
      <c r="S644" s="23">
        <f t="shared" si="41"/>
        <v>91</v>
      </c>
      <c r="T644" s="23">
        <f t="shared" si="42"/>
        <v>98</v>
      </c>
      <c r="U644" s="23">
        <f t="shared" si="43"/>
        <v>101</v>
      </c>
      <c r="V644" s="23">
        <f t="shared" si="44"/>
        <v>108</v>
      </c>
      <c r="W644" s="15" t="s">
        <v>11</v>
      </c>
      <c r="X644" s="15" t="s">
        <v>133</v>
      </c>
      <c r="Y644" s="15" t="s">
        <v>64</v>
      </c>
      <c r="Z644" s="15" t="s">
        <v>44</v>
      </c>
      <c r="AA644" s="15" t="s">
        <v>14</v>
      </c>
      <c r="AB644" s="15" t="s">
        <v>167</v>
      </c>
      <c r="AC644" s="15" t="s">
        <v>32</v>
      </c>
      <c r="AD644" s="15"/>
      <c r="AE644" s="1">
        <v>0</v>
      </c>
      <c r="AF644" s="1"/>
    </row>
    <row r="645" spans="1:32" x14ac:dyDescent="0.2">
      <c r="A645" s="35" t="s">
        <v>14</v>
      </c>
      <c r="B645" s="35" t="s">
        <v>200</v>
      </c>
      <c r="C645" s="35" t="s">
        <v>53</v>
      </c>
      <c r="D645" s="31" t="s">
        <v>916</v>
      </c>
      <c r="E645" s="35" t="s">
        <v>618</v>
      </c>
      <c r="F645" s="35">
        <v>1</v>
      </c>
      <c r="G645" s="35" t="s">
        <v>1496</v>
      </c>
      <c r="H645" s="35" t="s">
        <v>11</v>
      </c>
      <c r="I645" s="35" t="s">
        <v>133</v>
      </c>
      <c r="J645" s="21" t="s">
        <v>1497</v>
      </c>
      <c r="K645" s="22" t="s">
        <v>64</v>
      </c>
      <c r="L645" s="22" t="s">
        <v>44</v>
      </c>
      <c r="M645" s="22" t="s">
        <v>169</v>
      </c>
      <c r="N645" s="21">
        <v>667</v>
      </c>
      <c r="O645" s="29">
        <v>45748</v>
      </c>
      <c r="P645" s="29">
        <v>45755</v>
      </c>
      <c r="Q645" s="29">
        <v>45758</v>
      </c>
      <c r="R645" s="29">
        <v>45765</v>
      </c>
      <c r="S645" s="23">
        <f t="shared" si="41"/>
        <v>91</v>
      </c>
      <c r="T645" s="23">
        <f t="shared" si="42"/>
        <v>98</v>
      </c>
      <c r="U645" s="23">
        <f t="shared" si="43"/>
        <v>101</v>
      </c>
      <c r="V645" s="23">
        <f t="shared" si="44"/>
        <v>108</v>
      </c>
      <c r="W645" s="22" t="s">
        <v>11</v>
      </c>
      <c r="X645" s="22" t="s">
        <v>133</v>
      </c>
      <c r="Y645" s="22" t="s">
        <v>64</v>
      </c>
      <c r="Z645" s="22" t="s">
        <v>44</v>
      </c>
      <c r="AA645" s="22" t="s">
        <v>14</v>
      </c>
      <c r="AB645" s="22" t="s">
        <v>200</v>
      </c>
      <c r="AC645" s="22" t="s">
        <v>53</v>
      </c>
      <c r="AD645" s="22"/>
      <c r="AE645" s="2">
        <v>0</v>
      </c>
      <c r="AF645" s="2"/>
    </row>
    <row r="646" spans="1:32" x14ac:dyDescent="0.2">
      <c r="A646" s="35" t="s">
        <v>14</v>
      </c>
      <c r="B646" s="35" t="s">
        <v>200</v>
      </c>
      <c r="C646" s="35" t="s">
        <v>53</v>
      </c>
      <c r="D646" s="31" t="s">
        <v>916</v>
      </c>
      <c r="E646" s="35" t="s">
        <v>619</v>
      </c>
      <c r="F646" s="35">
        <v>1</v>
      </c>
      <c r="G646" s="35" t="s">
        <v>1498</v>
      </c>
      <c r="H646" s="35" t="s">
        <v>11</v>
      </c>
      <c r="I646" s="35" t="s">
        <v>133</v>
      </c>
      <c r="J646" s="21" t="s">
        <v>1499</v>
      </c>
      <c r="K646" s="22" t="s">
        <v>64</v>
      </c>
      <c r="L646" s="22" t="s">
        <v>44</v>
      </c>
      <c r="M646" s="22" t="s">
        <v>169</v>
      </c>
      <c r="N646" s="21">
        <v>668</v>
      </c>
      <c r="O646" s="29">
        <v>45748</v>
      </c>
      <c r="P646" s="29">
        <v>45755</v>
      </c>
      <c r="Q646" s="29">
        <v>45762</v>
      </c>
      <c r="R646" s="29">
        <v>45765</v>
      </c>
      <c r="S646" s="23">
        <f t="shared" si="41"/>
        <v>91</v>
      </c>
      <c r="T646" s="23">
        <f t="shared" si="42"/>
        <v>98</v>
      </c>
      <c r="U646" s="23">
        <f t="shared" si="43"/>
        <v>105</v>
      </c>
      <c r="V646" s="23">
        <f t="shared" si="44"/>
        <v>108</v>
      </c>
      <c r="W646" s="22" t="s">
        <v>11</v>
      </c>
      <c r="X646" s="22" t="s">
        <v>133</v>
      </c>
      <c r="Y646" s="22" t="s">
        <v>64</v>
      </c>
      <c r="Z646" s="22" t="s">
        <v>44</v>
      </c>
      <c r="AA646" s="22" t="s">
        <v>14</v>
      </c>
      <c r="AB646" s="22" t="s">
        <v>200</v>
      </c>
      <c r="AC646" s="22" t="s">
        <v>53</v>
      </c>
      <c r="AD646" s="22"/>
      <c r="AE646" s="2">
        <v>0</v>
      </c>
      <c r="AF646" s="2"/>
    </row>
    <row r="647" spans="1:32" x14ac:dyDescent="0.2">
      <c r="A647" s="35" t="s">
        <v>14</v>
      </c>
      <c r="B647" s="35" t="s">
        <v>200</v>
      </c>
      <c r="C647" s="35" t="s">
        <v>53</v>
      </c>
      <c r="D647" s="31" t="s">
        <v>916</v>
      </c>
      <c r="E647" s="35" t="s">
        <v>620</v>
      </c>
      <c r="F647" s="35">
        <v>1</v>
      </c>
      <c r="G647" s="35" t="s">
        <v>1500</v>
      </c>
      <c r="H647" s="35" t="s">
        <v>11</v>
      </c>
      <c r="I647" s="35" t="s">
        <v>133</v>
      </c>
      <c r="J647" s="21" t="s">
        <v>1501</v>
      </c>
      <c r="K647" s="22" t="s">
        <v>64</v>
      </c>
      <c r="L647" s="22" t="s">
        <v>44</v>
      </c>
      <c r="M647" s="22" t="s">
        <v>169</v>
      </c>
      <c r="N647" s="21">
        <v>669</v>
      </c>
      <c r="O647" s="29">
        <v>45748</v>
      </c>
      <c r="P647" s="29">
        <v>45755</v>
      </c>
      <c r="Q647" s="29">
        <v>45755</v>
      </c>
      <c r="R647" s="29">
        <v>45762</v>
      </c>
      <c r="S647" s="23">
        <f t="shared" si="41"/>
        <v>91</v>
      </c>
      <c r="T647" s="23">
        <f t="shared" si="42"/>
        <v>98</v>
      </c>
      <c r="U647" s="23">
        <f t="shared" si="43"/>
        <v>98</v>
      </c>
      <c r="V647" s="23">
        <f t="shared" si="44"/>
        <v>105</v>
      </c>
      <c r="W647" s="22" t="s">
        <v>11</v>
      </c>
      <c r="X647" s="22" t="s">
        <v>133</v>
      </c>
      <c r="Y647" s="22" t="s">
        <v>64</v>
      </c>
      <c r="Z647" s="22" t="s">
        <v>44</v>
      </c>
      <c r="AA647" s="22" t="s">
        <v>14</v>
      </c>
      <c r="AB647" s="22" t="s">
        <v>200</v>
      </c>
      <c r="AC647" s="22" t="s">
        <v>53</v>
      </c>
      <c r="AD647" s="22"/>
      <c r="AE647" s="2">
        <v>0</v>
      </c>
      <c r="AF647" s="2"/>
    </row>
    <row r="648" spans="1:32" x14ac:dyDescent="0.2">
      <c r="A648" s="35" t="s">
        <v>14</v>
      </c>
      <c r="B648" s="35" t="s">
        <v>200</v>
      </c>
      <c r="C648" s="35" t="s">
        <v>53</v>
      </c>
      <c r="D648" s="31" t="s">
        <v>916</v>
      </c>
      <c r="E648" s="35" t="s">
        <v>618</v>
      </c>
      <c r="F648" s="35">
        <v>2</v>
      </c>
      <c r="G648" s="35" t="s">
        <v>1502</v>
      </c>
      <c r="H648" s="35" t="s">
        <v>11</v>
      </c>
      <c r="I648" s="35" t="s">
        <v>133</v>
      </c>
      <c r="J648" s="21" t="s">
        <v>1503</v>
      </c>
      <c r="K648" s="22" t="s">
        <v>64</v>
      </c>
      <c r="L648" s="22" t="s">
        <v>44</v>
      </c>
      <c r="M648" s="22" t="s">
        <v>169</v>
      </c>
      <c r="N648" s="21">
        <v>670</v>
      </c>
      <c r="O648" s="29">
        <v>45748</v>
      </c>
      <c r="P648" s="29">
        <v>45755</v>
      </c>
      <c r="Q648" s="29">
        <v>45758</v>
      </c>
      <c r="R648" s="29">
        <v>45765</v>
      </c>
      <c r="S648" s="23">
        <f t="shared" si="41"/>
        <v>91</v>
      </c>
      <c r="T648" s="23">
        <f t="shared" si="42"/>
        <v>98</v>
      </c>
      <c r="U648" s="23">
        <f t="shared" si="43"/>
        <v>101</v>
      </c>
      <c r="V648" s="23">
        <f t="shared" si="44"/>
        <v>108</v>
      </c>
      <c r="W648" s="22" t="s">
        <v>11</v>
      </c>
      <c r="X648" s="22" t="s">
        <v>133</v>
      </c>
      <c r="Y648" s="22" t="s">
        <v>64</v>
      </c>
      <c r="Z648" s="22" t="s">
        <v>44</v>
      </c>
      <c r="AA648" s="22" t="s">
        <v>14</v>
      </c>
      <c r="AB648" s="22" t="s">
        <v>200</v>
      </c>
      <c r="AC648" s="22" t="s">
        <v>53</v>
      </c>
      <c r="AD648" s="22"/>
      <c r="AE648" s="2">
        <v>0</v>
      </c>
      <c r="AF648" s="2"/>
    </row>
    <row r="649" spans="1:32" x14ac:dyDescent="0.2">
      <c r="A649" s="35" t="s">
        <v>14</v>
      </c>
      <c r="B649" s="35" t="s">
        <v>200</v>
      </c>
      <c r="C649" s="35" t="s">
        <v>53</v>
      </c>
      <c r="D649" s="31" t="s">
        <v>916</v>
      </c>
      <c r="E649" s="35" t="s">
        <v>619</v>
      </c>
      <c r="F649" s="35">
        <v>2</v>
      </c>
      <c r="G649" s="35" t="s">
        <v>1504</v>
      </c>
      <c r="H649" s="35" t="s">
        <v>11</v>
      </c>
      <c r="I649" s="35" t="s">
        <v>133</v>
      </c>
      <c r="J649" s="21" t="s">
        <v>1505</v>
      </c>
      <c r="K649" s="22" t="s">
        <v>64</v>
      </c>
      <c r="L649" s="22" t="s">
        <v>44</v>
      </c>
      <c r="M649" s="22" t="s">
        <v>169</v>
      </c>
      <c r="N649" s="21">
        <v>671</v>
      </c>
      <c r="O649" s="29">
        <v>45751</v>
      </c>
      <c r="P649" s="29">
        <v>45758</v>
      </c>
      <c r="Q649" s="29">
        <v>45762</v>
      </c>
      <c r="R649" s="29">
        <v>45772</v>
      </c>
      <c r="S649" s="23">
        <f t="shared" si="41"/>
        <v>94</v>
      </c>
      <c r="T649" s="23">
        <f t="shared" si="42"/>
        <v>101</v>
      </c>
      <c r="U649" s="23">
        <f t="shared" si="43"/>
        <v>105</v>
      </c>
      <c r="V649" s="23">
        <f t="shared" si="44"/>
        <v>115</v>
      </c>
      <c r="W649" s="22" t="s">
        <v>11</v>
      </c>
      <c r="X649" s="22" t="s">
        <v>133</v>
      </c>
      <c r="Y649" s="22" t="s">
        <v>64</v>
      </c>
      <c r="Z649" s="22" t="s">
        <v>44</v>
      </c>
      <c r="AA649" s="22" t="s">
        <v>14</v>
      </c>
      <c r="AB649" s="22" t="s">
        <v>200</v>
      </c>
      <c r="AC649" s="22" t="s">
        <v>53</v>
      </c>
      <c r="AD649" s="22"/>
      <c r="AE649" s="2">
        <v>0</v>
      </c>
      <c r="AF649" s="2"/>
    </row>
    <row r="650" spans="1:32" x14ac:dyDescent="0.2">
      <c r="A650" s="35" t="s">
        <v>14</v>
      </c>
      <c r="B650" s="35" t="s">
        <v>200</v>
      </c>
      <c r="C650" s="35" t="s">
        <v>53</v>
      </c>
      <c r="D650" s="31" t="s">
        <v>916</v>
      </c>
      <c r="E650" s="35" t="s">
        <v>620</v>
      </c>
      <c r="F650" s="35">
        <v>2</v>
      </c>
      <c r="G650" s="35" t="s">
        <v>1506</v>
      </c>
      <c r="H650" s="35" t="s">
        <v>11</v>
      </c>
      <c r="I650" s="35" t="s">
        <v>133</v>
      </c>
      <c r="J650" s="21" t="s">
        <v>1507</v>
      </c>
      <c r="K650" s="22" t="s">
        <v>64</v>
      </c>
      <c r="L650" s="22" t="s">
        <v>44</v>
      </c>
      <c r="M650" s="22" t="s">
        <v>169</v>
      </c>
      <c r="N650" s="21">
        <v>672</v>
      </c>
      <c r="O650" s="29">
        <v>45748</v>
      </c>
      <c r="P650" s="29">
        <v>45755</v>
      </c>
      <c r="Q650" s="29">
        <v>45762</v>
      </c>
      <c r="R650" s="29">
        <v>45765</v>
      </c>
      <c r="S650" s="23">
        <f t="shared" si="41"/>
        <v>91</v>
      </c>
      <c r="T650" s="23">
        <f t="shared" si="42"/>
        <v>98</v>
      </c>
      <c r="U650" s="23">
        <f t="shared" si="43"/>
        <v>105</v>
      </c>
      <c r="V650" s="23">
        <f t="shared" si="44"/>
        <v>108</v>
      </c>
      <c r="W650" s="22" t="s">
        <v>11</v>
      </c>
      <c r="X650" s="22" t="s">
        <v>133</v>
      </c>
      <c r="Y650" s="22" t="s">
        <v>64</v>
      </c>
      <c r="Z650" s="22" t="s">
        <v>44</v>
      </c>
      <c r="AA650" s="22" t="s">
        <v>14</v>
      </c>
      <c r="AB650" s="22" t="s">
        <v>200</v>
      </c>
      <c r="AC650" s="22" t="s">
        <v>53</v>
      </c>
      <c r="AD650" s="22"/>
      <c r="AE650" s="2">
        <v>0</v>
      </c>
      <c r="AF650" s="2"/>
    </row>
    <row r="651" spans="1:32" x14ac:dyDescent="0.2">
      <c r="A651" s="34" t="s">
        <v>234</v>
      </c>
      <c r="B651" s="34" t="s">
        <v>15</v>
      </c>
      <c r="C651" s="34" t="s">
        <v>16</v>
      </c>
      <c r="D651" s="34" t="s">
        <v>925</v>
      </c>
      <c r="E651" s="34" t="s">
        <v>618</v>
      </c>
      <c r="F651" s="34">
        <v>1</v>
      </c>
      <c r="G651" s="34" t="s">
        <v>1508</v>
      </c>
      <c r="H651" s="34" t="s">
        <v>11</v>
      </c>
      <c r="I651" s="34" t="s">
        <v>133</v>
      </c>
      <c r="J651" s="13" t="s">
        <v>1509</v>
      </c>
      <c r="K651" s="15" t="s">
        <v>64</v>
      </c>
      <c r="L651" s="15" t="s">
        <v>44</v>
      </c>
      <c r="M651" s="15" t="s">
        <v>169</v>
      </c>
      <c r="N651" s="13">
        <v>673</v>
      </c>
      <c r="O651" s="30">
        <v>45748</v>
      </c>
      <c r="P651" s="30">
        <v>45755</v>
      </c>
      <c r="Q651" s="30">
        <v>45758</v>
      </c>
      <c r="R651" s="30">
        <v>45765</v>
      </c>
      <c r="S651" s="23">
        <f t="shared" si="41"/>
        <v>91</v>
      </c>
      <c r="T651" s="23">
        <f t="shared" si="42"/>
        <v>98</v>
      </c>
      <c r="U651" s="23">
        <f t="shared" si="43"/>
        <v>101</v>
      </c>
      <c r="V651" s="23">
        <f t="shared" si="44"/>
        <v>108</v>
      </c>
      <c r="W651" s="15" t="s">
        <v>11</v>
      </c>
      <c r="X651" s="15" t="s">
        <v>133</v>
      </c>
      <c r="Y651" s="15" t="s">
        <v>64</v>
      </c>
      <c r="Z651" s="15" t="s">
        <v>44</v>
      </c>
      <c r="AA651" s="15" t="s">
        <v>234</v>
      </c>
      <c r="AB651" s="15" t="s">
        <v>15</v>
      </c>
      <c r="AC651" s="15" t="s">
        <v>16</v>
      </c>
      <c r="AD651" s="15"/>
      <c r="AE651" s="1">
        <v>0</v>
      </c>
      <c r="AF651" s="1"/>
    </row>
    <row r="652" spans="1:32" x14ac:dyDescent="0.2">
      <c r="A652" s="34" t="s">
        <v>234</v>
      </c>
      <c r="B652" s="34" t="s">
        <v>15</v>
      </c>
      <c r="C652" s="34" t="s">
        <v>16</v>
      </c>
      <c r="D652" s="34" t="s">
        <v>925</v>
      </c>
      <c r="E652" s="34" t="s">
        <v>619</v>
      </c>
      <c r="F652" s="34">
        <v>1</v>
      </c>
      <c r="G652" s="34" t="s">
        <v>1510</v>
      </c>
      <c r="H652" s="34" t="s">
        <v>11</v>
      </c>
      <c r="I652" s="34" t="s">
        <v>133</v>
      </c>
      <c r="J652" s="13" t="s">
        <v>1511</v>
      </c>
      <c r="K652" s="15" t="s">
        <v>64</v>
      </c>
      <c r="L652" s="15" t="s">
        <v>44</v>
      </c>
      <c r="M652" s="15" t="s">
        <v>169</v>
      </c>
      <c r="N652" s="13">
        <v>674</v>
      </c>
      <c r="O652" s="30">
        <v>45748</v>
      </c>
      <c r="P652" s="30">
        <v>45755</v>
      </c>
      <c r="Q652" s="30"/>
      <c r="R652" s="30">
        <v>45765</v>
      </c>
      <c r="S652" s="23">
        <f t="shared" si="41"/>
        <v>91</v>
      </c>
      <c r="T652" s="23">
        <f t="shared" si="42"/>
        <v>98</v>
      </c>
      <c r="U652" s="23">
        <f>(V652+T652)/2</f>
        <v>103</v>
      </c>
      <c r="V652" s="23">
        <f t="shared" si="44"/>
        <v>108</v>
      </c>
      <c r="W652" s="15" t="s">
        <v>11</v>
      </c>
      <c r="X652" s="15" t="s">
        <v>133</v>
      </c>
      <c r="Y652" s="15" t="s">
        <v>64</v>
      </c>
      <c r="Z652" s="15" t="s">
        <v>44</v>
      </c>
      <c r="AA652" s="15" t="s">
        <v>234</v>
      </c>
      <c r="AB652" s="15" t="s">
        <v>15</v>
      </c>
      <c r="AC652" s="15" t="s">
        <v>16</v>
      </c>
      <c r="AD652" s="15"/>
      <c r="AE652" s="1">
        <v>0</v>
      </c>
      <c r="AF652" s="1"/>
    </row>
    <row r="653" spans="1:32" x14ac:dyDescent="0.2">
      <c r="A653" s="34" t="s">
        <v>234</v>
      </c>
      <c r="B653" s="34" t="s">
        <v>15</v>
      </c>
      <c r="C653" s="34" t="s">
        <v>16</v>
      </c>
      <c r="D653" s="34" t="s">
        <v>925</v>
      </c>
      <c r="E653" s="34" t="s">
        <v>620</v>
      </c>
      <c r="F653" s="34">
        <v>1</v>
      </c>
      <c r="G653" s="34" t="s">
        <v>1512</v>
      </c>
      <c r="H653" s="34" t="s">
        <v>11</v>
      </c>
      <c r="I653" s="34" t="s">
        <v>133</v>
      </c>
      <c r="J653" s="13" t="s">
        <v>1513</v>
      </c>
      <c r="K653" s="15" t="s">
        <v>64</v>
      </c>
      <c r="L653" s="15" t="s">
        <v>44</v>
      </c>
      <c r="M653" s="15" t="s">
        <v>169</v>
      </c>
      <c r="N653" s="13">
        <v>675</v>
      </c>
      <c r="O653" s="30">
        <v>45751</v>
      </c>
      <c r="P653" s="30">
        <v>45758</v>
      </c>
      <c r="Q653" s="30">
        <v>45765</v>
      </c>
      <c r="R653" s="30">
        <v>45770</v>
      </c>
      <c r="S653" s="23">
        <f t="shared" si="41"/>
        <v>94</v>
      </c>
      <c r="T653" s="23">
        <f t="shared" si="42"/>
        <v>101</v>
      </c>
      <c r="U653" s="23">
        <f t="shared" si="43"/>
        <v>108</v>
      </c>
      <c r="V653" s="23">
        <f t="shared" si="44"/>
        <v>113</v>
      </c>
      <c r="W653" s="15" t="s">
        <v>11</v>
      </c>
      <c r="X653" s="15" t="s">
        <v>133</v>
      </c>
      <c r="Y653" s="15" t="s">
        <v>64</v>
      </c>
      <c r="Z653" s="15" t="s">
        <v>44</v>
      </c>
      <c r="AA653" s="15" t="s">
        <v>234</v>
      </c>
      <c r="AB653" s="15" t="s">
        <v>15</v>
      </c>
      <c r="AC653" s="15" t="s">
        <v>16</v>
      </c>
      <c r="AD653" s="15"/>
      <c r="AE653" s="1">
        <v>0</v>
      </c>
      <c r="AF653" s="1"/>
    </row>
    <row r="654" spans="1:32" x14ac:dyDescent="0.2">
      <c r="A654" s="34" t="s">
        <v>234</v>
      </c>
      <c r="B654" s="34" t="s">
        <v>15</v>
      </c>
      <c r="C654" s="34" t="s">
        <v>16</v>
      </c>
      <c r="D654" s="34" t="s">
        <v>925</v>
      </c>
      <c r="E654" s="34" t="s">
        <v>618</v>
      </c>
      <c r="F654" s="34">
        <v>2</v>
      </c>
      <c r="G654" s="34" t="s">
        <v>1514</v>
      </c>
      <c r="H654" s="34" t="s">
        <v>11</v>
      </c>
      <c r="I654" s="34" t="s">
        <v>133</v>
      </c>
      <c r="J654" s="13" t="s">
        <v>1515</v>
      </c>
      <c r="K654" s="15" t="s">
        <v>64</v>
      </c>
      <c r="L654" s="15" t="s">
        <v>44</v>
      </c>
      <c r="M654" s="15" t="s">
        <v>169</v>
      </c>
      <c r="N654" s="13">
        <v>676</v>
      </c>
      <c r="O654" s="30">
        <v>45748</v>
      </c>
      <c r="P654" s="30">
        <v>45758</v>
      </c>
      <c r="Q654" s="30">
        <v>45765</v>
      </c>
      <c r="R654" s="30">
        <v>45770</v>
      </c>
      <c r="S654" s="23">
        <f t="shared" si="41"/>
        <v>91</v>
      </c>
      <c r="T654" s="23">
        <f t="shared" si="42"/>
        <v>101</v>
      </c>
      <c r="U654" s="23">
        <f t="shared" si="43"/>
        <v>108</v>
      </c>
      <c r="V654" s="23">
        <f t="shared" si="44"/>
        <v>113</v>
      </c>
      <c r="W654" s="15" t="s">
        <v>11</v>
      </c>
      <c r="X654" s="15" t="s">
        <v>133</v>
      </c>
      <c r="Y654" s="15" t="s">
        <v>64</v>
      </c>
      <c r="Z654" s="15" t="s">
        <v>44</v>
      </c>
      <c r="AA654" s="15" t="s">
        <v>234</v>
      </c>
      <c r="AB654" s="15" t="s">
        <v>15</v>
      </c>
      <c r="AC654" s="15" t="s">
        <v>16</v>
      </c>
      <c r="AD654" s="15"/>
      <c r="AE654" s="1">
        <v>0</v>
      </c>
      <c r="AF654" s="1"/>
    </row>
    <row r="655" spans="1:32" x14ac:dyDescent="0.2">
      <c r="A655" s="34" t="s">
        <v>234</v>
      </c>
      <c r="B655" s="34" t="s">
        <v>15</v>
      </c>
      <c r="C655" s="34" t="s">
        <v>16</v>
      </c>
      <c r="D655" s="34" t="s">
        <v>925</v>
      </c>
      <c r="E655" s="34" t="s">
        <v>619</v>
      </c>
      <c r="F655" s="34">
        <v>2</v>
      </c>
      <c r="G655" s="34" t="s">
        <v>1516</v>
      </c>
      <c r="H655" s="34" t="s">
        <v>11</v>
      </c>
      <c r="I655" s="34" t="s">
        <v>133</v>
      </c>
      <c r="J655" s="13" t="s">
        <v>1517</v>
      </c>
      <c r="K655" s="15" t="s">
        <v>64</v>
      </c>
      <c r="L655" s="15" t="s">
        <v>44</v>
      </c>
      <c r="M655" s="15" t="s">
        <v>169</v>
      </c>
      <c r="N655" s="13">
        <v>677</v>
      </c>
      <c r="O655" s="30">
        <v>45748</v>
      </c>
      <c r="P655" s="30">
        <v>45755</v>
      </c>
      <c r="Q655" s="30"/>
      <c r="R655" s="30">
        <v>45765</v>
      </c>
      <c r="S655" s="23">
        <f t="shared" si="41"/>
        <v>91</v>
      </c>
      <c r="T655" s="23">
        <f t="shared" si="42"/>
        <v>98</v>
      </c>
      <c r="U655" s="23">
        <f>(V655+T655)/2</f>
        <v>103</v>
      </c>
      <c r="V655" s="23">
        <f t="shared" si="44"/>
        <v>108</v>
      </c>
      <c r="W655" s="15" t="s">
        <v>11</v>
      </c>
      <c r="X655" s="15" t="s">
        <v>133</v>
      </c>
      <c r="Y655" s="15" t="s">
        <v>64</v>
      </c>
      <c r="Z655" s="15" t="s">
        <v>44</v>
      </c>
      <c r="AA655" s="15" t="s">
        <v>234</v>
      </c>
      <c r="AB655" s="15" t="s">
        <v>15</v>
      </c>
      <c r="AC655" s="15" t="s">
        <v>16</v>
      </c>
      <c r="AD655" s="15"/>
      <c r="AE655" s="1">
        <v>0</v>
      </c>
      <c r="AF655" s="1"/>
    </row>
    <row r="656" spans="1:32" x14ac:dyDescent="0.2">
      <c r="A656" s="34" t="s">
        <v>234</v>
      </c>
      <c r="B656" s="34" t="s">
        <v>15</v>
      </c>
      <c r="C656" s="34" t="s">
        <v>16</v>
      </c>
      <c r="D656" s="34" t="s">
        <v>925</v>
      </c>
      <c r="E656" s="34" t="s">
        <v>620</v>
      </c>
      <c r="F656" s="34">
        <v>2</v>
      </c>
      <c r="G656" s="34" t="s">
        <v>1518</v>
      </c>
      <c r="H656" s="34" t="s">
        <v>11</v>
      </c>
      <c r="I656" s="34" t="s">
        <v>133</v>
      </c>
      <c r="J656" s="13" t="s">
        <v>1519</v>
      </c>
      <c r="K656" s="15" t="s">
        <v>64</v>
      </c>
      <c r="L656" s="15" t="s">
        <v>44</v>
      </c>
      <c r="M656" s="15" t="s">
        <v>169</v>
      </c>
      <c r="N656" s="13">
        <v>678</v>
      </c>
      <c r="O656" s="30">
        <v>45748</v>
      </c>
      <c r="P656" s="30">
        <v>45755</v>
      </c>
      <c r="Q656" s="30">
        <v>45758</v>
      </c>
      <c r="R656" s="30">
        <v>45765</v>
      </c>
      <c r="S656" s="23">
        <f t="shared" si="41"/>
        <v>91</v>
      </c>
      <c r="T656" s="23">
        <f t="shared" si="42"/>
        <v>98</v>
      </c>
      <c r="U656" s="23">
        <f t="shared" si="43"/>
        <v>101</v>
      </c>
      <c r="V656" s="23">
        <f t="shared" si="44"/>
        <v>108</v>
      </c>
      <c r="W656" s="15" t="s">
        <v>11</v>
      </c>
      <c r="X656" s="15" t="s">
        <v>133</v>
      </c>
      <c r="Y656" s="15" t="s">
        <v>64</v>
      </c>
      <c r="Z656" s="15" t="s">
        <v>44</v>
      </c>
      <c r="AA656" s="15" t="s">
        <v>234</v>
      </c>
      <c r="AB656" s="15" t="s">
        <v>15</v>
      </c>
      <c r="AC656" s="15" t="s">
        <v>16</v>
      </c>
      <c r="AD656" s="15"/>
      <c r="AE656" s="1">
        <v>0</v>
      </c>
      <c r="AF656" s="1"/>
    </row>
    <row r="657" spans="1:32" x14ac:dyDescent="0.2">
      <c r="A657" s="35" t="s">
        <v>234</v>
      </c>
      <c r="B657" s="35" t="s">
        <v>15</v>
      </c>
      <c r="C657" s="35" t="s">
        <v>42</v>
      </c>
      <c r="D657" s="31" t="s">
        <v>943</v>
      </c>
      <c r="E657" s="35" t="s">
        <v>618</v>
      </c>
      <c r="F657" s="35">
        <v>1</v>
      </c>
      <c r="G657" s="35" t="s">
        <v>1520</v>
      </c>
      <c r="H657" s="35" t="s">
        <v>11</v>
      </c>
      <c r="I657" s="35" t="s">
        <v>133</v>
      </c>
      <c r="J657" s="21" t="s">
        <v>1521</v>
      </c>
      <c r="K657" s="22" t="s">
        <v>64</v>
      </c>
      <c r="L657" s="22" t="s">
        <v>44</v>
      </c>
      <c r="M657" s="22" t="s">
        <v>169</v>
      </c>
      <c r="N657" s="21">
        <v>679</v>
      </c>
      <c r="O657" s="29"/>
      <c r="P657" s="29"/>
      <c r="Q657" s="29"/>
      <c r="R657" s="29"/>
      <c r="S657" s="23"/>
      <c r="T657" s="23"/>
      <c r="U657" s="23"/>
      <c r="V657" s="23"/>
      <c r="W657" s="22" t="s">
        <v>11</v>
      </c>
      <c r="X657" s="22" t="s">
        <v>133</v>
      </c>
      <c r="Y657" s="22" t="s">
        <v>64</v>
      </c>
      <c r="Z657" s="22" t="s">
        <v>44</v>
      </c>
      <c r="AA657" s="22" t="s">
        <v>234</v>
      </c>
      <c r="AB657" s="22" t="s">
        <v>15</v>
      </c>
      <c r="AC657" s="22" t="s">
        <v>42</v>
      </c>
      <c r="AD657" s="22"/>
      <c r="AE657" s="2">
        <v>1</v>
      </c>
      <c r="AF657" s="2" t="s">
        <v>1448</v>
      </c>
    </row>
    <row r="658" spans="1:32" x14ac:dyDescent="0.2">
      <c r="A658" s="35" t="s">
        <v>234</v>
      </c>
      <c r="B658" s="35" t="s">
        <v>15</v>
      </c>
      <c r="C658" s="35" t="s">
        <v>42</v>
      </c>
      <c r="D658" s="31" t="s">
        <v>943</v>
      </c>
      <c r="E658" s="35" t="s">
        <v>619</v>
      </c>
      <c r="F658" s="35">
        <v>1</v>
      </c>
      <c r="G658" s="35" t="s">
        <v>1522</v>
      </c>
      <c r="H658" s="35" t="s">
        <v>11</v>
      </c>
      <c r="I658" s="35" t="s">
        <v>133</v>
      </c>
      <c r="J658" s="21" t="s">
        <v>1523</v>
      </c>
      <c r="K658" s="22" t="s">
        <v>64</v>
      </c>
      <c r="L658" s="22" t="s">
        <v>44</v>
      </c>
      <c r="M658" s="22" t="s">
        <v>169</v>
      </c>
      <c r="N658" s="21">
        <v>680</v>
      </c>
      <c r="O658" s="29">
        <v>45748</v>
      </c>
      <c r="P658" s="29">
        <v>45755</v>
      </c>
      <c r="Q658" s="29">
        <v>45762</v>
      </c>
      <c r="R658" s="29">
        <v>45765</v>
      </c>
      <c r="S658" s="23">
        <f t="shared" si="41"/>
        <v>91</v>
      </c>
      <c r="T658" s="23">
        <f t="shared" si="42"/>
        <v>98</v>
      </c>
      <c r="U658" s="23">
        <f t="shared" si="43"/>
        <v>105</v>
      </c>
      <c r="V658" s="23">
        <f t="shared" si="44"/>
        <v>108</v>
      </c>
      <c r="W658" s="22" t="s">
        <v>11</v>
      </c>
      <c r="X658" s="22" t="s">
        <v>133</v>
      </c>
      <c r="Y658" s="22" t="s">
        <v>64</v>
      </c>
      <c r="Z658" s="22" t="s">
        <v>44</v>
      </c>
      <c r="AA658" s="22" t="s">
        <v>234</v>
      </c>
      <c r="AB658" s="22" t="s">
        <v>15</v>
      </c>
      <c r="AC658" s="22" t="s">
        <v>42</v>
      </c>
      <c r="AD658" s="22"/>
      <c r="AE658" s="2">
        <v>0</v>
      </c>
      <c r="AF658" s="2"/>
    </row>
    <row r="659" spans="1:32" x14ac:dyDescent="0.2">
      <c r="A659" s="35" t="s">
        <v>234</v>
      </c>
      <c r="B659" s="35" t="s">
        <v>15</v>
      </c>
      <c r="C659" s="35" t="s">
        <v>42</v>
      </c>
      <c r="D659" s="31" t="s">
        <v>943</v>
      </c>
      <c r="E659" s="35" t="s">
        <v>620</v>
      </c>
      <c r="F659" s="35">
        <v>1</v>
      </c>
      <c r="G659" s="35" t="s">
        <v>1524</v>
      </c>
      <c r="H659" s="35" t="s">
        <v>11</v>
      </c>
      <c r="I659" s="35" t="s">
        <v>133</v>
      </c>
      <c r="J659" s="21" t="s">
        <v>1525</v>
      </c>
      <c r="K659" s="22" t="s">
        <v>64</v>
      </c>
      <c r="L659" s="22" t="s">
        <v>44</v>
      </c>
      <c r="M659" s="22" t="s">
        <v>169</v>
      </c>
      <c r="N659" s="21">
        <v>681</v>
      </c>
      <c r="O659" s="29">
        <v>45748</v>
      </c>
      <c r="P659" s="29">
        <v>45755</v>
      </c>
      <c r="Q659" s="29">
        <v>45762</v>
      </c>
      <c r="R659" s="29">
        <v>45765</v>
      </c>
      <c r="S659" s="23">
        <f t="shared" si="41"/>
        <v>91</v>
      </c>
      <c r="T659" s="23">
        <f t="shared" si="42"/>
        <v>98</v>
      </c>
      <c r="U659" s="23">
        <f t="shared" si="43"/>
        <v>105</v>
      </c>
      <c r="V659" s="23">
        <f t="shared" si="44"/>
        <v>108</v>
      </c>
      <c r="W659" s="22" t="s">
        <v>11</v>
      </c>
      <c r="X659" s="22" t="s">
        <v>133</v>
      </c>
      <c r="Y659" s="22" t="s">
        <v>64</v>
      </c>
      <c r="Z659" s="22" t="s">
        <v>44</v>
      </c>
      <c r="AA659" s="22" t="s">
        <v>234</v>
      </c>
      <c r="AB659" s="22" t="s">
        <v>15</v>
      </c>
      <c r="AC659" s="22" t="s">
        <v>42</v>
      </c>
      <c r="AD659" s="22"/>
      <c r="AE659" s="2">
        <v>0</v>
      </c>
      <c r="AF659" s="2"/>
    </row>
    <row r="660" spans="1:32" x14ac:dyDescent="0.2">
      <c r="A660" s="35" t="s">
        <v>234</v>
      </c>
      <c r="B660" s="35" t="s">
        <v>15</v>
      </c>
      <c r="C660" s="35" t="s">
        <v>42</v>
      </c>
      <c r="D660" s="31" t="s">
        <v>943</v>
      </c>
      <c r="E660" s="35" t="s">
        <v>618</v>
      </c>
      <c r="F660" s="35">
        <v>2</v>
      </c>
      <c r="G660" s="35" t="s">
        <v>1526</v>
      </c>
      <c r="H660" s="35" t="s">
        <v>11</v>
      </c>
      <c r="I660" s="35" t="s">
        <v>133</v>
      </c>
      <c r="J660" s="21" t="s">
        <v>1527</v>
      </c>
      <c r="K660" s="22" t="s">
        <v>64</v>
      </c>
      <c r="L660" s="22" t="s">
        <v>44</v>
      </c>
      <c r="M660" s="22" t="s">
        <v>169</v>
      </c>
      <c r="N660" s="21">
        <v>682</v>
      </c>
      <c r="O660" s="29">
        <v>45748</v>
      </c>
      <c r="P660" s="29">
        <v>45755</v>
      </c>
      <c r="Q660" s="29">
        <v>45762</v>
      </c>
      <c r="R660" s="29">
        <v>45765</v>
      </c>
      <c r="S660" s="23">
        <f t="shared" si="41"/>
        <v>91</v>
      </c>
      <c r="T660" s="23">
        <f t="shared" si="42"/>
        <v>98</v>
      </c>
      <c r="U660" s="23">
        <f t="shared" si="43"/>
        <v>105</v>
      </c>
      <c r="V660" s="23">
        <f t="shared" si="44"/>
        <v>108</v>
      </c>
      <c r="W660" s="22" t="s">
        <v>11</v>
      </c>
      <c r="X660" s="22" t="s">
        <v>133</v>
      </c>
      <c r="Y660" s="22" t="s">
        <v>64</v>
      </c>
      <c r="Z660" s="22" t="s">
        <v>44</v>
      </c>
      <c r="AA660" s="22" t="s">
        <v>234</v>
      </c>
      <c r="AB660" s="22" t="s">
        <v>15</v>
      </c>
      <c r="AC660" s="22" t="s">
        <v>42</v>
      </c>
      <c r="AD660" s="22"/>
      <c r="AE660" s="2">
        <v>0</v>
      </c>
      <c r="AF660" s="2"/>
    </row>
    <row r="661" spans="1:32" x14ac:dyDescent="0.2">
      <c r="A661" s="35" t="s">
        <v>234</v>
      </c>
      <c r="B661" s="35" t="s">
        <v>15</v>
      </c>
      <c r="C661" s="35" t="s">
        <v>42</v>
      </c>
      <c r="D661" s="31" t="s">
        <v>943</v>
      </c>
      <c r="E661" s="35" t="s">
        <v>619</v>
      </c>
      <c r="F661" s="35">
        <v>2</v>
      </c>
      <c r="G661" s="35" t="s">
        <v>1528</v>
      </c>
      <c r="H661" s="35" t="s">
        <v>11</v>
      </c>
      <c r="I661" s="35" t="s">
        <v>133</v>
      </c>
      <c r="J661" s="21" t="s">
        <v>1529</v>
      </c>
      <c r="K661" s="22" t="s">
        <v>64</v>
      </c>
      <c r="L661" s="22" t="s">
        <v>44</v>
      </c>
      <c r="M661" s="22" t="s">
        <v>169</v>
      </c>
      <c r="N661" s="21">
        <v>683</v>
      </c>
      <c r="O661" s="29">
        <v>45748</v>
      </c>
      <c r="P661" s="29">
        <v>45755</v>
      </c>
      <c r="Q661" s="29">
        <v>45758</v>
      </c>
      <c r="R661" s="29">
        <v>45765</v>
      </c>
      <c r="S661" s="23">
        <f t="shared" si="41"/>
        <v>91</v>
      </c>
      <c r="T661" s="23">
        <f t="shared" si="42"/>
        <v>98</v>
      </c>
      <c r="U661" s="23">
        <f t="shared" si="43"/>
        <v>101</v>
      </c>
      <c r="V661" s="23">
        <f t="shared" si="44"/>
        <v>108</v>
      </c>
      <c r="W661" s="22" t="s">
        <v>11</v>
      </c>
      <c r="X661" s="22" t="s">
        <v>133</v>
      </c>
      <c r="Y661" s="22" t="s">
        <v>64</v>
      </c>
      <c r="Z661" s="22" t="s">
        <v>44</v>
      </c>
      <c r="AA661" s="22" t="s">
        <v>234</v>
      </c>
      <c r="AB661" s="22" t="s">
        <v>15</v>
      </c>
      <c r="AC661" s="22" t="s">
        <v>42</v>
      </c>
      <c r="AD661" s="22"/>
      <c r="AE661" s="2">
        <v>0</v>
      </c>
      <c r="AF661" s="2"/>
    </row>
    <row r="662" spans="1:32" x14ac:dyDescent="0.2">
      <c r="A662" s="35" t="s">
        <v>234</v>
      </c>
      <c r="B662" s="35" t="s">
        <v>15</v>
      </c>
      <c r="C662" s="35" t="s">
        <v>42</v>
      </c>
      <c r="D662" s="31" t="s">
        <v>943</v>
      </c>
      <c r="E662" s="35" t="s">
        <v>620</v>
      </c>
      <c r="F662" s="35">
        <v>2</v>
      </c>
      <c r="G662" s="35" t="s">
        <v>1530</v>
      </c>
      <c r="H662" s="35" t="s">
        <v>11</v>
      </c>
      <c r="I662" s="35" t="s">
        <v>133</v>
      </c>
      <c r="J662" s="21" t="s">
        <v>1531</v>
      </c>
      <c r="K662" s="22" t="s">
        <v>64</v>
      </c>
      <c r="L662" s="22" t="s">
        <v>44</v>
      </c>
      <c r="M662" s="22" t="s">
        <v>169</v>
      </c>
      <c r="N662" s="21">
        <v>684</v>
      </c>
      <c r="O662" s="29">
        <v>45748</v>
      </c>
      <c r="P662" s="29">
        <v>45755</v>
      </c>
      <c r="Q662" s="29">
        <v>45758</v>
      </c>
      <c r="R662" s="29">
        <v>45765</v>
      </c>
      <c r="S662" s="23">
        <f t="shared" si="41"/>
        <v>91</v>
      </c>
      <c r="T662" s="23">
        <f t="shared" si="42"/>
        <v>98</v>
      </c>
      <c r="U662" s="23">
        <f t="shared" si="43"/>
        <v>101</v>
      </c>
      <c r="V662" s="23">
        <f t="shared" si="44"/>
        <v>108</v>
      </c>
      <c r="W662" s="22" t="s">
        <v>11</v>
      </c>
      <c r="X662" s="22" t="s">
        <v>133</v>
      </c>
      <c r="Y662" s="22" t="s">
        <v>64</v>
      </c>
      <c r="Z662" s="22" t="s">
        <v>44</v>
      </c>
      <c r="AA662" s="22" t="s">
        <v>234</v>
      </c>
      <c r="AB662" s="22" t="s">
        <v>15</v>
      </c>
      <c r="AC662" s="22" t="s">
        <v>42</v>
      </c>
      <c r="AD662" s="22"/>
      <c r="AE662" s="2">
        <v>0</v>
      </c>
      <c r="AF662" s="2"/>
    </row>
    <row r="663" spans="1:32" x14ac:dyDescent="0.2">
      <c r="A663" s="34" t="s">
        <v>234</v>
      </c>
      <c r="B663" s="34" t="s">
        <v>62</v>
      </c>
      <c r="C663" s="34" t="s">
        <v>16</v>
      </c>
      <c r="D663" s="34" t="s">
        <v>961</v>
      </c>
      <c r="E663" s="34" t="s">
        <v>618</v>
      </c>
      <c r="F663" s="34">
        <v>1</v>
      </c>
      <c r="G663" s="34" t="s">
        <v>1532</v>
      </c>
      <c r="H663" s="34" t="s">
        <v>11</v>
      </c>
      <c r="I663" s="34" t="s">
        <v>133</v>
      </c>
      <c r="J663" s="13" t="s">
        <v>1533</v>
      </c>
      <c r="K663" s="15" t="s">
        <v>21</v>
      </c>
      <c r="L663" s="15" t="s">
        <v>44</v>
      </c>
      <c r="M663" s="15" t="s">
        <v>143</v>
      </c>
      <c r="N663" s="13">
        <v>685</v>
      </c>
      <c r="O663" s="30"/>
      <c r="P663" s="30"/>
      <c r="Q663" s="30"/>
      <c r="R663" s="30"/>
      <c r="S663" s="23"/>
      <c r="T663" s="23"/>
      <c r="U663" s="23"/>
      <c r="V663" s="23"/>
      <c r="W663" s="15" t="s">
        <v>11</v>
      </c>
      <c r="X663" s="15" t="s">
        <v>133</v>
      </c>
      <c r="Y663" s="15" t="s">
        <v>21</v>
      </c>
      <c r="Z663" s="15" t="s">
        <v>44</v>
      </c>
      <c r="AA663" s="15" t="s">
        <v>234</v>
      </c>
      <c r="AB663" s="15" t="s">
        <v>62</v>
      </c>
      <c r="AC663" s="15" t="s">
        <v>16</v>
      </c>
      <c r="AD663" s="15"/>
      <c r="AE663" s="1">
        <v>1</v>
      </c>
      <c r="AF663" s="1" t="s">
        <v>1448</v>
      </c>
    </row>
    <row r="664" spans="1:32" x14ac:dyDescent="0.2">
      <c r="A664" s="34" t="s">
        <v>234</v>
      </c>
      <c r="B664" s="34" t="s">
        <v>62</v>
      </c>
      <c r="C664" s="34" t="s">
        <v>16</v>
      </c>
      <c r="D664" s="34" t="s">
        <v>961</v>
      </c>
      <c r="E664" s="34" t="s">
        <v>619</v>
      </c>
      <c r="F664" s="34">
        <v>1</v>
      </c>
      <c r="G664" s="34" t="s">
        <v>1534</v>
      </c>
      <c r="H664" s="34" t="s">
        <v>11</v>
      </c>
      <c r="I664" s="34" t="s">
        <v>133</v>
      </c>
      <c r="J664" s="13" t="s">
        <v>1535</v>
      </c>
      <c r="K664" s="15" t="s">
        <v>21</v>
      </c>
      <c r="L664" s="15" t="s">
        <v>44</v>
      </c>
      <c r="M664" s="15" t="s">
        <v>143</v>
      </c>
      <c r="N664" s="13">
        <v>686</v>
      </c>
      <c r="O664" s="30">
        <v>45748</v>
      </c>
      <c r="P664" s="30">
        <v>45755</v>
      </c>
      <c r="Q664" s="30">
        <v>45762</v>
      </c>
      <c r="R664" s="30">
        <v>45770</v>
      </c>
      <c r="S664" s="23">
        <f t="shared" si="41"/>
        <v>91</v>
      </c>
      <c r="T664" s="23">
        <f t="shared" si="42"/>
        <v>98</v>
      </c>
      <c r="U664" s="23">
        <f t="shared" si="43"/>
        <v>105</v>
      </c>
      <c r="V664" s="23">
        <f t="shared" si="44"/>
        <v>113</v>
      </c>
      <c r="W664" s="15" t="s">
        <v>11</v>
      </c>
      <c r="X664" s="15" t="s">
        <v>133</v>
      </c>
      <c r="Y664" s="15" t="s">
        <v>21</v>
      </c>
      <c r="Z664" s="15" t="s">
        <v>44</v>
      </c>
      <c r="AA664" s="15" t="s">
        <v>234</v>
      </c>
      <c r="AB664" s="15" t="s">
        <v>62</v>
      </c>
      <c r="AC664" s="15" t="s">
        <v>16</v>
      </c>
      <c r="AD664" s="15"/>
      <c r="AE664" s="1">
        <v>0</v>
      </c>
      <c r="AF664" s="1"/>
    </row>
    <row r="665" spans="1:32" x14ac:dyDescent="0.2">
      <c r="A665" s="34" t="s">
        <v>234</v>
      </c>
      <c r="B665" s="34" t="s">
        <v>62</v>
      </c>
      <c r="C665" s="34" t="s">
        <v>16</v>
      </c>
      <c r="D665" s="34" t="s">
        <v>961</v>
      </c>
      <c r="E665" s="34" t="s">
        <v>620</v>
      </c>
      <c r="F665" s="34">
        <v>1</v>
      </c>
      <c r="G665" s="34" t="s">
        <v>1536</v>
      </c>
      <c r="H665" s="34" t="s">
        <v>11</v>
      </c>
      <c r="I665" s="34" t="s">
        <v>133</v>
      </c>
      <c r="J665" s="13" t="s">
        <v>1537</v>
      </c>
      <c r="K665" s="15" t="s">
        <v>21</v>
      </c>
      <c r="L665" s="15" t="s">
        <v>44</v>
      </c>
      <c r="M665" s="15" t="s">
        <v>143</v>
      </c>
      <c r="N665" s="13">
        <v>687</v>
      </c>
      <c r="O665" s="30">
        <v>45748</v>
      </c>
      <c r="P665" s="30">
        <v>45755</v>
      </c>
      <c r="Q665" s="30">
        <v>45762</v>
      </c>
      <c r="R665" s="30">
        <v>45765</v>
      </c>
      <c r="S665" s="23">
        <f t="shared" si="41"/>
        <v>91</v>
      </c>
      <c r="T665" s="23">
        <f t="shared" si="42"/>
        <v>98</v>
      </c>
      <c r="U665" s="23">
        <f t="shared" si="43"/>
        <v>105</v>
      </c>
      <c r="V665" s="23">
        <f t="shared" si="44"/>
        <v>108</v>
      </c>
      <c r="W665" s="15" t="s">
        <v>11</v>
      </c>
      <c r="X665" s="15" t="s">
        <v>133</v>
      </c>
      <c r="Y665" s="15" t="s">
        <v>21</v>
      </c>
      <c r="Z665" s="15" t="s">
        <v>44</v>
      </c>
      <c r="AA665" s="15" t="s">
        <v>234</v>
      </c>
      <c r="AB665" s="15" t="s">
        <v>62</v>
      </c>
      <c r="AC665" s="15" t="s">
        <v>16</v>
      </c>
      <c r="AD665" s="15"/>
      <c r="AE665" s="1">
        <v>0</v>
      </c>
      <c r="AF665" s="1"/>
    </row>
    <row r="666" spans="1:32" x14ac:dyDescent="0.2">
      <c r="A666" s="34" t="s">
        <v>234</v>
      </c>
      <c r="B666" s="34" t="s">
        <v>62</v>
      </c>
      <c r="C666" s="34" t="s">
        <v>16</v>
      </c>
      <c r="D666" s="34" t="s">
        <v>961</v>
      </c>
      <c r="E666" s="34" t="s">
        <v>618</v>
      </c>
      <c r="F666" s="34">
        <v>2</v>
      </c>
      <c r="G666" s="34" t="s">
        <v>1538</v>
      </c>
      <c r="H666" s="34" t="s">
        <v>11</v>
      </c>
      <c r="I666" s="34" t="s">
        <v>133</v>
      </c>
      <c r="J666" s="13" t="s">
        <v>1539</v>
      </c>
      <c r="K666" s="15" t="s">
        <v>21</v>
      </c>
      <c r="L666" s="15" t="s">
        <v>44</v>
      </c>
      <c r="M666" s="15" t="s">
        <v>143</v>
      </c>
      <c r="N666" s="13">
        <v>688</v>
      </c>
      <c r="O666" s="30">
        <v>45751</v>
      </c>
      <c r="P666" s="30">
        <v>45755</v>
      </c>
      <c r="Q666" s="30">
        <v>45765</v>
      </c>
      <c r="R666" s="30">
        <v>45776</v>
      </c>
      <c r="S666" s="23">
        <f t="shared" si="41"/>
        <v>94</v>
      </c>
      <c r="T666" s="23">
        <f t="shared" si="42"/>
        <v>98</v>
      </c>
      <c r="U666" s="23">
        <f t="shared" si="43"/>
        <v>108</v>
      </c>
      <c r="V666" s="23">
        <f t="shared" si="44"/>
        <v>119</v>
      </c>
      <c r="W666" s="15" t="s">
        <v>11</v>
      </c>
      <c r="X666" s="15" t="s">
        <v>133</v>
      </c>
      <c r="Y666" s="15" t="s">
        <v>21</v>
      </c>
      <c r="Z666" s="15" t="s">
        <v>44</v>
      </c>
      <c r="AA666" s="15" t="s">
        <v>234</v>
      </c>
      <c r="AB666" s="15" t="s">
        <v>62</v>
      </c>
      <c r="AC666" s="15" t="s">
        <v>16</v>
      </c>
      <c r="AD666" s="15"/>
      <c r="AE666" s="1">
        <v>0</v>
      </c>
      <c r="AF666" s="1"/>
    </row>
    <row r="667" spans="1:32" x14ac:dyDescent="0.2">
      <c r="A667" s="34" t="s">
        <v>234</v>
      </c>
      <c r="B667" s="34" t="s">
        <v>62</v>
      </c>
      <c r="C667" s="34" t="s">
        <v>16</v>
      </c>
      <c r="D667" s="34" t="s">
        <v>961</v>
      </c>
      <c r="E667" s="34" t="s">
        <v>619</v>
      </c>
      <c r="F667" s="34">
        <v>2</v>
      </c>
      <c r="G667" s="34" t="s">
        <v>1540</v>
      </c>
      <c r="H667" s="34" t="s">
        <v>11</v>
      </c>
      <c r="I667" s="34" t="s">
        <v>133</v>
      </c>
      <c r="J667" s="13" t="s">
        <v>1541</v>
      </c>
      <c r="K667" s="15" t="s">
        <v>21</v>
      </c>
      <c r="L667" s="15" t="s">
        <v>44</v>
      </c>
      <c r="M667" s="15" t="s">
        <v>143</v>
      </c>
      <c r="N667" s="13">
        <v>689</v>
      </c>
      <c r="O667" s="30">
        <v>45751</v>
      </c>
      <c r="P667" s="30">
        <v>45755</v>
      </c>
      <c r="Q667" s="30">
        <v>45758</v>
      </c>
      <c r="R667" s="30">
        <v>45765</v>
      </c>
      <c r="S667" s="23">
        <f t="shared" si="41"/>
        <v>94</v>
      </c>
      <c r="T667" s="23">
        <f t="shared" si="42"/>
        <v>98</v>
      </c>
      <c r="U667" s="23">
        <f t="shared" si="43"/>
        <v>101</v>
      </c>
      <c r="V667" s="23">
        <f t="shared" si="44"/>
        <v>108</v>
      </c>
      <c r="W667" s="15" t="s">
        <v>11</v>
      </c>
      <c r="X667" s="15" t="s">
        <v>133</v>
      </c>
      <c r="Y667" s="15" t="s">
        <v>21</v>
      </c>
      <c r="Z667" s="15" t="s">
        <v>44</v>
      </c>
      <c r="AA667" s="15" t="s">
        <v>234</v>
      </c>
      <c r="AB667" s="15" t="s">
        <v>62</v>
      </c>
      <c r="AC667" s="15" t="s">
        <v>16</v>
      </c>
      <c r="AD667" s="15"/>
      <c r="AE667" s="1">
        <v>0</v>
      </c>
      <c r="AF667" s="1"/>
    </row>
    <row r="668" spans="1:32" x14ac:dyDescent="0.2">
      <c r="A668" s="34" t="s">
        <v>234</v>
      </c>
      <c r="B668" s="34" t="s">
        <v>62</v>
      </c>
      <c r="C668" s="34" t="s">
        <v>16</v>
      </c>
      <c r="D668" s="34" t="s">
        <v>961</v>
      </c>
      <c r="E668" s="34" t="s">
        <v>620</v>
      </c>
      <c r="F668" s="34">
        <v>2</v>
      </c>
      <c r="G668" s="34" t="s">
        <v>1542</v>
      </c>
      <c r="H668" s="34" t="s">
        <v>11</v>
      </c>
      <c r="I668" s="34" t="s">
        <v>133</v>
      </c>
      <c r="J668" s="13" t="s">
        <v>1543</v>
      </c>
      <c r="K668" s="15" t="s">
        <v>21</v>
      </c>
      <c r="L668" s="15" t="s">
        <v>44</v>
      </c>
      <c r="M668" s="15" t="s">
        <v>143</v>
      </c>
      <c r="N668" s="13">
        <v>690</v>
      </c>
      <c r="O668" s="30">
        <v>45758</v>
      </c>
      <c r="P668" s="30">
        <v>45765</v>
      </c>
      <c r="Q668" s="30">
        <v>45770</v>
      </c>
      <c r="R668" s="30">
        <v>45779</v>
      </c>
      <c r="S668" s="23">
        <f t="shared" si="41"/>
        <v>101</v>
      </c>
      <c r="T668" s="23">
        <f t="shared" si="42"/>
        <v>108</v>
      </c>
      <c r="U668" s="23">
        <f t="shared" si="43"/>
        <v>113</v>
      </c>
      <c r="V668" s="23">
        <f t="shared" si="44"/>
        <v>122</v>
      </c>
      <c r="W668" s="15" t="s">
        <v>11</v>
      </c>
      <c r="X668" s="15" t="s">
        <v>133</v>
      </c>
      <c r="Y668" s="15" t="s">
        <v>21</v>
      </c>
      <c r="Z668" s="15" t="s">
        <v>44</v>
      </c>
      <c r="AA668" s="15" t="s">
        <v>234</v>
      </c>
      <c r="AB668" s="15" t="s">
        <v>62</v>
      </c>
      <c r="AC668" s="15" t="s">
        <v>16</v>
      </c>
      <c r="AD668" s="15"/>
      <c r="AE668" s="1">
        <v>2</v>
      </c>
      <c r="AF668" s="1" t="s">
        <v>1544</v>
      </c>
    </row>
    <row r="669" spans="1:32" x14ac:dyDescent="0.2">
      <c r="A669" s="35" t="s">
        <v>234</v>
      </c>
      <c r="B669" s="35" t="s">
        <v>62</v>
      </c>
      <c r="C669" s="35" t="s">
        <v>32</v>
      </c>
      <c r="D669" s="31" t="s">
        <v>970</v>
      </c>
      <c r="E669" s="35" t="s">
        <v>618</v>
      </c>
      <c r="F669" s="35">
        <v>1</v>
      </c>
      <c r="G669" s="35" t="s">
        <v>1545</v>
      </c>
      <c r="H669" s="35" t="s">
        <v>11</v>
      </c>
      <c r="I669" s="35" t="s">
        <v>133</v>
      </c>
      <c r="J669" s="21" t="s">
        <v>1546</v>
      </c>
      <c r="K669" s="22" t="s">
        <v>21</v>
      </c>
      <c r="L669" s="22" t="s">
        <v>44</v>
      </c>
      <c r="M669" s="22" t="s">
        <v>143</v>
      </c>
      <c r="N669" s="21">
        <v>691</v>
      </c>
      <c r="O669" s="29">
        <v>45748</v>
      </c>
      <c r="P669" s="29">
        <v>45758</v>
      </c>
      <c r="Q669" s="29">
        <v>45770</v>
      </c>
      <c r="R669" s="29">
        <v>45772</v>
      </c>
      <c r="S669" s="23">
        <f t="shared" si="41"/>
        <v>91</v>
      </c>
      <c r="T669" s="23">
        <f t="shared" si="42"/>
        <v>101</v>
      </c>
      <c r="U669" s="23">
        <f t="shared" si="43"/>
        <v>113</v>
      </c>
      <c r="V669" s="23">
        <f t="shared" si="44"/>
        <v>115</v>
      </c>
      <c r="W669" s="22" t="s">
        <v>11</v>
      </c>
      <c r="X669" s="22" t="s">
        <v>133</v>
      </c>
      <c r="Y669" s="22" t="s">
        <v>21</v>
      </c>
      <c r="Z669" s="22" t="s">
        <v>44</v>
      </c>
      <c r="AA669" s="22" t="s">
        <v>234</v>
      </c>
      <c r="AB669" s="22" t="s">
        <v>62</v>
      </c>
      <c r="AC669" s="22" t="s">
        <v>32</v>
      </c>
      <c r="AD669" s="22"/>
      <c r="AE669" s="2">
        <v>2</v>
      </c>
      <c r="AF669" s="2" t="s">
        <v>1544</v>
      </c>
    </row>
    <row r="670" spans="1:32" x14ac:dyDescent="0.2">
      <c r="A670" s="35" t="s">
        <v>234</v>
      </c>
      <c r="B670" s="35" t="s">
        <v>62</v>
      </c>
      <c r="C670" s="35" t="s">
        <v>32</v>
      </c>
      <c r="D670" s="31" t="s">
        <v>970</v>
      </c>
      <c r="E670" s="35" t="s">
        <v>619</v>
      </c>
      <c r="F670" s="35">
        <v>1</v>
      </c>
      <c r="G670" s="35" t="s">
        <v>1547</v>
      </c>
      <c r="H670" s="35" t="s">
        <v>11</v>
      </c>
      <c r="I670" s="35" t="s">
        <v>133</v>
      </c>
      <c r="J670" s="21" t="s">
        <v>1548</v>
      </c>
      <c r="K670" s="22" t="s">
        <v>21</v>
      </c>
      <c r="L670" s="22" t="s">
        <v>44</v>
      </c>
      <c r="M670" s="22" t="s">
        <v>143</v>
      </c>
      <c r="N670" s="21">
        <v>692</v>
      </c>
      <c r="O670" s="29">
        <v>45748</v>
      </c>
      <c r="P670" s="29">
        <v>45755</v>
      </c>
      <c r="Q670" s="29">
        <v>45762</v>
      </c>
      <c r="R670" s="29">
        <v>45765</v>
      </c>
      <c r="S670" s="23">
        <f t="shared" si="41"/>
        <v>91</v>
      </c>
      <c r="T670" s="23">
        <f t="shared" si="42"/>
        <v>98</v>
      </c>
      <c r="U670" s="23">
        <f t="shared" si="43"/>
        <v>105</v>
      </c>
      <c r="V670" s="23">
        <f t="shared" si="44"/>
        <v>108</v>
      </c>
      <c r="W670" s="22" t="s">
        <v>11</v>
      </c>
      <c r="X670" s="22" t="s">
        <v>133</v>
      </c>
      <c r="Y670" s="22" t="s">
        <v>21</v>
      </c>
      <c r="Z670" s="22" t="s">
        <v>44</v>
      </c>
      <c r="AA670" s="22" t="s">
        <v>234</v>
      </c>
      <c r="AB670" s="22" t="s">
        <v>62</v>
      </c>
      <c r="AC670" s="22" t="s">
        <v>32</v>
      </c>
      <c r="AD670" s="22"/>
      <c r="AE670" s="2">
        <v>0</v>
      </c>
      <c r="AF670" s="2"/>
    </row>
    <row r="671" spans="1:32" x14ac:dyDescent="0.2">
      <c r="A671" s="35" t="s">
        <v>234</v>
      </c>
      <c r="B671" s="35" t="s">
        <v>62</v>
      </c>
      <c r="C671" s="35" t="s">
        <v>32</v>
      </c>
      <c r="D671" s="31" t="s">
        <v>970</v>
      </c>
      <c r="E671" s="35" t="s">
        <v>620</v>
      </c>
      <c r="F671" s="35">
        <v>1</v>
      </c>
      <c r="G671" s="35" t="s">
        <v>1549</v>
      </c>
      <c r="H671" s="35" t="s">
        <v>11</v>
      </c>
      <c r="I671" s="35" t="s">
        <v>133</v>
      </c>
      <c r="J671" s="21" t="s">
        <v>1550</v>
      </c>
      <c r="K671" s="22" t="s">
        <v>21</v>
      </c>
      <c r="L671" s="22" t="s">
        <v>44</v>
      </c>
      <c r="M671" s="22" t="s">
        <v>143</v>
      </c>
      <c r="N671" s="21">
        <v>693</v>
      </c>
      <c r="O671" s="29">
        <v>45748</v>
      </c>
      <c r="P671" s="29">
        <v>45755</v>
      </c>
      <c r="Q671" s="29">
        <v>45758</v>
      </c>
      <c r="R671" s="29">
        <v>45765</v>
      </c>
      <c r="S671" s="23">
        <f t="shared" si="41"/>
        <v>91</v>
      </c>
      <c r="T671" s="23">
        <f t="shared" si="42"/>
        <v>98</v>
      </c>
      <c r="U671" s="23">
        <f t="shared" si="43"/>
        <v>101</v>
      </c>
      <c r="V671" s="23">
        <f t="shared" si="44"/>
        <v>108</v>
      </c>
      <c r="W671" s="22" t="s">
        <v>11</v>
      </c>
      <c r="X671" s="22" t="s">
        <v>133</v>
      </c>
      <c r="Y671" s="22" t="s">
        <v>21</v>
      </c>
      <c r="Z671" s="22" t="s">
        <v>44</v>
      </c>
      <c r="AA671" s="22" t="s">
        <v>234</v>
      </c>
      <c r="AB671" s="22" t="s">
        <v>62</v>
      </c>
      <c r="AC671" s="22" t="s">
        <v>32</v>
      </c>
      <c r="AD671" s="22"/>
      <c r="AE671" s="2">
        <v>0</v>
      </c>
      <c r="AF671" s="2"/>
    </row>
    <row r="672" spans="1:32" x14ac:dyDescent="0.2">
      <c r="A672" s="35" t="s">
        <v>234</v>
      </c>
      <c r="B672" s="35" t="s">
        <v>62</v>
      </c>
      <c r="C672" s="35" t="s">
        <v>32</v>
      </c>
      <c r="D672" s="31" t="s">
        <v>970</v>
      </c>
      <c r="E672" s="35" t="s">
        <v>618</v>
      </c>
      <c r="F672" s="35">
        <v>2</v>
      </c>
      <c r="G672" s="35" t="s">
        <v>1551</v>
      </c>
      <c r="H672" s="35" t="s">
        <v>11</v>
      </c>
      <c r="I672" s="35" t="s">
        <v>133</v>
      </c>
      <c r="J672" s="21" t="s">
        <v>1552</v>
      </c>
      <c r="K672" s="22" t="s">
        <v>21</v>
      </c>
      <c r="L672" s="22" t="s">
        <v>44</v>
      </c>
      <c r="M672" s="22" t="s">
        <v>143</v>
      </c>
      <c r="N672" s="21">
        <v>694</v>
      </c>
      <c r="O672" s="29">
        <v>45748</v>
      </c>
      <c r="P672" s="29">
        <v>45755</v>
      </c>
      <c r="Q672" s="29">
        <v>45758</v>
      </c>
      <c r="R672" s="29">
        <v>45765</v>
      </c>
      <c r="S672" s="23">
        <f t="shared" si="41"/>
        <v>91</v>
      </c>
      <c r="T672" s="23">
        <f t="shared" si="42"/>
        <v>98</v>
      </c>
      <c r="U672" s="23">
        <f t="shared" si="43"/>
        <v>101</v>
      </c>
      <c r="V672" s="23">
        <f t="shared" si="44"/>
        <v>108</v>
      </c>
      <c r="W672" s="22" t="s">
        <v>11</v>
      </c>
      <c r="X672" s="22" t="s">
        <v>133</v>
      </c>
      <c r="Y672" s="22" t="s">
        <v>21</v>
      </c>
      <c r="Z672" s="22" t="s">
        <v>44</v>
      </c>
      <c r="AA672" s="22" t="s">
        <v>234</v>
      </c>
      <c r="AB672" s="22" t="s">
        <v>62</v>
      </c>
      <c r="AC672" s="22" t="s">
        <v>32</v>
      </c>
      <c r="AD672" s="22"/>
      <c r="AE672" s="2">
        <v>0</v>
      </c>
      <c r="AF672" s="2"/>
    </row>
    <row r="673" spans="1:32" x14ac:dyDescent="0.2">
      <c r="A673" s="35" t="s">
        <v>234</v>
      </c>
      <c r="B673" s="35" t="s">
        <v>62</v>
      </c>
      <c r="C673" s="35" t="s">
        <v>32</v>
      </c>
      <c r="D673" s="31" t="s">
        <v>970</v>
      </c>
      <c r="E673" s="35" t="s">
        <v>619</v>
      </c>
      <c r="F673" s="35">
        <v>2</v>
      </c>
      <c r="G673" s="35" t="s">
        <v>1553</v>
      </c>
      <c r="H673" s="35" t="s">
        <v>11</v>
      </c>
      <c r="I673" s="35" t="s">
        <v>133</v>
      </c>
      <c r="J673" s="21" t="s">
        <v>1554</v>
      </c>
      <c r="K673" s="22" t="s">
        <v>21</v>
      </c>
      <c r="L673" s="22" t="s">
        <v>44</v>
      </c>
      <c r="M673" s="22" t="s">
        <v>143</v>
      </c>
      <c r="N673" s="21">
        <v>695</v>
      </c>
      <c r="O673" s="29">
        <v>45748</v>
      </c>
      <c r="P673" s="29">
        <v>45755</v>
      </c>
      <c r="Q673" s="29">
        <v>45758</v>
      </c>
      <c r="R673" s="29">
        <v>45765</v>
      </c>
      <c r="S673" s="23">
        <f t="shared" si="41"/>
        <v>91</v>
      </c>
      <c r="T673" s="23">
        <f t="shared" si="42"/>
        <v>98</v>
      </c>
      <c r="U673" s="23">
        <f t="shared" si="43"/>
        <v>101</v>
      </c>
      <c r="V673" s="23">
        <f t="shared" si="44"/>
        <v>108</v>
      </c>
      <c r="W673" s="22" t="s">
        <v>11</v>
      </c>
      <c r="X673" s="22" t="s">
        <v>133</v>
      </c>
      <c r="Y673" s="22" t="s">
        <v>21</v>
      </c>
      <c r="Z673" s="22" t="s">
        <v>44</v>
      </c>
      <c r="AA673" s="22" t="s">
        <v>234</v>
      </c>
      <c r="AB673" s="22" t="s">
        <v>62</v>
      </c>
      <c r="AC673" s="22" t="s">
        <v>32</v>
      </c>
      <c r="AD673" s="22"/>
      <c r="AE673" s="2">
        <v>0</v>
      </c>
      <c r="AF673" s="2"/>
    </row>
    <row r="674" spans="1:32" x14ac:dyDescent="0.2">
      <c r="A674" s="35" t="s">
        <v>234</v>
      </c>
      <c r="B674" s="35" t="s">
        <v>62</v>
      </c>
      <c r="C674" s="35" t="s">
        <v>32</v>
      </c>
      <c r="D674" s="31" t="s">
        <v>970</v>
      </c>
      <c r="E674" s="35" t="s">
        <v>620</v>
      </c>
      <c r="F674" s="35">
        <v>2</v>
      </c>
      <c r="G674" s="35" t="s">
        <v>1555</v>
      </c>
      <c r="H674" s="35" t="s">
        <v>11</v>
      </c>
      <c r="I674" s="35" t="s">
        <v>133</v>
      </c>
      <c r="J674" s="21" t="s">
        <v>1556</v>
      </c>
      <c r="K674" s="22" t="s">
        <v>21</v>
      </c>
      <c r="L674" s="22" t="s">
        <v>44</v>
      </c>
      <c r="M674" s="22" t="s">
        <v>143</v>
      </c>
      <c r="N674" s="21">
        <v>696</v>
      </c>
      <c r="O674" s="29"/>
      <c r="P674" s="29"/>
      <c r="Q674" s="29"/>
      <c r="R674" s="29"/>
      <c r="S674" s="23"/>
      <c r="T674" s="23"/>
      <c r="U674" s="23"/>
      <c r="V674" s="23"/>
      <c r="W674" s="22" t="s">
        <v>11</v>
      </c>
      <c r="X674" s="22" t="s">
        <v>133</v>
      </c>
      <c r="Y674" s="22" t="s">
        <v>21</v>
      </c>
      <c r="Z674" s="22" t="s">
        <v>44</v>
      </c>
      <c r="AA674" s="22" t="s">
        <v>234</v>
      </c>
      <c r="AB674" s="22" t="s">
        <v>62</v>
      </c>
      <c r="AC674" s="22" t="s">
        <v>32</v>
      </c>
      <c r="AD674" s="22"/>
      <c r="AE674" s="2">
        <v>1</v>
      </c>
      <c r="AF674" s="2" t="s">
        <v>1448</v>
      </c>
    </row>
    <row r="675" spans="1:32" x14ac:dyDescent="0.2">
      <c r="A675" s="34" t="s">
        <v>234</v>
      </c>
      <c r="B675" s="34" t="s">
        <v>62</v>
      </c>
      <c r="C675" s="34" t="s">
        <v>53</v>
      </c>
      <c r="D675" s="34" t="s">
        <v>988</v>
      </c>
      <c r="E675" s="34" t="s">
        <v>618</v>
      </c>
      <c r="F675" s="34">
        <v>1</v>
      </c>
      <c r="G675" s="34" t="s">
        <v>1557</v>
      </c>
      <c r="H675" s="34" t="s">
        <v>11</v>
      </c>
      <c r="I675" s="34" t="s">
        <v>133</v>
      </c>
      <c r="J675" s="13" t="s">
        <v>1558</v>
      </c>
      <c r="K675" s="15" t="s">
        <v>21</v>
      </c>
      <c r="L675" s="15" t="s">
        <v>44</v>
      </c>
      <c r="M675" s="15" t="s">
        <v>143</v>
      </c>
      <c r="N675" s="13">
        <v>697</v>
      </c>
      <c r="O675" s="30">
        <v>45758</v>
      </c>
      <c r="P675" s="30"/>
      <c r="Q675" s="30">
        <v>45776</v>
      </c>
      <c r="R675" s="30">
        <v>45779</v>
      </c>
      <c r="S675" s="23">
        <f t="shared" si="41"/>
        <v>101</v>
      </c>
      <c r="T675" s="23">
        <f>(U675+S675)/2</f>
        <v>110</v>
      </c>
      <c r="U675" s="23">
        <f t="shared" si="43"/>
        <v>119</v>
      </c>
      <c r="V675" s="23">
        <f t="shared" si="44"/>
        <v>122</v>
      </c>
      <c r="W675" s="15" t="s">
        <v>11</v>
      </c>
      <c r="X675" s="15" t="s">
        <v>133</v>
      </c>
      <c r="Y675" s="15" t="s">
        <v>21</v>
      </c>
      <c r="Z675" s="15" t="s">
        <v>44</v>
      </c>
      <c r="AA675" s="15" t="s">
        <v>234</v>
      </c>
      <c r="AB675" s="15" t="s">
        <v>62</v>
      </c>
      <c r="AC675" s="15" t="s">
        <v>53</v>
      </c>
      <c r="AD675" s="15"/>
      <c r="AE675" s="1">
        <v>2</v>
      </c>
      <c r="AF675" s="1" t="s">
        <v>1451</v>
      </c>
    </row>
    <row r="676" spans="1:32" x14ac:dyDescent="0.2">
      <c r="A676" s="34" t="s">
        <v>234</v>
      </c>
      <c r="B676" s="34" t="s">
        <v>62</v>
      </c>
      <c r="C676" s="34" t="s">
        <v>53</v>
      </c>
      <c r="D676" s="34" t="s">
        <v>988</v>
      </c>
      <c r="E676" s="34" t="s">
        <v>619</v>
      </c>
      <c r="F676" s="34">
        <v>1</v>
      </c>
      <c r="G676" s="34" t="s">
        <v>1559</v>
      </c>
      <c r="H676" s="34" t="s">
        <v>11</v>
      </c>
      <c r="I676" s="34" t="s">
        <v>133</v>
      </c>
      <c r="J676" s="13" t="s">
        <v>1560</v>
      </c>
      <c r="K676" s="15" t="s">
        <v>21</v>
      </c>
      <c r="L676" s="15" t="s">
        <v>44</v>
      </c>
      <c r="M676" s="15" t="s">
        <v>143</v>
      </c>
      <c r="N676" s="13">
        <v>698</v>
      </c>
      <c r="O676" s="30">
        <v>45755</v>
      </c>
      <c r="P676" s="30">
        <v>45758</v>
      </c>
      <c r="Q676" s="1"/>
      <c r="R676" s="1"/>
      <c r="S676" s="23">
        <f t="shared" si="41"/>
        <v>98</v>
      </c>
      <c r="T676" s="23">
        <f t="shared" si="42"/>
        <v>101</v>
      </c>
      <c r="U676" s="23"/>
      <c r="V676" s="23"/>
      <c r="W676" s="15" t="s">
        <v>11</v>
      </c>
      <c r="X676" s="15" t="s">
        <v>133</v>
      </c>
      <c r="Y676" s="15" t="s">
        <v>21</v>
      </c>
      <c r="Z676" s="15" t="s">
        <v>44</v>
      </c>
      <c r="AA676" s="15" t="s">
        <v>234</v>
      </c>
      <c r="AB676" s="15" t="s">
        <v>62</v>
      </c>
      <c r="AC676" s="15" t="s">
        <v>53</v>
      </c>
      <c r="AD676" s="15"/>
      <c r="AE676" s="1">
        <v>1</v>
      </c>
      <c r="AF676" s="1" t="s">
        <v>1561</v>
      </c>
    </row>
    <row r="677" spans="1:32" x14ac:dyDescent="0.2">
      <c r="A677" s="34" t="s">
        <v>234</v>
      </c>
      <c r="B677" s="34" t="s">
        <v>62</v>
      </c>
      <c r="C677" s="34" t="s">
        <v>53</v>
      </c>
      <c r="D677" s="34" t="s">
        <v>988</v>
      </c>
      <c r="E677" s="34" t="s">
        <v>620</v>
      </c>
      <c r="F677" s="34">
        <v>1</v>
      </c>
      <c r="G677" s="34" t="s">
        <v>1562</v>
      </c>
      <c r="H677" s="34" t="s">
        <v>11</v>
      </c>
      <c r="I677" s="34" t="s">
        <v>133</v>
      </c>
      <c r="J677" s="13" t="s">
        <v>1563</v>
      </c>
      <c r="K677" s="15" t="s">
        <v>21</v>
      </c>
      <c r="L677" s="15" t="s">
        <v>44</v>
      </c>
      <c r="M677" s="15" t="s">
        <v>143</v>
      </c>
      <c r="N677" s="13">
        <v>699</v>
      </c>
      <c r="O677" s="30">
        <v>45748</v>
      </c>
      <c r="P677" s="30">
        <v>45755</v>
      </c>
      <c r="Q677" s="30">
        <v>45758</v>
      </c>
      <c r="R677" s="30">
        <v>45765</v>
      </c>
      <c r="S677" s="23">
        <f t="shared" si="41"/>
        <v>91</v>
      </c>
      <c r="T677" s="23">
        <f t="shared" si="42"/>
        <v>98</v>
      </c>
      <c r="U677" s="23">
        <f t="shared" si="43"/>
        <v>101</v>
      </c>
      <c r="V677" s="23">
        <f t="shared" si="44"/>
        <v>108</v>
      </c>
      <c r="W677" s="15" t="s">
        <v>11</v>
      </c>
      <c r="X677" s="15" t="s">
        <v>133</v>
      </c>
      <c r="Y677" s="15" t="s">
        <v>21</v>
      </c>
      <c r="Z677" s="15" t="s">
        <v>44</v>
      </c>
      <c r="AA677" s="15" t="s">
        <v>234</v>
      </c>
      <c r="AB677" s="15" t="s">
        <v>62</v>
      </c>
      <c r="AC677" s="15" t="s">
        <v>53</v>
      </c>
      <c r="AD677" s="15"/>
      <c r="AE677" s="1">
        <v>0</v>
      </c>
      <c r="AF677" s="1"/>
    </row>
    <row r="678" spans="1:32" x14ac:dyDescent="0.2">
      <c r="A678" s="34" t="s">
        <v>234</v>
      </c>
      <c r="B678" s="34" t="s">
        <v>62</v>
      </c>
      <c r="C678" s="34" t="s">
        <v>53</v>
      </c>
      <c r="D678" s="34" t="s">
        <v>988</v>
      </c>
      <c r="E678" s="34" t="s">
        <v>618</v>
      </c>
      <c r="F678" s="34">
        <v>2</v>
      </c>
      <c r="G678" s="34" t="s">
        <v>1564</v>
      </c>
      <c r="H678" s="34" t="s">
        <v>11</v>
      </c>
      <c r="I678" s="34" t="s">
        <v>133</v>
      </c>
      <c r="J678" s="13" t="s">
        <v>1565</v>
      </c>
      <c r="K678" s="15" t="s">
        <v>21</v>
      </c>
      <c r="L678" s="15" t="s">
        <v>44</v>
      </c>
      <c r="M678" s="15" t="s">
        <v>143</v>
      </c>
      <c r="N678" s="13">
        <v>700</v>
      </c>
      <c r="O678" s="30">
        <v>45748</v>
      </c>
      <c r="P678" s="30">
        <v>45755</v>
      </c>
      <c r="Q678" s="30">
        <v>45762</v>
      </c>
      <c r="R678" s="30">
        <v>45770</v>
      </c>
      <c r="S678" s="23">
        <f t="shared" si="41"/>
        <v>91</v>
      </c>
      <c r="T678" s="23">
        <f t="shared" si="42"/>
        <v>98</v>
      </c>
      <c r="U678" s="23">
        <f t="shared" si="43"/>
        <v>105</v>
      </c>
      <c r="V678" s="23">
        <f t="shared" si="44"/>
        <v>113</v>
      </c>
      <c r="W678" s="15" t="s">
        <v>11</v>
      </c>
      <c r="X678" s="15" t="s">
        <v>133</v>
      </c>
      <c r="Y678" s="15" t="s">
        <v>21</v>
      </c>
      <c r="Z678" s="15" t="s">
        <v>44</v>
      </c>
      <c r="AA678" s="15" t="s">
        <v>234</v>
      </c>
      <c r="AB678" s="15" t="s">
        <v>62</v>
      </c>
      <c r="AC678" s="15" t="s">
        <v>53</v>
      </c>
      <c r="AD678" s="15"/>
      <c r="AE678" s="1">
        <v>0</v>
      </c>
      <c r="AF678" s="1"/>
    </row>
    <row r="679" spans="1:32" x14ac:dyDescent="0.2">
      <c r="A679" s="34" t="s">
        <v>234</v>
      </c>
      <c r="B679" s="34" t="s">
        <v>62</v>
      </c>
      <c r="C679" s="34" t="s">
        <v>53</v>
      </c>
      <c r="D679" s="34" t="s">
        <v>988</v>
      </c>
      <c r="E679" s="34" t="s">
        <v>619</v>
      </c>
      <c r="F679" s="34">
        <v>2</v>
      </c>
      <c r="G679" s="34" t="s">
        <v>1566</v>
      </c>
      <c r="H679" s="34" t="s">
        <v>11</v>
      </c>
      <c r="I679" s="34" t="s">
        <v>133</v>
      </c>
      <c r="J679" s="13" t="s">
        <v>1567</v>
      </c>
      <c r="K679" s="15" t="s">
        <v>21</v>
      </c>
      <c r="L679" s="15" t="s">
        <v>44</v>
      </c>
      <c r="M679" s="15" t="s">
        <v>143</v>
      </c>
      <c r="N679" s="13">
        <v>701</v>
      </c>
      <c r="O679" s="30">
        <v>45748</v>
      </c>
      <c r="P679" s="30">
        <v>45755</v>
      </c>
      <c r="Q679" s="30">
        <v>45762</v>
      </c>
      <c r="R679" s="30">
        <v>45765</v>
      </c>
      <c r="S679" s="23">
        <f t="shared" si="41"/>
        <v>91</v>
      </c>
      <c r="T679" s="23">
        <f t="shared" si="42"/>
        <v>98</v>
      </c>
      <c r="U679" s="23">
        <f t="shared" si="43"/>
        <v>105</v>
      </c>
      <c r="V679" s="23">
        <f t="shared" si="44"/>
        <v>108</v>
      </c>
      <c r="W679" s="15" t="s">
        <v>11</v>
      </c>
      <c r="X679" s="15" t="s">
        <v>133</v>
      </c>
      <c r="Y679" s="15" t="s">
        <v>21</v>
      </c>
      <c r="Z679" s="15" t="s">
        <v>44</v>
      </c>
      <c r="AA679" s="15" t="s">
        <v>234</v>
      </c>
      <c r="AB679" s="15" t="s">
        <v>62</v>
      </c>
      <c r="AC679" s="15" t="s">
        <v>53</v>
      </c>
      <c r="AD679" s="15"/>
      <c r="AE679" s="1">
        <v>0</v>
      </c>
      <c r="AF679" s="1"/>
    </row>
    <row r="680" spans="1:32" x14ac:dyDescent="0.2">
      <c r="A680" s="34" t="s">
        <v>234</v>
      </c>
      <c r="B680" s="34" t="s">
        <v>62</v>
      </c>
      <c r="C680" s="34" t="s">
        <v>53</v>
      </c>
      <c r="D680" s="34" t="s">
        <v>988</v>
      </c>
      <c r="E680" s="34" t="s">
        <v>620</v>
      </c>
      <c r="F680" s="34">
        <v>2</v>
      </c>
      <c r="G680" s="34" t="s">
        <v>1568</v>
      </c>
      <c r="H680" s="34" t="s">
        <v>11</v>
      </c>
      <c r="I680" s="34" t="s">
        <v>133</v>
      </c>
      <c r="J680" s="13" t="s">
        <v>1569</v>
      </c>
      <c r="K680" s="15" t="s">
        <v>21</v>
      </c>
      <c r="L680" s="15" t="s">
        <v>44</v>
      </c>
      <c r="M680" s="15" t="s">
        <v>143</v>
      </c>
      <c r="N680" s="13">
        <v>702</v>
      </c>
      <c r="O680" s="30">
        <v>45748</v>
      </c>
      <c r="P680" s="30">
        <v>45755</v>
      </c>
      <c r="Q680" s="30">
        <v>45762</v>
      </c>
      <c r="R680" s="30">
        <v>45765</v>
      </c>
      <c r="S680" s="23">
        <f t="shared" si="41"/>
        <v>91</v>
      </c>
      <c r="T680" s="23">
        <f t="shared" si="42"/>
        <v>98</v>
      </c>
      <c r="U680" s="23">
        <f t="shared" si="43"/>
        <v>105</v>
      </c>
      <c r="V680" s="23">
        <f t="shared" si="44"/>
        <v>108</v>
      </c>
      <c r="W680" s="15" t="s">
        <v>11</v>
      </c>
      <c r="X680" s="15" t="s">
        <v>133</v>
      </c>
      <c r="Y680" s="15" t="s">
        <v>21</v>
      </c>
      <c r="Z680" s="15" t="s">
        <v>44</v>
      </c>
      <c r="AA680" s="15" t="s">
        <v>234</v>
      </c>
      <c r="AB680" s="15" t="s">
        <v>62</v>
      </c>
      <c r="AC680" s="15" t="s">
        <v>53</v>
      </c>
      <c r="AD680" s="15"/>
      <c r="AE680" s="1">
        <v>0</v>
      </c>
      <c r="AF680" s="1"/>
    </row>
    <row r="681" spans="1:32" x14ac:dyDescent="0.2">
      <c r="A681" s="35" t="s">
        <v>234</v>
      </c>
      <c r="B681" s="35" t="s">
        <v>98</v>
      </c>
      <c r="C681" s="35" t="s">
        <v>32</v>
      </c>
      <c r="D681" s="31" t="s">
        <v>1006</v>
      </c>
      <c r="E681" s="35" t="s">
        <v>618</v>
      </c>
      <c r="F681" s="35">
        <v>1</v>
      </c>
      <c r="G681" s="35" t="s">
        <v>1570</v>
      </c>
      <c r="H681" s="35" t="s">
        <v>11</v>
      </c>
      <c r="I681" s="35" t="s">
        <v>133</v>
      </c>
      <c r="J681" s="21" t="s">
        <v>1571</v>
      </c>
      <c r="K681" s="22" t="s">
        <v>64</v>
      </c>
      <c r="L681" s="22" t="s">
        <v>44</v>
      </c>
      <c r="M681" s="22" t="s">
        <v>169</v>
      </c>
      <c r="N681" s="21">
        <v>703</v>
      </c>
      <c r="O681" s="29">
        <v>45748</v>
      </c>
      <c r="P681" s="29">
        <v>45755</v>
      </c>
      <c r="Q681" s="29">
        <v>45762</v>
      </c>
      <c r="R681" s="29">
        <v>45765</v>
      </c>
      <c r="S681" s="23">
        <f t="shared" si="41"/>
        <v>91</v>
      </c>
      <c r="T681" s="23">
        <f t="shared" si="42"/>
        <v>98</v>
      </c>
      <c r="U681" s="23">
        <f t="shared" si="43"/>
        <v>105</v>
      </c>
      <c r="V681" s="23">
        <f t="shared" si="44"/>
        <v>108</v>
      </c>
      <c r="W681" s="22" t="s">
        <v>11</v>
      </c>
      <c r="X681" s="22" t="s">
        <v>133</v>
      </c>
      <c r="Y681" s="22" t="s">
        <v>64</v>
      </c>
      <c r="Z681" s="22" t="s">
        <v>44</v>
      </c>
      <c r="AA681" s="22" t="s">
        <v>234</v>
      </c>
      <c r="AB681" s="22" t="s">
        <v>98</v>
      </c>
      <c r="AC681" s="22" t="s">
        <v>32</v>
      </c>
      <c r="AD681" s="22"/>
      <c r="AE681" s="2">
        <v>0</v>
      </c>
      <c r="AF681" s="2"/>
    </row>
    <row r="682" spans="1:32" x14ac:dyDescent="0.2">
      <c r="A682" s="35" t="s">
        <v>234</v>
      </c>
      <c r="B682" s="35" t="s">
        <v>98</v>
      </c>
      <c r="C682" s="35" t="s">
        <v>32</v>
      </c>
      <c r="D682" s="31" t="s">
        <v>1006</v>
      </c>
      <c r="E682" s="35" t="s">
        <v>619</v>
      </c>
      <c r="F682" s="35">
        <v>1</v>
      </c>
      <c r="G682" s="35" t="s">
        <v>1572</v>
      </c>
      <c r="H682" s="35" t="s">
        <v>11</v>
      </c>
      <c r="I682" s="35" t="s">
        <v>133</v>
      </c>
      <c r="J682" s="21" t="s">
        <v>1573</v>
      </c>
      <c r="K682" s="22" t="s">
        <v>64</v>
      </c>
      <c r="L682" s="22" t="s">
        <v>44</v>
      </c>
      <c r="M682" s="22" t="s">
        <v>169</v>
      </c>
      <c r="N682" s="21">
        <v>704</v>
      </c>
      <c r="O682" s="29">
        <v>45748</v>
      </c>
      <c r="P682" s="29">
        <v>45755</v>
      </c>
      <c r="Q682" s="29">
        <v>45762</v>
      </c>
      <c r="R682" s="29">
        <v>45765</v>
      </c>
      <c r="S682" s="23">
        <f t="shared" si="41"/>
        <v>91</v>
      </c>
      <c r="T682" s="23">
        <f t="shared" si="42"/>
        <v>98</v>
      </c>
      <c r="U682" s="23">
        <f t="shared" si="43"/>
        <v>105</v>
      </c>
      <c r="V682" s="23">
        <f t="shared" si="44"/>
        <v>108</v>
      </c>
      <c r="W682" s="22" t="s">
        <v>11</v>
      </c>
      <c r="X682" s="22" t="s">
        <v>133</v>
      </c>
      <c r="Y682" s="22" t="s">
        <v>64</v>
      </c>
      <c r="Z682" s="22" t="s">
        <v>44</v>
      </c>
      <c r="AA682" s="22" t="s">
        <v>234</v>
      </c>
      <c r="AB682" s="22" t="s">
        <v>98</v>
      </c>
      <c r="AC682" s="22" t="s">
        <v>32</v>
      </c>
      <c r="AD682" s="22"/>
      <c r="AE682" s="2">
        <v>0</v>
      </c>
      <c r="AF682" s="2"/>
    </row>
    <row r="683" spans="1:32" x14ac:dyDescent="0.2">
      <c r="A683" s="35" t="s">
        <v>234</v>
      </c>
      <c r="B683" s="35" t="s">
        <v>98</v>
      </c>
      <c r="C683" s="35" t="s">
        <v>32</v>
      </c>
      <c r="D683" s="31" t="s">
        <v>1006</v>
      </c>
      <c r="E683" s="35" t="s">
        <v>620</v>
      </c>
      <c r="F683" s="35">
        <v>1</v>
      </c>
      <c r="G683" s="35" t="s">
        <v>1574</v>
      </c>
      <c r="H683" s="35" t="s">
        <v>11</v>
      </c>
      <c r="I683" s="35" t="s">
        <v>133</v>
      </c>
      <c r="J683" s="21" t="s">
        <v>1575</v>
      </c>
      <c r="K683" s="22" t="s">
        <v>64</v>
      </c>
      <c r="L683" s="22" t="s">
        <v>44</v>
      </c>
      <c r="M683" s="22" t="s">
        <v>169</v>
      </c>
      <c r="N683" s="21">
        <v>705</v>
      </c>
      <c r="O683" s="29">
        <v>45748</v>
      </c>
      <c r="P683" s="29">
        <v>45755</v>
      </c>
      <c r="Q683" s="29">
        <v>45762</v>
      </c>
      <c r="R683" s="29">
        <v>45765</v>
      </c>
      <c r="S683" s="23">
        <f t="shared" si="41"/>
        <v>91</v>
      </c>
      <c r="T683" s="23">
        <f t="shared" si="42"/>
        <v>98</v>
      </c>
      <c r="U683" s="23">
        <f t="shared" si="43"/>
        <v>105</v>
      </c>
      <c r="V683" s="23">
        <f t="shared" si="44"/>
        <v>108</v>
      </c>
      <c r="W683" s="22" t="s">
        <v>11</v>
      </c>
      <c r="X683" s="22" t="s">
        <v>133</v>
      </c>
      <c r="Y683" s="22" t="s">
        <v>64</v>
      </c>
      <c r="Z683" s="22" t="s">
        <v>44</v>
      </c>
      <c r="AA683" s="22" t="s">
        <v>234</v>
      </c>
      <c r="AB683" s="22" t="s">
        <v>98</v>
      </c>
      <c r="AC683" s="22" t="s">
        <v>32</v>
      </c>
      <c r="AD683" s="22"/>
      <c r="AE683" s="2">
        <v>0</v>
      </c>
      <c r="AF683" s="2"/>
    </row>
    <row r="684" spans="1:32" x14ac:dyDescent="0.2">
      <c r="A684" s="35" t="s">
        <v>234</v>
      </c>
      <c r="B684" s="35" t="s">
        <v>98</v>
      </c>
      <c r="C684" s="35" t="s">
        <v>32</v>
      </c>
      <c r="D684" s="31" t="s">
        <v>1006</v>
      </c>
      <c r="E684" s="35" t="s">
        <v>618</v>
      </c>
      <c r="F684" s="35">
        <v>2</v>
      </c>
      <c r="G684" s="35" t="s">
        <v>1576</v>
      </c>
      <c r="H684" s="35" t="s">
        <v>11</v>
      </c>
      <c r="I684" s="35" t="s">
        <v>133</v>
      </c>
      <c r="J684" s="21" t="s">
        <v>1577</v>
      </c>
      <c r="K684" s="22" t="s">
        <v>64</v>
      </c>
      <c r="L684" s="22" t="s">
        <v>44</v>
      </c>
      <c r="M684" s="22" t="s">
        <v>169</v>
      </c>
      <c r="N684" s="21">
        <v>706</v>
      </c>
      <c r="O684" s="29">
        <v>45748</v>
      </c>
      <c r="P684" s="29">
        <v>45755</v>
      </c>
      <c r="Q684" s="29">
        <v>45758</v>
      </c>
      <c r="R684" s="29">
        <v>45765</v>
      </c>
      <c r="S684" s="23">
        <f t="shared" si="41"/>
        <v>91</v>
      </c>
      <c r="T684" s="23">
        <f t="shared" si="42"/>
        <v>98</v>
      </c>
      <c r="U684" s="23">
        <f t="shared" si="43"/>
        <v>101</v>
      </c>
      <c r="V684" s="23">
        <f t="shared" si="44"/>
        <v>108</v>
      </c>
      <c r="W684" s="22" t="s">
        <v>11</v>
      </c>
      <c r="X684" s="22" t="s">
        <v>133</v>
      </c>
      <c r="Y684" s="22" t="s">
        <v>64</v>
      </c>
      <c r="Z684" s="22" t="s">
        <v>44</v>
      </c>
      <c r="AA684" s="22" t="s">
        <v>234</v>
      </c>
      <c r="AB684" s="22" t="s">
        <v>98</v>
      </c>
      <c r="AC684" s="22" t="s">
        <v>32</v>
      </c>
      <c r="AD684" s="22"/>
      <c r="AE684" s="2">
        <v>0</v>
      </c>
      <c r="AF684" s="2"/>
    </row>
    <row r="685" spans="1:32" x14ac:dyDescent="0.2">
      <c r="A685" s="35" t="s">
        <v>234</v>
      </c>
      <c r="B685" s="35" t="s">
        <v>98</v>
      </c>
      <c r="C685" s="35" t="s">
        <v>32</v>
      </c>
      <c r="D685" s="31" t="s">
        <v>1006</v>
      </c>
      <c r="E685" s="35" t="s">
        <v>619</v>
      </c>
      <c r="F685" s="35">
        <v>2</v>
      </c>
      <c r="G685" s="35" t="s">
        <v>1578</v>
      </c>
      <c r="H685" s="35" t="s">
        <v>11</v>
      </c>
      <c r="I685" s="35" t="s">
        <v>133</v>
      </c>
      <c r="J685" s="21" t="s">
        <v>1579</v>
      </c>
      <c r="K685" s="22" t="s">
        <v>64</v>
      </c>
      <c r="L685" s="22" t="s">
        <v>44</v>
      </c>
      <c r="M685" s="22" t="s">
        <v>169</v>
      </c>
      <c r="N685" s="21">
        <v>707</v>
      </c>
      <c r="O685" s="29">
        <v>45748</v>
      </c>
      <c r="P685" s="29">
        <v>45755</v>
      </c>
      <c r="Q685" s="29">
        <v>45755</v>
      </c>
      <c r="R685" s="29">
        <v>45762</v>
      </c>
      <c r="S685" s="23">
        <f t="shared" si="41"/>
        <v>91</v>
      </c>
      <c r="T685" s="23">
        <f t="shared" si="42"/>
        <v>98</v>
      </c>
      <c r="U685" s="23">
        <f t="shared" si="43"/>
        <v>98</v>
      </c>
      <c r="V685" s="23">
        <f t="shared" si="44"/>
        <v>105</v>
      </c>
      <c r="W685" s="22" t="s">
        <v>11</v>
      </c>
      <c r="X685" s="22" t="s">
        <v>133</v>
      </c>
      <c r="Y685" s="22" t="s">
        <v>64</v>
      </c>
      <c r="Z685" s="22" t="s">
        <v>44</v>
      </c>
      <c r="AA685" s="22" t="s">
        <v>234</v>
      </c>
      <c r="AB685" s="22" t="s">
        <v>98</v>
      </c>
      <c r="AC685" s="22" t="s">
        <v>32</v>
      </c>
      <c r="AD685" s="22"/>
      <c r="AE685" s="2">
        <v>0</v>
      </c>
      <c r="AF685" s="2"/>
    </row>
    <row r="686" spans="1:32" x14ac:dyDescent="0.2">
      <c r="A686" s="35" t="s">
        <v>234</v>
      </c>
      <c r="B686" s="35" t="s">
        <v>98</v>
      </c>
      <c r="C686" s="35" t="s">
        <v>32</v>
      </c>
      <c r="D686" s="31" t="s">
        <v>1006</v>
      </c>
      <c r="E686" s="35" t="s">
        <v>620</v>
      </c>
      <c r="F686" s="35">
        <v>2</v>
      </c>
      <c r="G686" s="35" t="s">
        <v>1580</v>
      </c>
      <c r="H686" s="35" t="s">
        <v>11</v>
      </c>
      <c r="I686" s="35" t="s">
        <v>133</v>
      </c>
      <c r="J686" s="21" t="s">
        <v>1581</v>
      </c>
      <c r="K686" s="22" t="s">
        <v>64</v>
      </c>
      <c r="L686" s="22" t="s">
        <v>44</v>
      </c>
      <c r="M686" s="22" t="s">
        <v>169</v>
      </c>
      <c r="N686" s="21">
        <v>708</v>
      </c>
      <c r="O686" s="29">
        <v>45748</v>
      </c>
      <c r="P686" s="29">
        <v>45755</v>
      </c>
      <c r="Q686" s="29">
        <v>45758</v>
      </c>
      <c r="R686" s="29">
        <v>45765</v>
      </c>
      <c r="S686" s="23">
        <f t="shared" si="41"/>
        <v>91</v>
      </c>
      <c r="T686" s="23">
        <f t="shared" si="42"/>
        <v>98</v>
      </c>
      <c r="U686" s="23">
        <f t="shared" si="43"/>
        <v>101</v>
      </c>
      <c r="V686" s="23">
        <f t="shared" si="44"/>
        <v>108</v>
      </c>
      <c r="W686" s="22" t="s">
        <v>11</v>
      </c>
      <c r="X686" s="22" t="s">
        <v>133</v>
      </c>
      <c r="Y686" s="22" t="s">
        <v>64</v>
      </c>
      <c r="Z686" s="22" t="s">
        <v>44</v>
      </c>
      <c r="AA686" s="22" t="s">
        <v>234</v>
      </c>
      <c r="AB686" s="22" t="s">
        <v>98</v>
      </c>
      <c r="AC686" s="22" t="s">
        <v>32</v>
      </c>
      <c r="AD686" s="22"/>
      <c r="AE686" s="2">
        <v>0</v>
      </c>
      <c r="AF686" s="2"/>
    </row>
    <row r="687" spans="1:32" x14ac:dyDescent="0.2">
      <c r="A687" s="34" t="s">
        <v>234</v>
      </c>
      <c r="B687" s="34" t="s">
        <v>131</v>
      </c>
      <c r="C687" s="34" t="s">
        <v>16</v>
      </c>
      <c r="D687" s="34" t="s">
        <v>1035</v>
      </c>
      <c r="E687" s="34" t="s">
        <v>618</v>
      </c>
      <c r="F687" s="34">
        <v>1</v>
      </c>
      <c r="G687" s="34" t="s">
        <v>1582</v>
      </c>
      <c r="H687" s="34" t="s">
        <v>11</v>
      </c>
      <c r="I687" s="34" t="s">
        <v>20</v>
      </c>
      <c r="J687" s="13" t="s">
        <v>1583</v>
      </c>
      <c r="K687" s="15" t="s">
        <v>64</v>
      </c>
      <c r="L687" s="15" t="s">
        <v>44</v>
      </c>
      <c r="M687" s="15" t="s">
        <v>65</v>
      </c>
      <c r="N687" s="13">
        <v>709</v>
      </c>
      <c r="O687" s="30">
        <v>45748</v>
      </c>
      <c r="P687" s="30">
        <v>45755</v>
      </c>
      <c r="Q687" s="30">
        <v>45758</v>
      </c>
      <c r="R687" s="30">
        <v>45762</v>
      </c>
      <c r="S687" s="23">
        <f t="shared" si="41"/>
        <v>91</v>
      </c>
      <c r="T687" s="23">
        <f t="shared" si="42"/>
        <v>98</v>
      </c>
      <c r="U687" s="23">
        <f t="shared" si="43"/>
        <v>101</v>
      </c>
      <c r="V687" s="23">
        <f t="shared" si="44"/>
        <v>105</v>
      </c>
      <c r="W687" s="15" t="s">
        <v>11</v>
      </c>
      <c r="X687" s="15" t="s">
        <v>20</v>
      </c>
      <c r="Y687" s="15" t="s">
        <v>64</v>
      </c>
      <c r="Z687" s="15" t="s">
        <v>44</v>
      </c>
      <c r="AA687" s="15" t="s">
        <v>234</v>
      </c>
      <c r="AB687" s="15" t="s">
        <v>131</v>
      </c>
      <c r="AC687" s="15" t="s">
        <v>16</v>
      </c>
      <c r="AD687" s="15"/>
      <c r="AE687" s="1">
        <v>0</v>
      </c>
      <c r="AF687" s="1"/>
    </row>
    <row r="688" spans="1:32" x14ac:dyDescent="0.2">
      <c r="A688" s="34" t="s">
        <v>234</v>
      </c>
      <c r="B688" s="34" t="s">
        <v>131</v>
      </c>
      <c r="C688" s="34" t="s">
        <v>16</v>
      </c>
      <c r="D688" s="34" t="s">
        <v>1035</v>
      </c>
      <c r="E688" s="34" t="s">
        <v>619</v>
      </c>
      <c r="F688" s="34">
        <v>1</v>
      </c>
      <c r="G688" s="34" t="s">
        <v>1584</v>
      </c>
      <c r="H688" s="34" t="s">
        <v>11</v>
      </c>
      <c r="I688" s="34" t="s">
        <v>20</v>
      </c>
      <c r="J688" s="13" t="s">
        <v>1585</v>
      </c>
      <c r="K688" s="15" t="s">
        <v>64</v>
      </c>
      <c r="L688" s="15" t="s">
        <v>44</v>
      </c>
      <c r="M688" s="15" t="s">
        <v>65</v>
      </c>
      <c r="N688" s="13">
        <v>710</v>
      </c>
      <c r="O688" s="30">
        <v>45748</v>
      </c>
      <c r="P688" s="30">
        <v>45755</v>
      </c>
      <c r="Q688" s="30">
        <v>45758</v>
      </c>
      <c r="R688" s="30">
        <v>45765</v>
      </c>
      <c r="S688" s="23">
        <f t="shared" si="41"/>
        <v>91</v>
      </c>
      <c r="T688" s="23">
        <f t="shared" si="42"/>
        <v>98</v>
      </c>
      <c r="U688" s="23">
        <f t="shared" si="43"/>
        <v>101</v>
      </c>
      <c r="V688" s="23">
        <f t="shared" si="44"/>
        <v>108</v>
      </c>
      <c r="W688" s="15" t="s">
        <v>11</v>
      </c>
      <c r="X688" s="15" t="s">
        <v>20</v>
      </c>
      <c r="Y688" s="15" t="s">
        <v>64</v>
      </c>
      <c r="Z688" s="15" t="s">
        <v>44</v>
      </c>
      <c r="AA688" s="15" t="s">
        <v>234</v>
      </c>
      <c r="AB688" s="15" t="s">
        <v>131</v>
      </c>
      <c r="AC688" s="15" t="s">
        <v>16</v>
      </c>
      <c r="AD688" s="15"/>
      <c r="AE688" s="1">
        <v>0</v>
      </c>
      <c r="AF688" s="1"/>
    </row>
    <row r="689" spans="1:32" x14ac:dyDescent="0.2">
      <c r="A689" s="34" t="s">
        <v>234</v>
      </c>
      <c r="B689" s="34" t="s">
        <v>131</v>
      </c>
      <c r="C689" s="34" t="s">
        <v>16</v>
      </c>
      <c r="D689" s="34" t="s">
        <v>1035</v>
      </c>
      <c r="E689" s="34" t="s">
        <v>620</v>
      </c>
      <c r="F689" s="34">
        <v>1</v>
      </c>
      <c r="G689" s="34" t="s">
        <v>1586</v>
      </c>
      <c r="H689" s="34" t="s">
        <v>11</v>
      </c>
      <c r="I689" s="34" t="s">
        <v>20</v>
      </c>
      <c r="J689" s="13" t="s">
        <v>1587</v>
      </c>
      <c r="K689" s="15" t="s">
        <v>64</v>
      </c>
      <c r="L689" s="15" t="s">
        <v>44</v>
      </c>
      <c r="M689" s="15" t="s">
        <v>65</v>
      </c>
      <c r="N689" s="13">
        <v>711</v>
      </c>
      <c r="O689" s="30">
        <v>45748</v>
      </c>
      <c r="P689" s="30">
        <v>45755</v>
      </c>
      <c r="Q689" s="30">
        <v>45762</v>
      </c>
      <c r="R689" s="30">
        <v>45765</v>
      </c>
      <c r="S689" s="23">
        <f t="shared" si="41"/>
        <v>91</v>
      </c>
      <c r="T689" s="23">
        <f t="shared" si="42"/>
        <v>98</v>
      </c>
      <c r="U689" s="23">
        <f t="shared" si="43"/>
        <v>105</v>
      </c>
      <c r="V689" s="23">
        <f t="shared" si="44"/>
        <v>108</v>
      </c>
      <c r="W689" s="15" t="s">
        <v>11</v>
      </c>
      <c r="X689" s="15" t="s">
        <v>20</v>
      </c>
      <c r="Y689" s="15" t="s">
        <v>64</v>
      </c>
      <c r="Z689" s="15" t="s">
        <v>44</v>
      </c>
      <c r="AA689" s="15" t="s">
        <v>234</v>
      </c>
      <c r="AB689" s="15" t="s">
        <v>131</v>
      </c>
      <c r="AC689" s="15" t="s">
        <v>16</v>
      </c>
      <c r="AD689" s="15"/>
      <c r="AE689" s="1">
        <v>0</v>
      </c>
      <c r="AF689" s="1"/>
    </row>
    <row r="690" spans="1:32" x14ac:dyDescent="0.2">
      <c r="A690" s="34" t="s">
        <v>234</v>
      </c>
      <c r="B690" s="34" t="s">
        <v>131</v>
      </c>
      <c r="C690" s="34" t="s">
        <v>16</v>
      </c>
      <c r="D690" s="34" t="s">
        <v>1035</v>
      </c>
      <c r="E690" s="34" t="s">
        <v>618</v>
      </c>
      <c r="F690" s="34">
        <v>2</v>
      </c>
      <c r="G690" s="34" t="s">
        <v>1588</v>
      </c>
      <c r="H690" s="34" t="s">
        <v>11</v>
      </c>
      <c r="I690" s="34" t="s">
        <v>20</v>
      </c>
      <c r="J690" s="13" t="s">
        <v>1589</v>
      </c>
      <c r="K690" s="15" t="s">
        <v>64</v>
      </c>
      <c r="L690" s="15" t="s">
        <v>44</v>
      </c>
      <c r="M690" s="15" t="s">
        <v>65</v>
      </c>
      <c r="N690" s="13">
        <v>712</v>
      </c>
      <c r="O690" s="30">
        <v>45748</v>
      </c>
      <c r="P690" s="30">
        <v>45755</v>
      </c>
      <c r="Q690" s="30">
        <v>45762</v>
      </c>
      <c r="R690" s="30">
        <v>45765</v>
      </c>
      <c r="S690" s="23">
        <f t="shared" si="41"/>
        <v>91</v>
      </c>
      <c r="T690" s="23">
        <f t="shared" si="42"/>
        <v>98</v>
      </c>
      <c r="U690" s="23">
        <f t="shared" si="43"/>
        <v>105</v>
      </c>
      <c r="V690" s="23">
        <f t="shared" si="44"/>
        <v>108</v>
      </c>
      <c r="W690" s="15" t="s">
        <v>11</v>
      </c>
      <c r="X690" s="15" t="s">
        <v>20</v>
      </c>
      <c r="Y690" s="15" t="s">
        <v>64</v>
      </c>
      <c r="Z690" s="15" t="s">
        <v>44</v>
      </c>
      <c r="AA690" s="15" t="s">
        <v>234</v>
      </c>
      <c r="AB690" s="15" t="s">
        <v>131</v>
      </c>
      <c r="AC690" s="15" t="s">
        <v>16</v>
      </c>
      <c r="AD690" s="15"/>
      <c r="AE690" s="1">
        <v>0</v>
      </c>
      <c r="AF690" s="1"/>
    </row>
    <row r="691" spans="1:32" x14ac:dyDescent="0.2">
      <c r="A691" s="34" t="s">
        <v>234</v>
      </c>
      <c r="B691" s="34" t="s">
        <v>131</v>
      </c>
      <c r="C691" s="34" t="s">
        <v>16</v>
      </c>
      <c r="D691" s="34" t="s">
        <v>1035</v>
      </c>
      <c r="E691" s="34" t="s">
        <v>619</v>
      </c>
      <c r="F691" s="34">
        <v>2</v>
      </c>
      <c r="G691" s="34" t="s">
        <v>1590</v>
      </c>
      <c r="H691" s="34" t="s">
        <v>11</v>
      </c>
      <c r="I691" s="34" t="s">
        <v>20</v>
      </c>
      <c r="J691" s="13" t="s">
        <v>1591</v>
      </c>
      <c r="K691" s="15" t="s">
        <v>64</v>
      </c>
      <c r="L691" s="15" t="s">
        <v>44</v>
      </c>
      <c r="M691" s="15" t="s">
        <v>65</v>
      </c>
      <c r="N691" s="13">
        <v>713</v>
      </c>
      <c r="O691" s="30">
        <v>45748</v>
      </c>
      <c r="P691" s="30">
        <v>45755</v>
      </c>
      <c r="Q691" s="30">
        <v>45762</v>
      </c>
      <c r="R691" s="30">
        <v>45765</v>
      </c>
      <c r="S691" s="23">
        <f t="shared" si="41"/>
        <v>91</v>
      </c>
      <c r="T691" s="23">
        <f t="shared" si="42"/>
        <v>98</v>
      </c>
      <c r="U691" s="23">
        <f t="shared" si="43"/>
        <v>105</v>
      </c>
      <c r="V691" s="23">
        <f t="shared" si="44"/>
        <v>108</v>
      </c>
      <c r="W691" s="15" t="s">
        <v>11</v>
      </c>
      <c r="X691" s="15" t="s">
        <v>20</v>
      </c>
      <c r="Y691" s="15" t="s">
        <v>64</v>
      </c>
      <c r="Z691" s="15" t="s">
        <v>44</v>
      </c>
      <c r="AA691" s="15" t="s">
        <v>234</v>
      </c>
      <c r="AB691" s="15" t="s">
        <v>131</v>
      </c>
      <c r="AC691" s="15" t="s">
        <v>16</v>
      </c>
      <c r="AD691" s="15"/>
      <c r="AE691" s="1">
        <v>0</v>
      </c>
      <c r="AF691" s="1"/>
    </row>
    <row r="692" spans="1:32" x14ac:dyDescent="0.2">
      <c r="A692" s="34" t="s">
        <v>234</v>
      </c>
      <c r="B692" s="34" t="s">
        <v>131</v>
      </c>
      <c r="C692" s="34" t="s">
        <v>16</v>
      </c>
      <c r="D692" s="34" t="s">
        <v>1035</v>
      </c>
      <c r="E692" s="34" t="s">
        <v>620</v>
      </c>
      <c r="F692" s="34">
        <v>2</v>
      </c>
      <c r="G692" s="34" t="s">
        <v>1592</v>
      </c>
      <c r="H692" s="34" t="s">
        <v>11</v>
      </c>
      <c r="I692" s="34" t="s">
        <v>20</v>
      </c>
      <c r="J692" s="13" t="s">
        <v>1593</v>
      </c>
      <c r="K692" s="15" t="s">
        <v>64</v>
      </c>
      <c r="L692" s="15" t="s">
        <v>44</v>
      </c>
      <c r="M692" s="15" t="s">
        <v>65</v>
      </c>
      <c r="N692" s="13">
        <v>714</v>
      </c>
      <c r="O692" s="30">
        <v>45748</v>
      </c>
      <c r="P692" s="30">
        <v>45751</v>
      </c>
      <c r="Q692" s="30">
        <v>45755</v>
      </c>
      <c r="R692" s="30">
        <v>45762</v>
      </c>
      <c r="S692" s="23">
        <f t="shared" si="41"/>
        <v>91</v>
      </c>
      <c r="T692" s="23">
        <f t="shared" si="42"/>
        <v>94</v>
      </c>
      <c r="U692" s="23">
        <f t="shared" si="43"/>
        <v>98</v>
      </c>
      <c r="V692" s="23">
        <f t="shared" si="44"/>
        <v>105</v>
      </c>
      <c r="W692" s="15" t="s">
        <v>11</v>
      </c>
      <c r="X692" s="15" t="s">
        <v>20</v>
      </c>
      <c r="Y692" s="15" t="s">
        <v>64</v>
      </c>
      <c r="Z692" s="15" t="s">
        <v>44</v>
      </c>
      <c r="AA692" s="15" t="s">
        <v>234</v>
      </c>
      <c r="AB692" s="15" t="s">
        <v>131</v>
      </c>
      <c r="AC692" s="15" t="s">
        <v>16</v>
      </c>
      <c r="AD692" s="15"/>
      <c r="AE692" s="1">
        <v>0</v>
      </c>
      <c r="AF692" s="1"/>
    </row>
    <row r="693" spans="1:32" x14ac:dyDescent="0.2">
      <c r="A693" s="35" t="s">
        <v>234</v>
      </c>
      <c r="B693" s="35" t="s">
        <v>131</v>
      </c>
      <c r="C693" s="35" t="s">
        <v>32</v>
      </c>
      <c r="D693" s="31" t="s">
        <v>1044</v>
      </c>
      <c r="E693" s="35" t="s">
        <v>618</v>
      </c>
      <c r="F693" s="35">
        <v>1</v>
      </c>
      <c r="G693" s="35" t="s">
        <v>1594</v>
      </c>
      <c r="H693" s="35" t="s">
        <v>11</v>
      </c>
      <c r="I693" s="35" t="s">
        <v>20</v>
      </c>
      <c r="J693" s="21" t="s">
        <v>1595</v>
      </c>
      <c r="K693" s="22" t="s">
        <v>64</v>
      </c>
      <c r="L693" s="22" t="s">
        <v>44</v>
      </c>
      <c r="M693" s="22" t="s">
        <v>65</v>
      </c>
      <c r="N693" s="21">
        <v>715</v>
      </c>
      <c r="O693" s="29">
        <v>45748</v>
      </c>
      <c r="P693" s="29">
        <v>45755</v>
      </c>
      <c r="Q693" s="29">
        <v>45762</v>
      </c>
      <c r="R693" s="29">
        <v>45765</v>
      </c>
      <c r="S693" s="23">
        <f t="shared" si="41"/>
        <v>91</v>
      </c>
      <c r="T693" s="23">
        <f t="shared" si="42"/>
        <v>98</v>
      </c>
      <c r="U693" s="23">
        <f t="shared" si="43"/>
        <v>105</v>
      </c>
      <c r="V693" s="23">
        <f t="shared" si="44"/>
        <v>108</v>
      </c>
      <c r="W693" s="22" t="s">
        <v>11</v>
      </c>
      <c r="X693" s="22" t="s">
        <v>20</v>
      </c>
      <c r="Y693" s="22" t="s">
        <v>64</v>
      </c>
      <c r="Z693" s="22" t="s">
        <v>44</v>
      </c>
      <c r="AA693" s="22" t="s">
        <v>234</v>
      </c>
      <c r="AB693" s="22" t="s">
        <v>131</v>
      </c>
      <c r="AC693" s="22" t="s">
        <v>32</v>
      </c>
      <c r="AD693" s="22"/>
      <c r="AE693" s="2">
        <v>0</v>
      </c>
      <c r="AF693" s="2"/>
    </row>
    <row r="694" spans="1:32" x14ac:dyDescent="0.2">
      <c r="A694" s="35" t="s">
        <v>234</v>
      </c>
      <c r="B694" s="35" t="s">
        <v>131</v>
      </c>
      <c r="C694" s="35" t="s">
        <v>32</v>
      </c>
      <c r="D694" s="31" t="s">
        <v>1044</v>
      </c>
      <c r="E694" s="35" t="s">
        <v>619</v>
      </c>
      <c r="F694" s="35">
        <v>1</v>
      </c>
      <c r="G694" s="35" t="s">
        <v>1596</v>
      </c>
      <c r="H694" s="35" t="s">
        <v>11</v>
      </c>
      <c r="I694" s="35" t="s">
        <v>20</v>
      </c>
      <c r="J694" s="21" t="s">
        <v>1597</v>
      </c>
      <c r="K694" s="22" t="s">
        <v>64</v>
      </c>
      <c r="L694" s="22" t="s">
        <v>44</v>
      </c>
      <c r="M694" s="22" t="s">
        <v>65</v>
      </c>
      <c r="N694" s="21">
        <v>716</v>
      </c>
      <c r="O694" s="29">
        <v>45748</v>
      </c>
      <c r="P694" s="29">
        <v>45755</v>
      </c>
      <c r="Q694" s="29">
        <v>45762</v>
      </c>
      <c r="R694" s="29">
        <v>45765</v>
      </c>
      <c r="S694" s="23">
        <f t="shared" si="41"/>
        <v>91</v>
      </c>
      <c r="T694" s="23">
        <f t="shared" si="42"/>
        <v>98</v>
      </c>
      <c r="U694" s="23">
        <f t="shared" si="43"/>
        <v>105</v>
      </c>
      <c r="V694" s="23">
        <f t="shared" si="44"/>
        <v>108</v>
      </c>
      <c r="W694" s="22" t="s">
        <v>11</v>
      </c>
      <c r="X694" s="22" t="s">
        <v>20</v>
      </c>
      <c r="Y694" s="22" t="s">
        <v>64</v>
      </c>
      <c r="Z694" s="22" t="s">
        <v>44</v>
      </c>
      <c r="AA694" s="22" t="s">
        <v>234</v>
      </c>
      <c r="AB694" s="22" t="s">
        <v>131</v>
      </c>
      <c r="AC694" s="22" t="s">
        <v>32</v>
      </c>
      <c r="AD694" s="22"/>
      <c r="AE694" s="2">
        <v>0</v>
      </c>
      <c r="AF694" s="2"/>
    </row>
    <row r="695" spans="1:32" x14ac:dyDescent="0.2">
      <c r="A695" s="35" t="s">
        <v>234</v>
      </c>
      <c r="B695" s="35" t="s">
        <v>131</v>
      </c>
      <c r="C695" s="35" t="s">
        <v>32</v>
      </c>
      <c r="D695" s="31" t="s">
        <v>1044</v>
      </c>
      <c r="E695" s="35" t="s">
        <v>620</v>
      </c>
      <c r="F695" s="35">
        <v>1</v>
      </c>
      <c r="G695" s="35" t="s">
        <v>1598</v>
      </c>
      <c r="H695" s="35" t="s">
        <v>11</v>
      </c>
      <c r="I695" s="35" t="s">
        <v>20</v>
      </c>
      <c r="J695" s="21" t="s">
        <v>1599</v>
      </c>
      <c r="K695" s="22" t="s">
        <v>64</v>
      </c>
      <c r="L695" s="22" t="s">
        <v>44</v>
      </c>
      <c r="M695" s="22" t="s">
        <v>65</v>
      </c>
      <c r="N695" s="21">
        <v>717</v>
      </c>
      <c r="O695" s="29">
        <v>45748</v>
      </c>
      <c r="P695" s="29">
        <v>45755</v>
      </c>
      <c r="Q695" s="29">
        <v>45762</v>
      </c>
      <c r="R695" s="29">
        <v>45765</v>
      </c>
      <c r="S695" s="23">
        <f t="shared" si="41"/>
        <v>91</v>
      </c>
      <c r="T695" s="23">
        <f t="shared" si="42"/>
        <v>98</v>
      </c>
      <c r="U695" s="23">
        <f t="shared" si="43"/>
        <v>105</v>
      </c>
      <c r="V695" s="23">
        <f t="shared" si="44"/>
        <v>108</v>
      </c>
      <c r="W695" s="22" t="s">
        <v>11</v>
      </c>
      <c r="X695" s="22" t="s">
        <v>20</v>
      </c>
      <c r="Y695" s="22" t="s">
        <v>64</v>
      </c>
      <c r="Z695" s="22" t="s">
        <v>44</v>
      </c>
      <c r="AA695" s="22" t="s">
        <v>234</v>
      </c>
      <c r="AB695" s="22" t="s">
        <v>131</v>
      </c>
      <c r="AC695" s="22" t="s">
        <v>32</v>
      </c>
      <c r="AD695" s="22"/>
      <c r="AE695" s="2">
        <v>0</v>
      </c>
      <c r="AF695" s="2"/>
    </row>
    <row r="696" spans="1:32" x14ac:dyDescent="0.2">
      <c r="A696" s="35" t="s">
        <v>234</v>
      </c>
      <c r="B696" s="35" t="s">
        <v>131</v>
      </c>
      <c r="C696" s="35" t="s">
        <v>32</v>
      </c>
      <c r="D696" s="31" t="s">
        <v>1044</v>
      </c>
      <c r="E696" s="35" t="s">
        <v>618</v>
      </c>
      <c r="F696" s="35">
        <v>2</v>
      </c>
      <c r="G696" s="35" t="s">
        <v>1600</v>
      </c>
      <c r="H696" s="35" t="s">
        <v>11</v>
      </c>
      <c r="I696" s="35" t="s">
        <v>20</v>
      </c>
      <c r="J696" s="21" t="s">
        <v>1601</v>
      </c>
      <c r="K696" s="22" t="s">
        <v>64</v>
      </c>
      <c r="L696" s="22" t="s">
        <v>44</v>
      </c>
      <c r="M696" s="22" t="s">
        <v>65</v>
      </c>
      <c r="N696" s="21">
        <v>718</v>
      </c>
      <c r="O696" s="29">
        <v>45748</v>
      </c>
      <c r="P696" s="29">
        <v>45755</v>
      </c>
      <c r="Q696" s="29">
        <v>45758</v>
      </c>
      <c r="R696" s="29">
        <v>45762</v>
      </c>
      <c r="S696" s="23">
        <f t="shared" si="41"/>
        <v>91</v>
      </c>
      <c r="T696" s="23">
        <f t="shared" si="42"/>
        <v>98</v>
      </c>
      <c r="U696" s="23">
        <f t="shared" si="43"/>
        <v>101</v>
      </c>
      <c r="V696" s="23">
        <f t="shared" si="44"/>
        <v>105</v>
      </c>
      <c r="W696" s="22" t="s">
        <v>11</v>
      </c>
      <c r="X696" s="22" t="s">
        <v>20</v>
      </c>
      <c r="Y696" s="22" t="s">
        <v>64</v>
      </c>
      <c r="Z696" s="22" t="s">
        <v>44</v>
      </c>
      <c r="AA696" s="22" t="s">
        <v>234</v>
      </c>
      <c r="AB696" s="22" t="s">
        <v>131</v>
      </c>
      <c r="AC696" s="22" t="s">
        <v>32</v>
      </c>
      <c r="AD696" s="22"/>
      <c r="AE696" s="2">
        <v>0</v>
      </c>
      <c r="AF696" s="2"/>
    </row>
    <row r="697" spans="1:32" x14ac:dyDescent="0.2">
      <c r="A697" s="35" t="s">
        <v>234</v>
      </c>
      <c r="B697" s="35" t="s">
        <v>131</v>
      </c>
      <c r="C697" s="35" t="s">
        <v>32</v>
      </c>
      <c r="D697" s="31" t="s">
        <v>1044</v>
      </c>
      <c r="E697" s="35" t="s">
        <v>619</v>
      </c>
      <c r="F697" s="35">
        <v>2</v>
      </c>
      <c r="G697" s="35" t="s">
        <v>1602</v>
      </c>
      <c r="H697" s="35" t="s">
        <v>11</v>
      </c>
      <c r="I697" s="35" t="s">
        <v>20</v>
      </c>
      <c r="J697" s="21" t="s">
        <v>1603</v>
      </c>
      <c r="K697" s="22" t="s">
        <v>64</v>
      </c>
      <c r="L697" s="22" t="s">
        <v>44</v>
      </c>
      <c r="M697" s="22" t="s">
        <v>65</v>
      </c>
      <c r="N697" s="21">
        <v>719</v>
      </c>
      <c r="O697" s="29">
        <v>45748</v>
      </c>
      <c r="P697" s="29">
        <v>45755</v>
      </c>
      <c r="Q697" s="29">
        <v>45762</v>
      </c>
      <c r="R697" s="29">
        <v>45765</v>
      </c>
      <c r="S697" s="23">
        <f t="shared" si="41"/>
        <v>91</v>
      </c>
      <c r="T697" s="23">
        <f t="shared" si="42"/>
        <v>98</v>
      </c>
      <c r="U697" s="23">
        <f t="shared" si="43"/>
        <v>105</v>
      </c>
      <c r="V697" s="23">
        <f t="shared" si="44"/>
        <v>108</v>
      </c>
      <c r="W697" s="22" t="s">
        <v>11</v>
      </c>
      <c r="X697" s="22" t="s">
        <v>20</v>
      </c>
      <c r="Y697" s="22" t="s">
        <v>64</v>
      </c>
      <c r="Z697" s="22" t="s">
        <v>44</v>
      </c>
      <c r="AA697" s="22" t="s">
        <v>234</v>
      </c>
      <c r="AB697" s="22" t="s">
        <v>131</v>
      </c>
      <c r="AC697" s="22" t="s">
        <v>32</v>
      </c>
      <c r="AD697" s="22"/>
      <c r="AE697" s="2">
        <v>0</v>
      </c>
      <c r="AF697" s="2"/>
    </row>
    <row r="698" spans="1:32" x14ac:dyDescent="0.2">
      <c r="A698" s="35" t="s">
        <v>234</v>
      </c>
      <c r="B698" s="35" t="s">
        <v>131</v>
      </c>
      <c r="C698" s="35" t="s">
        <v>32</v>
      </c>
      <c r="D698" s="31" t="s">
        <v>1044</v>
      </c>
      <c r="E698" s="35" t="s">
        <v>620</v>
      </c>
      <c r="F698" s="35">
        <v>2</v>
      </c>
      <c r="G698" s="35" t="s">
        <v>1604</v>
      </c>
      <c r="H698" s="35" t="s">
        <v>11</v>
      </c>
      <c r="I698" s="35" t="s">
        <v>20</v>
      </c>
      <c r="J698" s="21" t="s">
        <v>1605</v>
      </c>
      <c r="K698" s="22" t="s">
        <v>64</v>
      </c>
      <c r="L698" s="22" t="s">
        <v>44</v>
      </c>
      <c r="M698" s="22" t="s">
        <v>65</v>
      </c>
      <c r="N698" s="21">
        <v>720</v>
      </c>
      <c r="O698" s="29">
        <v>45748</v>
      </c>
      <c r="P698" s="29">
        <v>45755</v>
      </c>
      <c r="Q698" s="29">
        <v>45758</v>
      </c>
      <c r="R698" s="29">
        <v>45762</v>
      </c>
      <c r="S698" s="23">
        <f t="shared" si="41"/>
        <v>91</v>
      </c>
      <c r="T698" s="23">
        <f t="shared" si="42"/>
        <v>98</v>
      </c>
      <c r="U698" s="23">
        <f t="shared" si="43"/>
        <v>101</v>
      </c>
      <c r="V698" s="23">
        <f t="shared" si="44"/>
        <v>105</v>
      </c>
      <c r="W698" s="22" t="s">
        <v>11</v>
      </c>
      <c r="X698" s="22" t="s">
        <v>20</v>
      </c>
      <c r="Y698" s="22" t="s">
        <v>64</v>
      </c>
      <c r="Z698" s="22" t="s">
        <v>44</v>
      </c>
      <c r="AA698" s="22" t="s">
        <v>234</v>
      </c>
      <c r="AB698" s="22" t="s">
        <v>131</v>
      </c>
      <c r="AC698" s="22" t="s">
        <v>32</v>
      </c>
      <c r="AD698" s="22"/>
      <c r="AE698" s="2">
        <v>0</v>
      </c>
      <c r="AF698" s="2"/>
    </row>
    <row r="699" spans="1:32" x14ac:dyDescent="0.2">
      <c r="A699" s="34" t="s">
        <v>234</v>
      </c>
      <c r="B699" s="34" t="s">
        <v>131</v>
      </c>
      <c r="C699" s="34" t="s">
        <v>53</v>
      </c>
      <c r="D699" s="34" t="s">
        <v>1062</v>
      </c>
      <c r="E699" s="34" t="s">
        <v>618</v>
      </c>
      <c r="F699" s="34">
        <v>1</v>
      </c>
      <c r="G699" s="34" t="s">
        <v>1606</v>
      </c>
      <c r="H699" s="34" t="s">
        <v>11</v>
      </c>
      <c r="I699" s="34" t="s">
        <v>20</v>
      </c>
      <c r="J699" s="13" t="s">
        <v>1607</v>
      </c>
      <c r="K699" s="15" t="s">
        <v>21</v>
      </c>
      <c r="L699" s="15" t="s">
        <v>44</v>
      </c>
      <c r="M699" s="15" t="s">
        <v>45</v>
      </c>
      <c r="N699" s="13">
        <v>721</v>
      </c>
      <c r="O699" s="30">
        <v>45748</v>
      </c>
      <c r="P699" s="30">
        <v>45755</v>
      </c>
      <c r="Q699" s="30">
        <v>45762</v>
      </c>
      <c r="R699" s="30">
        <v>45765</v>
      </c>
      <c r="S699" s="23">
        <f t="shared" si="41"/>
        <v>91</v>
      </c>
      <c r="T699" s="23">
        <f t="shared" si="42"/>
        <v>98</v>
      </c>
      <c r="U699" s="23">
        <f t="shared" si="43"/>
        <v>105</v>
      </c>
      <c r="V699" s="23">
        <f t="shared" si="44"/>
        <v>108</v>
      </c>
      <c r="W699" s="15" t="s">
        <v>11</v>
      </c>
      <c r="X699" s="15" t="s">
        <v>20</v>
      </c>
      <c r="Y699" s="15" t="s">
        <v>21</v>
      </c>
      <c r="Z699" s="15" t="s">
        <v>44</v>
      </c>
      <c r="AA699" s="15" t="s">
        <v>234</v>
      </c>
      <c r="AB699" s="15" t="s">
        <v>131</v>
      </c>
      <c r="AC699" s="15" t="s">
        <v>53</v>
      </c>
      <c r="AD699" s="15"/>
      <c r="AE699" s="1">
        <v>0</v>
      </c>
      <c r="AF699" s="1"/>
    </row>
    <row r="700" spans="1:32" x14ac:dyDescent="0.2">
      <c r="A700" s="34" t="s">
        <v>234</v>
      </c>
      <c r="B700" s="34" t="s">
        <v>131</v>
      </c>
      <c r="C700" s="34" t="s">
        <v>53</v>
      </c>
      <c r="D700" s="34" t="s">
        <v>1062</v>
      </c>
      <c r="E700" s="34" t="s">
        <v>619</v>
      </c>
      <c r="F700" s="34">
        <v>1</v>
      </c>
      <c r="G700" s="34" t="s">
        <v>1608</v>
      </c>
      <c r="H700" s="34" t="s">
        <v>11</v>
      </c>
      <c r="I700" s="34" t="s">
        <v>20</v>
      </c>
      <c r="J700" s="13" t="s">
        <v>1609</v>
      </c>
      <c r="K700" s="15" t="s">
        <v>21</v>
      </c>
      <c r="L700" s="15" t="s">
        <v>44</v>
      </c>
      <c r="M700" s="15" t="s">
        <v>45</v>
      </c>
      <c r="N700" s="13">
        <v>722</v>
      </c>
      <c r="O700" s="30">
        <v>45748</v>
      </c>
      <c r="P700" s="30">
        <v>45762</v>
      </c>
      <c r="Q700" s="30">
        <v>45765</v>
      </c>
      <c r="R700" s="30">
        <v>45772</v>
      </c>
      <c r="S700" s="23">
        <f t="shared" si="41"/>
        <v>91</v>
      </c>
      <c r="T700" s="23">
        <f t="shared" si="42"/>
        <v>105</v>
      </c>
      <c r="U700" s="23">
        <f t="shared" si="43"/>
        <v>108</v>
      </c>
      <c r="V700" s="23">
        <f t="shared" si="44"/>
        <v>115</v>
      </c>
      <c r="W700" s="15" t="s">
        <v>11</v>
      </c>
      <c r="X700" s="15" t="s">
        <v>20</v>
      </c>
      <c r="Y700" s="15" t="s">
        <v>21</v>
      </c>
      <c r="Z700" s="15" t="s">
        <v>44</v>
      </c>
      <c r="AA700" s="15" t="s">
        <v>234</v>
      </c>
      <c r="AB700" s="15" t="s">
        <v>131</v>
      </c>
      <c r="AC700" s="15" t="s">
        <v>53</v>
      </c>
      <c r="AD700" s="15"/>
      <c r="AE700" s="1">
        <v>0</v>
      </c>
      <c r="AF700" s="1"/>
    </row>
    <row r="701" spans="1:32" x14ac:dyDescent="0.2">
      <c r="A701" s="34" t="s">
        <v>234</v>
      </c>
      <c r="B701" s="34" t="s">
        <v>131</v>
      </c>
      <c r="C701" s="34" t="s">
        <v>53</v>
      </c>
      <c r="D701" s="34" t="s">
        <v>1062</v>
      </c>
      <c r="E701" s="34" t="s">
        <v>620</v>
      </c>
      <c r="F701" s="34">
        <v>1</v>
      </c>
      <c r="G701" s="34" t="s">
        <v>1610</v>
      </c>
      <c r="H701" s="34" t="s">
        <v>11</v>
      </c>
      <c r="I701" s="34" t="s">
        <v>20</v>
      </c>
      <c r="J701" s="13" t="s">
        <v>1611</v>
      </c>
      <c r="K701" s="15" t="s">
        <v>21</v>
      </c>
      <c r="L701" s="15" t="s">
        <v>44</v>
      </c>
      <c r="M701" s="15" t="s">
        <v>45</v>
      </c>
      <c r="N701" s="13">
        <v>723</v>
      </c>
      <c r="O701" s="30">
        <v>45758</v>
      </c>
      <c r="P701" s="30">
        <v>45762</v>
      </c>
      <c r="Q701" s="30">
        <v>45765</v>
      </c>
      <c r="R701" s="30">
        <v>45776</v>
      </c>
      <c r="S701" s="23">
        <f t="shared" si="41"/>
        <v>101</v>
      </c>
      <c r="T701" s="23">
        <f t="shared" si="42"/>
        <v>105</v>
      </c>
      <c r="U701" s="23">
        <f t="shared" si="43"/>
        <v>108</v>
      </c>
      <c r="V701" s="23">
        <f t="shared" si="44"/>
        <v>119</v>
      </c>
      <c r="W701" s="15" t="s">
        <v>11</v>
      </c>
      <c r="X701" s="15" t="s">
        <v>20</v>
      </c>
      <c r="Y701" s="15" t="s">
        <v>21</v>
      </c>
      <c r="Z701" s="15" t="s">
        <v>44</v>
      </c>
      <c r="AA701" s="15" t="s">
        <v>234</v>
      </c>
      <c r="AB701" s="15" t="s">
        <v>131</v>
      </c>
      <c r="AC701" s="15" t="s">
        <v>53</v>
      </c>
      <c r="AD701" s="15"/>
      <c r="AE701" s="1">
        <v>2</v>
      </c>
      <c r="AF701" s="1" t="s">
        <v>1544</v>
      </c>
    </row>
    <row r="702" spans="1:32" x14ac:dyDescent="0.2">
      <c r="A702" s="34" t="s">
        <v>234</v>
      </c>
      <c r="B702" s="34" t="s">
        <v>131</v>
      </c>
      <c r="C702" s="34" t="s">
        <v>53</v>
      </c>
      <c r="D702" s="34" t="s">
        <v>1062</v>
      </c>
      <c r="E702" s="34" t="s">
        <v>618</v>
      </c>
      <c r="F702" s="34">
        <v>2</v>
      </c>
      <c r="G702" s="34" t="s">
        <v>1612</v>
      </c>
      <c r="H702" s="34" t="s">
        <v>11</v>
      </c>
      <c r="I702" s="34" t="s">
        <v>20</v>
      </c>
      <c r="J702" s="13" t="s">
        <v>1613</v>
      </c>
      <c r="K702" s="15" t="s">
        <v>21</v>
      </c>
      <c r="L702" s="15" t="s">
        <v>44</v>
      </c>
      <c r="M702" s="15" t="s">
        <v>45</v>
      </c>
      <c r="N702" s="13">
        <v>724</v>
      </c>
      <c r="O702" s="30">
        <v>45748</v>
      </c>
      <c r="P702" s="30">
        <v>45755</v>
      </c>
      <c r="Q702" s="30">
        <v>45762</v>
      </c>
      <c r="R702" s="30">
        <v>45765</v>
      </c>
      <c r="S702" s="23">
        <f t="shared" si="41"/>
        <v>91</v>
      </c>
      <c r="T702" s="23">
        <f t="shared" si="42"/>
        <v>98</v>
      </c>
      <c r="U702" s="23">
        <f t="shared" si="43"/>
        <v>105</v>
      </c>
      <c r="V702" s="23">
        <f t="shared" si="44"/>
        <v>108</v>
      </c>
      <c r="W702" s="15" t="s">
        <v>11</v>
      </c>
      <c r="X702" s="15" t="s">
        <v>20</v>
      </c>
      <c r="Y702" s="15" t="s">
        <v>21</v>
      </c>
      <c r="Z702" s="15" t="s">
        <v>44</v>
      </c>
      <c r="AA702" s="15" t="s">
        <v>234</v>
      </c>
      <c r="AB702" s="15" t="s">
        <v>131</v>
      </c>
      <c r="AC702" s="15" t="s">
        <v>53</v>
      </c>
      <c r="AD702" s="15"/>
      <c r="AE702" s="1">
        <v>0</v>
      </c>
      <c r="AF702" s="1"/>
    </row>
    <row r="703" spans="1:32" x14ac:dyDescent="0.2">
      <c r="A703" s="34" t="s">
        <v>234</v>
      </c>
      <c r="B703" s="34" t="s">
        <v>131</v>
      </c>
      <c r="C703" s="34" t="s">
        <v>53</v>
      </c>
      <c r="D703" s="34" t="s">
        <v>1062</v>
      </c>
      <c r="E703" s="34" t="s">
        <v>619</v>
      </c>
      <c r="F703" s="34">
        <v>2</v>
      </c>
      <c r="G703" s="34" t="s">
        <v>1614</v>
      </c>
      <c r="H703" s="34" t="s">
        <v>11</v>
      </c>
      <c r="I703" s="34" t="s">
        <v>20</v>
      </c>
      <c r="J703" s="13" t="s">
        <v>1615</v>
      </c>
      <c r="K703" s="15" t="s">
        <v>21</v>
      </c>
      <c r="L703" s="15" t="s">
        <v>44</v>
      </c>
      <c r="M703" s="15" t="s">
        <v>45</v>
      </c>
      <c r="N703" s="13">
        <v>725</v>
      </c>
      <c r="O703" s="30">
        <v>45755</v>
      </c>
      <c r="P703" s="30">
        <v>45758</v>
      </c>
      <c r="Q703" s="30">
        <v>45765</v>
      </c>
      <c r="R703" s="30">
        <v>45770</v>
      </c>
      <c r="S703" s="23">
        <f t="shared" si="41"/>
        <v>98</v>
      </c>
      <c r="T703" s="23">
        <f t="shared" si="42"/>
        <v>101</v>
      </c>
      <c r="U703" s="23">
        <f t="shared" si="43"/>
        <v>108</v>
      </c>
      <c r="V703" s="23">
        <f t="shared" si="44"/>
        <v>113</v>
      </c>
      <c r="W703" s="15" t="s">
        <v>11</v>
      </c>
      <c r="X703" s="15" t="s">
        <v>20</v>
      </c>
      <c r="Y703" s="15" t="s">
        <v>21</v>
      </c>
      <c r="Z703" s="15" t="s">
        <v>44</v>
      </c>
      <c r="AA703" s="15" t="s">
        <v>234</v>
      </c>
      <c r="AB703" s="15" t="s">
        <v>131</v>
      </c>
      <c r="AC703" s="15" t="s">
        <v>53</v>
      </c>
      <c r="AD703" s="15"/>
      <c r="AE703" s="1">
        <v>0</v>
      </c>
      <c r="AF703" s="1"/>
    </row>
    <row r="704" spans="1:32" x14ac:dyDescent="0.2">
      <c r="A704" s="34" t="s">
        <v>234</v>
      </c>
      <c r="B704" s="34" t="s">
        <v>131</v>
      </c>
      <c r="C704" s="34" t="s">
        <v>53</v>
      </c>
      <c r="D704" s="34" t="s">
        <v>1062</v>
      </c>
      <c r="E704" s="34" t="s">
        <v>620</v>
      </c>
      <c r="F704" s="34">
        <v>2</v>
      </c>
      <c r="G704" s="34" t="s">
        <v>1616</v>
      </c>
      <c r="H704" s="34" t="s">
        <v>11</v>
      </c>
      <c r="I704" s="34" t="s">
        <v>20</v>
      </c>
      <c r="J704" s="13" t="s">
        <v>1617</v>
      </c>
      <c r="K704" s="15" t="s">
        <v>21</v>
      </c>
      <c r="L704" s="15" t="s">
        <v>44</v>
      </c>
      <c r="M704" s="15" t="s">
        <v>45</v>
      </c>
      <c r="N704" s="13">
        <v>726</v>
      </c>
      <c r="O704" s="30">
        <v>45748</v>
      </c>
      <c r="P704" s="30">
        <v>45758</v>
      </c>
      <c r="Q704" s="30">
        <v>45765</v>
      </c>
      <c r="R704" s="30">
        <v>45772</v>
      </c>
      <c r="S704" s="23">
        <f t="shared" si="41"/>
        <v>91</v>
      </c>
      <c r="T704" s="23">
        <f t="shared" si="42"/>
        <v>101</v>
      </c>
      <c r="U704" s="23">
        <f t="shared" si="43"/>
        <v>108</v>
      </c>
      <c r="V704" s="23">
        <f t="shared" si="44"/>
        <v>115</v>
      </c>
      <c r="W704" s="15" t="s">
        <v>11</v>
      </c>
      <c r="X704" s="15" t="s">
        <v>20</v>
      </c>
      <c r="Y704" s="15" t="s">
        <v>21</v>
      </c>
      <c r="Z704" s="15" t="s">
        <v>44</v>
      </c>
      <c r="AA704" s="15" t="s">
        <v>234</v>
      </c>
      <c r="AB704" s="15" t="s">
        <v>131</v>
      </c>
      <c r="AC704" s="15" t="s">
        <v>53</v>
      </c>
      <c r="AD704" s="15"/>
      <c r="AE704" s="1">
        <v>0</v>
      </c>
      <c r="AF704" s="1"/>
    </row>
    <row r="705" spans="1:32" x14ac:dyDescent="0.2">
      <c r="A705" s="35" t="s">
        <v>234</v>
      </c>
      <c r="B705" s="35" t="s">
        <v>167</v>
      </c>
      <c r="C705" s="35" t="s">
        <v>53</v>
      </c>
      <c r="D705" s="31" t="s">
        <v>1099</v>
      </c>
      <c r="E705" s="35" t="s">
        <v>618</v>
      </c>
      <c r="F705" s="35">
        <v>1</v>
      </c>
      <c r="G705" s="35" t="s">
        <v>1618</v>
      </c>
      <c r="H705" s="35" t="s">
        <v>11</v>
      </c>
      <c r="I705" s="35" t="s">
        <v>20</v>
      </c>
      <c r="J705" s="21" t="s">
        <v>1619</v>
      </c>
      <c r="K705" s="22" t="s">
        <v>64</v>
      </c>
      <c r="L705" s="22" t="s">
        <v>44</v>
      </c>
      <c r="M705" s="22" t="s">
        <v>65</v>
      </c>
      <c r="N705" s="21">
        <v>727</v>
      </c>
      <c r="O705" s="29">
        <v>45748</v>
      </c>
      <c r="P705" s="29">
        <v>45755</v>
      </c>
      <c r="Q705" s="29">
        <v>45758</v>
      </c>
      <c r="R705" s="29">
        <v>45762</v>
      </c>
      <c r="S705" s="23">
        <f t="shared" si="41"/>
        <v>91</v>
      </c>
      <c r="T705" s="23">
        <f t="shared" si="42"/>
        <v>98</v>
      </c>
      <c r="U705" s="23">
        <f t="shared" si="43"/>
        <v>101</v>
      </c>
      <c r="V705" s="23">
        <f t="shared" si="44"/>
        <v>105</v>
      </c>
      <c r="W705" s="22" t="s">
        <v>11</v>
      </c>
      <c r="X705" s="22" t="s">
        <v>20</v>
      </c>
      <c r="Y705" s="22" t="s">
        <v>64</v>
      </c>
      <c r="Z705" s="22" t="s">
        <v>44</v>
      </c>
      <c r="AA705" s="22" t="s">
        <v>234</v>
      </c>
      <c r="AB705" s="22" t="s">
        <v>167</v>
      </c>
      <c r="AC705" s="22" t="s">
        <v>53</v>
      </c>
      <c r="AD705" s="22"/>
      <c r="AE705" s="2">
        <v>0</v>
      </c>
      <c r="AF705" s="2"/>
    </row>
    <row r="706" spans="1:32" x14ac:dyDescent="0.2">
      <c r="A706" s="35" t="s">
        <v>234</v>
      </c>
      <c r="B706" s="35" t="s">
        <v>167</v>
      </c>
      <c r="C706" s="35" t="s">
        <v>53</v>
      </c>
      <c r="D706" s="31" t="s">
        <v>1099</v>
      </c>
      <c r="E706" s="35" t="s">
        <v>619</v>
      </c>
      <c r="F706" s="35">
        <v>1</v>
      </c>
      <c r="G706" s="35" t="s">
        <v>1620</v>
      </c>
      <c r="H706" s="35" t="s">
        <v>11</v>
      </c>
      <c r="I706" s="35" t="s">
        <v>20</v>
      </c>
      <c r="J706" s="21" t="s">
        <v>1621</v>
      </c>
      <c r="K706" s="22" t="s">
        <v>64</v>
      </c>
      <c r="L706" s="22" t="s">
        <v>44</v>
      </c>
      <c r="M706" s="22" t="s">
        <v>65</v>
      </c>
      <c r="N706" s="21">
        <v>728</v>
      </c>
      <c r="O706" s="29">
        <v>45748</v>
      </c>
      <c r="P706" s="29">
        <v>45755</v>
      </c>
      <c r="Q706" s="29">
        <v>45762</v>
      </c>
      <c r="R706" s="29">
        <v>45765</v>
      </c>
      <c r="S706" s="23">
        <f t="shared" si="41"/>
        <v>91</v>
      </c>
      <c r="T706" s="23">
        <f t="shared" si="42"/>
        <v>98</v>
      </c>
      <c r="U706" s="23">
        <f t="shared" si="43"/>
        <v>105</v>
      </c>
      <c r="V706" s="23">
        <f t="shared" si="44"/>
        <v>108</v>
      </c>
      <c r="W706" s="22" t="s">
        <v>11</v>
      </c>
      <c r="X706" s="22" t="s">
        <v>20</v>
      </c>
      <c r="Y706" s="22" t="s">
        <v>64</v>
      </c>
      <c r="Z706" s="22" t="s">
        <v>44</v>
      </c>
      <c r="AA706" s="22" t="s">
        <v>234</v>
      </c>
      <c r="AB706" s="22" t="s">
        <v>167</v>
      </c>
      <c r="AC706" s="22" t="s">
        <v>53</v>
      </c>
      <c r="AD706" s="22"/>
      <c r="AE706" s="2">
        <v>0</v>
      </c>
      <c r="AF706" s="2"/>
    </row>
    <row r="707" spans="1:32" x14ac:dyDescent="0.2">
      <c r="A707" s="35" t="s">
        <v>234</v>
      </c>
      <c r="B707" s="35" t="s">
        <v>167</v>
      </c>
      <c r="C707" s="35" t="s">
        <v>53</v>
      </c>
      <c r="D707" s="31" t="s">
        <v>1099</v>
      </c>
      <c r="E707" s="35" t="s">
        <v>620</v>
      </c>
      <c r="F707" s="35">
        <v>1</v>
      </c>
      <c r="G707" s="35" t="s">
        <v>1622</v>
      </c>
      <c r="H707" s="35" t="s">
        <v>11</v>
      </c>
      <c r="I707" s="35" t="s">
        <v>20</v>
      </c>
      <c r="J707" s="21" t="s">
        <v>1623</v>
      </c>
      <c r="K707" s="22" t="s">
        <v>64</v>
      </c>
      <c r="L707" s="22" t="s">
        <v>44</v>
      </c>
      <c r="M707" s="22" t="s">
        <v>65</v>
      </c>
      <c r="N707" s="21">
        <v>729</v>
      </c>
      <c r="O707" s="29">
        <v>45748</v>
      </c>
      <c r="P707" s="29">
        <v>45755</v>
      </c>
      <c r="Q707" s="29">
        <v>45762</v>
      </c>
      <c r="R707" s="29">
        <v>45765</v>
      </c>
      <c r="S707" s="23">
        <f t="shared" ref="S707:S770" si="45">O707-DATE(YEAR(O707),1,1)+1</f>
        <v>91</v>
      </c>
      <c r="T707" s="23">
        <f t="shared" ref="T707:T770" si="46">P707-DATE(YEAR(P707),1,1)+1</f>
        <v>98</v>
      </c>
      <c r="U707" s="23">
        <f t="shared" ref="U707:U770" si="47">Q707-DATE(YEAR(Q707),1,1)+1</f>
        <v>105</v>
      </c>
      <c r="V707" s="23">
        <f t="shared" ref="V707:V770" si="48">R707-DATE(YEAR(R707),1,1)+1</f>
        <v>108</v>
      </c>
      <c r="W707" s="22" t="s">
        <v>11</v>
      </c>
      <c r="X707" s="22" t="s">
        <v>20</v>
      </c>
      <c r="Y707" s="22" t="s">
        <v>64</v>
      </c>
      <c r="Z707" s="22" t="s">
        <v>44</v>
      </c>
      <c r="AA707" s="22" t="s">
        <v>234</v>
      </c>
      <c r="AB707" s="22" t="s">
        <v>167</v>
      </c>
      <c r="AC707" s="22" t="s">
        <v>53</v>
      </c>
      <c r="AD707" s="22"/>
      <c r="AE707" s="2">
        <v>0</v>
      </c>
      <c r="AF707" s="2"/>
    </row>
    <row r="708" spans="1:32" x14ac:dyDescent="0.2">
      <c r="A708" s="35" t="s">
        <v>234</v>
      </c>
      <c r="B708" s="35" t="s">
        <v>167</v>
      </c>
      <c r="C708" s="35" t="s">
        <v>53</v>
      </c>
      <c r="D708" s="31" t="s">
        <v>1099</v>
      </c>
      <c r="E708" s="35" t="s">
        <v>618</v>
      </c>
      <c r="F708" s="35">
        <v>2</v>
      </c>
      <c r="G708" s="35" t="s">
        <v>1624</v>
      </c>
      <c r="H708" s="35" t="s">
        <v>11</v>
      </c>
      <c r="I708" s="35" t="s">
        <v>20</v>
      </c>
      <c r="J708" s="21" t="s">
        <v>1625</v>
      </c>
      <c r="K708" s="22" t="s">
        <v>64</v>
      </c>
      <c r="L708" s="22" t="s">
        <v>44</v>
      </c>
      <c r="M708" s="22" t="s">
        <v>65</v>
      </c>
      <c r="N708" s="21">
        <v>730</v>
      </c>
      <c r="O708" s="29"/>
      <c r="P708" s="29"/>
      <c r="Q708" s="29"/>
      <c r="R708" s="29"/>
      <c r="S708" s="23"/>
      <c r="T708" s="23"/>
      <c r="U708" s="23"/>
      <c r="V708" s="23"/>
      <c r="W708" s="22" t="s">
        <v>11</v>
      </c>
      <c r="X708" s="22" t="s">
        <v>20</v>
      </c>
      <c r="Y708" s="22" t="s">
        <v>64</v>
      </c>
      <c r="Z708" s="22" t="s">
        <v>44</v>
      </c>
      <c r="AA708" s="22" t="s">
        <v>234</v>
      </c>
      <c r="AB708" s="22" t="s">
        <v>167</v>
      </c>
      <c r="AC708" s="22" t="s">
        <v>53</v>
      </c>
      <c r="AD708" s="22"/>
      <c r="AE708" s="2">
        <v>1</v>
      </c>
      <c r="AF708" s="2" t="s">
        <v>1448</v>
      </c>
    </row>
    <row r="709" spans="1:32" x14ac:dyDescent="0.2">
      <c r="A709" s="35" t="s">
        <v>234</v>
      </c>
      <c r="B709" s="35" t="s">
        <v>167</v>
      </c>
      <c r="C709" s="35" t="s">
        <v>53</v>
      </c>
      <c r="D709" s="31" t="s">
        <v>1099</v>
      </c>
      <c r="E709" s="35" t="s">
        <v>619</v>
      </c>
      <c r="F709" s="35">
        <v>2</v>
      </c>
      <c r="G709" s="35" t="s">
        <v>1626</v>
      </c>
      <c r="H709" s="35" t="s">
        <v>11</v>
      </c>
      <c r="I709" s="35" t="s">
        <v>20</v>
      </c>
      <c r="J709" s="21" t="s">
        <v>1627</v>
      </c>
      <c r="K709" s="22" t="s">
        <v>64</v>
      </c>
      <c r="L709" s="22" t="s">
        <v>44</v>
      </c>
      <c r="M709" s="22" t="s">
        <v>65</v>
      </c>
      <c r="N709" s="21">
        <v>731</v>
      </c>
      <c r="O709" s="29">
        <v>45748</v>
      </c>
      <c r="P709" s="29">
        <v>45755</v>
      </c>
      <c r="Q709" s="29">
        <v>45758</v>
      </c>
      <c r="R709" s="29">
        <v>45765</v>
      </c>
      <c r="S709" s="23">
        <f t="shared" si="45"/>
        <v>91</v>
      </c>
      <c r="T709" s="23">
        <f t="shared" si="46"/>
        <v>98</v>
      </c>
      <c r="U709" s="23">
        <f t="shared" si="47"/>
        <v>101</v>
      </c>
      <c r="V709" s="23">
        <f t="shared" si="48"/>
        <v>108</v>
      </c>
      <c r="W709" s="22" t="s">
        <v>11</v>
      </c>
      <c r="X709" s="22" t="s">
        <v>20</v>
      </c>
      <c r="Y709" s="22" t="s">
        <v>64</v>
      </c>
      <c r="Z709" s="22" t="s">
        <v>44</v>
      </c>
      <c r="AA709" s="22" t="s">
        <v>234</v>
      </c>
      <c r="AB709" s="22" t="s">
        <v>167</v>
      </c>
      <c r="AC709" s="22" t="s">
        <v>53</v>
      </c>
      <c r="AD709" s="22"/>
      <c r="AE709" s="2">
        <v>0</v>
      </c>
      <c r="AF709" s="2"/>
    </row>
    <row r="710" spans="1:32" x14ac:dyDescent="0.2">
      <c r="A710" s="35" t="s">
        <v>234</v>
      </c>
      <c r="B710" s="35" t="s">
        <v>167</v>
      </c>
      <c r="C710" s="35" t="s">
        <v>53</v>
      </c>
      <c r="D710" s="31" t="s">
        <v>1099</v>
      </c>
      <c r="E710" s="35" t="s">
        <v>620</v>
      </c>
      <c r="F710" s="35">
        <v>2</v>
      </c>
      <c r="G710" s="35" t="s">
        <v>1628</v>
      </c>
      <c r="H710" s="35" t="s">
        <v>11</v>
      </c>
      <c r="I710" s="35" t="s">
        <v>20</v>
      </c>
      <c r="J710" s="21" t="s">
        <v>1629</v>
      </c>
      <c r="K710" s="22" t="s">
        <v>64</v>
      </c>
      <c r="L710" s="22" t="s">
        <v>44</v>
      </c>
      <c r="M710" s="22" t="s">
        <v>65</v>
      </c>
      <c r="N710" s="21">
        <v>732</v>
      </c>
      <c r="O710" s="29">
        <v>45748</v>
      </c>
      <c r="P710" s="29">
        <v>45755</v>
      </c>
      <c r="Q710" s="29">
        <v>45762</v>
      </c>
      <c r="R710" s="29">
        <v>45765</v>
      </c>
      <c r="S710" s="23">
        <f t="shared" si="45"/>
        <v>91</v>
      </c>
      <c r="T710" s="23">
        <f t="shared" si="46"/>
        <v>98</v>
      </c>
      <c r="U710" s="23">
        <f t="shared" si="47"/>
        <v>105</v>
      </c>
      <c r="V710" s="23">
        <f t="shared" si="48"/>
        <v>108</v>
      </c>
      <c r="W710" s="22" t="s">
        <v>11</v>
      </c>
      <c r="X710" s="22" t="s">
        <v>20</v>
      </c>
      <c r="Y710" s="22" t="s">
        <v>64</v>
      </c>
      <c r="Z710" s="22" t="s">
        <v>44</v>
      </c>
      <c r="AA710" s="22" t="s">
        <v>234</v>
      </c>
      <c r="AB710" s="22" t="s">
        <v>167</v>
      </c>
      <c r="AC710" s="22" t="s">
        <v>53</v>
      </c>
      <c r="AD710" s="22"/>
      <c r="AE710" s="2">
        <v>1</v>
      </c>
      <c r="AF710" s="2" t="s">
        <v>1448</v>
      </c>
    </row>
    <row r="711" spans="1:32" x14ac:dyDescent="0.2">
      <c r="A711" s="34" t="s">
        <v>234</v>
      </c>
      <c r="B711" s="34" t="s">
        <v>200</v>
      </c>
      <c r="C711" s="34" t="s">
        <v>16</v>
      </c>
      <c r="D711" s="34" t="s">
        <v>1108</v>
      </c>
      <c r="E711" s="34" t="s">
        <v>618</v>
      </c>
      <c r="F711" s="34">
        <v>1</v>
      </c>
      <c r="G711" s="34" t="s">
        <v>1630</v>
      </c>
      <c r="H711" s="34" t="s">
        <v>11</v>
      </c>
      <c r="I711" s="34" t="s">
        <v>20</v>
      </c>
      <c r="J711" s="13" t="s">
        <v>1631</v>
      </c>
      <c r="K711" s="15" t="s">
        <v>21</v>
      </c>
      <c r="L711" s="15" t="s">
        <v>44</v>
      </c>
      <c r="M711" s="15" t="s">
        <v>45</v>
      </c>
      <c r="N711" s="13">
        <v>733</v>
      </c>
      <c r="O711" s="30">
        <v>45748</v>
      </c>
      <c r="P711" s="30"/>
      <c r="Q711" s="30">
        <v>45755</v>
      </c>
      <c r="R711" s="30">
        <v>45765</v>
      </c>
      <c r="S711" s="23">
        <f t="shared" si="45"/>
        <v>91</v>
      </c>
      <c r="T711" s="23">
        <f>(U711+S711)/2</f>
        <v>94.5</v>
      </c>
      <c r="U711" s="23">
        <f t="shared" si="47"/>
        <v>98</v>
      </c>
      <c r="V711" s="23">
        <f t="shared" si="48"/>
        <v>108</v>
      </c>
      <c r="W711" s="15" t="s">
        <v>11</v>
      </c>
      <c r="X711" s="15" t="s">
        <v>20</v>
      </c>
      <c r="Y711" s="15" t="s">
        <v>21</v>
      </c>
      <c r="Z711" s="15" t="s">
        <v>44</v>
      </c>
      <c r="AA711" s="15" t="s">
        <v>234</v>
      </c>
      <c r="AB711" s="15" t="s">
        <v>200</v>
      </c>
      <c r="AC711" s="15" t="s">
        <v>16</v>
      </c>
      <c r="AD711" s="15"/>
      <c r="AE711" s="1">
        <v>0</v>
      </c>
      <c r="AF711" s="1"/>
    </row>
    <row r="712" spans="1:32" x14ac:dyDescent="0.2">
      <c r="A712" s="34" t="s">
        <v>234</v>
      </c>
      <c r="B712" s="34" t="s">
        <v>200</v>
      </c>
      <c r="C712" s="34" t="s">
        <v>16</v>
      </c>
      <c r="D712" s="34" t="s">
        <v>1108</v>
      </c>
      <c r="E712" s="34" t="s">
        <v>619</v>
      </c>
      <c r="F712" s="34">
        <v>1</v>
      </c>
      <c r="G712" s="34" t="s">
        <v>1632</v>
      </c>
      <c r="H712" s="34" t="s">
        <v>11</v>
      </c>
      <c r="I712" s="34" t="s">
        <v>20</v>
      </c>
      <c r="J712" s="13" t="s">
        <v>1633</v>
      </c>
      <c r="K712" s="15" t="s">
        <v>21</v>
      </c>
      <c r="L712" s="15" t="s">
        <v>44</v>
      </c>
      <c r="M712" s="15" t="s">
        <v>45</v>
      </c>
      <c r="N712" s="13">
        <v>734</v>
      </c>
      <c r="O712" s="30">
        <v>45748</v>
      </c>
      <c r="P712" s="30">
        <v>45755</v>
      </c>
      <c r="Q712" s="30">
        <v>45758</v>
      </c>
      <c r="R712" s="30">
        <v>45765</v>
      </c>
      <c r="S712" s="23">
        <f t="shared" si="45"/>
        <v>91</v>
      </c>
      <c r="T712" s="23">
        <f t="shared" si="46"/>
        <v>98</v>
      </c>
      <c r="U712" s="23">
        <f t="shared" si="47"/>
        <v>101</v>
      </c>
      <c r="V712" s="23">
        <f t="shared" si="48"/>
        <v>108</v>
      </c>
      <c r="W712" s="15" t="s">
        <v>11</v>
      </c>
      <c r="X712" s="15" t="s">
        <v>20</v>
      </c>
      <c r="Y712" s="15" t="s">
        <v>21</v>
      </c>
      <c r="Z712" s="15" t="s">
        <v>44</v>
      </c>
      <c r="AA712" s="15" t="s">
        <v>234</v>
      </c>
      <c r="AB712" s="15" t="s">
        <v>200</v>
      </c>
      <c r="AC712" s="15" t="s">
        <v>16</v>
      </c>
      <c r="AD712" s="15"/>
      <c r="AE712" s="1">
        <v>0</v>
      </c>
      <c r="AF712" s="1"/>
    </row>
    <row r="713" spans="1:32" x14ac:dyDescent="0.2">
      <c r="A713" s="34" t="s">
        <v>234</v>
      </c>
      <c r="B713" s="34" t="s">
        <v>200</v>
      </c>
      <c r="C713" s="34" t="s">
        <v>16</v>
      </c>
      <c r="D713" s="34" t="s">
        <v>1108</v>
      </c>
      <c r="E713" s="34" t="s">
        <v>620</v>
      </c>
      <c r="F713" s="34">
        <v>1</v>
      </c>
      <c r="G713" s="34" t="s">
        <v>1634</v>
      </c>
      <c r="H713" s="34" t="s">
        <v>11</v>
      </c>
      <c r="I713" s="34" t="s">
        <v>20</v>
      </c>
      <c r="J713" s="13" t="s">
        <v>1635</v>
      </c>
      <c r="K713" s="15" t="s">
        <v>21</v>
      </c>
      <c r="L713" s="15" t="s">
        <v>44</v>
      </c>
      <c r="M713" s="15" t="s">
        <v>45</v>
      </c>
      <c r="N713" s="13">
        <v>735</v>
      </c>
      <c r="O713" s="30">
        <v>45748</v>
      </c>
      <c r="P713" s="30">
        <v>45755</v>
      </c>
      <c r="Q713" s="30"/>
      <c r="R713" s="30">
        <v>45765</v>
      </c>
      <c r="S713" s="23">
        <f t="shared" si="45"/>
        <v>91</v>
      </c>
      <c r="T713" s="23">
        <f t="shared" si="46"/>
        <v>98</v>
      </c>
      <c r="U713" s="23">
        <f>(V713+T713)/2</f>
        <v>103</v>
      </c>
      <c r="V713" s="23">
        <f t="shared" si="48"/>
        <v>108</v>
      </c>
      <c r="W713" s="15" t="s">
        <v>11</v>
      </c>
      <c r="X713" s="15" t="s">
        <v>20</v>
      </c>
      <c r="Y713" s="15" t="s">
        <v>21</v>
      </c>
      <c r="Z713" s="15" t="s">
        <v>44</v>
      </c>
      <c r="AA713" s="15" t="s">
        <v>234</v>
      </c>
      <c r="AB713" s="15" t="s">
        <v>200</v>
      </c>
      <c r="AC713" s="15" t="s">
        <v>16</v>
      </c>
      <c r="AD713" s="15"/>
      <c r="AE713" s="1">
        <v>0</v>
      </c>
      <c r="AF713" s="1"/>
    </row>
    <row r="714" spans="1:32" x14ac:dyDescent="0.2">
      <c r="A714" s="34" t="s">
        <v>234</v>
      </c>
      <c r="B714" s="34" t="s">
        <v>200</v>
      </c>
      <c r="C714" s="34" t="s">
        <v>16</v>
      </c>
      <c r="D714" s="34" t="s">
        <v>1108</v>
      </c>
      <c r="E714" s="34" t="s">
        <v>618</v>
      </c>
      <c r="F714" s="34">
        <v>2</v>
      </c>
      <c r="G714" s="34" t="s">
        <v>1636</v>
      </c>
      <c r="H714" s="34" t="s">
        <v>11</v>
      </c>
      <c r="I714" s="34" t="s">
        <v>20</v>
      </c>
      <c r="J714" s="13" t="s">
        <v>1637</v>
      </c>
      <c r="K714" s="15" t="s">
        <v>21</v>
      </c>
      <c r="L714" s="15" t="s">
        <v>44</v>
      </c>
      <c r="M714" s="15" t="s">
        <v>45</v>
      </c>
      <c r="N714" s="13">
        <v>736</v>
      </c>
      <c r="O714" s="30">
        <v>45748</v>
      </c>
      <c r="P714" s="30">
        <v>45755</v>
      </c>
      <c r="Q714" s="30">
        <v>45758</v>
      </c>
      <c r="R714" s="30">
        <v>45765</v>
      </c>
      <c r="S714" s="23">
        <f t="shared" si="45"/>
        <v>91</v>
      </c>
      <c r="T714" s="23">
        <f t="shared" si="46"/>
        <v>98</v>
      </c>
      <c r="U714" s="23">
        <f t="shared" si="47"/>
        <v>101</v>
      </c>
      <c r="V714" s="23">
        <f t="shared" si="48"/>
        <v>108</v>
      </c>
      <c r="W714" s="15" t="s">
        <v>11</v>
      </c>
      <c r="X714" s="15" t="s">
        <v>20</v>
      </c>
      <c r="Y714" s="15" t="s">
        <v>21</v>
      </c>
      <c r="Z714" s="15" t="s">
        <v>44</v>
      </c>
      <c r="AA714" s="15" t="s">
        <v>234</v>
      </c>
      <c r="AB714" s="15" t="s">
        <v>200</v>
      </c>
      <c r="AC714" s="15" t="s">
        <v>16</v>
      </c>
      <c r="AD714" s="15"/>
      <c r="AE714" s="1">
        <v>0</v>
      </c>
      <c r="AF714" s="1"/>
    </row>
    <row r="715" spans="1:32" x14ac:dyDescent="0.2">
      <c r="A715" s="34" t="s">
        <v>234</v>
      </c>
      <c r="B715" s="34" t="s">
        <v>200</v>
      </c>
      <c r="C715" s="34" t="s">
        <v>16</v>
      </c>
      <c r="D715" s="34" t="s">
        <v>1108</v>
      </c>
      <c r="E715" s="34" t="s">
        <v>619</v>
      </c>
      <c r="F715" s="34">
        <v>2</v>
      </c>
      <c r="G715" s="34" t="s">
        <v>1638</v>
      </c>
      <c r="H715" s="34" t="s">
        <v>11</v>
      </c>
      <c r="I715" s="34" t="s">
        <v>20</v>
      </c>
      <c r="J715" s="13" t="s">
        <v>1639</v>
      </c>
      <c r="K715" s="15" t="s">
        <v>21</v>
      </c>
      <c r="L715" s="15" t="s">
        <v>44</v>
      </c>
      <c r="M715" s="15" t="s">
        <v>45</v>
      </c>
      <c r="N715" s="13">
        <v>737</v>
      </c>
      <c r="O715" s="30">
        <v>45748</v>
      </c>
      <c r="P715" s="30">
        <v>45755</v>
      </c>
      <c r="Q715" s="30">
        <v>45758</v>
      </c>
      <c r="R715" s="30">
        <v>45765</v>
      </c>
      <c r="S715" s="23">
        <f t="shared" si="45"/>
        <v>91</v>
      </c>
      <c r="T715" s="23">
        <f t="shared" si="46"/>
        <v>98</v>
      </c>
      <c r="U715" s="23">
        <f t="shared" si="47"/>
        <v>101</v>
      </c>
      <c r="V715" s="23">
        <f t="shared" si="48"/>
        <v>108</v>
      </c>
      <c r="W715" s="15" t="s">
        <v>11</v>
      </c>
      <c r="X715" s="15" t="s">
        <v>20</v>
      </c>
      <c r="Y715" s="15" t="s">
        <v>21</v>
      </c>
      <c r="Z715" s="15" t="s">
        <v>44</v>
      </c>
      <c r="AA715" s="15" t="s">
        <v>234</v>
      </c>
      <c r="AB715" s="15" t="s">
        <v>200</v>
      </c>
      <c r="AC715" s="15" t="s">
        <v>16</v>
      </c>
      <c r="AD715" s="15"/>
      <c r="AE715" s="1">
        <v>0</v>
      </c>
      <c r="AF715" s="1"/>
    </row>
    <row r="716" spans="1:32" x14ac:dyDescent="0.2">
      <c r="A716" s="34" t="s">
        <v>234</v>
      </c>
      <c r="B716" s="34" t="s">
        <v>200</v>
      </c>
      <c r="C716" s="34" t="s">
        <v>16</v>
      </c>
      <c r="D716" s="34" t="s">
        <v>1108</v>
      </c>
      <c r="E716" s="34" t="s">
        <v>620</v>
      </c>
      <c r="F716" s="34">
        <v>2</v>
      </c>
      <c r="G716" s="34" t="s">
        <v>1640</v>
      </c>
      <c r="H716" s="34" t="s">
        <v>11</v>
      </c>
      <c r="I716" s="34" t="s">
        <v>20</v>
      </c>
      <c r="J716" s="13" t="s">
        <v>1641</v>
      </c>
      <c r="K716" s="15" t="s">
        <v>21</v>
      </c>
      <c r="L716" s="15" t="s">
        <v>44</v>
      </c>
      <c r="M716" s="15" t="s">
        <v>45</v>
      </c>
      <c r="N716" s="13">
        <v>738</v>
      </c>
      <c r="O716" s="30">
        <v>45748</v>
      </c>
      <c r="P716" s="30">
        <v>45755</v>
      </c>
      <c r="Q716" s="30">
        <v>45765</v>
      </c>
      <c r="R716" s="30">
        <v>45772</v>
      </c>
      <c r="S716" s="23">
        <f t="shared" si="45"/>
        <v>91</v>
      </c>
      <c r="T716" s="23">
        <f t="shared" si="46"/>
        <v>98</v>
      </c>
      <c r="U716" s="23">
        <f t="shared" si="47"/>
        <v>108</v>
      </c>
      <c r="V716" s="23">
        <f t="shared" si="48"/>
        <v>115</v>
      </c>
      <c r="W716" s="15" t="s">
        <v>11</v>
      </c>
      <c r="X716" s="15" t="s">
        <v>20</v>
      </c>
      <c r="Y716" s="15" t="s">
        <v>21</v>
      </c>
      <c r="Z716" s="15" t="s">
        <v>44</v>
      </c>
      <c r="AA716" s="15" t="s">
        <v>234</v>
      </c>
      <c r="AB716" s="15" t="s">
        <v>200</v>
      </c>
      <c r="AC716" s="15" t="s">
        <v>16</v>
      </c>
      <c r="AD716" s="15"/>
      <c r="AE716" s="1">
        <v>0</v>
      </c>
      <c r="AF716" s="1"/>
    </row>
    <row r="717" spans="1:32" x14ac:dyDescent="0.2">
      <c r="A717" s="35" t="s">
        <v>234</v>
      </c>
      <c r="B717" s="35" t="s">
        <v>200</v>
      </c>
      <c r="C717" s="35" t="s">
        <v>42</v>
      </c>
      <c r="D717" s="31" t="s">
        <v>1126</v>
      </c>
      <c r="E717" s="35" t="s">
        <v>618</v>
      </c>
      <c r="F717" s="35">
        <v>1</v>
      </c>
      <c r="G717" s="35" t="s">
        <v>1642</v>
      </c>
      <c r="H717" s="35" t="s">
        <v>11</v>
      </c>
      <c r="I717" s="35" t="s">
        <v>20</v>
      </c>
      <c r="J717" s="21" t="s">
        <v>1643</v>
      </c>
      <c r="K717" s="22" t="s">
        <v>21</v>
      </c>
      <c r="L717" s="22" t="s">
        <v>44</v>
      </c>
      <c r="M717" s="22" t="s">
        <v>45</v>
      </c>
      <c r="N717" s="21">
        <v>739</v>
      </c>
      <c r="O717" s="29">
        <v>45748</v>
      </c>
      <c r="P717" s="29">
        <v>45755</v>
      </c>
      <c r="Q717" s="29">
        <v>45762</v>
      </c>
      <c r="R717" s="29">
        <v>45765</v>
      </c>
      <c r="S717" s="23">
        <f t="shared" si="45"/>
        <v>91</v>
      </c>
      <c r="T717" s="23">
        <f t="shared" si="46"/>
        <v>98</v>
      </c>
      <c r="U717" s="23">
        <f t="shared" si="47"/>
        <v>105</v>
      </c>
      <c r="V717" s="23">
        <f t="shared" si="48"/>
        <v>108</v>
      </c>
      <c r="W717" s="22" t="s">
        <v>11</v>
      </c>
      <c r="X717" s="22" t="s">
        <v>20</v>
      </c>
      <c r="Y717" s="22" t="s">
        <v>21</v>
      </c>
      <c r="Z717" s="22" t="s">
        <v>44</v>
      </c>
      <c r="AA717" s="22" t="s">
        <v>234</v>
      </c>
      <c r="AB717" s="22" t="s">
        <v>200</v>
      </c>
      <c r="AC717" s="22" t="s">
        <v>42</v>
      </c>
      <c r="AD717" s="22"/>
      <c r="AE717" s="2">
        <v>0</v>
      </c>
      <c r="AF717" s="2"/>
    </row>
    <row r="718" spans="1:32" x14ac:dyDescent="0.2">
      <c r="A718" s="35" t="s">
        <v>234</v>
      </c>
      <c r="B718" s="35" t="s">
        <v>200</v>
      </c>
      <c r="C718" s="35" t="s">
        <v>42</v>
      </c>
      <c r="D718" s="31" t="s">
        <v>1126</v>
      </c>
      <c r="E718" s="35" t="s">
        <v>619</v>
      </c>
      <c r="F718" s="35">
        <v>1</v>
      </c>
      <c r="G718" s="35" t="s">
        <v>1644</v>
      </c>
      <c r="H718" s="35" t="s">
        <v>11</v>
      </c>
      <c r="I718" s="35" t="s">
        <v>20</v>
      </c>
      <c r="J718" s="21" t="s">
        <v>1645</v>
      </c>
      <c r="K718" s="22" t="s">
        <v>21</v>
      </c>
      <c r="L718" s="22" t="s">
        <v>44</v>
      </c>
      <c r="M718" s="22" t="s">
        <v>45</v>
      </c>
      <c r="N718" s="21">
        <v>740</v>
      </c>
      <c r="O718" s="29"/>
      <c r="P718" s="29"/>
      <c r="Q718" s="29"/>
      <c r="R718" s="29"/>
      <c r="S718" s="23">
        <f t="shared" si="45"/>
        <v>0</v>
      </c>
      <c r="T718" s="23">
        <f t="shared" si="46"/>
        <v>0</v>
      </c>
      <c r="U718" s="23">
        <f t="shared" si="47"/>
        <v>0</v>
      </c>
      <c r="V718" s="23">
        <f t="shared" si="48"/>
        <v>0</v>
      </c>
      <c r="W718" s="22" t="s">
        <v>11</v>
      </c>
      <c r="X718" s="22" t="s">
        <v>20</v>
      </c>
      <c r="Y718" s="22" t="s">
        <v>21</v>
      </c>
      <c r="Z718" s="22" t="s">
        <v>44</v>
      </c>
      <c r="AA718" s="22" t="s">
        <v>234</v>
      </c>
      <c r="AB718" s="22" t="s">
        <v>200</v>
      </c>
      <c r="AC718" s="22" t="s">
        <v>42</v>
      </c>
      <c r="AD718" s="22"/>
      <c r="AE718" s="2">
        <v>0</v>
      </c>
      <c r="AF718" s="2"/>
    </row>
    <row r="719" spans="1:32" x14ac:dyDescent="0.2">
      <c r="A719" s="35" t="s">
        <v>234</v>
      </c>
      <c r="B719" s="35" t="s">
        <v>200</v>
      </c>
      <c r="C719" s="35" t="s">
        <v>42</v>
      </c>
      <c r="D719" s="31" t="s">
        <v>1126</v>
      </c>
      <c r="E719" s="35" t="s">
        <v>620</v>
      </c>
      <c r="F719" s="35">
        <v>1</v>
      </c>
      <c r="G719" s="35" t="s">
        <v>1646</v>
      </c>
      <c r="H719" s="35" t="s">
        <v>11</v>
      </c>
      <c r="I719" s="35" t="s">
        <v>20</v>
      </c>
      <c r="J719" s="21" t="s">
        <v>1647</v>
      </c>
      <c r="K719" s="22" t="s">
        <v>21</v>
      </c>
      <c r="L719" s="22" t="s">
        <v>44</v>
      </c>
      <c r="M719" s="22" t="s">
        <v>45</v>
      </c>
      <c r="N719" s="21">
        <v>741</v>
      </c>
      <c r="O719" s="29">
        <v>45748</v>
      </c>
      <c r="P719" s="29">
        <v>45755</v>
      </c>
      <c r="Q719" s="29">
        <v>45758</v>
      </c>
      <c r="R719" s="29">
        <v>45765</v>
      </c>
      <c r="S719" s="23">
        <f t="shared" si="45"/>
        <v>91</v>
      </c>
      <c r="T719" s="23">
        <f t="shared" si="46"/>
        <v>98</v>
      </c>
      <c r="U719" s="23">
        <f t="shared" si="47"/>
        <v>101</v>
      </c>
      <c r="V719" s="23">
        <f t="shared" si="48"/>
        <v>108</v>
      </c>
      <c r="W719" s="22" t="s">
        <v>11</v>
      </c>
      <c r="X719" s="22" t="s">
        <v>20</v>
      </c>
      <c r="Y719" s="22" t="s">
        <v>21</v>
      </c>
      <c r="Z719" s="22" t="s">
        <v>44</v>
      </c>
      <c r="AA719" s="22" t="s">
        <v>234</v>
      </c>
      <c r="AB719" s="22" t="s">
        <v>200</v>
      </c>
      <c r="AC719" s="22" t="s">
        <v>42</v>
      </c>
      <c r="AD719" s="22"/>
      <c r="AE719" s="2">
        <v>0</v>
      </c>
      <c r="AF719" s="2"/>
    </row>
    <row r="720" spans="1:32" x14ac:dyDescent="0.2">
      <c r="A720" s="35" t="s">
        <v>234</v>
      </c>
      <c r="B720" s="35" t="s">
        <v>200</v>
      </c>
      <c r="C720" s="35" t="s">
        <v>42</v>
      </c>
      <c r="D720" s="31" t="s">
        <v>1126</v>
      </c>
      <c r="E720" s="35" t="s">
        <v>618</v>
      </c>
      <c r="F720" s="35">
        <v>2</v>
      </c>
      <c r="G720" s="35" t="s">
        <v>1648</v>
      </c>
      <c r="H720" s="35" t="s">
        <v>11</v>
      </c>
      <c r="I720" s="35" t="s">
        <v>20</v>
      </c>
      <c r="J720" s="21" t="s">
        <v>1649</v>
      </c>
      <c r="K720" s="22" t="s">
        <v>21</v>
      </c>
      <c r="L720" s="22" t="s">
        <v>44</v>
      </c>
      <c r="M720" s="22" t="s">
        <v>45</v>
      </c>
      <c r="N720" s="21">
        <v>742</v>
      </c>
      <c r="O720" s="29"/>
      <c r="P720" s="29"/>
      <c r="Q720" s="29"/>
      <c r="R720" s="29"/>
      <c r="S720" s="23">
        <f t="shared" si="45"/>
        <v>0</v>
      </c>
      <c r="T720" s="23">
        <f t="shared" si="46"/>
        <v>0</v>
      </c>
      <c r="U720" s="23">
        <f t="shared" si="47"/>
        <v>0</v>
      </c>
      <c r="V720" s="23">
        <f t="shared" si="48"/>
        <v>0</v>
      </c>
      <c r="W720" s="22" t="s">
        <v>11</v>
      </c>
      <c r="X720" s="22" t="s">
        <v>20</v>
      </c>
      <c r="Y720" s="22" t="s">
        <v>21</v>
      </c>
      <c r="Z720" s="22" t="s">
        <v>44</v>
      </c>
      <c r="AA720" s="22" t="s">
        <v>234</v>
      </c>
      <c r="AB720" s="22" t="s">
        <v>200</v>
      </c>
      <c r="AC720" s="22" t="s">
        <v>42</v>
      </c>
      <c r="AD720" s="22"/>
      <c r="AE720" s="2">
        <v>0</v>
      </c>
      <c r="AF720" s="2"/>
    </row>
    <row r="721" spans="1:32" x14ac:dyDescent="0.2">
      <c r="A721" s="35" t="s">
        <v>234</v>
      </c>
      <c r="B721" s="35" t="s">
        <v>200</v>
      </c>
      <c r="C721" s="35" t="s">
        <v>42</v>
      </c>
      <c r="D721" s="31" t="s">
        <v>1126</v>
      </c>
      <c r="E721" s="35" t="s">
        <v>619</v>
      </c>
      <c r="F721" s="35">
        <v>2</v>
      </c>
      <c r="G721" s="35" t="s">
        <v>1650</v>
      </c>
      <c r="H721" s="35" t="s">
        <v>11</v>
      </c>
      <c r="I721" s="35" t="s">
        <v>20</v>
      </c>
      <c r="J721" s="21" t="s">
        <v>1651</v>
      </c>
      <c r="K721" s="22" t="s">
        <v>21</v>
      </c>
      <c r="L721" s="22" t="s">
        <v>44</v>
      </c>
      <c r="M721" s="22" t="s">
        <v>45</v>
      </c>
      <c r="N721" s="21">
        <v>743</v>
      </c>
      <c r="O721" s="29">
        <v>45748</v>
      </c>
      <c r="P721" s="29">
        <v>45755</v>
      </c>
      <c r="Q721" s="29">
        <v>45758</v>
      </c>
      <c r="R721" s="29">
        <v>45765</v>
      </c>
      <c r="S721" s="23">
        <f t="shared" si="45"/>
        <v>91</v>
      </c>
      <c r="T721" s="23">
        <f t="shared" si="46"/>
        <v>98</v>
      </c>
      <c r="U721" s="23">
        <f t="shared" si="47"/>
        <v>101</v>
      </c>
      <c r="V721" s="23">
        <f t="shared" si="48"/>
        <v>108</v>
      </c>
      <c r="W721" s="22" t="s">
        <v>11</v>
      </c>
      <c r="X721" s="22" t="s">
        <v>20</v>
      </c>
      <c r="Y721" s="22" t="s">
        <v>21</v>
      </c>
      <c r="Z721" s="22" t="s">
        <v>44</v>
      </c>
      <c r="AA721" s="22" t="s">
        <v>234</v>
      </c>
      <c r="AB721" s="22" t="s">
        <v>200</v>
      </c>
      <c r="AC721" s="22" t="s">
        <v>42</v>
      </c>
      <c r="AD721" s="22"/>
      <c r="AE721" s="2">
        <v>0</v>
      </c>
      <c r="AF721" s="2"/>
    </row>
    <row r="722" spans="1:32" x14ac:dyDescent="0.2">
      <c r="A722" s="35" t="s">
        <v>234</v>
      </c>
      <c r="B722" s="35" t="s">
        <v>200</v>
      </c>
      <c r="C722" s="35" t="s">
        <v>42</v>
      </c>
      <c r="D722" s="31" t="s">
        <v>1126</v>
      </c>
      <c r="E722" s="35" t="s">
        <v>620</v>
      </c>
      <c r="F722" s="35">
        <v>2</v>
      </c>
      <c r="G722" s="35" t="s">
        <v>1652</v>
      </c>
      <c r="H722" s="35" t="s">
        <v>11</v>
      </c>
      <c r="I722" s="35" t="s">
        <v>20</v>
      </c>
      <c r="J722" s="21" t="s">
        <v>1653</v>
      </c>
      <c r="K722" s="22" t="s">
        <v>21</v>
      </c>
      <c r="L722" s="22" t="s">
        <v>44</v>
      </c>
      <c r="M722" s="22" t="s">
        <v>45</v>
      </c>
      <c r="N722" s="21">
        <v>744</v>
      </c>
      <c r="O722" s="29">
        <v>45748</v>
      </c>
      <c r="P722" s="29">
        <v>45751</v>
      </c>
      <c r="Q722" s="29">
        <v>45755</v>
      </c>
      <c r="R722" s="29">
        <v>45762</v>
      </c>
      <c r="S722" s="23">
        <f t="shared" si="45"/>
        <v>91</v>
      </c>
      <c r="T722" s="23">
        <f t="shared" si="46"/>
        <v>94</v>
      </c>
      <c r="U722" s="23">
        <f t="shared" si="47"/>
        <v>98</v>
      </c>
      <c r="V722" s="23">
        <f t="shared" si="48"/>
        <v>105</v>
      </c>
      <c r="W722" s="22" t="s">
        <v>11</v>
      </c>
      <c r="X722" s="22" t="s">
        <v>20</v>
      </c>
      <c r="Y722" s="22" t="s">
        <v>21</v>
      </c>
      <c r="Z722" s="22" t="s">
        <v>44</v>
      </c>
      <c r="AA722" s="22" t="s">
        <v>234</v>
      </c>
      <c r="AB722" s="22" t="s">
        <v>200</v>
      </c>
      <c r="AC722" s="22" t="s">
        <v>42</v>
      </c>
      <c r="AD722" s="22"/>
      <c r="AE722" s="2">
        <v>0</v>
      </c>
      <c r="AF722" s="2"/>
    </row>
    <row r="723" spans="1:32" x14ac:dyDescent="0.2">
      <c r="A723" s="34" t="s">
        <v>426</v>
      </c>
      <c r="B723" s="34" t="s">
        <v>15</v>
      </c>
      <c r="C723" s="34" t="s">
        <v>16</v>
      </c>
      <c r="D723" s="34" t="s">
        <v>1144</v>
      </c>
      <c r="E723" s="34" t="s">
        <v>618</v>
      </c>
      <c r="F723" s="34">
        <v>1</v>
      </c>
      <c r="G723" s="34" t="s">
        <v>1654</v>
      </c>
      <c r="H723" s="34" t="s">
        <v>11</v>
      </c>
      <c r="I723" s="34" t="s">
        <v>20</v>
      </c>
      <c r="J723" s="13" t="s">
        <v>1655</v>
      </c>
      <c r="K723" s="15" t="s">
        <v>64</v>
      </c>
      <c r="L723" s="15" t="s">
        <v>44</v>
      </c>
      <c r="M723" s="15" t="s">
        <v>65</v>
      </c>
      <c r="N723" s="13">
        <v>745</v>
      </c>
      <c r="O723" s="30">
        <v>45751</v>
      </c>
      <c r="P723" s="30">
        <v>45755</v>
      </c>
      <c r="Q723" s="30">
        <v>45765</v>
      </c>
      <c r="R723" s="30">
        <v>45770</v>
      </c>
      <c r="S723" s="23">
        <f t="shared" si="45"/>
        <v>94</v>
      </c>
      <c r="T723" s="23">
        <f t="shared" si="46"/>
        <v>98</v>
      </c>
      <c r="U723" s="23">
        <f t="shared" si="47"/>
        <v>108</v>
      </c>
      <c r="V723" s="23">
        <f t="shared" si="48"/>
        <v>113</v>
      </c>
      <c r="W723" s="15" t="s">
        <v>11</v>
      </c>
      <c r="X723" s="15" t="s">
        <v>20</v>
      </c>
      <c r="Y723" s="15" t="s">
        <v>64</v>
      </c>
      <c r="Z723" s="15" t="s">
        <v>44</v>
      </c>
      <c r="AA723" s="15" t="s">
        <v>426</v>
      </c>
      <c r="AB723" s="15" t="s">
        <v>15</v>
      </c>
      <c r="AC723" s="15" t="s">
        <v>16</v>
      </c>
      <c r="AD723" s="15"/>
      <c r="AE723" s="1">
        <v>0</v>
      </c>
      <c r="AF723" s="1"/>
    </row>
    <row r="724" spans="1:32" x14ac:dyDescent="0.2">
      <c r="A724" s="34" t="s">
        <v>426</v>
      </c>
      <c r="B724" s="34" t="s">
        <v>15</v>
      </c>
      <c r="C724" s="34" t="s">
        <v>16</v>
      </c>
      <c r="D724" s="34" t="s">
        <v>1144</v>
      </c>
      <c r="E724" s="34" t="s">
        <v>619</v>
      </c>
      <c r="F724" s="34">
        <v>1</v>
      </c>
      <c r="G724" s="34" t="s">
        <v>1656</v>
      </c>
      <c r="H724" s="34" t="s">
        <v>11</v>
      </c>
      <c r="I724" s="34" t="s">
        <v>20</v>
      </c>
      <c r="J724" s="13" t="s">
        <v>1657</v>
      </c>
      <c r="K724" s="15" t="s">
        <v>64</v>
      </c>
      <c r="L724" s="15" t="s">
        <v>44</v>
      </c>
      <c r="M724" s="15" t="s">
        <v>65</v>
      </c>
      <c r="N724" s="13">
        <v>746</v>
      </c>
      <c r="O724" s="30">
        <v>45748</v>
      </c>
      <c r="P724" s="30">
        <v>45755</v>
      </c>
      <c r="Q724" s="30">
        <v>45758</v>
      </c>
      <c r="R724" s="30">
        <v>45765</v>
      </c>
      <c r="S724" s="23">
        <f t="shared" si="45"/>
        <v>91</v>
      </c>
      <c r="T724" s="23">
        <f t="shared" si="46"/>
        <v>98</v>
      </c>
      <c r="U724" s="23">
        <f t="shared" si="47"/>
        <v>101</v>
      </c>
      <c r="V724" s="23">
        <f t="shared" si="48"/>
        <v>108</v>
      </c>
      <c r="W724" s="15" t="s">
        <v>11</v>
      </c>
      <c r="X724" s="15" t="s">
        <v>20</v>
      </c>
      <c r="Y724" s="15" t="s">
        <v>64</v>
      </c>
      <c r="Z724" s="15" t="s">
        <v>44</v>
      </c>
      <c r="AA724" s="15" t="s">
        <v>426</v>
      </c>
      <c r="AB724" s="15" t="s">
        <v>15</v>
      </c>
      <c r="AC724" s="15" t="s">
        <v>16</v>
      </c>
      <c r="AD724" s="15"/>
      <c r="AE724" s="1">
        <v>0</v>
      </c>
      <c r="AF724" s="1"/>
    </row>
    <row r="725" spans="1:32" x14ac:dyDescent="0.2">
      <c r="A725" s="34" t="s">
        <v>426</v>
      </c>
      <c r="B725" s="34" t="s">
        <v>15</v>
      </c>
      <c r="C725" s="34" t="s">
        <v>16</v>
      </c>
      <c r="D725" s="34" t="s">
        <v>1144</v>
      </c>
      <c r="E725" s="34" t="s">
        <v>620</v>
      </c>
      <c r="F725" s="34">
        <v>1</v>
      </c>
      <c r="G725" s="34" t="s">
        <v>1658</v>
      </c>
      <c r="H725" s="34" t="s">
        <v>11</v>
      </c>
      <c r="I725" s="34" t="s">
        <v>20</v>
      </c>
      <c r="J725" s="13" t="s">
        <v>1659</v>
      </c>
      <c r="K725" s="15" t="s">
        <v>64</v>
      </c>
      <c r="L725" s="15" t="s">
        <v>44</v>
      </c>
      <c r="M725" s="15" t="s">
        <v>65</v>
      </c>
      <c r="N725" s="13">
        <v>747</v>
      </c>
      <c r="O725" s="30">
        <v>45748</v>
      </c>
      <c r="P725" s="30">
        <v>45751</v>
      </c>
      <c r="Q725" s="30">
        <v>45758</v>
      </c>
      <c r="R725" s="30">
        <v>45762</v>
      </c>
      <c r="S725" s="23">
        <f t="shared" si="45"/>
        <v>91</v>
      </c>
      <c r="T725" s="23">
        <f t="shared" si="46"/>
        <v>94</v>
      </c>
      <c r="U725" s="23">
        <f t="shared" si="47"/>
        <v>101</v>
      </c>
      <c r="V725" s="23">
        <f t="shared" si="48"/>
        <v>105</v>
      </c>
      <c r="W725" s="15" t="s">
        <v>11</v>
      </c>
      <c r="X725" s="15" t="s">
        <v>20</v>
      </c>
      <c r="Y725" s="15" t="s">
        <v>64</v>
      </c>
      <c r="Z725" s="15" t="s">
        <v>44</v>
      </c>
      <c r="AA725" s="15" t="s">
        <v>426</v>
      </c>
      <c r="AB725" s="15" t="s">
        <v>15</v>
      </c>
      <c r="AC725" s="15" t="s">
        <v>16</v>
      </c>
      <c r="AD725" s="15"/>
      <c r="AE725" s="1">
        <v>0</v>
      </c>
      <c r="AF725" s="1"/>
    </row>
    <row r="726" spans="1:32" x14ac:dyDescent="0.2">
      <c r="A726" s="34" t="s">
        <v>426</v>
      </c>
      <c r="B726" s="34" t="s">
        <v>15</v>
      </c>
      <c r="C726" s="34" t="s">
        <v>16</v>
      </c>
      <c r="D726" s="34" t="s">
        <v>1144</v>
      </c>
      <c r="E726" s="34" t="s">
        <v>618</v>
      </c>
      <c r="F726" s="34">
        <v>2</v>
      </c>
      <c r="G726" s="34" t="s">
        <v>1660</v>
      </c>
      <c r="H726" s="34" t="s">
        <v>11</v>
      </c>
      <c r="I726" s="34" t="s">
        <v>20</v>
      </c>
      <c r="J726" s="13" t="s">
        <v>1661</v>
      </c>
      <c r="K726" s="15" t="s">
        <v>64</v>
      </c>
      <c r="L726" s="15" t="s">
        <v>44</v>
      </c>
      <c r="M726" s="15" t="s">
        <v>65</v>
      </c>
      <c r="N726" s="13">
        <v>748</v>
      </c>
      <c r="O726" s="30">
        <v>45751</v>
      </c>
      <c r="P726" s="30">
        <v>45755</v>
      </c>
      <c r="Q726" s="30">
        <v>45758</v>
      </c>
      <c r="R726" s="30">
        <v>45765</v>
      </c>
      <c r="S726" s="23">
        <f t="shared" si="45"/>
        <v>94</v>
      </c>
      <c r="T726" s="23">
        <f t="shared" si="46"/>
        <v>98</v>
      </c>
      <c r="U726" s="23">
        <f t="shared" si="47"/>
        <v>101</v>
      </c>
      <c r="V726" s="23">
        <f t="shared" si="48"/>
        <v>108</v>
      </c>
      <c r="W726" s="15" t="s">
        <v>11</v>
      </c>
      <c r="X726" s="15" t="s">
        <v>20</v>
      </c>
      <c r="Y726" s="15" t="s">
        <v>64</v>
      </c>
      <c r="Z726" s="15" t="s">
        <v>44</v>
      </c>
      <c r="AA726" s="15" t="s">
        <v>426</v>
      </c>
      <c r="AB726" s="15" t="s">
        <v>15</v>
      </c>
      <c r="AC726" s="15" t="s">
        <v>16</v>
      </c>
      <c r="AD726" s="15"/>
      <c r="AE726" s="1">
        <v>0</v>
      </c>
      <c r="AF726" s="1"/>
    </row>
    <row r="727" spans="1:32" x14ac:dyDescent="0.2">
      <c r="A727" s="34" t="s">
        <v>426</v>
      </c>
      <c r="B727" s="34" t="s">
        <v>15</v>
      </c>
      <c r="C727" s="34" t="s">
        <v>16</v>
      </c>
      <c r="D727" s="34" t="s">
        <v>1144</v>
      </c>
      <c r="E727" s="34" t="s">
        <v>619</v>
      </c>
      <c r="F727" s="34">
        <v>2</v>
      </c>
      <c r="G727" s="34" t="s">
        <v>1662</v>
      </c>
      <c r="H727" s="34" t="s">
        <v>11</v>
      </c>
      <c r="I727" s="34" t="s">
        <v>20</v>
      </c>
      <c r="J727" s="13" t="s">
        <v>1663</v>
      </c>
      <c r="K727" s="15" t="s">
        <v>64</v>
      </c>
      <c r="L727" s="15" t="s">
        <v>44</v>
      </c>
      <c r="M727" s="15" t="s">
        <v>65</v>
      </c>
      <c r="N727" s="13">
        <v>749</v>
      </c>
      <c r="O727" s="30">
        <v>45751</v>
      </c>
      <c r="P727" s="30">
        <v>45755</v>
      </c>
      <c r="Q727" s="30">
        <v>45758</v>
      </c>
      <c r="R727" s="30">
        <v>45765</v>
      </c>
      <c r="S727" s="23">
        <f t="shared" si="45"/>
        <v>94</v>
      </c>
      <c r="T727" s="23">
        <f t="shared" si="46"/>
        <v>98</v>
      </c>
      <c r="U727" s="23">
        <f t="shared" si="47"/>
        <v>101</v>
      </c>
      <c r="V727" s="23">
        <f t="shared" si="48"/>
        <v>108</v>
      </c>
      <c r="W727" s="15" t="s">
        <v>11</v>
      </c>
      <c r="X727" s="15" t="s">
        <v>20</v>
      </c>
      <c r="Y727" s="15" t="s">
        <v>64</v>
      </c>
      <c r="Z727" s="15" t="s">
        <v>44</v>
      </c>
      <c r="AA727" s="15" t="s">
        <v>426</v>
      </c>
      <c r="AB727" s="15" t="s">
        <v>15</v>
      </c>
      <c r="AC727" s="15" t="s">
        <v>16</v>
      </c>
      <c r="AD727" s="15"/>
      <c r="AE727" s="1">
        <v>0</v>
      </c>
      <c r="AF727" s="1"/>
    </row>
    <row r="728" spans="1:32" x14ac:dyDescent="0.2">
      <c r="A728" s="34" t="s">
        <v>426</v>
      </c>
      <c r="B728" s="34" t="s">
        <v>15</v>
      </c>
      <c r="C728" s="34" t="s">
        <v>16</v>
      </c>
      <c r="D728" s="34" t="s">
        <v>1144</v>
      </c>
      <c r="E728" s="34" t="s">
        <v>620</v>
      </c>
      <c r="F728" s="34">
        <v>2</v>
      </c>
      <c r="G728" s="34" t="s">
        <v>1664</v>
      </c>
      <c r="H728" s="34" t="s">
        <v>11</v>
      </c>
      <c r="I728" s="34" t="s">
        <v>20</v>
      </c>
      <c r="J728" s="13" t="s">
        <v>1665</v>
      </c>
      <c r="K728" s="15" t="s">
        <v>64</v>
      </c>
      <c r="L728" s="15" t="s">
        <v>44</v>
      </c>
      <c r="M728" s="15" t="s">
        <v>65</v>
      </c>
      <c r="N728" s="13">
        <v>750</v>
      </c>
      <c r="O728" s="30">
        <v>45751</v>
      </c>
      <c r="P728" s="30">
        <v>45755</v>
      </c>
      <c r="Q728" s="30">
        <v>45765</v>
      </c>
      <c r="R728" s="30">
        <v>45772</v>
      </c>
      <c r="S728" s="23">
        <f t="shared" si="45"/>
        <v>94</v>
      </c>
      <c r="T728" s="23">
        <f t="shared" si="46"/>
        <v>98</v>
      </c>
      <c r="U728" s="23">
        <f t="shared" si="47"/>
        <v>108</v>
      </c>
      <c r="V728" s="23">
        <f t="shared" si="48"/>
        <v>115</v>
      </c>
      <c r="W728" s="15" t="s">
        <v>11</v>
      </c>
      <c r="X728" s="15" t="s">
        <v>20</v>
      </c>
      <c r="Y728" s="15" t="s">
        <v>64</v>
      </c>
      <c r="Z728" s="15" t="s">
        <v>44</v>
      </c>
      <c r="AA728" s="15" t="s">
        <v>426</v>
      </c>
      <c r="AB728" s="15" t="s">
        <v>15</v>
      </c>
      <c r="AC728" s="15" t="s">
        <v>16</v>
      </c>
      <c r="AD728" s="15"/>
      <c r="AE728" s="1">
        <v>0</v>
      </c>
      <c r="AF728" s="1"/>
    </row>
    <row r="729" spans="1:32" x14ac:dyDescent="0.2">
      <c r="A729" s="35" t="s">
        <v>426</v>
      </c>
      <c r="B729" s="35" t="s">
        <v>15</v>
      </c>
      <c r="C729" s="35" t="s">
        <v>32</v>
      </c>
      <c r="D729" s="31" t="s">
        <v>1153</v>
      </c>
      <c r="E729" s="35" t="s">
        <v>618</v>
      </c>
      <c r="F729" s="35">
        <v>1</v>
      </c>
      <c r="G729" s="35" t="s">
        <v>1666</v>
      </c>
      <c r="H729" s="35" t="s">
        <v>11</v>
      </c>
      <c r="I729" s="35" t="s">
        <v>20</v>
      </c>
      <c r="J729" s="21" t="s">
        <v>1667</v>
      </c>
      <c r="K729" s="22" t="s">
        <v>64</v>
      </c>
      <c r="L729" s="22" t="s">
        <v>44</v>
      </c>
      <c r="M729" s="22" t="s">
        <v>65</v>
      </c>
      <c r="N729" s="21">
        <v>751</v>
      </c>
      <c r="O729" s="29">
        <v>45748</v>
      </c>
      <c r="P729" s="29">
        <v>45755</v>
      </c>
      <c r="Q729" s="29">
        <v>45758</v>
      </c>
      <c r="R729" s="29">
        <v>45762</v>
      </c>
      <c r="S729" s="23">
        <f t="shared" si="45"/>
        <v>91</v>
      </c>
      <c r="T729" s="23">
        <f t="shared" si="46"/>
        <v>98</v>
      </c>
      <c r="U729" s="23">
        <f t="shared" si="47"/>
        <v>101</v>
      </c>
      <c r="V729" s="23">
        <f t="shared" si="48"/>
        <v>105</v>
      </c>
      <c r="W729" s="22" t="s">
        <v>11</v>
      </c>
      <c r="X729" s="22" t="s">
        <v>20</v>
      </c>
      <c r="Y729" s="22" t="s">
        <v>64</v>
      </c>
      <c r="Z729" s="22" t="s">
        <v>44</v>
      </c>
      <c r="AA729" s="22" t="s">
        <v>426</v>
      </c>
      <c r="AB729" s="22" t="s">
        <v>15</v>
      </c>
      <c r="AC729" s="22" t="s">
        <v>32</v>
      </c>
      <c r="AD729" s="22"/>
      <c r="AE729" s="2">
        <v>0</v>
      </c>
      <c r="AF729" s="2"/>
    </row>
    <row r="730" spans="1:32" x14ac:dyDescent="0.2">
      <c r="A730" s="35" t="s">
        <v>426</v>
      </c>
      <c r="B730" s="35" t="s">
        <v>15</v>
      </c>
      <c r="C730" s="35" t="s">
        <v>32</v>
      </c>
      <c r="D730" s="31" t="s">
        <v>1153</v>
      </c>
      <c r="E730" s="35" t="s">
        <v>619</v>
      </c>
      <c r="F730" s="35">
        <v>1</v>
      </c>
      <c r="G730" s="35" t="s">
        <v>1668</v>
      </c>
      <c r="H730" s="35" t="s">
        <v>11</v>
      </c>
      <c r="I730" s="35" t="s">
        <v>20</v>
      </c>
      <c r="J730" s="21" t="s">
        <v>1669</v>
      </c>
      <c r="K730" s="22" t="s">
        <v>64</v>
      </c>
      <c r="L730" s="22" t="s">
        <v>44</v>
      </c>
      <c r="M730" s="22" t="s">
        <v>65</v>
      </c>
      <c r="N730" s="21">
        <v>752</v>
      </c>
      <c r="O730" s="29">
        <v>45748</v>
      </c>
      <c r="P730" s="29">
        <v>45755</v>
      </c>
      <c r="Q730" s="29">
        <v>45762</v>
      </c>
      <c r="R730" s="29">
        <v>45765</v>
      </c>
      <c r="S730" s="23">
        <f t="shared" si="45"/>
        <v>91</v>
      </c>
      <c r="T730" s="23">
        <f t="shared" si="46"/>
        <v>98</v>
      </c>
      <c r="U730" s="23">
        <f t="shared" si="47"/>
        <v>105</v>
      </c>
      <c r="V730" s="23">
        <f t="shared" si="48"/>
        <v>108</v>
      </c>
      <c r="W730" s="22" t="s">
        <v>11</v>
      </c>
      <c r="X730" s="22" t="s">
        <v>20</v>
      </c>
      <c r="Y730" s="22" t="s">
        <v>64</v>
      </c>
      <c r="Z730" s="22" t="s">
        <v>44</v>
      </c>
      <c r="AA730" s="22" t="s">
        <v>426</v>
      </c>
      <c r="AB730" s="22" t="s">
        <v>15</v>
      </c>
      <c r="AC730" s="22" t="s">
        <v>32</v>
      </c>
      <c r="AD730" s="22"/>
      <c r="AE730" s="2">
        <v>0</v>
      </c>
      <c r="AF730" s="2"/>
    </row>
    <row r="731" spans="1:32" x14ac:dyDescent="0.2">
      <c r="A731" s="35" t="s">
        <v>426</v>
      </c>
      <c r="B731" s="35" t="s">
        <v>15</v>
      </c>
      <c r="C731" s="35" t="s">
        <v>32</v>
      </c>
      <c r="D731" s="31" t="s">
        <v>1153</v>
      </c>
      <c r="E731" s="35" t="s">
        <v>620</v>
      </c>
      <c r="F731" s="35">
        <v>1</v>
      </c>
      <c r="G731" s="35" t="s">
        <v>1670</v>
      </c>
      <c r="H731" s="35" t="s">
        <v>11</v>
      </c>
      <c r="I731" s="35" t="s">
        <v>20</v>
      </c>
      <c r="J731" s="21" t="s">
        <v>1671</v>
      </c>
      <c r="K731" s="22" t="s">
        <v>64</v>
      </c>
      <c r="L731" s="22" t="s">
        <v>44</v>
      </c>
      <c r="M731" s="22" t="s">
        <v>65</v>
      </c>
      <c r="N731" s="21">
        <v>753</v>
      </c>
      <c r="O731" s="29">
        <v>45748</v>
      </c>
      <c r="P731" s="29">
        <v>45755</v>
      </c>
      <c r="Q731" s="29">
        <v>45762</v>
      </c>
      <c r="R731" s="29">
        <v>45765</v>
      </c>
      <c r="S731" s="23">
        <f t="shared" si="45"/>
        <v>91</v>
      </c>
      <c r="T731" s="23">
        <f t="shared" si="46"/>
        <v>98</v>
      </c>
      <c r="U731" s="23">
        <f t="shared" si="47"/>
        <v>105</v>
      </c>
      <c r="V731" s="23">
        <f t="shared" si="48"/>
        <v>108</v>
      </c>
      <c r="W731" s="22" t="s">
        <v>11</v>
      </c>
      <c r="X731" s="22" t="s">
        <v>20</v>
      </c>
      <c r="Y731" s="22" t="s">
        <v>64</v>
      </c>
      <c r="Z731" s="22" t="s">
        <v>44</v>
      </c>
      <c r="AA731" s="22" t="s">
        <v>426</v>
      </c>
      <c r="AB731" s="22" t="s">
        <v>15</v>
      </c>
      <c r="AC731" s="22" t="s">
        <v>32</v>
      </c>
      <c r="AD731" s="22"/>
      <c r="AE731" s="2">
        <v>0</v>
      </c>
      <c r="AF731" s="2"/>
    </row>
    <row r="732" spans="1:32" x14ac:dyDescent="0.2">
      <c r="A732" s="35" t="s">
        <v>426</v>
      </c>
      <c r="B732" s="35" t="s">
        <v>15</v>
      </c>
      <c r="C732" s="35" t="s">
        <v>32</v>
      </c>
      <c r="D732" s="31" t="s">
        <v>1153</v>
      </c>
      <c r="E732" s="35" t="s">
        <v>618</v>
      </c>
      <c r="F732" s="35">
        <v>2</v>
      </c>
      <c r="G732" s="35" t="s">
        <v>1672</v>
      </c>
      <c r="H732" s="35" t="s">
        <v>11</v>
      </c>
      <c r="I732" s="35" t="s">
        <v>20</v>
      </c>
      <c r="J732" s="21" t="s">
        <v>1673</v>
      </c>
      <c r="K732" s="22" t="s">
        <v>64</v>
      </c>
      <c r="L732" s="22" t="s">
        <v>44</v>
      </c>
      <c r="M732" s="22" t="s">
        <v>65</v>
      </c>
      <c r="N732" s="21">
        <v>754</v>
      </c>
      <c r="O732" s="29">
        <v>45748</v>
      </c>
      <c r="P732" s="29">
        <v>45755</v>
      </c>
      <c r="Q732" s="29">
        <v>45758</v>
      </c>
      <c r="R732" s="29">
        <v>45762</v>
      </c>
      <c r="S732" s="23">
        <f t="shared" si="45"/>
        <v>91</v>
      </c>
      <c r="T732" s="23">
        <f t="shared" si="46"/>
        <v>98</v>
      </c>
      <c r="U732" s="23">
        <f t="shared" si="47"/>
        <v>101</v>
      </c>
      <c r="V732" s="23">
        <f t="shared" si="48"/>
        <v>105</v>
      </c>
      <c r="W732" s="22" t="s">
        <v>11</v>
      </c>
      <c r="X732" s="22" t="s">
        <v>20</v>
      </c>
      <c r="Y732" s="22" t="s">
        <v>64</v>
      </c>
      <c r="Z732" s="22" t="s">
        <v>44</v>
      </c>
      <c r="AA732" s="22" t="s">
        <v>426</v>
      </c>
      <c r="AB732" s="22" t="s">
        <v>15</v>
      </c>
      <c r="AC732" s="22" t="s">
        <v>32</v>
      </c>
      <c r="AD732" s="22"/>
      <c r="AE732" s="2">
        <v>0</v>
      </c>
      <c r="AF732" s="2"/>
    </row>
    <row r="733" spans="1:32" x14ac:dyDescent="0.2">
      <c r="A733" s="35" t="s">
        <v>426</v>
      </c>
      <c r="B733" s="35" t="s">
        <v>15</v>
      </c>
      <c r="C733" s="35" t="s">
        <v>32</v>
      </c>
      <c r="D733" s="31" t="s">
        <v>1153</v>
      </c>
      <c r="E733" s="35" t="s">
        <v>619</v>
      </c>
      <c r="F733" s="35">
        <v>2</v>
      </c>
      <c r="G733" s="35" t="s">
        <v>1674</v>
      </c>
      <c r="H733" s="35" t="s">
        <v>11</v>
      </c>
      <c r="I733" s="35" t="s">
        <v>20</v>
      </c>
      <c r="J733" s="21" t="s">
        <v>1675</v>
      </c>
      <c r="K733" s="22" t="s">
        <v>64</v>
      </c>
      <c r="L733" s="22" t="s">
        <v>44</v>
      </c>
      <c r="M733" s="22" t="s">
        <v>65</v>
      </c>
      <c r="N733" s="21">
        <v>755</v>
      </c>
      <c r="O733" s="29">
        <v>45748</v>
      </c>
      <c r="P733" s="29">
        <v>45755</v>
      </c>
      <c r="Q733" s="29">
        <v>45762</v>
      </c>
      <c r="R733" s="29">
        <v>45765</v>
      </c>
      <c r="S733" s="23">
        <f t="shared" si="45"/>
        <v>91</v>
      </c>
      <c r="T733" s="23">
        <f t="shared" si="46"/>
        <v>98</v>
      </c>
      <c r="U733" s="23">
        <f t="shared" si="47"/>
        <v>105</v>
      </c>
      <c r="V733" s="23">
        <f t="shared" si="48"/>
        <v>108</v>
      </c>
      <c r="W733" s="22" t="s">
        <v>11</v>
      </c>
      <c r="X733" s="22" t="s">
        <v>20</v>
      </c>
      <c r="Y733" s="22" t="s">
        <v>64</v>
      </c>
      <c r="Z733" s="22" t="s">
        <v>44</v>
      </c>
      <c r="AA733" s="22" t="s">
        <v>426</v>
      </c>
      <c r="AB733" s="22" t="s">
        <v>15</v>
      </c>
      <c r="AC733" s="22" t="s">
        <v>32</v>
      </c>
      <c r="AD733" s="22"/>
      <c r="AE733" s="2">
        <v>0</v>
      </c>
      <c r="AF733" s="2"/>
    </row>
    <row r="734" spans="1:32" x14ac:dyDescent="0.2">
      <c r="A734" s="35" t="s">
        <v>426</v>
      </c>
      <c r="B734" s="35" t="s">
        <v>15</v>
      </c>
      <c r="C734" s="35" t="s">
        <v>32</v>
      </c>
      <c r="D734" s="31" t="s">
        <v>1153</v>
      </c>
      <c r="E734" s="35" t="s">
        <v>620</v>
      </c>
      <c r="F734" s="35">
        <v>2</v>
      </c>
      <c r="G734" s="35" t="s">
        <v>1676</v>
      </c>
      <c r="H734" s="35" t="s">
        <v>11</v>
      </c>
      <c r="I734" s="35" t="s">
        <v>20</v>
      </c>
      <c r="J734" s="21" t="s">
        <v>1677</v>
      </c>
      <c r="K734" s="22" t="s">
        <v>64</v>
      </c>
      <c r="L734" s="22" t="s">
        <v>44</v>
      </c>
      <c r="M734" s="22" t="s">
        <v>65</v>
      </c>
      <c r="N734" s="21">
        <v>756</v>
      </c>
      <c r="O734" s="29">
        <v>45748</v>
      </c>
      <c r="P734" s="29">
        <v>45755</v>
      </c>
      <c r="Q734" s="29">
        <v>45762</v>
      </c>
      <c r="R734" s="29">
        <v>45765</v>
      </c>
      <c r="S734" s="23">
        <f t="shared" si="45"/>
        <v>91</v>
      </c>
      <c r="T734" s="23">
        <f t="shared" si="46"/>
        <v>98</v>
      </c>
      <c r="U734" s="23">
        <f t="shared" si="47"/>
        <v>105</v>
      </c>
      <c r="V734" s="23">
        <f t="shared" si="48"/>
        <v>108</v>
      </c>
      <c r="W734" s="22" t="s">
        <v>11</v>
      </c>
      <c r="X734" s="22" t="s">
        <v>20</v>
      </c>
      <c r="Y734" s="22" t="s">
        <v>64</v>
      </c>
      <c r="Z734" s="22" t="s">
        <v>44</v>
      </c>
      <c r="AA734" s="22" t="s">
        <v>426</v>
      </c>
      <c r="AB734" s="22" t="s">
        <v>15</v>
      </c>
      <c r="AC734" s="22" t="s">
        <v>32</v>
      </c>
      <c r="AD734" s="22"/>
      <c r="AE734" s="2">
        <v>0</v>
      </c>
      <c r="AF734" s="2"/>
    </row>
    <row r="735" spans="1:32" x14ac:dyDescent="0.2">
      <c r="A735" s="34" t="s">
        <v>426</v>
      </c>
      <c r="B735" s="34" t="s">
        <v>15</v>
      </c>
      <c r="C735" s="34" t="s">
        <v>53</v>
      </c>
      <c r="D735" s="34" t="s">
        <v>1171</v>
      </c>
      <c r="E735" s="34" t="s">
        <v>618</v>
      </c>
      <c r="F735" s="34">
        <v>1</v>
      </c>
      <c r="G735" s="34" t="s">
        <v>1678</v>
      </c>
      <c r="H735" s="34" t="s">
        <v>11</v>
      </c>
      <c r="I735" s="34" t="s">
        <v>20</v>
      </c>
      <c r="J735" s="13" t="s">
        <v>1679</v>
      </c>
      <c r="K735" s="15" t="s">
        <v>64</v>
      </c>
      <c r="L735" s="15" t="s">
        <v>44</v>
      </c>
      <c r="M735" s="15" t="s">
        <v>65</v>
      </c>
      <c r="N735" s="13">
        <v>757</v>
      </c>
      <c r="O735" s="30">
        <v>45748</v>
      </c>
      <c r="P735" s="30">
        <v>45755</v>
      </c>
      <c r="Q735" s="30">
        <v>45762</v>
      </c>
      <c r="R735" s="30">
        <v>45765</v>
      </c>
      <c r="S735" s="23">
        <f t="shared" si="45"/>
        <v>91</v>
      </c>
      <c r="T735" s="23">
        <f t="shared" si="46"/>
        <v>98</v>
      </c>
      <c r="U735" s="23">
        <f t="shared" si="47"/>
        <v>105</v>
      </c>
      <c r="V735" s="23">
        <f t="shared" si="48"/>
        <v>108</v>
      </c>
      <c r="W735" s="15" t="s">
        <v>11</v>
      </c>
      <c r="X735" s="15" t="s">
        <v>20</v>
      </c>
      <c r="Y735" s="15" t="s">
        <v>64</v>
      </c>
      <c r="Z735" s="15" t="s">
        <v>44</v>
      </c>
      <c r="AA735" s="15" t="s">
        <v>426</v>
      </c>
      <c r="AB735" s="15" t="s">
        <v>15</v>
      </c>
      <c r="AC735" s="15" t="s">
        <v>53</v>
      </c>
      <c r="AD735" s="15"/>
      <c r="AE735" s="1">
        <v>0</v>
      </c>
      <c r="AF735" s="1"/>
    </row>
    <row r="736" spans="1:32" x14ac:dyDescent="0.2">
      <c r="A736" s="34" t="s">
        <v>426</v>
      </c>
      <c r="B736" s="34" t="s">
        <v>15</v>
      </c>
      <c r="C736" s="34" t="s">
        <v>53</v>
      </c>
      <c r="D736" s="34" t="s">
        <v>1171</v>
      </c>
      <c r="E736" s="34" t="s">
        <v>619</v>
      </c>
      <c r="F736" s="34">
        <v>1</v>
      </c>
      <c r="G736" s="34" t="s">
        <v>1680</v>
      </c>
      <c r="H736" s="34" t="s">
        <v>11</v>
      </c>
      <c r="I736" s="34" t="s">
        <v>20</v>
      </c>
      <c r="J736" s="13" t="s">
        <v>1681</v>
      </c>
      <c r="K736" s="15" t="s">
        <v>64</v>
      </c>
      <c r="L736" s="15" t="s">
        <v>44</v>
      </c>
      <c r="M736" s="15" t="s">
        <v>65</v>
      </c>
      <c r="N736" s="13">
        <v>758</v>
      </c>
      <c r="O736" s="30">
        <v>45751</v>
      </c>
      <c r="P736" s="30">
        <v>45755</v>
      </c>
      <c r="Q736" s="30">
        <v>45762</v>
      </c>
      <c r="R736" s="30">
        <v>45765</v>
      </c>
      <c r="S736" s="23">
        <f t="shared" si="45"/>
        <v>94</v>
      </c>
      <c r="T736" s="23">
        <f t="shared" si="46"/>
        <v>98</v>
      </c>
      <c r="U736" s="23">
        <f t="shared" si="47"/>
        <v>105</v>
      </c>
      <c r="V736" s="23">
        <f t="shared" si="48"/>
        <v>108</v>
      </c>
      <c r="W736" s="15" t="s">
        <v>11</v>
      </c>
      <c r="X736" s="15" t="s">
        <v>20</v>
      </c>
      <c r="Y736" s="15" t="s">
        <v>64</v>
      </c>
      <c r="Z736" s="15" t="s">
        <v>44</v>
      </c>
      <c r="AA736" s="15" t="s">
        <v>426</v>
      </c>
      <c r="AB736" s="15" t="s">
        <v>15</v>
      </c>
      <c r="AC736" s="15" t="s">
        <v>53</v>
      </c>
      <c r="AD736" s="15"/>
      <c r="AE736" s="1">
        <v>0</v>
      </c>
      <c r="AF736" s="1"/>
    </row>
    <row r="737" spans="1:32" x14ac:dyDescent="0.2">
      <c r="A737" s="34" t="s">
        <v>426</v>
      </c>
      <c r="B737" s="34" t="s">
        <v>15</v>
      </c>
      <c r="C737" s="34" t="s">
        <v>53</v>
      </c>
      <c r="D737" s="34" t="s">
        <v>1171</v>
      </c>
      <c r="E737" s="34" t="s">
        <v>620</v>
      </c>
      <c r="F737" s="34">
        <v>1</v>
      </c>
      <c r="G737" s="34" t="s">
        <v>1682</v>
      </c>
      <c r="H737" s="34" t="s">
        <v>11</v>
      </c>
      <c r="I737" s="34" t="s">
        <v>20</v>
      </c>
      <c r="J737" s="13" t="s">
        <v>1683</v>
      </c>
      <c r="K737" s="15" t="s">
        <v>64</v>
      </c>
      <c r="L737" s="15" t="s">
        <v>44</v>
      </c>
      <c r="M737" s="15" t="s">
        <v>65</v>
      </c>
      <c r="N737" s="13">
        <v>759</v>
      </c>
      <c r="O737" s="30">
        <v>45748</v>
      </c>
      <c r="P737" s="30">
        <v>45755</v>
      </c>
      <c r="Q737" s="30">
        <v>45758</v>
      </c>
      <c r="R737" s="30">
        <v>45765</v>
      </c>
      <c r="S737" s="23">
        <f t="shared" si="45"/>
        <v>91</v>
      </c>
      <c r="T737" s="23">
        <f t="shared" si="46"/>
        <v>98</v>
      </c>
      <c r="U737" s="23">
        <f t="shared" si="47"/>
        <v>101</v>
      </c>
      <c r="V737" s="23">
        <f t="shared" si="48"/>
        <v>108</v>
      </c>
      <c r="W737" s="15" t="s">
        <v>11</v>
      </c>
      <c r="X737" s="15" t="s">
        <v>20</v>
      </c>
      <c r="Y737" s="15" t="s">
        <v>64</v>
      </c>
      <c r="Z737" s="15" t="s">
        <v>44</v>
      </c>
      <c r="AA737" s="15" t="s">
        <v>426</v>
      </c>
      <c r="AB737" s="15" t="s">
        <v>15</v>
      </c>
      <c r="AC737" s="15" t="s">
        <v>53</v>
      </c>
      <c r="AD737" s="15"/>
      <c r="AE737" s="1">
        <v>0</v>
      </c>
      <c r="AF737" s="1"/>
    </row>
    <row r="738" spans="1:32" x14ac:dyDescent="0.2">
      <c r="A738" s="34" t="s">
        <v>426</v>
      </c>
      <c r="B738" s="34" t="s">
        <v>15</v>
      </c>
      <c r="C738" s="34" t="s">
        <v>53</v>
      </c>
      <c r="D738" s="34" t="s">
        <v>1171</v>
      </c>
      <c r="E738" s="34" t="s">
        <v>618</v>
      </c>
      <c r="F738" s="34">
        <v>2</v>
      </c>
      <c r="G738" s="34" t="s">
        <v>1684</v>
      </c>
      <c r="H738" s="34" t="s">
        <v>11</v>
      </c>
      <c r="I738" s="34" t="s">
        <v>20</v>
      </c>
      <c r="J738" s="13" t="s">
        <v>1685</v>
      </c>
      <c r="K738" s="15" t="s">
        <v>64</v>
      </c>
      <c r="L738" s="15" t="s">
        <v>44</v>
      </c>
      <c r="M738" s="15" t="s">
        <v>65</v>
      </c>
      <c r="N738" s="13">
        <v>760</v>
      </c>
      <c r="O738" s="30">
        <v>45748</v>
      </c>
      <c r="P738" s="30">
        <v>45751</v>
      </c>
      <c r="Q738" s="30">
        <v>45758</v>
      </c>
      <c r="R738" s="30">
        <v>45762</v>
      </c>
      <c r="S738" s="23">
        <f t="shared" si="45"/>
        <v>91</v>
      </c>
      <c r="T738" s="23">
        <f t="shared" si="46"/>
        <v>94</v>
      </c>
      <c r="U738" s="23">
        <f t="shared" si="47"/>
        <v>101</v>
      </c>
      <c r="V738" s="23">
        <f t="shared" si="48"/>
        <v>105</v>
      </c>
      <c r="W738" s="15" t="s">
        <v>11</v>
      </c>
      <c r="X738" s="15" t="s">
        <v>20</v>
      </c>
      <c r="Y738" s="15" t="s">
        <v>64</v>
      </c>
      <c r="Z738" s="15" t="s">
        <v>44</v>
      </c>
      <c r="AA738" s="15" t="s">
        <v>426</v>
      </c>
      <c r="AB738" s="15" t="s">
        <v>15</v>
      </c>
      <c r="AC738" s="15" t="s">
        <v>53</v>
      </c>
      <c r="AD738" s="15"/>
      <c r="AE738" s="1">
        <v>0</v>
      </c>
      <c r="AF738" s="1"/>
    </row>
    <row r="739" spans="1:32" x14ac:dyDescent="0.2">
      <c r="A739" s="34" t="s">
        <v>426</v>
      </c>
      <c r="B739" s="34" t="s">
        <v>15</v>
      </c>
      <c r="C739" s="34" t="s">
        <v>53</v>
      </c>
      <c r="D739" s="34" t="s">
        <v>1171</v>
      </c>
      <c r="E739" s="34" t="s">
        <v>619</v>
      </c>
      <c r="F739" s="34">
        <v>2</v>
      </c>
      <c r="G739" s="34" t="s">
        <v>1686</v>
      </c>
      <c r="H739" s="34" t="s">
        <v>11</v>
      </c>
      <c r="I739" s="34" t="s">
        <v>20</v>
      </c>
      <c r="J739" s="13" t="s">
        <v>1687</v>
      </c>
      <c r="K739" s="15" t="s">
        <v>64</v>
      </c>
      <c r="L739" s="15" t="s">
        <v>44</v>
      </c>
      <c r="M739" s="15" t="s">
        <v>65</v>
      </c>
      <c r="N739" s="13">
        <v>761</v>
      </c>
      <c r="O739" s="30">
        <v>45748</v>
      </c>
      <c r="P739" s="30">
        <v>45755</v>
      </c>
      <c r="Q739" s="30">
        <v>45762</v>
      </c>
      <c r="R739" s="30">
        <v>45765</v>
      </c>
      <c r="S739" s="23">
        <f t="shared" si="45"/>
        <v>91</v>
      </c>
      <c r="T739" s="23">
        <f t="shared" si="46"/>
        <v>98</v>
      </c>
      <c r="U739" s="23">
        <f t="shared" si="47"/>
        <v>105</v>
      </c>
      <c r="V739" s="23">
        <f t="shared" si="48"/>
        <v>108</v>
      </c>
      <c r="W739" s="15" t="s">
        <v>11</v>
      </c>
      <c r="X739" s="15" t="s">
        <v>20</v>
      </c>
      <c r="Y739" s="15" t="s">
        <v>64</v>
      </c>
      <c r="Z739" s="15" t="s">
        <v>44</v>
      </c>
      <c r="AA739" s="15" t="s">
        <v>426</v>
      </c>
      <c r="AB739" s="15" t="s">
        <v>15</v>
      </c>
      <c r="AC739" s="15" t="s">
        <v>53</v>
      </c>
      <c r="AD739" s="15"/>
      <c r="AE739" s="1">
        <v>0</v>
      </c>
      <c r="AF739" s="1"/>
    </row>
    <row r="740" spans="1:32" x14ac:dyDescent="0.2">
      <c r="A740" s="34" t="s">
        <v>426</v>
      </c>
      <c r="B740" s="34" t="s">
        <v>15</v>
      </c>
      <c r="C740" s="34" t="s">
        <v>53</v>
      </c>
      <c r="D740" s="34" t="s">
        <v>1171</v>
      </c>
      <c r="E740" s="34" t="s">
        <v>620</v>
      </c>
      <c r="F740" s="34">
        <v>2</v>
      </c>
      <c r="G740" s="34" t="s">
        <v>1688</v>
      </c>
      <c r="H740" s="34" t="s">
        <v>11</v>
      </c>
      <c r="I740" s="34" t="s">
        <v>20</v>
      </c>
      <c r="J740" s="13" t="s">
        <v>1689</v>
      </c>
      <c r="K740" s="15" t="s">
        <v>64</v>
      </c>
      <c r="L740" s="15" t="s">
        <v>44</v>
      </c>
      <c r="M740" s="15" t="s">
        <v>65</v>
      </c>
      <c r="N740" s="13">
        <v>762</v>
      </c>
      <c r="O740" s="30">
        <v>45748</v>
      </c>
      <c r="P740" s="30">
        <v>45755</v>
      </c>
      <c r="Q740" s="30">
        <v>45758</v>
      </c>
      <c r="R740" s="30">
        <v>45762</v>
      </c>
      <c r="S740" s="23">
        <f t="shared" si="45"/>
        <v>91</v>
      </c>
      <c r="T740" s="23">
        <f t="shared" si="46"/>
        <v>98</v>
      </c>
      <c r="U740" s="23">
        <f t="shared" si="47"/>
        <v>101</v>
      </c>
      <c r="V740" s="23">
        <f t="shared" si="48"/>
        <v>105</v>
      </c>
      <c r="W740" s="15" t="s">
        <v>11</v>
      </c>
      <c r="X740" s="15" t="s">
        <v>20</v>
      </c>
      <c r="Y740" s="15" t="s">
        <v>64</v>
      </c>
      <c r="Z740" s="15" t="s">
        <v>44</v>
      </c>
      <c r="AA740" s="15" t="s">
        <v>426</v>
      </c>
      <c r="AB740" s="15" t="s">
        <v>15</v>
      </c>
      <c r="AC740" s="15" t="s">
        <v>53</v>
      </c>
      <c r="AD740" s="15"/>
      <c r="AE740" s="1">
        <v>0</v>
      </c>
      <c r="AF740" s="1"/>
    </row>
    <row r="741" spans="1:32" x14ac:dyDescent="0.2">
      <c r="A741" s="35" t="s">
        <v>426</v>
      </c>
      <c r="B741" s="35" t="s">
        <v>62</v>
      </c>
      <c r="C741" s="35" t="s">
        <v>32</v>
      </c>
      <c r="D741" s="31" t="s">
        <v>1189</v>
      </c>
      <c r="E741" s="35" t="s">
        <v>618</v>
      </c>
      <c r="F741" s="35">
        <v>1</v>
      </c>
      <c r="G741" s="35" t="s">
        <v>1690</v>
      </c>
      <c r="H741" s="35" t="s">
        <v>11</v>
      </c>
      <c r="I741" s="35" t="s">
        <v>20</v>
      </c>
      <c r="J741" s="21" t="s">
        <v>1691</v>
      </c>
      <c r="K741" s="22" t="s">
        <v>21</v>
      </c>
      <c r="L741" s="22" t="s">
        <v>44</v>
      </c>
      <c r="M741" s="22" t="s">
        <v>45</v>
      </c>
      <c r="N741" s="21">
        <v>763</v>
      </c>
      <c r="O741" s="29">
        <v>45751</v>
      </c>
      <c r="P741" s="29">
        <v>45758</v>
      </c>
      <c r="Q741" s="29">
        <v>45762</v>
      </c>
      <c r="R741" s="29">
        <v>45770</v>
      </c>
      <c r="S741" s="23">
        <f t="shared" si="45"/>
        <v>94</v>
      </c>
      <c r="T741" s="23">
        <f t="shared" si="46"/>
        <v>101</v>
      </c>
      <c r="U741" s="23">
        <f t="shared" si="47"/>
        <v>105</v>
      </c>
      <c r="V741" s="23">
        <f t="shared" si="48"/>
        <v>113</v>
      </c>
      <c r="W741" s="22" t="s">
        <v>11</v>
      </c>
      <c r="X741" s="22" t="s">
        <v>20</v>
      </c>
      <c r="Y741" s="22" t="s">
        <v>21</v>
      </c>
      <c r="Z741" s="22" t="s">
        <v>44</v>
      </c>
      <c r="AA741" s="22" t="s">
        <v>426</v>
      </c>
      <c r="AB741" s="22" t="s">
        <v>62</v>
      </c>
      <c r="AC741" s="22" t="s">
        <v>32</v>
      </c>
      <c r="AD741" s="22"/>
      <c r="AE741" s="2">
        <v>0</v>
      </c>
      <c r="AF741" s="2"/>
    </row>
    <row r="742" spans="1:32" x14ac:dyDescent="0.2">
      <c r="A742" s="35" t="s">
        <v>426</v>
      </c>
      <c r="B742" s="35" t="s">
        <v>62</v>
      </c>
      <c r="C742" s="35" t="s">
        <v>32</v>
      </c>
      <c r="D742" s="31" t="s">
        <v>1189</v>
      </c>
      <c r="E742" s="35" t="s">
        <v>619</v>
      </c>
      <c r="F742" s="35">
        <v>1</v>
      </c>
      <c r="G742" s="35" t="s">
        <v>1692</v>
      </c>
      <c r="H742" s="35" t="s">
        <v>11</v>
      </c>
      <c r="I742" s="35" t="s">
        <v>20</v>
      </c>
      <c r="J742" s="21" t="s">
        <v>1693</v>
      </c>
      <c r="K742" s="22" t="s">
        <v>21</v>
      </c>
      <c r="L742" s="22" t="s">
        <v>44</v>
      </c>
      <c r="M742" s="22" t="s">
        <v>45</v>
      </c>
      <c r="N742" s="21">
        <v>764</v>
      </c>
      <c r="O742" s="29">
        <v>45751</v>
      </c>
      <c r="P742" s="29">
        <v>45758</v>
      </c>
      <c r="Q742" s="29">
        <v>45765</v>
      </c>
      <c r="R742" s="29">
        <v>45776</v>
      </c>
      <c r="S742" s="23">
        <f t="shared" si="45"/>
        <v>94</v>
      </c>
      <c r="T742" s="23">
        <f t="shared" si="46"/>
        <v>101</v>
      </c>
      <c r="U742" s="23">
        <f t="shared" si="47"/>
        <v>108</v>
      </c>
      <c r="V742" s="23">
        <f t="shared" si="48"/>
        <v>119</v>
      </c>
      <c r="W742" s="22" t="s">
        <v>11</v>
      </c>
      <c r="X742" s="22" t="s">
        <v>20</v>
      </c>
      <c r="Y742" s="22" t="s">
        <v>21</v>
      </c>
      <c r="Z742" s="22" t="s">
        <v>44</v>
      </c>
      <c r="AA742" s="22" t="s">
        <v>426</v>
      </c>
      <c r="AB742" s="22" t="s">
        <v>62</v>
      </c>
      <c r="AC742" s="22" t="s">
        <v>32</v>
      </c>
      <c r="AD742" s="22"/>
      <c r="AE742" s="2">
        <v>0</v>
      </c>
      <c r="AF742" s="2"/>
    </row>
    <row r="743" spans="1:32" x14ac:dyDescent="0.2">
      <c r="A743" s="35" t="s">
        <v>426</v>
      </c>
      <c r="B743" s="35" t="s">
        <v>62</v>
      </c>
      <c r="C743" s="35" t="s">
        <v>32</v>
      </c>
      <c r="D743" s="31" t="s">
        <v>1189</v>
      </c>
      <c r="E743" s="35" t="s">
        <v>620</v>
      </c>
      <c r="F743" s="35">
        <v>1</v>
      </c>
      <c r="G743" s="35" t="s">
        <v>1694</v>
      </c>
      <c r="H743" s="35" t="s">
        <v>11</v>
      </c>
      <c r="I743" s="35" t="s">
        <v>20</v>
      </c>
      <c r="J743" s="21" t="s">
        <v>1695</v>
      </c>
      <c r="K743" s="22" t="s">
        <v>21</v>
      </c>
      <c r="L743" s="22" t="s">
        <v>44</v>
      </c>
      <c r="M743" s="22" t="s">
        <v>45</v>
      </c>
      <c r="N743" s="21">
        <v>765</v>
      </c>
      <c r="O743" s="29">
        <v>45748</v>
      </c>
      <c r="P743" s="29">
        <v>45755</v>
      </c>
      <c r="Q743" s="29"/>
      <c r="R743" s="29">
        <v>45762</v>
      </c>
      <c r="S743" s="23">
        <f t="shared" si="45"/>
        <v>91</v>
      </c>
      <c r="T743" s="23">
        <f t="shared" si="46"/>
        <v>98</v>
      </c>
      <c r="U743" s="23">
        <f>(V743+T743)/2</f>
        <v>101.5</v>
      </c>
      <c r="V743" s="23">
        <f t="shared" si="48"/>
        <v>105</v>
      </c>
      <c r="W743" s="22" t="s">
        <v>11</v>
      </c>
      <c r="X743" s="22" t="s">
        <v>20</v>
      </c>
      <c r="Y743" s="22" t="s">
        <v>21</v>
      </c>
      <c r="Z743" s="22" t="s">
        <v>44</v>
      </c>
      <c r="AA743" s="22" t="s">
        <v>426</v>
      </c>
      <c r="AB743" s="22" t="s">
        <v>62</v>
      </c>
      <c r="AC743" s="22" t="s">
        <v>32</v>
      </c>
      <c r="AD743" s="22"/>
      <c r="AE743" s="2">
        <v>0</v>
      </c>
      <c r="AF743" s="2"/>
    </row>
    <row r="744" spans="1:32" x14ac:dyDescent="0.2">
      <c r="A744" s="35" t="s">
        <v>426</v>
      </c>
      <c r="B744" s="35" t="s">
        <v>62</v>
      </c>
      <c r="C744" s="35" t="s">
        <v>32</v>
      </c>
      <c r="D744" s="31" t="s">
        <v>1189</v>
      </c>
      <c r="E744" s="35" t="s">
        <v>618</v>
      </c>
      <c r="F744" s="35">
        <v>2</v>
      </c>
      <c r="G744" s="35" t="s">
        <v>1696</v>
      </c>
      <c r="H744" s="35" t="s">
        <v>11</v>
      </c>
      <c r="I744" s="35" t="s">
        <v>20</v>
      </c>
      <c r="J744" s="21" t="s">
        <v>1697</v>
      </c>
      <c r="K744" s="22" t="s">
        <v>21</v>
      </c>
      <c r="L744" s="22" t="s">
        <v>44</v>
      </c>
      <c r="M744" s="22" t="s">
        <v>45</v>
      </c>
      <c r="N744" s="21">
        <v>766</v>
      </c>
      <c r="O744" s="29">
        <v>45748</v>
      </c>
      <c r="P744" s="29">
        <v>45755</v>
      </c>
      <c r="Q744" s="29">
        <v>45758</v>
      </c>
      <c r="R744" s="29">
        <v>45765</v>
      </c>
      <c r="S744" s="23">
        <f t="shared" si="45"/>
        <v>91</v>
      </c>
      <c r="T744" s="23">
        <f t="shared" si="46"/>
        <v>98</v>
      </c>
      <c r="U744" s="23">
        <f t="shared" si="47"/>
        <v>101</v>
      </c>
      <c r="V744" s="23">
        <f t="shared" si="48"/>
        <v>108</v>
      </c>
      <c r="W744" s="22" t="s">
        <v>11</v>
      </c>
      <c r="X744" s="22" t="s">
        <v>20</v>
      </c>
      <c r="Y744" s="22" t="s">
        <v>21</v>
      </c>
      <c r="Z744" s="22" t="s">
        <v>44</v>
      </c>
      <c r="AA744" s="22" t="s">
        <v>426</v>
      </c>
      <c r="AB744" s="22" t="s">
        <v>62</v>
      </c>
      <c r="AC744" s="22" t="s">
        <v>32</v>
      </c>
      <c r="AD744" s="22"/>
      <c r="AE744" s="2">
        <v>0</v>
      </c>
      <c r="AF744" s="2"/>
    </row>
    <row r="745" spans="1:32" x14ac:dyDescent="0.2">
      <c r="A745" s="35" t="s">
        <v>426</v>
      </c>
      <c r="B745" s="35" t="s">
        <v>62</v>
      </c>
      <c r="C745" s="35" t="s">
        <v>32</v>
      </c>
      <c r="D745" s="31" t="s">
        <v>1189</v>
      </c>
      <c r="E745" s="35" t="s">
        <v>619</v>
      </c>
      <c r="F745" s="35">
        <v>2</v>
      </c>
      <c r="G745" s="35" t="s">
        <v>1698</v>
      </c>
      <c r="H745" s="35" t="s">
        <v>11</v>
      </c>
      <c r="I745" s="35" t="s">
        <v>20</v>
      </c>
      <c r="J745" s="21" t="s">
        <v>1699</v>
      </c>
      <c r="K745" s="22" t="s">
        <v>21</v>
      </c>
      <c r="L745" s="22" t="s">
        <v>44</v>
      </c>
      <c r="M745" s="22" t="s">
        <v>45</v>
      </c>
      <c r="N745" s="21">
        <v>767</v>
      </c>
      <c r="O745" s="29">
        <v>45748</v>
      </c>
      <c r="P745" s="29">
        <v>45755</v>
      </c>
      <c r="Q745" s="29">
        <v>45762</v>
      </c>
      <c r="R745" s="29">
        <v>45765</v>
      </c>
      <c r="S745" s="23">
        <f t="shared" si="45"/>
        <v>91</v>
      </c>
      <c r="T745" s="23">
        <f t="shared" si="46"/>
        <v>98</v>
      </c>
      <c r="U745" s="23">
        <f t="shared" si="47"/>
        <v>105</v>
      </c>
      <c r="V745" s="23">
        <f t="shared" si="48"/>
        <v>108</v>
      </c>
      <c r="W745" s="22" t="s">
        <v>11</v>
      </c>
      <c r="X745" s="22" t="s">
        <v>20</v>
      </c>
      <c r="Y745" s="22" t="s">
        <v>21</v>
      </c>
      <c r="Z745" s="22" t="s">
        <v>44</v>
      </c>
      <c r="AA745" s="22" t="s">
        <v>426</v>
      </c>
      <c r="AB745" s="22" t="s">
        <v>62</v>
      </c>
      <c r="AC745" s="22" t="s">
        <v>32</v>
      </c>
      <c r="AD745" s="22"/>
      <c r="AE745" s="2">
        <v>0</v>
      </c>
      <c r="AF745" s="2"/>
    </row>
    <row r="746" spans="1:32" x14ac:dyDescent="0.2">
      <c r="A746" s="35" t="s">
        <v>426</v>
      </c>
      <c r="B746" s="35" t="s">
        <v>62</v>
      </c>
      <c r="C746" s="35" t="s">
        <v>32</v>
      </c>
      <c r="D746" s="31" t="s">
        <v>1189</v>
      </c>
      <c r="E746" s="35" t="s">
        <v>620</v>
      </c>
      <c r="F746" s="35">
        <v>2</v>
      </c>
      <c r="G746" s="35" t="s">
        <v>1700</v>
      </c>
      <c r="H746" s="35" t="s">
        <v>11</v>
      </c>
      <c r="I746" s="35" t="s">
        <v>20</v>
      </c>
      <c r="J746" s="21" t="s">
        <v>1701</v>
      </c>
      <c r="K746" s="22" t="s">
        <v>21</v>
      </c>
      <c r="L746" s="22" t="s">
        <v>44</v>
      </c>
      <c r="M746" s="22" t="s">
        <v>45</v>
      </c>
      <c r="N746" s="21">
        <v>768</v>
      </c>
      <c r="O746" s="29">
        <v>45748</v>
      </c>
      <c r="P746" s="29">
        <v>45755</v>
      </c>
      <c r="Q746" s="29">
        <v>45758</v>
      </c>
      <c r="R746" s="29">
        <v>45762</v>
      </c>
      <c r="S746" s="23">
        <f t="shared" si="45"/>
        <v>91</v>
      </c>
      <c r="T746" s="23">
        <f t="shared" si="46"/>
        <v>98</v>
      </c>
      <c r="U746" s="23">
        <f t="shared" si="47"/>
        <v>101</v>
      </c>
      <c r="V746" s="23">
        <f t="shared" si="48"/>
        <v>105</v>
      </c>
      <c r="W746" s="22" t="s">
        <v>11</v>
      </c>
      <c r="X746" s="22" t="s">
        <v>20</v>
      </c>
      <c r="Y746" s="22" t="s">
        <v>21</v>
      </c>
      <c r="Z746" s="22" t="s">
        <v>44</v>
      </c>
      <c r="AA746" s="22" t="s">
        <v>426</v>
      </c>
      <c r="AB746" s="22" t="s">
        <v>62</v>
      </c>
      <c r="AC746" s="22" t="s">
        <v>32</v>
      </c>
      <c r="AD746" s="22"/>
      <c r="AE746" s="2">
        <v>0</v>
      </c>
      <c r="AF746" s="2"/>
    </row>
    <row r="747" spans="1:32" x14ac:dyDescent="0.2">
      <c r="A747" s="34" t="s">
        <v>426</v>
      </c>
      <c r="B747" s="34" t="s">
        <v>62</v>
      </c>
      <c r="C747" s="34" t="s">
        <v>53</v>
      </c>
      <c r="D747" s="34" t="s">
        <v>1207</v>
      </c>
      <c r="E747" s="34" t="s">
        <v>618</v>
      </c>
      <c r="F747" s="34">
        <v>1</v>
      </c>
      <c r="G747" s="34" t="s">
        <v>1702</v>
      </c>
      <c r="H747" s="34" t="s">
        <v>11</v>
      </c>
      <c r="I747" s="34" t="s">
        <v>20</v>
      </c>
      <c r="J747" s="13" t="s">
        <v>1703</v>
      </c>
      <c r="K747" s="15" t="s">
        <v>21</v>
      </c>
      <c r="L747" s="15" t="s">
        <v>44</v>
      </c>
      <c r="M747" s="15" t="s">
        <v>45</v>
      </c>
      <c r="N747" s="13">
        <v>769</v>
      </c>
      <c r="O747" s="30">
        <v>45755</v>
      </c>
      <c r="P747" s="30">
        <v>45758</v>
      </c>
      <c r="Q747" s="30">
        <v>45762</v>
      </c>
      <c r="R747" s="30">
        <v>45770</v>
      </c>
      <c r="S747" s="23">
        <f t="shared" si="45"/>
        <v>98</v>
      </c>
      <c r="T747" s="23">
        <f t="shared" si="46"/>
        <v>101</v>
      </c>
      <c r="U747" s="23">
        <f t="shared" si="47"/>
        <v>105</v>
      </c>
      <c r="V747" s="23">
        <f t="shared" si="48"/>
        <v>113</v>
      </c>
      <c r="W747" s="15" t="s">
        <v>11</v>
      </c>
      <c r="X747" s="15" t="s">
        <v>20</v>
      </c>
      <c r="Y747" s="15" t="s">
        <v>21</v>
      </c>
      <c r="Z747" s="15" t="s">
        <v>44</v>
      </c>
      <c r="AA747" s="15" t="s">
        <v>426</v>
      </c>
      <c r="AB747" s="15" t="s">
        <v>62</v>
      </c>
      <c r="AC747" s="15" t="s">
        <v>53</v>
      </c>
      <c r="AD747" s="15"/>
      <c r="AE747" s="1">
        <v>0</v>
      </c>
      <c r="AF747" s="1"/>
    </row>
    <row r="748" spans="1:32" x14ac:dyDescent="0.2">
      <c r="A748" s="34" t="s">
        <v>426</v>
      </c>
      <c r="B748" s="34" t="s">
        <v>62</v>
      </c>
      <c r="C748" s="34" t="s">
        <v>53</v>
      </c>
      <c r="D748" s="34" t="s">
        <v>1207</v>
      </c>
      <c r="E748" s="34" t="s">
        <v>619</v>
      </c>
      <c r="F748" s="34">
        <v>1</v>
      </c>
      <c r="G748" s="34" t="s">
        <v>1704</v>
      </c>
      <c r="H748" s="34" t="s">
        <v>11</v>
      </c>
      <c r="I748" s="34" t="s">
        <v>20</v>
      </c>
      <c r="J748" s="13" t="s">
        <v>1705</v>
      </c>
      <c r="K748" s="15" t="s">
        <v>21</v>
      </c>
      <c r="L748" s="15" t="s">
        <v>44</v>
      </c>
      <c r="M748" s="15" t="s">
        <v>45</v>
      </c>
      <c r="N748" s="13">
        <v>770</v>
      </c>
      <c r="O748" s="30">
        <v>45748</v>
      </c>
      <c r="P748" s="30">
        <v>45755</v>
      </c>
      <c r="Q748" s="30">
        <v>45762</v>
      </c>
      <c r="R748" s="30">
        <v>45765</v>
      </c>
      <c r="S748" s="23">
        <f t="shared" si="45"/>
        <v>91</v>
      </c>
      <c r="T748" s="23">
        <f t="shared" si="46"/>
        <v>98</v>
      </c>
      <c r="U748" s="23">
        <f t="shared" si="47"/>
        <v>105</v>
      </c>
      <c r="V748" s="23">
        <f t="shared" si="48"/>
        <v>108</v>
      </c>
      <c r="W748" s="15" t="s">
        <v>11</v>
      </c>
      <c r="X748" s="15" t="s">
        <v>20</v>
      </c>
      <c r="Y748" s="15" t="s">
        <v>21</v>
      </c>
      <c r="Z748" s="15" t="s">
        <v>44</v>
      </c>
      <c r="AA748" s="15" t="s">
        <v>426</v>
      </c>
      <c r="AB748" s="15" t="s">
        <v>62</v>
      </c>
      <c r="AC748" s="15" t="s">
        <v>53</v>
      </c>
      <c r="AD748" s="15"/>
      <c r="AE748" s="1">
        <v>0</v>
      </c>
      <c r="AF748" s="1"/>
    </row>
    <row r="749" spans="1:32" x14ac:dyDescent="0.2">
      <c r="A749" s="34" t="s">
        <v>426</v>
      </c>
      <c r="B749" s="34" t="s">
        <v>62</v>
      </c>
      <c r="C749" s="34" t="s">
        <v>53</v>
      </c>
      <c r="D749" s="34" t="s">
        <v>1207</v>
      </c>
      <c r="E749" s="34" t="s">
        <v>620</v>
      </c>
      <c r="F749" s="34">
        <v>1</v>
      </c>
      <c r="G749" s="34" t="s">
        <v>1706</v>
      </c>
      <c r="H749" s="34" t="s">
        <v>11</v>
      </c>
      <c r="I749" s="34" t="s">
        <v>20</v>
      </c>
      <c r="J749" s="13" t="s">
        <v>1707</v>
      </c>
      <c r="K749" s="15" t="s">
        <v>21</v>
      </c>
      <c r="L749" s="15" t="s">
        <v>44</v>
      </c>
      <c r="M749" s="15" t="s">
        <v>45</v>
      </c>
      <c r="N749" s="13">
        <v>771</v>
      </c>
      <c r="O749" s="30">
        <v>45748</v>
      </c>
      <c r="P749" s="30">
        <v>45748</v>
      </c>
      <c r="Q749" s="30">
        <v>45762</v>
      </c>
      <c r="R749" s="30">
        <v>45765</v>
      </c>
      <c r="S749" s="23">
        <f t="shared" si="45"/>
        <v>91</v>
      </c>
      <c r="T749" s="23">
        <f t="shared" si="46"/>
        <v>91</v>
      </c>
      <c r="U749" s="23">
        <f t="shared" si="47"/>
        <v>105</v>
      </c>
      <c r="V749" s="23">
        <f t="shared" si="48"/>
        <v>108</v>
      </c>
      <c r="W749" s="15" t="s">
        <v>11</v>
      </c>
      <c r="X749" s="15" t="s">
        <v>20</v>
      </c>
      <c r="Y749" s="15" t="s">
        <v>21</v>
      </c>
      <c r="Z749" s="15" t="s">
        <v>44</v>
      </c>
      <c r="AA749" s="15" t="s">
        <v>426</v>
      </c>
      <c r="AB749" s="15" t="s">
        <v>62</v>
      </c>
      <c r="AC749" s="15" t="s">
        <v>53</v>
      </c>
      <c r="AD749" s="15"/>
      <c r="AE749" s="1">
        <v>0</v>
      </c>
      <c r="AF749" s="1"/>
    </row>
    <row r="750" spans="1:32" x14ac:dyDescent="0.2">
      <c r="A750" s="34" t="s">
        <v>426</v>
      </c>
      <c r="B750" s="34" t="s">
        <v>62</v>
      </c>
      <c r="C750" s="34" t="s">
        <v>53</v>
      </c>
      <c r="D750" s="34" t="s">
        <v>1207</v>
      </c>
      <c r="E750" s="34" t="s">
        <v>618</v>
      </c>
      <c r="F750" s="34">
        <v>2</v>
      </c>
      <c r="G750" s="34" t="s">
        <v>1708</v>
      </c>
      <c r="H750" s="34" t="s">
        <v>11</v>
      </c>
      <c r="I750" s="34" t="s">
        <v>20</v>
      </c>
      <c r="J750" s="13" t="s">
        <v>1709</v>
      </c>
      <c r="K750" s="15" t="s">
        <v>21</v>
      </c>
      <c r="L750" s="15" t="s">
        <v>44</v>
      </c>
      <c r="M750" s="15" t="s">
        <v>45</v>
      </c>
      <c r="N750" s="13">
        <v>772</v>
      </c>
      <c r="O750" s="30">
        <v>45748</v>
      </c>
      <c r="P750" s="30">
        <v>45755</v>
      </c>
      <c r="Q750" s="30">
        <v>45762</v>
      </c>
      <c r="R750" s="30">
        <v>45765</v>
      </c>
      <c r="S750" s="23">
        <f t="shared" si="45"/>
        <v>91</v>
      </c>
      <c r="T750" s="23">
        <f t="shared" si="46"/>
        <v>98</v>
      </c>
      <c r="U750" s="23">
        <f t="shared" si="47"/>
        <v>105</v>
      </c>
      <c r="V750" s="23">
        <f t="shared" si="48"/>
        <v>108</v>
      </c>
      <c r="W750" s="15" t="s">
        <v>11</v>
      </c>
      <c r="X750" s="15" t="s">
        <v>20</v>
      </c>
      <c r="Y750" s="15" t="s">
        <v>21</v>
      </c>
      <c r="Z750" s="15" t="s">
        <v>44</v>
      </c>
      <c r="AA750" s="15" t="s">
        <v>426</v>
      </c>
      <c r="AB750" s="15" t="s">
        <v>62</v>
      </c>
      <c r="AC750" s="15" t="s">
        <v>53</v>
      </c>
      <c r="AD750" s="15"/>
      <c r="AE750" s="1">
        <v>0</v>
      </c>
      <c r="AF750" s="1"/>
    </row>
    <row r="751" spans="1:32" x14ac:dyDescent="0.2">
      <c r="A751" s="34" t="s">
        <v>426</v>
      </c>
      <c r="B751" s="34" t="s">
        <v>62</v>
      </c>
      <c r="C751" s="34" t="s">
        <v>53</v>
      </c>
      <c r="D751" s="34" t="s">
        <v>1207</v>
      </c>
      <c r="E751" s="34" t="s">
        <v>619</v>
      </c>
      <c r="F751" s="34">
        <v>2</v>
      </c>
      <c r="G751" s="34" t="s">
        <v>1710</v>
      </c>
      <c r="H751" s="34" t="s">
        <v>11</v>
      </c>
      <c r="I751" s="34" t="s">
        <v>20</v>
      </c>
      <c r="J751" s="13" t="s">
        <v>1711</v>
      </c>
      <c r="K751" s="15" t="s">
        <v>21</v>
      </c>
      <c r="L751" s="15" t="s">
        <v>44</v>
      </c>
      <c r="M751" s="15" t="s">
        <v>45</v>
      </c>
      <c r="N751" s="13">
        <v>773</v>
      </c>
      <c r="O751" s="30">
        <v>45748</v>
      </c>
      <c r="P751" s="30">
        <v>45755</v>
      </c>
      <c r="Q751" s="30">
        <v>45758</v>
      </c>
      <c r="R751" s="30">
        <v>45762</v>
      </c>
      <c r="S751" s="23">
        <f t="shared" si="45"/>
        <v>91</v>
      </c>
      <c r="T751" s="23">
        <f t="shared" si="46"/>
        <v>98</v>
      </c>
      <c r="U751" s="23">
        <f t="shared" si="47"/>
        <v>101</v>
      </c>
      <c r="V751" s="23">
        <f t="shared" si="48"/>
        <v>105</v>
      </c>
      <c r="W751" s="15" t="s">
        <v>11</v>
      </c>
      <c r="X751" s="15" t="s">
        <v>20</v>
      </c>
      <c r="Y751" s="15" t="s">
        <v>21</v>
      </c>
      <c r="Z751" s="15" t="s">
        <v>44</v>
      </c>
      <c r="AA751" s="15" t="s">
        <v>426</v>
      </c>
      <c r="AB751" s="15" t="s">
        <v>62</v>
      </c>
      <c r="AC751" s="15" t="s">
        <v>53</v>
      </c>
      <c r="AD751" s="15"/>
      <c r="AE751" s="1">
        <v>0</v>
      </c>
      <c r="AF751" s="1"/>
    </row>
    <row r="752" spans="1:32" x14ac:dyDescent="0.2">
      <c r="A752" s="34" t="s">
        <v>426</v>
      </c>
      <c r="B752" s="34" t="s">
        <v>62</v>
      </c>
      <c r="C752" s="34" t="s">
        <v>53</v>
      </c>
      <c r="D752" s="34" t="s">
        <v>1207</v>
      </c>
      <c r="E752" s="34" t="s">
        <v>620</v>
      </c>
      <c r="F752" s="34">
        <v>2</v>
      </c>
      <c r="G752" s="34" t="s">
        <v>1712</v>
      </c>
      <c r="H752" s="34" t="s">
        <v>11</v>
      </c>
      <c r="I752" s="34" t="s">
        <v>20</v>
      </c>
      <c r="J752" s="13" t="s">
        <v>1713</v>
      </c>
      <c r="K752" s="15" t="s">
        <v>21</v>
      </c>
      <c r="L752" s="15" t="s">
        <v>44</v>
      </c>
      <c r="M752" s="15" t="s">
        <v>45</v>
      </c>
      <c r="N752" s="13">
        <v>774</v>
      </c>
      <c r="O752" s="30">
        <v>45748</v>
      </c>
      <c r="P752" s="30">
        <v>45751</v>
      </c>
      <c r="Q752" s="30">
        <v>45758</v>
      </c>
      <c r="R752" s="30">
        <v>45765</v>
      </c>
      <c r="S752" s="23">
        <f t="shared" si="45"/>
        <v>91</v>
      </c>
      <c r="T752" s="23">
        <f t="shared" si="46"/>
        <v>94</v>
      </c>
      <c r="U752" s="23">
        <f t="shared" si="47"/>
        <v>101</v>
      </c>
      <c r="V752" s="23">
        <f t="shared" si="48"/>
        <v>108</v>
      </c>
      <c r="W752" s="15" t="s">
        <v>11</v>
      </c>
      <c r="X752" s="15" t="s">
        <v>20</v>
      </c>
      <c r="Y752" s="15" t="s">
        <v>21</v>
      </c>
      <c r="Z752" s="15" t="s">
        <v>44</v>
      </c>
      <c r="AA752" s="15" t="s">
        <v>426</v>
      </c>
      <c r="AB752" s="15" t="s">
        <v>62</v>
      </c>
      <c r="AC752" s="15" t="s">
        <v>53</v>
      </c>
      <c r="AD752" s="15"/>
      <c r="AE752" s="1">
        <v>0</v>
      </c>
      <c r="AF752" s="1"/>
    </row>
    <row r="753" spans="1:32" x14ac:dyDescent="0.2">
      <c r="A753" s="35" t="s">
        <v>426</v>
      </c>
      <c r="B753" s="35" t="s">
        <v>98</v>
      </c>
      <c r="C753" s="35" t="s">
        <v>53</v>
      </c>
      <c r="D753" s="31" t="s">
        <v>1243</v>
      </c>
      <c r="E753" s="35" t="s">
        <v>618</v>
      </c>
      <c r="F753" s="35">
        <v>1</v>
      </c>
      <c r="G753" s="35" t="s">
        <v>1714</v>
      </c>
      <c r="H753" s="35" t="s">
        <v>11</v>
      </c>
      <c r="I753" s="35" t="s">
        <v>20</v>
      </c>
      <c r="J753" s="21" t="s">
        <v>1715</v>
      </c>
      <c r="K753" s="22" t="s">
        <v>21</v>
      </c>
      <c r="L753" s="22" t="s">
        <v>44</v>
      </c>
      <c r="M753" s="22" t="s">
        <v>45</v>
      </c>
      <c r="N753" s="21">
        <v>775</v>
      </c>
      <c r="O753" s="29">
        <v>45751</v>
      </c>
      <c r="P753" s="29">
        <v>45758</v>
      </c>
      <c r="Q753" s="29">
        <v>45765</v>
      </c>
      <c r="R753" s="29">
        <v>45770</v>
      </c>
      <c r="S753" s="23">
        <f t="shared" si="45"/>
        <v>94</v>
      </c>
      <c r="T753" s="23">
        <f t="shared" si="46"/>
        <v>101</v>
      </c>
      <c r="U753" s="23">
        <f t="shared" si="47"/>
        <v>108</v>
      </c>
      <c r="V753" s="23">
        <f t="shared" si="48"/>
        <v>113</v>
      </c>
      <c r="W753" s="22" t="s">
        <v>11</v>
      </c>
      <c r="X753" s="22" t="s">
        <v>20</v>
      </c>
      <c r="Y753" s="22" t="s">
        <v>21</v>
      </c>
      <c r="Z753" s="22" t="s">
        <v>44</v>
      </c>
      <c r="AA753" s="22" t="s">
        <v>426</v>
      </c>
      <c r="AB753" s="22" t="s">
        <v>98</v>
      </c>
      <c r="AC753" s="22" t="s">
        <v>53</v>
      </c>
      <c r="AD753" s="22"/>
      <c r="AE753" s="2">
        <v>0</v>
      </c>
      <c r="AF753" s="2"/>
    </row>
    <row r="754" spans="1:32" x14ac:dyDescent="0.2">
      <c r="A754" s="35" t="s">
        <v>426</v>
      </c>
      <c r="B754" s="35" t="s">
        <v>98</v>
      </c>
      <c r="C754" s="35" t="s">
        <v>53</v>
      </c>
      <c r="D754" s="31" t="s">
        <v>1243</v>
      </c>
      <c r="E754" s="35" t="s">
        <v>619</v>
      </c>
      <c r="F754" s="35">
        <v>1</v>
      </c>
      <c r="G754" s="35" t="s">
        <v>1716</v>
      </c>
      <c r="H754" s="35" t="s">
        <v>11</v>
      </c>
      <c r="I754" s="35" t="s">
        <v>20</v>
      </c>
      <c r="J754" s="21" t="s">
        <v>1717</v>
      </c>
      <c r="K754" s="22" t="s">
        <v>21</v>
      </c>
      <c r="L754" s="22" t="s">
        <v>44</v>
      </c>
      <c r="M754" s="22" t="s">
        <v>45</v>
      </c>
      <c r="N754" s="21">
        <v>776</v>
      </c>
      <c r="O754" s="29">
        <v>45748</v>
      </c>
      <c r="P754" s="29">
        <v>45755</v>
      </c>
      <c r="Q754" s="29">
        <v>45762</v>
      </c>
      <c r="R754" s="29">
        <v>45765</v>
      </c>
      <c r="S754" s="23">
        <f t="shared" si="45"/>
        <v>91</v>
      </c>
      <c r="T754" s="23">
        <f t="shared" si="46"/>
        <v>98</v>
      </c>
      <c r="U754" s="23">
        <f t="shared" si="47"/>
        <v>105</v>
      </c>
      <c r="V754" s="23">
        <f t="shared" si="48"/>
        <v>108</v>
      </c>
      <c r="W754" s="22" t="s">
        <v>11</v>
      </c>
      <c r="X754" s="22" t="s">
        <v>20</v>
      </c>
      <c r="Y754" s="22" t="s">
        <v>21</v>
      </c>
      <c r="Z754" s="22" t="s">
        <v>44</v>
      </c>
      <c r="AA754" s="22" t="s">
        <v>426</v>
      </c>
      <c r="AB754" s="22" t="s">
        <v>98</v>
      </c>
      <c r="AC754" s="22" t="s">
        <v>53</v>
      </c>
      <c r="AD754" s="22"/>
      <c r="AE754" s="2">
        <v>0</v>
      </c>
      <c r="AF754" s="2"/>
    </row>
    <row r="755" spans="1:32" x14ac:dyDescent="0.2">
      <c r="A755" s="35" t="s">
        <v>426</v>
      </c>
      <c r="B755" s="35" t="s">
        <v>98</v>
      </c>
      <c r="C755" s="35" t="s">
        <v>53</v>
      </c>
      <c r="D755" s="31" t="s">
        <v>1243</v>
      </c>
      <c r="E755" s="35" t="s">
        <v>620</v>
      </c>
      <c r="F755" s="35">
        <v>1</v>
      </c>
      <c r="G755" s="35" t="s">
        <v>1718</v>
      </c>
      <c r="H755" s="35" t="s">
        <v>11</v>
      </c>
      <c r="I755" s="35" t="s">
        <v>20</v>
      </c>
      <c r="J755" s="21" t="s">
        <v>1719</v>
      </c>
      <c r="K755" s="22" t="s">
        <v>21</v>
      </c>
      <c r="L755" s="22" t="s">
        <v>44</v>
      </c>
      <c r="M755" s="22" t="s">
        <v>45</v>
      </c>
      <c r="N755" s="21">
        <v>777</v>
      </c>
      <c r="O755" s="29">
        <v>45748</v>
      </c>
      <c r="P755" s="29">
        <v>45758</v>
      </c>
      <c r="Q755" s="29">
        <v>45765</v>
      </c>
      <c r="R755" s="29">
        <v>45770</v>
      </c>
      <c r="S755" s="23">
        <f t="shared" si="45"/>
        <v>91</v>
      </c>
      <c r="T755" s="23">
        <f t="shared" si="46"/>
        <v>101</v>
      </c>
      <c r="U755" s="23">
        <f t="shared" si="47"/>
        <v>108</v>
      </c>
      <c r="V755" s="23">
        <f t="shared" si="48"/>
        <v>113</v>
      </c>
      <c r="W755" s="22" t="s">
        <v>11</v>
      </c>
      <c r="X755" s="22" t="s">
        <v>20</v>
      </c>
      <c r="Y755" s="22" t="s">
        <v>21</v>
      </c>
      <c r="Z755" s="22" t="s">
        <v>44</v>
      </c>
      <c r="AA755" s="22" t="s">
        <v>426</v>
      </c>
      <c r="AB755" s="22" t="s">
        <v>98</v>
      </c>
      <c r="AC755" s="22" t="s">
        <v>53</v>
      </c>
      <c r="AD755" s="22"/>
      <c r="AE755" s="2">
        <v>0</v>
      </c>
      <c r="AF755" s="2"/>
    </row>
    <row r="756" spans="1:32" x14ac:dyDescent="0.2">
      <c r="A756" s="35" t="s">
        <v>426</v>
      </c>
      <c r="B756" s="35" t="s">
        <v>98</v>
      </c>
      <c r="C756" s="35" t="s">
        <v>53</v>
      </c>
      <c r="D756" s="31" t="s">
        <v>1243</v>
      </c>
      <c r="E756" s="35" t="s">
        <v>618</v>
      </c>
      <c r="F756" s="35">
        <v>2</v>
      </c>
      <c r="G756" s="35" t="s">
        <v>1720</v>
      </c>
      <c r="H756" s="35" t="s">
        <v>11</v>
      </c>
      <c r="I756" s="35" t="s">
        <v>20</v>
      </c>
      <c r="J756" s="21" t="s">
        <v>1721</v>
      </c>
      <c r="K756" s="22" t="s">
        <v>21</v>
      </c>
      <c r="L756" s="22" t="s">
        <v>44</v>
      </c>
      <c r="M756" s="22" t="s">
        <v>45</v>
      </c>
      <c r="N756" s="21">
        <v>778</v>
      </c>
      <c r="O756" s="29">
        <v>45748</v>
      </c>
      <c r="P756" s="29">
        <v>45751</v>
      </c>
      <c r="Q756" s="29">
        <v>45758</v>
      </c>
      <c r="R756" s="29">
        <v>45762</v>
      </c>
      <c r="S756" s="23">
        <f t="shared" si="45"/>
        <v>91</v>
      </c>
      <c r="T756" s="23">
        <f t="shared" si="46"/>
        <v>94</v>
      </c>
      <c r="U756" s="23">
        <f t="shared" si="47"/>
        <v>101</v>
      </c>
      <c r="V756" s="23">
        <f t="shared" si="48"/>
        <v>105</v>
      </c>
      <c r="W756" s="22" t="s">
        <v>11</v>
      </c>
      <c r="X756" s="22" t="s">
        <v>20</v>
      </c>
      <c r="Y756" s="22" t="s">
        <v>21</v>
      </c>
      <c r="Z756" s="22" t="s">
        <v>44</v>
      </c>
      <c r="AA756" s="22" t="s">
        <v>426</v>
      </c>
      <c r="AB756" s="22" t="s">
        <v>98</v>
      </c>
      <c r="AC756" s="22" t="s">
        <v>53</v>
      </c>
      <c r="AD756" s="22"/>
      <c r="AE756" s="2">
        <v>0</v>
      </c>
      <c r="AF756" s="2"/>
    </row>
    <row r="757" spans="1:32" x14ac:dyDescent="0.2">
      <c r="A757" s="35" t="s">
        <v>426</v>
      </c>
      <c r="B757" s="35" t="s">
        <v>98</v>
      </c>
      <c r="C757" s="35" t="s">
        <v>53</v>
      </c>
      <c r="D757" s="31" t="s">
        <v>1243</v>
      </c>
      <c r="E757" s="35" t="s">
        <v>619</v>
      </c>
      <c r="F757" s="35">
        <v>2</v>
      </c>
      <c r="G757" s="35" t="s">
        <v>1722</v>
      </c>
      <c r="H757" s="35" t="s">
        <v>11</v>
      </c>
      <c r="I757" s="35" t="s">
        <v>20</v>
      </c>
      <c r="J757" s="21" t="s">
        <v>1723</v>
      </c>
      <c r="K757" s="22" t="s">
        <v>21</v>
      </c>
      <c r="L757" s="22" t="s">
        <v>44</v>
      </c>
      <c r="M757" s="22" t="s">
        <v>45</v>
      </c>
      <c r="N757" s="21">
        <v>779</v>
      </c>
      <c r="O757" s="29">
        <v>45748</v>
      </c>
      <c r="P757" s="29">
        <v>45755</v>
      </c>
      <c r="Q757" s="29">
        <v>45762</v>
      </c>
      <c r="R757" s="29">
        <v>45765</v>
      </c>
      <c r="S757" s="23">
        <f t="shared" si="45"/>
        <v>91</v>
      </c>
      <c r="T757" s="23">
        <f t="shared" si="46"/>
        <v>98</v>
      </c>
      <c r="U757" s="23">
        <f t="shared" si="47"/>
        <v>105</v>
      </c>
      <c r="V757" s="23">
        <f t="shared" si="48"/>
        <v>108</v>
      </c>
      <c r="W757" s="22" t="s">
        <v>11</v>
      </c>
      <c r="X757" s="22" t="s">
        <v>20</v>
      </c>
      <c r="Y757" s="22" t="s">
        <v>21</v>
      </c>
      <c r="Z757" s="22" t="s">
        <v>44</v>
      </c>
      <c r="AA757" s="22" t="s">
        <v>426</v>
      </c>
      <c r="AB757" s="22" t="s">
        <v>98</v>
      </c>
      <c r="AC757" s="22" t="s">
        <v>53</v>
      </c>
      <c r="AD757" s="22"/>
      <c r="AE757" s="2">
        <v>0</v>
      </c>
      <c r="AF757" s="2"/>
    </row>
    <row r="758" spans="1:32" x14ac:dyDescent="0.2">
      <c r="A758" s="35" t="s">
        <v>426</v>
      </c>
      <c r="B758" s="35" t="s">
        <v>98</v>
      </c>
      <c r="C758" s="35" t="s">
        <v>53</v>
      </c>
      <c r="D758" s="31" t="s">
        <v>1243</v>
      </c>
      <c r="E758" s="35" t="s">
        <v>620</v>
      </c>
      <c r="F758" s="35">
        <v>2</v>
      </c>
      <c r="G758" s="35" t="s">
        <v>1724</v>
      </c>
      <c r="H758" s="35" t="s">
        <v>11</v>
      </c>
      <c r="I758" s="35" t="s">
        <v>20</v>
      </c>
      <c r="J758" s="21" t="s">
        <v>1725</v>
      </c>
      <c r="K758" s="22" t="s">
        <v>21</v>
      </c>
      <c r="L758" s="22" t="s">
        <v>44</v>
      </c>
      <c r="M758" s="22" t="s">
        <v>45</v>
      </c>
      <c r="N758" s="21">
        <v>780</v>
      </c>
      <c r="O758" s="29">
        <v>45748</v>
      </c>
      <c r="P758" s="29">
        <v>45755</v>
      </c>
      <c r="Q758" s="29">
        <v>45762</v>
      </c>
      <c r="R758" s="29">
        <v>45765</v>
      </c>
      <c r="S758" s="23">
        <f t="shared" si="45"/>
        <v>91</v>
      </c>
      <c r="T758" s="23">
        <f t="shared" si="46"/>
        <v>98</v>
      </c>
      <c r="U758" s="23">
        <f t="shared" si="47"/>
        <v>105</v>
      </c>
      <c r="V758" s="23">
        <f t="shared" si="48"/>
        <v>108</v>
      </c>
      <c r="W758" s="22" t="s">
        <v>11</v>
      </c>
      <c r="X758" s="22" t="s">
        <v>20</v>
      </c>
      <c r="Y758" s="22" t="s">
        <v>21</v>
      </c>
      <c r="Z758" s="22" t="s">
        <v>44</v>
      </c>
      <c r="AA758" s="22" t="s">
        <v>426</v>
      </c>
      <c r="AB758" s="22" t="s">
        <v>98</v>
      </c>
      <c r="AC758" s="22" t="s">
        <v>53</v>
      </c>
      <c r="AD758" s="22"/>
      <c r="AE758" s="2">
        <v>0</v>
      </c>
      <c r="AF758" s="2"/>
    </row>
    <row r="759" spans="1:32" x14ac:dyDescent="0.2">
      <c r="A759" s="34" t="s">
        <v>426</v>
      </c>
      <c r="B759" s="34" t="s">
        <v>131</v>
      </c>
      <c r="C759" s="34" t="s">
        <v>53</v>
      </c>
      <c r="D759" s="34" t="s">
        <v>1280</v>
      </c>
      <c r="E759" s="34" t="s">
        <v>618</v>
      </c>
      <c r="F759" s="34">
        <v>1</v>
      </c>
      <c r="G759" s="34" t="s">
        <v>1726</v>
      </c>
      <c r="H759" s="34" t="s">
        <v>11</v>
      </c>
      <c r="I759" s="34" t="s">
        <v>133</v>
      </c>
      <c r="J759" s="13" t="s">
        <v>1727</v>
      </c>
      <c r="K759" s="15" t="s">
        <v>64</v>
      </c>
      <c r="L759" s="15" t="s">
        <v>44</v>
      </c>
      <c r="M759" s="15" t="s">
        <v>169</v>
      </c>
      <c r="N759" s="13">
        <v>781</v>
      </c>
      <c r="O759" s="30">
        <v>45748</v>
      </c>
      <c r="P759" s="30">
        <v>45751</v>
      </c>
      <c r="Q759" s="30">
        <v>45758</v>
      </c>
      <c r="R759" s="30">
        <v>45762</v>
      </c>
      <c r="S759" s="23">
        <f t="shared" si="45"/>
        <v>91</v>
      </c>
      <c r="T759" s="23">
        <f t="shared" si="46"/>
        <v>94</v>
      </c>
      <c r="U759" s="23">
        <f t="shared" si="47"/>
        <v>101</v>
      </c>
      <c r="V759" s="23">
        <f t="shared" si="48"/>
        <v>105</v>
      </c>
      <c r="W759" s="15" t="s">
        <v>11</v>
      </c>
      <c r="X759" s="15" t="s">
        <v>133</v>
      </c>
      <c r="Y759" s="15" t="s">
        <v>64</v>
      </c>
      <c r="Z759" s="15" t="s">
        <v>44</v>
      </c>
      <c r="AA759" s="15" t="s">
        <v>426</v>
      </c>
      <c r="AB759" s="15" t="s">
        <v>131</v>
      </c>
      <c r="AC759" s="15" t="s">
        <v>53</v>
      </c>
      <c r="AD759" s="15"/>
      <c r="AE759" s="1">
        <v>0</v>
      </c>
      <c r="AF759" s="1"/>
    </row>
    <row r="760" spans="1:32" x14ac:dyDescent="0.2">
      <c r="A760" s="34" t="s">
        <v>426</v>
      </c>
      <c r="B760" s="34" t="s">
        <v>131</v>
      </c>
      <c r="C760" s="34" t="s">
        <v>53</v>
      </c>
      <c r="D760" s="34" t="s">
        <v>1280</v>
      </c>
      <c r="E760" s="34" t="s">
        <v>619</v>
      </c>
      <c r="F760" s="34">
        <v>1</v>
      </c>
      <c r="G760" s="34" t="s">
        <v>1728</v>
      </c>
      <c r="H760" s="34" t="s">
        <v>11</v>
      </c>
      <c r="I760" s="34" t="s">
        <v>133</v>
      </c>
      <c r="J760" s="13" t="s">
        <v>1729</v>
      </c>
      <c r="K760" s="15" t="s">
        <v>64</v>
      </c>
      <c r="L760" s="15" t="s">
        <v>44</v>
      </c>
      <c r="M760" s="15" t="s">
        <v>169</v>
      </c>
      <c r="N760" s="13">
        <v>782</v>
      </c>
      <c r="O760" s="30">
        <v>45748</v>
      </c>
      <c r="P760" s="30">
        <v>45755</v>
      </c>
      <c r="Q760" s="30">
        <v>45762</v>
      </c>
      <c r="R760" s="30">
        <v>45765</v>
      </c>
      <c r="S760" s="23">
        <f t="shared" si="45"/>
        <v>91</v>
      </c>
      <c r="T760" s="23">
        <f t="shared" si="46"/>
        <v>98</v>
      </c>
      <c r="U760" s="23">
        <f t="shared" si="47"/>
        <v>105</v>
      </c>
      <c r="V760" s="23">
        <f t="shared" si="48"/>
        <v>108</v>
      </c>
      <c r="W760" s="15" t="s">
        <v>11</v>
      </c>
      <c r="X760" s="15" t="s">
        <v>133</v>
      </c>
      <c r="Y760" s="15" t="s">
        <v>64</v>
      </c>
      <c r="Z760" s="15" t="s">
        <v>44</v>
      </c>
      <c r="AA760" s="15" t="s">
        <v>426</v>
      </c>
      <c r="AB760" s="15" t="s">
        <v>131</v>
      </c>
      <c r="AC760" s="15" t="s">
        <v>53</v>
      </c>
      <c r="AD760" s="15"/>
      <c r="AE760" s="1">
        <v>0</v>
      </c>
      <c r="AF760" s="1"/>
    </row>
    <row r="761" spans="1:32" x14ac:dyDescent="0.2">
      <c r="A761" s="34" t="s">
        <v>426</v>
      </c>
      <c r="B761" s="34" t="s">
        <v>131</v>
      </c>
      <c r="C761" s="34" t="s">
        <v>53</v>
      </c>
      <c r="D761" s="34" t="s">
        <v>1280</v>
      </c>
      <c r="E761" s="34" t="s">
        <v>620</v>
      </c>
      <c r="F761" s="34">
        <v>1</v>
      </c>
      <c r="G761" s="34" t="s">
        <v>1730</v>
      </c>
      <c r="H761" s="34" t="s">
        <v>11</v>
      </c>
      <c r="I761" s="34" t="s">
        <v>133</v>
      </c>
      <c r="J761" s="13" t="s">
        <v>1731</v>
      </c>
      <c r="K761" s="15" t="s">
        <v>64</v>
      </c>
      <c r="L761" s="15" t="s">
        <v>44</v>
      </c>
      <c r="M761" s="15" t="s">
        <v>169</v>
      </c>
      <c r="N761" s="13">
        <v>783</v>
      </c>
      <c r="O761" s="30">
        <v>45748</v>
      </c>
      <c r="P761" s="30">
        <v>45755</v>
      </c>
      <c r="Q761" s="30">
        <v>45762</v>
      </c>
      <c r="R761" s="30">
        <v>45765</v>
      </c>
      <c r="S761" s="23">
        <f t="shared" si="45"/>
        <v>91</v>
      </c>
      <c r="T761" s="23">
        <f t="shared" si="46"/>
        <v>98</v>
      </c>
      <c r="U761" s="23">
        <f t="shared" si="47"/>
        <v>105</v>
      </c>
      <c r="V761" s="23">
        <f t="shared" si="48"/>
        <v>108</v>
      </c>
      <c r="W761" s="15" t="s">
        <v>11</v>
      </c>
      <c r="X761" s="15" t="s">
        <v>133</v>
      </c>
      <c r="Y761" s="15" t="s">
        <v>64</v>
      </c>
      <c r="Z761" s="15" t="s">
        <v>44</v>
      </c>
      <c r="AA761" s="15" t="s">
        <v>426</v>
      </c>
      <c r="AB761" s="15" t="s">
        <v>131</v>
      </c>
      <c r="AC761" s="15" t="s">
        <v>53</v>
      </c>
      <c r="AD761" s="15"/>
      <c r="AE761" s="1">
        <v>0</v>
      </c>
      <c r="AF761" s="1"/>
    </row>
    <row r="762" spans="1:32" x14ac:dyDescent="0.2">
      <c r="A762" s="34" t="s">
        <v>426</v>
      </c>
      <c r="B762" s="34" t="s">
        <v>131</v>
      </c>
      <c r="C762" s="34" t="s">
        <v>53</v>
      </c>
      <c r="D762" s="34" t="s">
        <v>1280</v>
      </c>
      <c r="E762" s="34" t="s">
        <v>618</v>
      </c>
      <c r="F762" s="34">
        <v>2</v>
      </c>
      <c r="G762" s="34" t="s">
        <v>1732</v>
      </c>
      <c r="H762" s="34" t="s">
        <v>11</v>
      </c>
      <c r="I762" s="34" t="s">
        <v>133</v>
      </c>
      <c r="J762" s="13" t="s">
        <v>1733</v>
      </c>
      <c r="K762" s="15" t="s">
        <v>64</v>
      </c>
      <c r="L762" s="15" t="s">
        <v>44</v>
      </c>
      <c r="M762" s="15" t="s">
        <v>169</v>
      </c>
      <c r="N762" s="13">
        <v>784</v>
      </c>
      <c r="O762" s="30">
        <v>45751</v>
      </c>
      <c r="P762" s="30">
        <v>45755</v>
      </c>
      <c r="Q762" s="30">
        <v>45762</v>
      </c>
      <c r="R762" s="30">
        <v>45765</v>
      </c>
      <c r="S762" s="23">
        <f t="shared" si="45"/>
        <v>94</v>
      </c>
      <c r="T762" s="23">
        <f t="shared" si="46"/>
        <v>98</v>
      </c>
      <c r="U762" s="23">
        <f t="shared" si="47"/>
        <v>105</v>
      </c>
      <c r="V762" s="23">
        <f t="shared" si="48"/>
        <v>108</v>
      </c>
      <c r="W762" s="15" t="s">
        <v>11</v>
      </c>
      <c r="X762" s="15" t="s">
        <v>133</v>
      </c>
      <c r="Y762" s="15" t="s">
        <v>64</v>
      </c>
      <c r="Z762" s="15" t="s">
        <v>44</v>
      </c>
      <c r="AA762" s="15" t="s">
        <v>426</v>
      </c>
      <c r="AB762" s="15" t="s">
        <v>131</v>
      </c>
      <c r="AC762" s="15" t="s">
        <v>53</v>
      </c>
      <c r="AD762" s="15"/>
      <c r="AE762" s="1">
        <v>0</v>
      </c>
      <c r="AF762" s="1"/>
    </row>
    <row r="763" spans="1:32" x14ac:dyDescent="0.2">
      <c r="A763" s="34" t="s">
        <v>426</v>
      </c>
      <c r="B763" s="34" t="s">
        <v>131</v>
      </c>
      <c r="C763" s="34" t="s">
        <v>53</v>
      </c>
      <c r="D763" s="34" t="s">
        <v>1280</v>
      </c>
      <c r="E763" s="34" t="s">
        <v>619</v>
      </c>
      <c r="F763" s="34">
        <v>2</v>
      </c>
      <c r="G763" s="34" t="s">
        <v>1734</v>
      </c>
      <c r="H763" s="34" t="s">
        <v>11</v>
      </c>
      <c r="I763" s="34" t="s">
        <v>133</v>
      </c>
      <c r="J763" s="13" t="s">
        <v>1735</v>
      </c>
      <c r="K763" s="15" t="s">
        <v>64</v>
      </c>
      <c r="L763" s="15" t="s">
        <v>44</v>
      </c>
      <c r="M763" s="15" t="s">
        <v>169</v>
      </c>
      <c r="N763" s="13">
        <v>785</v>
      </c>
      <c r="O763" s="30">
        <v>45748</v>
      </c>
      <c r="P763" s="30">
        <v>45751</v>
      </c>
      <c r="Q763" s="30">
        <v>45758</v>
      </c>
      <c r="R763" s="30">
        <v>45762</v>
      </c>
      <c r="S763" s="23">
        <f t="shared" si="45"/>
        <v>91</v>
      </c>
      <c r="T763" s="23">
        <f t="shared" si="46"/>
        <v>94</v>
      </c>
      <c r="U763" s="23">
        <f t="shared" si="47"/>
        <v>101</v>
      </c>
      <c r="V763" s="23">
        <f t="shared" si="48"/>
        <v>105</v>
      </c>
      <c r="W763" s="15" t="s">
        <v>11</v>
      </c>
      <c r="X763" s="15" t="s">
        <v>133</v>
      </c>
      <c r="Y763" s="15" t="s">
        <v>64</v>
      </c>
      <c r="Z763" s="15" t="s">
        <v>44</v>
      </c>
      <c r="AA763" s="15" t="s">
        <v>426</v>
      </c>
      <c r="AB763" s="15" t="s">
        <v>131</v>
      </c>
      <c r="AC763" s="15" t="s">
        <v>53</v>
      </c>
      <c r="AD763" s="15"/>
      <c r="AE763" s="1">
        <v>0</v>
      </c>
      <c r="AF763" s="1"/>
    </row>
    <row r="764" spans="1:32" x14ac:dyDescent="0.2">
      <c r="A764" s="34" t="s">
        <v>426</v>
      </c>
      <c r="B764" s="34" t="s">
        <v>131</v>
      </c>
      <c r="C764" s="34" t="s">
        <v>53</v>
      </c>
      <c r="D764" s="34" t="s">
        <v>1280</v>
      </c>
      <c r="E764" s="34" t="s">
        <v>620</v>
      </c>
      <c r="F764" s="34">
        <v>2</v>
      </c>
      <c r="G764" s="34" t="s">
        <v>1736</v>
      </c>
      <c r="H764" s="34" t="s">
        <v>11</v>
      </c>
      <c r="I764" s="34" t="s">
        <v>133</v>
      </c>
      <c r="J764" s="13" t="s">
        <v>1737</v>
      </c>
      <c r="K764" s="15" t="s">
        <v>64</v>
      </c>
      <c r="L764" s="15" t="s">
        <v>44</v>
      </c>
      <c r="M764" s="15" t="s">
        <v>169</v>
      </c>
      <c r="N764" s="13">
        <v>786</v>
      </c>
      <c r="O764" s="30">
        <v>45748</v>
      </c>
      <c r="P764" s="30">
        <v>45758</v>
      </c>
      <c r="Q764" s="30">
        <v>45765</v>
      </c>
      <c r="R764" s="30">
        <v>45772</v>
      </c>
      <c r="S764" s="23">
        <f t="shared" si="45"/>
        <v>91</v>
      </c>
      <c r="T764" s="23">
        <f t="shared" si="46"/>
        <v>101</v>
      </c>
      <c r="U764" s="23">
        <f t="shared" si="47"/>
        <v>108</v>
      </c>
      <c r="V764" s="23">
        <f t="shared" si="48"/>
        <v>115</v>
      </c>
      <c r="W764" s="15" t="s">
        <v>11</v>
      </c>
      <c r="X764" s="15" t="s">
        <v>133</v>
      </c>
      <c r="Y764" s="15" t="s">
        <v>64</v>
      </c>
      <c r="Z764" s="15" t="s">
        <v>44</v>
      </c>
      <c r="AA764" s="15" t="s">
        <v>426</v>
      </c>
      <c r="AB764" s="15" t="s">
        <v>131</v>
      </c>
      <c r="AC764" s="15" t="s">
        <v>53</v>
      </c>
      <c r="AD764" s="15"/>
      <c r="AE764" s="1">
        <v>0</v>
      </c>
      <c r="AF764" s="1"/>
    </row>
    <row r="765" spans="1:32" x14ac:dyDescent="0.2">
      <c r="A765" s="35" t="s">
        <v>426</v>
      </c>
      <c r="B765" s="35" t="s">
        <v>167</v>
      </c>
      <c r="C765" s="35" t="s">
        <v>16</v>
      </c>
      <c r="D765" s="31" t="s">
        <v>1289</v>
      </c>
      <c r="E765" s="35" t="s">
        <v>618</v>
      </c>
      <c r="F765" s="35">
        <v>1</v>
      </c>
      <c r="G765" s="35" t="s">
        <v>1738</v>
      </c>
      <c r="H765" s="35" t="s">
        <v>11</v>
      </c>
      <c r="I765" s="35" t="s">
        <v>133</v>
      </c>
      <c r="J765" s="21" t="s">
        <v>1739</v>
      </c>
      <c r="K765" s="22" t="s">
        <v>64</v>
      </c>
      <c r="L765" s="22" t="s">
        <v>44</v>
      </c>
      <c r="M765" s="22" t="s">
        <v>169</v>
      </c>
      <c r="N765" s="21">
        <v>787</v>
      </c>
      <c r="O765" s="29">
        <v>45748</v>
      </c>
      <c r="P765" s="29">
        <v>45755</v>
      </c>
      <c r="Q765" s="29">
        <v>45762</v>
      </c>
      <c r="R765" s="29">
        <v>45765</v>
      </c>
      <c r="S765" s="23">
        <f t="shared" si="45"/>
        <v>91</v>
      </c>
      <c r="T765" s="23">
        <f t="shared" si="46"/>
        <v>98</v>
      </c>
      <c r="U765" s="23">
        <f t="shared" si="47"/>
        <v>105</v>
      </c>
      <c r="V765" s="23">
        <f t="shared" si="48"/>
        <v>108</v>
      </c>
      <c r="W765" s="22" t="s">
        <v>11</v>
      </c>
      <c r="X765" s="22" t="s">
        <v>133</v>
      </c>
      <c r="Y765" s="22" t="s">
        <v>64</v>
      </c>
      <c r="Z765" s="22" t="s">
        <v>44</v>
      </c>
      <c r="AA765" s="22" t="s">
        <v>426</v>
      </c>
      <c r="AB765" s="22" t="s">
        <v>167</v>
      </c>
      <c r="AC765" s="22" t="s">
        <v>16</v>
      </c>
      <c r="AD765" s="22"/>
      <c r="AE765" s="2">
        <v>0</v>
      </c>
      <c r="AF765" s="2"/>
    </row>
    <row r="766" spans="1:32" x14ac:dyDescent="0.2">
      <c r="A766" s="35" t="s">
        <v>426</v>
      </c>
      <c r="B766" s="35" t="s">
        <v>167</v>
      </c>
      <c r="C766" s="35" t="s">
        <v>16</v>
      </c>
      <c r="D766" s="31" t="s">
        <v>1289</v>
      </c>
      <c r="E766" s="35" t="s">
        <v>619</v>
      </c>
      <c r="F766" s="35">
        <v>1</v>
      </c>
      <c r="G766" s="35" t="s">
        <v>1740</v>
      </c>
      <c r="H766" s="35" t="s">
        <v>11</v>
      </c>
      <c r="I766" s="35" t="s">
        <v>133</v>
      </c>
      <c r="J766" s="21" t="s">
        <v>1741</v>
      </c>
      <c r="K766" s="22" t="s">
        <v>64</v>
      </c>
      <c r="L766" s="22" t="s">
        <v>44</v>
      </c>
      <c r="M766" s="22" t="s">
        <v>169</v>
      </c>
      <c r="N766" s="21">
        <v>788</v>
      </c>
      <c r="O766" s="29">
        <v>45748</v>
      </c>
      <c r="P766" s="29">
        <v>45751</v>
      </c>
      <c r="Q766" s="29">
        <v>45762</v>
      </c>
      <c r="R766" s="29">
        <v>45765</v>
      </c>
      <c r="S766" s="23">
        <f t="shared" si="45"/>
        <v>91</v>
      </c>
      <c r="T766" s="23">
        <f t="shared" si="46"/>
        <v>94</v>
      </c>
      <c r="U766" s="23">
        <f t="shared" si="47"/>
        <v>105</v>
      </c>
      <c r="V766" s="23">
        <f t="shared" si="48"/>
        <v>108</v>
      </c>
      <c r="W766" s="22" t="s">
        <v>11</v>
      </c>
      <c r="X766" s="22" t="s">
        <v>133</v>
      </c>
      <c r="Y766" s="22" t="s">
        <v>64</v>
      </c>
      <c r="Z766" s="22" t="s">
        <v>44</v>
      </c>
      <c r="AA766" s="22" t="s">
        <v>426</v>
      </c>
      <c r="AB766" s="22" t="s">
        <v>167</v>
      </c>
      <c r="AC766" s="22" t="s">
        <v>16</v>
      </c>
      <c r="AD766" s="22"/>
      <c r="AE766" s="2">
        <v>0</v>
      </c>
      <c r="AF766" s="2"/>
    </row>
    <row r="767" spans="1:32" x14ac:dyDescent="0.2">
      <c r="A767" s="35" t="s">
        <v>426</v>
      </c>
      <c r="B767" s="35" t="s">
        <v>167</v>
      </c>
      <c r="C767" s="35" t="s">
        <v>16</v>
      </c>
      <c r="D767" s="31" t="s">
        <v>1289</v>
      </c>
      <c r="E767" s="35" t="s">
        <v>620</v>
      </c>
      <c r="F767" s="35">
        <v>1</v>
      </c>
      <c r="G767" s="35" t="s">
        <v>1742</v>
      </c>
      <c r="H767" s="35" t="s">
        <v>11</v>
      </c>
      <c r="I767" s="35" t="s">
        <v>133</v>
      </c>
      <c r="J767" s="21" t="s">
        <v>1743</v>
      </c>
      <c r="K767" s="22" t="s">
        <v>64</v>
      </c>
      <c r="L767" s="22" t="s">
        <v>44</v>
      </c>
      <c r="M767" s="22" t="s">
        <v>169</v>
      </c>
      <c r="N767" s="21">
        <v>789</v>
      </c>
      <c r="O767" s="29">
        <v>45748</v>
      </c>
      <c r="P767" s="29">
        <v>45751</v>
      </c>
      <c r="Q767" s="29">
        <v>45755</v>
      </c>
      <c r="R767" s="29">
        <v>45762</v>
      </c>
      <c r="S767" s="23">
        <f t="shared" si="45"/>
        <v>91</v>
      </c>
      <c r="T767" s="23">
        <f t="shared" si="46"/>
        <v>94</v>
      </c>
      <c r="U767" s="23">
        <f t="shared" si="47"/>
        <v>98</v>
      </c>
      <c r="V767" s="23">
        <f t="shared" si="48"/>
        <v>105</v>
      </c>
      <c r="W767" s="22" t="s">
        <v>11</v>
      </c>
      <c r="X767" s="22" t="s">
        <v>133</v>
      </c>
      <c r="Y767" s="22" t="s">
        <v>64</v>
      </c>
      <c r="Z767" s="22" t="s">
        <v>44</v>
      </c>
      <c r="AA767" s="22" t="s">
        <v>426</v>
      </c>
      <c r="AB767" s="22" t="s">
        <v>167</v>
      </c>
      <c r="AC767" s="22" t="s">
        <v>16</v>
      </c>
      <c r="AD767" s="22"/>
      <c r="AE767" s="2">
        <v>0</v>
      </c>
      <c r="AF767" s="2"/>
    </row>
    <row r="768" spans="1:32" x14ac:dyDescent="0.2">
      <c r="A768" s="35" t="s">
        <v>426</v>
      </c>
      <c r="B768" s="35" t="s">
        <v>167</v>
      </c>
      <c r="C768" s="35" t="s">
        <v>16</v>
      </c>
      <c r="D768" s="31" t="s">
        <v>1289</v>
      </c>
      <c r="E768" s="35" t="s">
        <v>618</v>
      </c>
      <c r="F768" s="35">
        <v>2</v>
      </c>
      <c r="G768" s="35" t="s">
        <v>1744</v>
      </c>
      <c r="H768" s="35" t="s">
        <v>11</v>
      </c>
      <c r="I768" s="35" t="s">
        <v>133</v>
      </c>
      <c r="J768" s="21" t="s">
        <v>1745</v>
      </c>
      <c r="K768" s="22" t="s">
        <v>64</v>
      </c>
      <c r="L768" s="22" t="s">
        <v>44</v>
      </c>
      <c r="M768" s="22" t="s">
        <v>169</v>
      </c>
      <c r="N768" s="21">
        <v>790</v>
      </c>
      <c r="O768" s="29">
        <v>45748</v>
      </c>
      <c r="P768" s="29">
        <v>45755</v>
      </c>
      <c r="Q768" s="29">
        <v>45762</v>
      </c>
      <c r="R768" s="29">
        <v>45765</v>
      </c>
      <c r="S768" s="23">
        <f t="shared" si="45"/>
        <v>91</v>
      </c>
      <c r="T768" s="23">
        <f t="shared" si="46"/>
        <v>98</v>
      </c>
      <c r="U768" s="23">
        <f t="shared" si="47"/>
        <v>105</v>
      </c>
      <c r="V768" s="23">
        <f t="shared" si="48"/>
        <v>108</v>
      </c>
      <c r="W768" s="22" t="s">
        <v>11</v>
      </c>
      <c r="X768" s="22" t="s">
        <v>133</v>
      </c>
      <c r="Y768" s="22" t="s">
        <v>64</v>
      </c>
      <c r="Z768" s="22" t="s">
        <v>44</v>
      </c>
      <c r="AA768" s="22" t="s">
        <v>426</v>
      </c>
      <c r="AB768" s="22" t="s">
        <v>167</v>
      </c>
      <c r="AC768" s="22" t="s">
        <v>16</v>
      </c>
      <c r="AD768" s="22"/>
      <c r="AE768" s="2">
        <v>0</v>
      </c>
      <c r="AF768" s="2"/>
    </row>
    <row r="769" spans="1:32" x14ac:dyDescent="0.2">
      <c r="A769" s="35" t="s">
        <v>426</v>
      </c>
      <c r="B769" s="35" t="s">
        <v>167</v>
      </c>
      <c r="C769" s="35" t="s">
        <v>16</v>
      </c>
      <c r="D769" s="31" t="s">
        <v>1289</v>
      </c>
      <c r="E769" s="35" t="s">
        <v>619</v>
      </c>
      <c r="F769" s="35">
        <v>2</v>
      </c>
      <c r="G769" s="35" t="s">
        <v>1746</v>
      </c>
      <c r="H769" s="35" t="s">
        <v>11</v>
      </c>
      <c r="I769" s="35" t="s">
        <v>133</v>
      </c>
      <c r="J769" s="21" t="s">
        <v>1747</v>
      </c>
      <c r="K769" s="22" t="s">
        <v>64</v>
      </c>
      <c r="L769" s="22" t="s">
        <v>44</v>
      </c>
      <c r="M769" s="22" t="s">
        <v>169</v>
      </c>
      <c r="N769" s="21">
        <v>791</v>
      </c>
      <c r="O769" s="29">
        <v>45748</v>
      </c>
      <c r="P769" s="29">
        <v>45755</v>
      </c>
      <c r="Q769" s="29">
        <v>45762</v>
      </c>
      <c r="R769" s="29">
        <v>45765</v>
      </c>
      <c r="S769" s="23">
        <f t="shared" si="45"/>
        <v>91</v>
      </c>
      <c r="T769" s="23">
        <f t="shared" si="46"/>
        <v>98</v>
      </c>
      <c r="U769" s="23">
        <f t="shared" si="47"/>
        <v>105</v>
      </c>
      <c r="V769" s="23">
        <f t="shared" si="48"/>
        <v>108</v>
      </c>
      <c r="W769" s="22" t="s">
        <v>11</v>
      </c>
      <c r="X769" s="22" t="s">
        <v>133</v>
      </c>
      <c r="Y769" s="22" t="s">
        <v>64</v>
      </c>
      <c r="Z769" s="22" t="s">
        <v>44</v>
      </c>
      <c r="AA769" s="22" t="s">
        <v>426</v>
      </c>
      <c r="AB769" s="22" t="s">
        <v>167</v>
      </c>
      <c r="AC769" s="22" t="s">
        <v>16</v>
      </c>
      <c r="AD769" s="22"/>
      <c r="AE769" s="2">
        <v>0</v>
      </c>
      <c r="AF769" s="2"/>
    </row>
    <row r="770" spans="1:32" x14ac:dyDescent="0.2">
      <c r="A770" s="35" t="s">
        <v>426</v>
      </c>
      <c r="B770" s="35" t="s">
        <v>167</v>
      </c>
      <c r="C770" s="35" t="s">
        <v>16</v>
      </c>
      <c r="D770" s="31" t="s">
        <v>1289</v>
      </c>
      <c r="E770" s="35" t="s">
        <v>620</v>
      </c>
      <c r="F770" s="35">
        <v>2</v>
      </c>
      <c r="G770" s="35" t="s">
        <v>1748</v>
      </c>
      <c r="H770" s="35" t="s">
        <v>11</v>
      </c>
      <c r="I770" s="35" t="s">
        <v>133</v>
      </c>
      <c r="J770" s="21" t="s">
        <v>1749</v>
      </c>
      <c r="K770" s="22" t="s">
        <v>64</v>
      </c>
      <c r="L770" s="22" t="s">
        <v>44</v>
      </c>
      <c r="M770" s="22" t="s">
        <v>169</v>
      </c>
      <c r="N770" s="21">
        <v>792</v>
      </c>
      <c r="O770" s="29">
        <v>45748</v>
      </c>
      <c r="P770" s="29">
        <v>45751</v>
      </c>
      <c r="Q770" s="29">
        <v>45755</v>
      </c>
      <c r="R770" s="29">
        <v>45762</v>
      </c>
      <c r="S770" s="23">
        <f t="shared" si="45"/>
        <v>91</v>
      </c>
      <c r="T770" s="23">
        <f t="shared" si="46"/>
        <v>94</v>
      </c>
      <c r="U770" s="23">
        <f t="shared" si="47"/>
        <v>98</v>
      </c>
      <c r="V770" s="23">
        <f t="shared" si="48"/>
        <v>105</v>
      </c>
      <c r="W770" s="22" t="s">
        <v>11</v>
      </c>
      <c r="X770" s="22" t="s">
        <v>133</v>
      </c>
      <c r="Y770" s="22" t="s">
        <v>64</v>
      </c>
      <c r="Z770" s="22" t="s">
        <v>44</v>
      </c>
      <c r="AA770" s="22" t="s">
        <v>426</v>
      </c>
      <c r="AB770" s="22" t="s">
        <v>167</v>
      </c>
      <c r="AC770" s="22" t="s">
        <v>16</v>
      </c>
      <c r="AD770" s="22"/>
      <c r="AE770" s="2">
        <v>0</v>
      </c>
      <c r="AF770" s="2"/>
    </row>
    <row r="771" spans="1:32" x14ac:dyDescent="0.2">
      <c r="A771" s="34" t="s">
        <v>426</v>
      </c>
      <c r="B771" s="34" t="s">
        <v>167</v>
      </c>
      <c r="C771" s="34" t="s">
        <v>32</v>
      </c>
      <c r="D771" s="34" t="s">
        <v>1299</v>
      </c>
      <c r="E771" s="34" t="s">
        <v>618</v>
      </c>
      <c r="F771" s="34">
        <v>1</v>
      </c>
      <c r="G771" s="34" t="s">
        <v>1750</v>
      </c>
      <c r="H771" s="34" t="s">
        <v>11</v>
      </c>
      <c r="I771" s="34" t="s">
        <v>133</v>
      </c>
      <c r="J771" s="13" t="s">
        <v>1751</v>
      </c>
      <c r="K771" s="15" t="s">
        <v>64</v>
      </c>
      <c r="L771" s="15" t="s">
        <v>44</v>
      </c>
      <c r="M771" s="15" t="s">
        <v>169</v>
      </c>
      <c r="N771" s="13">
        <v>793</v>
      </c>
      <c r="O771" s="30">
        <v>45748</v>
      </c>
      <c r="P771" s="30">
        <v>45758</v>
      </c>
      <c r="Q771" s="30">
        <v>45762</v>
      </c>
      <c r="R771" s="30">
        <v>45765</v>
      </c>
      <c r="S771" s="23">
        <f t="shared" ref="S771:S794" si="49">O771-DATE(YEAR(O771),1,1)+1</f>
        <v>91</v>
      </c>
      <c r="T771" s="23">
        <f t="shared" ref="T771:T794" si="50">P771-DATE(YEAR(P771),1,1)+1</f>
        <v>101</v>
      </c>
      <c r="U771" s="23">
        <f t="shared" ref="U771:U794" si="51">Q771-DATE(YEAR(Q771),1,1)+1</f>
        <v>105</v>
      </c>
      <c r="V771" s="23">
        <f t="shared" ref="V771:V794" si="52">R771-DATE(YEAR(R771),1,1)+1</f>
        <v>108</v>
      </c>
      <c r="W771" s="15" t="s">
        <v>11</v>
      </c>
      <c r="X771" s="15" t="s">
        <v>133</v>
      </c>
      <c r="Y771" s="15" t="s">
        <v>64</v>
      </c>
      <c r="Z771" s="15" t="s">
        <v>44</v>
      </c>
      <c r="AA771" s="15" t="s">
        <v>426</v>
      </c>
      <c r="AB771" s="15" t="s">
        <v>167</v>
      </c>
      <c r="AC771" s="15" t="s">
        <v>32</v>
      </c>
      <c r="AD771" s="15"/>
      <c r="AE771" s="1">
        <v>0</v>
      </c>
      <c r="AF771" s="1"/>
    </row>
    <row r="772" spans="1:32" x14ac:dyDescent="0.2">
      <c r="A772" s="34" t="s">
        <v>426</v>
      </c>
      <c r="B772" s="34" t="s">
        <v>167</v>
      </c>
      <c r="C772" s="34" t="s">
        <v>32</v>
      </c>
      <c r="D772" s="34" t="s">
        <v>1299</v>
      </c>
      <c r="E772" s="34" t="s">
        <v>619</v>
      </c>
      <c r="F772" s="34">
        <v>1</v>
      </c>
      <c r="G772" s="34" t="s">
        <v>1752</v>
      </c>
      <c r="H772" s="34" t="s">
        <v>11</v>
      </c>
      <c r="I772" s="34" t="s">
        <v>133</v>
      </c>
      <c r="J772" s="13" t="s">
        <v>1753</v>
      </c>
      <c r="K772" s="15" t="s">
        <v>64</v>
      </c>
      <c r="L772" s="15" t="s">
        <v>44</v>
      </c>
      <c r="M772" s="15" t="s">
        <v>169</v>
      </c>
      <c r="N772" s="13">
        <v>794</v>
      </c>
      <c r="O772" s="30">
        <v>45748</v>
      </c>
      <c r="P772" s="30">
        <v>45758</v>
      </c>
      <c r="Q772" s="30">
        <v>45762</v>
      </c>
      <c r="R772" s="30">
        <v>45765</v>
      </c>
      <c r="S772" s="23">
        <f t="shared" si="49"/>
        <v>91</v>
      </c>
      <c r="T772" s="23">
        <f t="shared" si="50"/>
        <v>101</v>
      </c>
      <c r="U772" s="23">
        <f t="shared" si="51"/>
        <v>105</v>
      </c>
      <c r="V772" s="23">
        <f t="shared" si="52"/>
        <v>108</v>
      </c>
      <c r="W772" s="15" t="s">
        <v>11</v>
      </c>
      <c r="X772" s="15" t="s">
        <v>133</v>
      </c>
      <c r="Y772" s="15" t="s">
        <v>64</v>
      </c>
      <c r="Z772" s="15" t="s">
        <v>44</v>
      </c>
      <c r="AA772" s="15" t="s">
        <v>426</v>
      </c>
      <c r="AB772" s="15" t="s">
        <v>167</v>
      </c>
      <c r="AC772" s="15" t="s">
        <v>32</v>
      </c>
      <c r="AD772" s="15"/>
      <c r="AE772" s="1">
        <v>0</v>
      </c>
      <c r="AF772" s="1"/>
    </row>
    <row r="773" spans="1:32" x14ac:dyDescent="0.2">
      <c r="A773" s="34" t="s">
        <v>426</v>
      </c>
      <c r="B773" s="34" t="s">
        <v>167</v>
      </c>
      <c r="C773" s="34" t="s">
        <v>32</v>
      </c>
      <c r="D773" s="34" t="s">
        <v>1299</v>
      </c>
      <c r="E773" s="34" t="s">
        <v>620</v>
      </c>
      <c r="F773" s="34">
        <v>1</v>
      </c>
      <c r="G773" s="34" t="s">
        <v>1754</v>
      </c>
      <c r="H773" s="34" t="s">
        <v>11</v>
      </c>
      <c r="I773" s="34" t="s">
        <v>133</v>
      </c>
      <c r="J773" s="13" t="s">
        <v>1755</v>
      </c>
      <c r="K773" s="15" t="s">
        <v>64</v>
      </c>
      <c r="L773" s="15" t="s">
        <v>44</v>
      </c>
      <c r="M773" s="15" t="s">
        <v>169</v>
      </c>
      <c r="N773" s="13">
        <v>795</v>
      </c>
      <c r="O773" s="30">
        <v>45748</v>
      </c>
      <c r="P773" s="30">
        <v>45758</v>
      </c>
      <c r="Q773" s="30">
        <v>45762</v>
      </c>
      <c r="R773" s="30">
        <v>45765</v>
      </c>
      <c r="S773" s="23">
        <f t="shared" si="49"/>
        <v>91</v>
      </c>
      <c r="T773" s="23">
        <f t="shared" si="50"/>
        <v>101</v>
      </c>
      <c r="U773" s="23">
        <f t="shared" si="51"/>
        <v>105</v>
      </c>
      <c r="V773" s="23">
        <f t="shared" si="52"/>
        <v>108</v>
      </c>
      <c r="W773" s="15" t="s">
        <v>11</v>
      </c>
      <c r="X773" s="15" t="s">
        <v>133</v>
      </c>
      <c r="Y773" s="15" t="s">
        <v>64</v>
      </c>
      <c r="Z773" s="15" t="s">
        <v>44</v>
      </c>
      <c r="AA773" s="15" t="s">
        <v>426</v>
      </c>
      <c r="AB773" s="15" t="s">
        <v>167</v>
      </c>
      <c r="AC773" s="15" t="s">
        <v>32</v>
      </c>
      <c r="AD773" s="15"/>
      <c r="AE773" s="1">
        <v>0</v>
      </c>
      <c r="AF773" s="1"/>
    </row>
    <row r="774" spans="1:32" x14ac:dyDescent="0.2">
      <c r="A774" s="34" t="s">
        <v>426</v>
      </c>
      <c r="B774" s="34" t="s">
        <v>167</v>
      </c>
      <c r="C774" s="34" t="s">
        <v>32</v>
      </c>
      <c r="D774" s="34" t="s">
        <v>1299</v>
      </c>
      <c r="E774" s="34" t="s">
        <v>618</v>
      </c>
      <c r="F774" s="34">
        <v>2</v>
      </c>
      <c r="G774" s="34" t="s">
        <v>1756</v>
      </c>
      <c r="H774" s="34" t="s">
        <v>11</v>
      </c>
      <c r="I774" s="34" t="s">
        <v>133</v>
      </c>
      <c r="J774" s="13" t="s">
        <v>1757</v>
      </c>
      <c r="K774" s="15" t="s">
        <v>64</v>
      </c>
      <c r="L774" s="15" t="s">
        <v>44</v>
      </c>
      <c r="M774" s="15" t="s">
        <v>169</v>
      </c>
      <c r="N774" s="13">
        <v>796</v>
      </c>
      <c r="O774" s="30">
        <v>45751</v>
      </c>
      <c r="P774" s="30">
        <v>45755</v>
      </c>
      <c r="Q774" s="30">
        <v>45762</v>
      </c>
      <c r="R774" s="30">
        <v>45765</v>
      </c>
      <c r="S774" s="23">
        <f t="shared" si="49"/>
        <v>94</v>
      </c>
      <c r="T774" s="23">
        <f t="shared" si="50"/>
        <v>98</v>
      </c>
      <c r="U774" s="23">
        <f t="shared" si="51"/>
        <v>105</v>
      </c>
      <c r="V774" s="23">
        <f t="shared" si="52"/>
        <v>108</v>
      </c>
      <c r="W774" s="15" t="s">
        <v>11</v>
      </c>
      <c r="X774" s="15" t="s">
        <v>133</v>
      </c>
      <c r="Y774" s="15" t="s">
        <v>64</v>
      </c>
      <c r="Z774" s="15" t="s">
        <v>44</v>
      </c>
      <c r="AA774" s="15" t="s">
        <v>426</v>
      </c>
      <c r="AB774" s="15" t="s">
        <v>167</v>
      </c>
      <c r="AC774" s="15" t="s">
        <v>32</v>
      </c>
      <c r="AD774" s="15"/>
      <c r="AE774" s="1">
        <v>0</v>
      </c>
      <c r="AF774" s="1"/>
    </row>
    <row r="775" spans="1:32" x14ac:dyDescent="0.2">
      <c r="A775" s="34" t="s">
        <v>426</v>
      </c>
      <c r="B775" s="34" t="s">
        <v>167</v>
      </c>
      <c r="C775" s="34" t="s">
        <v>32</v>
      </c>
      <c r="D775" s="34" t="s">
        <v>1299</v>
      </c>
      <c r="E775" s="34" t="s">
        <v>619</v>
      </c>
      <c r="F775" s="34">
        <v>2</v>
      </c>
      <c r="G775" s="34" t="s">
        <v>1758</v>
      </c>
      <c r="H775" s="34" t="s">
        <v>11</v>
      </c>
      <c r="I775" s="34" t="s">
        <v>133</v>
      </c>
      <c r="J775" s="13" t="s">
        <v>1759</v>
      </c>
      <c r="K775" s="15" t="s">
        <v>64</v>
      </c>
      <c r="L775" s="15" t="s">
        <v>44</v>
      </c>
      <c r="M775" s="15" t="s">
        <v>169</v>
      </c>
      <c r="N775" s="13">
        <v>797</v>
      </c>
      <c r="O775" s="30">
        <v>45748</v>
      </c>
      <c r="P775" s="30">
        <v>45755</v>
      </c>
      <c r="Q775" s="30">
        <v>45758</v>
      </c>
      <c r="R775" s="30">
        <v>45762</v>
      </c>
      <c r="S775" s="23">
        <f t="shared" si="49"/>
        <v>91</v>
      </c>
      <c r="T775" s="23">
        <f t="shared" si="50"/>
        <v>98</v>
      </c>
      <c r="U775" s="23">
        <f t="shared" si="51"/>
        <v>101</v>
      </c>
      <c r="V775" s="23">
        <f t="shared" si="52"/>
        <v>105</v>
      </c>
      <c r="W775" s="15" t="s">
        <v>11</v>
      </c>
      <c r="X775" s="15" t="s">
        <v>133</v>
      </c>
      <c r="Y775" s="15" t="s">
        <v>64</v>
      </c>
      <c r="Z775" s="15" t="s">
        <v>44</v>
      </c>
      <c r="AA775" s="15" t="s">
        <v>426</v>
      </c>
      <c r="AB775" s="15" t="s">
        <v>167</v>
      </c>
      <c r="AC775" s="15" t="s">
        <v>32</v>
      </c>
      <c r="AD775" s="15"/>
      <c r="AE775" s="1">
        <v>0</v>
      </c>
      <c r="AF775" s="1"/>
    </row>
    <row r="776" spans="1:32" x14ac:dyDescent="0.2">
      <c r="A776" s="34" t="s">
        <v>426</v>
      </c>
      <c r="B776" s="34" t="s">
        <v>167</v>
      </c>
      <c r="C776" s="34" t="s">
        <v>32</v>
      </c>
      <c r="D776" s="34" t="s">
        <v>1299</v>
      </c>
      <c r="E776" s="34" t="s">
        <v>620</v>
      </c>
      <c r="F776" s="34">
        <v>2</v>
      </c>
      <c r="G776" s="34" t="s">
        <v>1760</v>
      </c>
      <c r="H776" s="34" t="s">
        <v>11</v>
      </c>
      <c r="I776" s="34" t="s">
        <v>133</v>
      </c>
      <c r="J776" s="13" t="s">
        <v>1761</v>
      </c>
      <c r="K776" s="15" t="s">
        <v>64</v>
      </c>
      <c r="L776" s="15" t="s">
        <v>44</v>
      </c>
      <c r="M776" s="15" t="s">
        <v>169</v>
      </c>
      <c r="N776" s="13">
        <v>798</v>
      </c>
      <c r="O776" s="30">
        <v>45748</v>
      </c>
      <c r="P776" s="30">
        <v>45755</v>
      </c>
      <c r="Q776" s="30">
        <v>45762</v>
      </c>
      <c r="R776" s="30">
        <v>45765</v>
      </c>
      <c r="S776" s="23">
        <f t="shared" si="49"/>
        <v>91</v>
      </c>
      <c r="T776" s="23">
        <f t="shared" si="50"/>
        <v>98</v>
      </c>
      <c r="U776" s="23">
        <f t="shared" si="51"/>
        <v>105</v>
      </c>
      <c r="V776" s="23">
        <f t="shared" si="52"/>
        <v>108</v>
      </c>
      <c r="W776" s="15" t="s">
        <v>11</v>
      </c>
      <c r="X776" s="15" t="s">
        <v>133</v>
      </c>
      <c r="Y776" s="15" t="s">
        <v>64</v>
      </c>
      <c r="Z776" s="15" t="s">
        <v>44</v>
      </c>
      <c r="AA776" s="15" t="s">
        <v>426</v>
      </c>
      <c r="AB776" s="15" t="s">
        <v>167</v>
      </c>
      <c r="AC776" s="15" t="s">
        <v>32</v>
      </c>
      <c r="AD776" s="15"/>
      <c r="AE776" s="1">
        <v>0</v>
      </c>
      <c r="AF776" s="1"/>
    </row>
    <row r="777" spans="1:32" x14ac:dyDescent="0.2">
      <c r="A777" s="35" t="s">
        <v>426</v>
      </c>
      <c r="B777" s="35" t="s">
        <v>167</v>
      </c>
      <c r="C777" s="35" t="s">
        <v>42</v>
      </c>
      <c r="D777" s="31" t="s">
        <v>1308</v>
      </c>
      <c r="E777" s="35" t="s">
        <v>618</v>
      </c>
      <c r="F777" s="35">
        <v>1</v>
      </c>
      <c r="G777" s="35" t="s">
        <v>1762</v>
      </c>
      <c r="H777" s="35" t="s">
        <v>11</v>
      </c>
      <c r="I777" s="35" t="s">
        <v>133</v>
      </c>
      <c r="J777" s="21" t="s">
        <v>1763</v>
      </c>
      <c r="K777" s="22" t="s">
        <v>21</v>
      </c>
      <c r="L777" s="22" t="s">
        <v>44</v>
      </c>
      <c r="M777" s="22" t="s">
        <v>143</v>
      </c>
      <c r="N777" s="21">
        <v>799</v>
      </c>
      <c r="O777" s="29">
        <v>45748</v>
      </c>
      <c r="P777" s="29">
        <v>45751</v>
      </c>
      <c r="Q777" s="29">
        <v>45758</v>
      </c>
      <c r="R777" s="29">
        <v>45762</v>
      </c>
      <c r="S777" s="23">
        <f t="shared" si="49"/>
        <v>91</v>
      </c>
      <c r="T777" s="23">
        <f t="shared" si="50"/>
        <v>94</v>
      </c>
      <c r="U777" s="23">
        <f t="shared" si="51"/>
        <v>101</v>
      </c>
      <c r="V777" s="23">
        <f t="shared" si="52"/>
        <v>105</v>
      </c>
      <c r="W777" s="22" t="s">
        <v>11</v>
      </c>
      <c r="X777" s="22" t="s">
        <v>133</v>
      </c>
      <c r="Y777" s="22" t="s">
        <v>21</v>
      </c>
      <c r="Z777" s="22" t="s">
        <v>44</v>
      </c>
      <c r="AA777" s="22" t="s">
        <v>426</v>
      </c>
      <c r="AB777" s="22" t="s">
        <v>167</v>
      </c>
      <c r="AC777" s="22" t="s">
        <v>42</v>
      </c>
      <c r="AD777" s="22"/>
      <c r="AE777" s="2">
        <v>0</v>
      </c>
      <c r="AF777" s="2"/>
    </row>
    <row r="778" spans="1:32" x14ac:dyDescent="0.2">
      <c r="A778" s="35" t="s">
        <v>426</v>
      </c>
      <c r="B778" s="35" t="s">
        <v>167</v>
      </c>
      <c r="C778" s="35" t="s">
        <v>42</v>
      </c>
      <c r="D778" s="31" t="s">
        <v>1308</v>
      </c>
      <c r="E778" s="35" t="s">
        <v>619</v>
      </c>
      <c r="F778" s="35">
        <v>1</v>
      </c>
      <c r="G778" s="35" t="s">
        <v>1764</v>
      </c>
      <c r="H778" s="35" t="s">
        <v>11</v>
      </c>
      <c r="I778" s="35" t="s">
        <v>133</v>
      </c>
      <c r="J778" s="21" t="s">
        <v>1765</v>
      </c>
      <c r="K778" s="22" t="s">
        <v>21</v>
      </c>
      <c r="L778" s="22" t="s">
        <v>44</v>
      </c>
      <c r="M778" s="22" t="s">
        <v>143</v>
      </c>
      <c r="N778" s="21">
        <v>800</v>
      </c>
      <c r="O778" s="29">
        <v>45751</v>
      </c>
      <c r="P778" s="29">
        <v>45758</v>
      </c>
      <c r="Q778" s="29">
        <v>45762</v>
      </c>
      <c r="R778" s="29">
        <v>45765</v>
      </c>
      <c r="S778" s="23">
        <f t="shared" si="49"/>
        <v>94</v>
      </c>
      <c r="T778" s="23">
        <f t="shared" si="50"/>
        <v>101</v>
      </c>
      <c r="U778" s="23">
        <f t="shared" si="51"/>
        <v>105</v>
      </c>
      <c r="V778" s="23">
        <f t="shared" si="52"/>
        <v>108</v>
      </c>
      <c r="W778" s="22" t="s">
        <v>11</v>
      </c>
      <c r="X778" s="22" t="s">
        <v>133</v>
      </c>
      <c r="Y778" s="22" t="s">
        <v>21</v>
      </c>
      <c r="Z778" s="22" t="s">
        <v>44</v>
      </c>
      <c r="AA778" s="22" t="s">
        <v>426</v>
      </c>
      <c r="AB778" s="22" t="s">
        <v>167</v>
      </c>
      <c r="AC778" s="22" t="s">
        <v>42</v>
      </c>
      <c r="AD778" s="22"/>
      <c r="AE778" s="2">
        <v>0</v>
      </c>
      <c r="AF778" s="2"/>
    </row>
    <row r="779" spans="1:32" x14ac:dyDescent="0.2">
      <c r="A779" s="35" t="s">
        <v>426</v>
      </c>
      <c r="B779" s="35" t="s">
        <v>167</v>
      </c>
      <c r="C779" s="35" t="s">
        <v>42</v>
      </c>
      <c r="D779" s="31" t="s">
        <v>1308</v>
      </c>
      <c r="E779" s="35" t="s">
        <v>620</v>
      </c>
      <c r="F779" s="35">
        <v>1</v>
      </c>
      <c r="G779" s="35" t="s">
        <v>1766</v>
      </c>
      <c r="H779" s="35" t="s">
        <v>11</v>
      </c>
      <c r="I779" s="35" t="s">
        <v>133</v>
      </c>
      <c r="J779" s="21" t="s">
        <v>1767</v>
      </c>
      <c r="K779" s="22" t="s">
        <v>21</v>
      </c>
      <c r="L779" s="22" t="s">
        <v>44</v>
      </c>
      <c r="M779" s="22" t="s">
        <v>143</v>
      </c>
      <c r="N779" s="21">
        <v>801</v>
      </c>
      <c r="O779" s="29">
        <v>45748</v>
      </c>
      <c r="P779" s="29">
        <v>45755</v>
      </c>
      <c r="Q779" s="29">
        <v>45762</v>
      </c>
      <c r="R779" s="29">
        <v>45765</v>
      </c>
      <c r="S779" s="23">
        <f t="shared" si="49"/>
        <v>91</v>
      </c>
      <c r="T779" s="23">
        <f t="shared" si="50"/>
        <v>98</v>
      </c>
      <c r="U779" s="23">
        <f t="shared" si="51"/>
        <v>105</v>
      </c>
      <c r="V779" s="23">
        <f t="shared" si="52"/>
        <v>108</v>
      </c>
      <c r="W779" s="22" t="s">
        <v>11</v>
      </c>
      <c r="X779" s="22" t="s">
        <v>133</v>
      </c>
      <c r="Y779" s="22" t="s">
        <v>21</v>
      </c>
      <c r="Z779" s="22" t="s">
        <v>44</v>
      </c>
      <c r="AA779" s="22" t="s">
        <v>426</v>
      </c>
      <c r="AB779" s="22" t="s">
        <v>167</v>
      </c>
      <c r="AC779" s="22" t="s">
        <v>42</v>
      </c>
      <c r="AD779" s="22"/>
      <c r="AE779" s="2">
        <v>0</v>
      </c>
      <c r="AF779" s="2"/>
    </row>
    <row r="780" spans="1:32" x14ac:dyDescent="0.2">
      <c r="A780" s="35" t="s">
        <v>426</v>
      </c>
      <c r="B780" s="35" t="s">
        <v>167</v>
      </c>
      <c r="C780" s="35" t="s">
        <v>42</v>
      </c>
      <c r="D780" s="31" t="s">
        <v>1308</v>
      </c>
      <c r="E780" s="35" t="s">
        <v>618</v>
      </c>
      <c r="F780" s="35">
        <v>2</v>
      </c>
      <c r="G780" s="35" t="s">
        <v>1768</v>
      </c>
      <c r="H780" s="35" t="s">
        <v>11</v>
      </c>
      <c r="I780" s="35" t="s">
        <v>133</v>
      </c>
      <c r="J780" s="21" t="s">
        <v>1769</v>
      </c>
      <c r="K780" s="22" t="s">
        <v>21</v>
      </c>
      <c r="L780" s="22" t="s">
        <v>44</v>
      </c>
      <c r="M780" s="22" t="s">
        <v>143</v>
      </c>
      <c r="N780" s="21">
        <v>802</v>
      </c>
      <c r="O780" s="29">
        <v>45748</v>
      </c>
      <c r="P780" s="29">
        <v>45755</v>
      </c>
      <c r="Q780" s="29">
        <v>45762</v>
      </c>
      <c r="R780" s="29">
        <v>45765</v>
      </c>
      <c r="S780" s="23">
        <f t="shared" si="49"/>
        <v>91</v>
      </c>
      <c r="T780" s="23">
        <f t="shared" si="50"/>
        <v>98</v>
      </c>
      <c r="U780" s="23">
        <f t="shared" si="51"/>
        <v>105</v>
      </c>
      <c r="V780" s="23">
        <f t="shared" si="52"/>
        <v>108</v>
      </c>
      <c r="W780" s="22" t="s">
        <v>11</v>
      </c>
      <c r="X780" s="22" t="s">
        <v>133</v>
      </c>
      <c r="Y780" s="22" t="s">
        <v>21</v>
      </c>
      <c r="Z780" s="22" t="s">
        <v>44</v>
      </c>
      <c r="AA780" s="22" t="s">
        <v>426</v>
      </c>
      <c r="AB780" s="22" t="s">
        <v>167</v>
      </c>
      <c r="AC780" s="22" t="s">
        <v>42</v>
      </c>
      <c r="AD780" s="22"/>
      <c r="AE780" s="2">
        <v>0</v>
      </c>
      <c r="AF780" s="2"/>
    </row>
    <row r="781" spans="1:32" x14ac:dyDescent="0.2">
      <c r="A781" s="35" t="s">
        <v>426</v>
      </c>
      <c r="B781" s="35" t="s">
        <v>167</v>
      </c>
      <c r="C781" s="35" t="s">
        <v>42</v>
      </c>
      <c r="D781" s="31" t="s">
        <v>1308</v>
      </c>
      <c r="E781" s="35" t="s">
        <v>619</v>
      </c>
      <c r="F781" s="35">
        <v>2</v>
      </c>
      <c r="G781" s="35" t="s">
        <v>1770</v>
      </c>
      <c r="H781" s="35" t="s">
        <v>11</v>
      </c>
      <c r="I781" s="35" t="s">
        <v>133</v>
      </c>
      <c r="J781" s="21" t="s">
        <v>1771</v>
      </c>
      <c r="K781" s="22" t="s">
        <v>21</v>
      </c>
      <c r="L781" s="22" t="s">
        <v>44</v>
      </c>
      <c r="M781" s="22" t="s">
        <v>143</v>
      </c>
      <c r="N781" s="21">
        <v>803</v>
      </c>
      <c r="O781" s="29">
        <v>45748</v>
      </c>
      <c r="P781" s="29">
        <v>45755</v>
      </c>
      <c r="Q781" s="29">
        <v>45762</v>
      </c>
      <c r="R781" s="29">
        <v>45765</v>
      </c>
      <c r="S781" s="23">
        <f t="shared" si="49"/>
        <v>91</v>
      </c>
      <c r="T781" s="23">
        <f t="shared" si="50"/>
        <v>98</v>
      </c>
      <c r="U781" s="23">
        <f t="shared" si="51"/>
        <v>105</v>
      </c>
      <c r="V781" s="23">
        <f t="shared" si="52"/>
        <v>108</v>
      </c>
      <c r="W781" s="22" t="s">
        <v>11</v>
      </c>
      <c r="X781" s="22" t="s">
        <v>133</v>
      </c>
      <c r="Y781" s="22" t="s">
        <v>21</v>
      </c>
      <c r="Z781" s="22" t="s">
        <v>44</v>
      </c>
      <c r="AA781" s="22" t="s">
        <v>426</v>
      </c>
      <c r="AB781" s="22" t="s">
        <v>167</v>
      </c>
      <c r="AC781" s="22" t="s">
        <v>42</v>
      </c>
      <c r="AD781" s="22"/>
      <c r="AE781" s="2">
        <v>0</v>
      </c>
      <c r="AF781" s="2"/>
    </row>
    <row r="782" spans="1:32" x14ac:dyDescent="0.2">
      <c r="A782" s="35" t="s">
        <v>426</v>
      </c>
      <c r="B782" s="35" t="s">
        <v>167</v>
      </c>
      <c r="C782" s="35" t="s">
        <v>42</v>
      </c>
      <c r="D782" s="31" t="s">
        <v>1308</v>
      </c>
      <c r="E782" s="35" t="s">
        <v>620</v>
      </c>
      <c r="F782" s="35">
        <v>2</v>
      </c>
      <c r="G782" s="35" t="s">
        <v>1772</v>
      </c>
      <c r="H782" s="35" t="s">
        <v>11</v>
      </c>
      <c r="I782" s="35" t="s">
        <v>133</v>
      </c>
      <c r="J782" s="21" t="s">
        <v>1773</v>
      </c>
      <c r="K782" s="22" t="s">
        <v>21</v>
      </c>
      <c r="L782" s="22" t="s">
        <v>44</v>
      </c>
      <c r="M782" s="22" t="s">
        <v>143</v>
      </c>
      <c r="N782" s="21">
        <v>804</v>
      </c>
      <c r="O782" s="29">
        <v>45748</v>
      </c>
      <c r="P782" s="29">
        <v>45755</v>
      </c>
      <c r="Q782" s="29">
        <v>45758</v>
      </c>
      <c r="R782" s="29">
        <v>45762</v>
      </c>
      <c r="S782" s="23">
        <f t="shared" si="49"/>
        <v>91</v>
      </c>
      <c r="T782" s="23">
        <f t="shared" si="50"/>
        <v>98</v>
      </c>
      <c r="U782" s="23">
        <f t="shared" si="51"/>
        <v>101</v>
      </c>
      <c r="V782" s="23">
        <f t="shared" si="52"/>
        <v>105</v>
      </c>
      <c r="W782" s="22" t="s">
        <v>11</v>
      </c>
      <c r="X782" s="22" t="s">
        <v>133</v>
      </c>
      <c r="Y782" s="22" t="s">
        <v>21</v>
      </c>
      <c r="Z782" s="22" t="s">
        <v>44</v>
      </c>
      <c r="AA782" s="22" t="s">
        <v>426</v>
      </c>
      <c r="AB782" s="22" t="s">
        <v>167</v>
      </c>
      <c r="AC782" s="22" t="s">
        <v>42</v>
      </c>
      <c r="AD782" s="22"/>
      <c r="AE782" s="2">
        <v>0</v>
      </c>
      <c r="AF782" s="2"/>
    </row>
    <row r="783" spans="1:32" x14ac:dyDescent="0.2">
      <c r="A783" s="34" t="s">
        <v>426</v>
      </c>
      <c r="B783" s="34" t="s">
        <v>167</v>
      </c>
      <c r="C783" s="34" t="s">
        <v>53</v>
      </c>
      <c r="D783" s="34" t="s">
        <v>1317</v>
      </c>
      <c r="E783" s="34" t="s">
        <v>618</v>
      </c>
      <c r="F783" s="34">
        <v>1</v>
      </c>
      <c r="G783" s="34" t="s">
        <v>1774</v>
      </c>
      <c r="H783" s="34" t="s">
        <v>11</v>
      </c>
      <c r="I783" s="34" t="s">
        <v>133</v>
      </c>
      <c r="J783" s="13" t="s">
        <v>1775</v>
      </c>
      <c r="K783" s="15" t="s">
        <v>21</v>
      </c>
      <c r="L783" s="15" t="s">
        <v>44</v>
      </c>
      <c r="M783" s="15" t="s">
        <v>143</v>
      </c>
      <c r="N783" s="13">
        <v>805</v>
      </c>
      <c r="O783" s="30">
        <v>45748</v>
      </c>
      <c r="P783" s="30">
        <v>45755</v>
      </c>
      <c r="Q783" s="30">
        <v>45762</v>
      </c>
      <c r="R783" s="30">
        <v>45765</v>
      </c>
      <c r="S783" s="23">
        <f t="shared" si="49"/>
        <v>91</v>
      </c>
      <c r="T783" s="23">
        <f t="shared" si="50"/>
        <v>98</v>
      </c>
      <c r="U783" s="23">
        <f t="shared" si="51"/>
        <v>105</v>
      </c>
      <c r="V783" s="23">
        <f t="shared" si="52"/>
        <v>108</v>
      </c>
      <c r="W783" s="15" t="s">
        <v>11</v>
      </c>
      <c r="X783" s="15" t="s">
        <v>133</v>
      </c>
      <c r="Y783" s="15" t="s">
        <v>21</v>
      </c>
      <c r="Z783" s="15" t="s">
        <v>44</v>
      </c>
      <c r="AA783" s="15" t="s">
        <v>426</v>
      </c>
      <c r="AB783" s="15" t="s">
        <v>167</v>
      </c>
      <c r="AC783" s="15" t="s">
        <v>53</v>
      </c>
      <c r="AD783" s="15"/>
      <c r="AE783" s="1">
        <v>0</v>
      </c>
      <c r="AF783" s="1"/>
    </row>
    <row r="784" spans="1:32" x14ac:dyDescent="0.2">
      <c r="A784" s="34" t="s">
        <v>426</v>
      </c>
      <c r="B784" s="34" t="s">
        <v>167</v>
      </c>
      <c r="C784" s="34" t="s">
        <v>53</v>
      </c>
      <c r="D784" s="34" t="s">
        <v>1317</v>
      </c>
      <c r="E784" s="34" t="s">
        <v>619</v>
      </c>
      <c r="F784" s="34">
        <v>1</v>
      </c>
      <c r="G784" s="34" t="s">
        <v>1776</v>
      </c>
      <c r="H784" s="34" t="s">
        <v>11</v>
      </c>
      <c r="I784" s="34" t="s">
        <v>133</v>
      </c>
      <c r="J784" s="13" t="s">
        <v>1777</v>
      </c>
      <c r="K784" s="15" t="s">
        <v>21</v>
      </c>
      <c r="L784" s="15" t="s">
        <v>44</v>
      </c>
      <c r="M784" s="15" t="s">
        <v>143</v>
      </c>
      <c r="N784" s="13">
        <v>806</v>
      </c>
      <c r="O784" s="30">
        <v>45748</v>
      </c>
      <c r="P784" s="30">
        <v>45755</v>
      </c>
      <c r="Q784" s="30">
        <v>45762</v>
      </c>
      <c r="R784" s="30">
        <v>45765</v>
      </c>
      <c r="S784" s="23">
        <f t="shared" si="49"/>
        <v>91</v>
      </c>
      <c r="T784" s="23">
        <f t="shared" si="50"/>
        <v>98</v>
      </c>
      <c r="U784" s="23">
        <f t="shared" si="51"/>
        <v>105</v>
      </c>
      <c r="V784" s="23">
        <f t="shared" si="52"/>
        <v>108</v>
      </c>
      <c r="W784" s="15" t="s">
        <v>11</v>
      </c>
      <c r="X784" s="15" t="s">
        <v>133</v>
      </c>
      <c r="Y784" s="15" t="s">
        <v>21</v>
      </c>
      <c r="Z784" s="15" t="s">
        <v>44</v>
      </c>
      <c r="AA784" s="15" t="s">
        <v>426</v>
      </c>
      <c r="AB784" s="15" t="s">
        <v>167</v>
      </c>
      <c r="AC784" s="15" t="s">
        <v>53</v>
      </c>
      <c r="AD784" s="15"/>
      <c r="AE784" s="1">
        <v>0</v>
      </c>
      <c r="AF784" s="1"/>
    </row>
    <row r="785" spans="1:32" x14ac:dyDescent="0.2">
      <c r="A785" s="34" t="s">
        <v>426</v>
      </c>
      <c r="B785" s="34" t="s">
        <v>167</v>
      </c>
      <c r="C785" s="34" t="s">
        <v>53</v>
      </c>
      <c r="D785" s="34" t="s">
        <v>1317</v>
      </c>
      <c r="E785" s="34" t="s">
        <v>620</v>
      </c>
      <c r="F785" s="34">
        <v>1</v>
      </c>
      <c r="G785" s="34" t="s">
        <v>1778</v>
      </c>
      <c r="H785" s="34" t="s">
        <v>11</v>
      </c>
      <c r="I785" s="34" t="s">
        <v>133</v>
      </c>
      <c r="J785" s="13" t="s">
        <v>1779</v>
      </c>
      <c r="K785" s="15" t="s">
        <v>21</v>
      </c>
      <c r="L785" s="15" t="s">
        <v>44</v>
      </c>
      <c r="M785" s="15" t="s">
        <v>143</v>
      </c>
      <c r="N785" s="13">
        <v>807</v>
      </c>
      <c r="O785" s="30">
        <v>45748</v>
      </c>
      <c r="P785" s="30">
        <v>45758</v>
      </c>
      <c r="Q785" s="30">
        <v>45762</v>
      </c>
      <c r="R785" s="30">
        <v>45765</v>
      </c>
      <c r="S785" s="23">
        <f t="shared" si="49"/>
        <v>91</v>
      </c>
      <c r="T785" s="23">
        <f t="shared" si="50"/>
        <v>101</v>
      </c>
      <c r="U785" s="23">
        <f t="shared" si="51"/>
        <v>105</v>
      </c>
      <c r="V785" s="23">
        <f t="shared" si="52"/>
        <v>108</v>
      </c>
      <c r="W785" s="15" t="s">
        <v>11</v>
      </c>
      <c r="X785" s="15" t="s">
        <v>133</v>
      </c>
      <c r="Y785" s="15" t="s">
        <v>21</v>
      </c>
      <c r="Z785" s="15" t="s">
        <v>44</v>
      </c>
      <c r="AA785" s="15" t="s">
        <v>426</v>
      </c>
      <c r="AB785" s="15" t="s">
        <v>167</v>
      </c>
      <c r="AC785" s="15" t="s">
        <v>53</v>
      </c>
      <c r="AD785" s="15"/>
      <c r="AE785" s="1">
        <v>0</v>
      </c>
      <c r="AF785" s="1"/>
    </row>
    <row r="786" spans="1:32" x14ac:dyDescent="0.2">
      <c r="A786" s="34" t="s">
        <v>426</v>
      </c>
      <c r="B786" s="34" t="s">
        <v>167</v>
      </c>
      <c r="C786" s="34" t="s">
        <v>53</v>
      </c>
      <c r="D786" s="34" t="s">
        <v>1317</v>
      </c>
      <c r="E786" s="34" t="s">
        <v>618</v>
      </c>
      <c r="F786" s="34">
        <v>2</v>
      </c>
      <c r="G786" s="34" t="s">
        <v>1780</v>
      </c>
      <c r="H786" s="34" t="s">
        <v>11</v>
      </c>
      <c r="I786" s="34" t="s">
        <v>133</v>
      </c>
      <c r="J786" s="13" t="s">
        <v>1781</v>
      </c>
      <c r="K786" s="15" t="s">
        <v>21</v>
      </c>
      <c r="L786" s="15" t="s">
        <v>44</v>
      </c>
      <c r="M786" s="15" t="s">
        <v>143</v>
      </c>
      <c r="N786" s="13">
        <v>808</v>
      </c>
      <c r="O786" s="30">
        <v>45748</v>
      </c>
      <c r="P786" s="30">
        <v>45755</v>
      </c>
      <c r="Q786" s="30">
        <v>45762</v>
      </c>
      <c r="R786" s="30">
        <v>45765</v>
      </c>
      <c r="S786" s="23">
        <f t="shared" si="49"/>
        <v>91</v>
      </c>
      <c r="T786" s="23">
        <f t="shared" si="50"/>
        <v>98</v>
      </c>
      <c r="U786" s="23">
        <f t="shared" si="51"/>
        <v>105</v>
      </c>
      <c r="V786" s="23">
        <f t="shared" si="52"/>
        <v>108</v>
      </c>
      <c r="W786" s="15" t="s">
        <v>11</v>
      </c>
      <c r="X786" s="15" t="s">
        <v>133</v>
      </c>
      <c r="Y786" s="15" t="s">
        <v>21</v>
      </c>
      <c r="Z786" s="15" t="s">
        <v>44</v>
      </c>
      <c r="AA786" s="15" t="s">
        <v>426</v>
      </c>
      <c r="AB786" s="15" t="s">
        <v>167</v>
      </c>
      <c r="AC786" s="15" t="s">
        <v>53</v>
      </c>
      <c r="AD786" s="15"/>
      <c r="AE786" s="1">
        <v>0</v>
      </c>
      <c r="AF786" s="1"/>
    </row>
    <row r="787" spans="1:32" x14ac:dyDescent="0.2">
      <c r="A787" s="34" t="s">
        <v>426</v>
      </c>
      <c r="B787" s="34" t="s">
        <v>167</v>
      </c>
      <c r="C787" s="34" t="s">
        <v>53</v>
      </c>
      <c r="D787" s="34" t="s">
        <v>1317</v>
      </c>
      <c r="E787" s="34" t="s">
        <v>619</v>
      </c>
      <c r="F787" s="34">
        <v>2</v>
      </c>
      <c r="G787" s="34" t="s">
        <v>1782</v>
      </c>
      <c r="H787" s="34" t="s">
        <v>11</v>
      </c>
      <c r="I787" s="34" t="s">
        <v>133</v>
      </c>
      <c r="J787" s="13" t="s">
        <v>1783</v>
      </c>
      <c r="K787" s="15" t="s">
        <v>21</v>
      </c>
      <c r="L787" s="15" t="s">
        <v>44</v>
      </c>
      <c r="M787" s="15" t="s">
        <v>143</v>
      </c>
      <c r="N787" s="13">
        <v>809</v>
      </c>
      <c r="O787" s="30">
        <v>45748</v>
      </c>
      <c r="P787" s="30">
        <v>45755</v>
      </c>
      <c r="Q787" s="30">
        <v>45762</v>
      </c>
      <c r="R787" s="30">
        <v>45765</v>
      </c>
      <c r="S787" s="23">
        <f t="shared" si="49"/>
        <v>91</v>
      </c>
      <c r="T787" s="23">
        <f t="shared" si="50"/>
        <v>98</v>
      </c>
      <c r="U787" s="23">
        <f t="shared" si="51"/>
        <v>105</v>
      </c>
      <c r="V787" s="23">
        <f t="shared" si="52"/>
        <v>108</v>
      </c>
      <c r="W787" s="15" t="s">
        <v>11</v>
      </c>
      <c r="X787" s="15" t="s">
        <v>133</v>
      </c>
      <c r="Y787" s="15" t="s">
        <v>21</v>
      </c>
      <c r="Z787" s="15" t="s">
        <v>44</v>
      </c>
      <c r="AA787" s="15" t="s">
        <v>426</v>
      </c>
      <c r="AB787" s="15" t="s">
        <v>167</v>
      </c>
      <c r="AC787" s="15" t="s">
        <v>53</v>
      </c>
      <c r="AD787" s="15"/>
      <c r="AE787" s="1">
        <v>0</v>
      </c>
      <c r="AF787" s="1"/>
    </row>
    <row r="788" spans="1:32" x14ac:dyDescent="0.2">
      <c r="A788" s="34" t="s">
        <v>426</v>
      </c>
      <c r="B788" s="34" t="s">
        <v>167</v>
      </c>
      <c r="C788" s="34" t="s">
        <v>53</v>
      </c>
      <c r="D788" s="34" t="s">
        <v>1317</v>
      </c>
      <c r="E788" s="34" t="s">
        <v>620</v>
      </c>
      <c r="F788" s="34">
        <v>2</v>
      </c>
      <c r="G788" s="34" t="s">
        <v>1784</v>
      </c>
      <c r="H788" s="34" t="s">
        <v>11</v>
      </c>
      <c r="I788" s="34" t="s">
        <v>133</v>
      </c>
      <c r="J788" s="13" t="s">
        <v>1785</v>
      </c>
      <c r="K788" s="15" t="s">
        <v>21</v>
      </c>
      <c r="L788" s="15" t="s">
        <v>44</v>
      </c>
      <c r="M788" s="15" t="s">
        <v>143</v>
      </c>
      <c r="N788" s="13">
        <v>810</v>
      </c>
      <c r="O788" s="30">
        <v>45748</v>
      </c>
      <c r="P788" s="30">
        <v>45751</v>
      </c>
      <c r="Q788" s="30">
        <v>45762</v>
      </c>
      <c r="R788" s="30">
        <v>45765</v>
      </c>
      <c r="S788" s="23">
        <f t="shared" si="49"/>
        <v>91</v>
      </c>
      <c r="T788" s="23">
        <f t="shared" si="50"/>
        <v>94</v>
      </c>
      <c r="U788" s="23">
        <f t="shared" si="51"/>
        <v>105</v>
      </c>
      <c r="V788" s="23">
        <f t="shared" si="52"/>
        <v>108</v>
      </c>
      <c r="W788" s="15" t="s">
        <v>11</v>
      </c>
      <c r="X788" s="15" t="s">
        <v>133</v>
      </c>
      <c r="Y788" s="15" t="s">
        <v>21</v>
      </c>
      <c r="Z788" s="15" t="s">
        <v>44</v>
      </c>
      <c r="AA788" s="15" t="s">
        <v>426</v>
      </c>
      <c r="AB788" s="15" t="s">
        <v>167</v>
      </c>
      <c r="AC788" s="15" t="s">
        <v>53</v>
      </c>
      <c r="AD788" s="15"/>
      <c r="AE788" s="1">
        <v>0</v>
      </c>
      <c r="AF788" s="1"/>
    </row>
    <row r="789" spans="1:32" x14ac:dyDescent="0.2">
      <c r="A789" s="35" t="s">
        <v>426</v>
      </c>
      <c r="B789" s="35" t="s">
        <v>200</v>
      </c>
      <c r="C789" s="35" t="s">
        <v>42</v>
      </c>
      <c r="D789" s="31" t="s">
        <v>1344</v>
      </c>
      <c r="E789" s="35" t="s">
        <v>618</v>
      </c>
      <c r="F789" s="35">
        <v>1</v>
      </c>
      <c r="G789" s="35" t="s">
        <v>1786</v>
      </c>
      <c r="H789" s="35" t="s">
        <v>11</v>
      </c>
      <c r="I789" s="35" t="s">
        <v>133</v>
      </c>
      <c r="J789" s="21" t="s">
        <v>1787</v>
      </c>
      <c r="K789" s="22" t="s">
        <v>21</v>
      </c>
      <c r="L789" s="22" t="s">
        <v>44</v>
      </c>
      <c r="M789" s="22" t="s">
        <v>143</v>
      </c>
      <c r="N789" s="21">
        <v>811</v>
      </c>
      <c r="O789" s="29">
        <v>45748</v>
      </c>
      <c r="P789" s="29">
        <v>45755</v>
      </c>
      <c r="Q789" s="29">
        <v>45762</v>
      </c>
      <c r="R789" s="29">
        <v>45770</v>
      </c>
      <c r="S789" s="23">
        <f t="shared" si="49"/>
        <v>91</v>
      </c>
      <c r="T789" s="23">
        <f t="shared" si="50"/>
        <v>98</v>
      </c>
      <c r="U789" s="23">
        <f t="shared" si="51"/>
        <v>105</v>
      </c>
      <c r="V789" s="23">
        <f t="shared" si="52"/>
        <v>113</v>
      </c>
      <c r="W789" s="22" t="s">
        <v>11</v>
      </c>
      <c r="X789" s="22" t="s">
        <v>133</v>
      </c>
      <c r="Y789" s="22" t="s">
        <v>21</v>
      </c>
      <c r="Z789" s="22" t="s">
        <v>44</v>
      </c>
      <c r="AA789" s="22" t="s">
        <v>426</v>
      </c>
      <c r="AB789" s="22" t="s">
        <v>200</v>
      </c>
      <c r="AC789" s="22" t="s">
        <v>42</v>
      </c>
      <c r="AD789" s="22"/>
      <c r="AE789" s="2">
        <v>0</v>
      </c>
      <c r="AF789" s="2"/>
    </row>
    <row r="790" spans="1:32" x14ac:dyDescent="0.2">
      <c r="A790" s="35" t="s">
        <v>426</v>
      </c>
      <c r="B790" s="35" t="s">
        <v>200</v>
      </c>
      <c r="C790" s="35" t="s">
        <v>42</v>
      </c>
      <c r="D790" s="31" t="s">
        <v>1344</v>
      </c>
      <c r="E790" s="35" t="s">
        <v>619</v>
      </c>
      <c r="F790" s="35">
        <v>1</v>
      </c>
      <c r="G790" s="35" t="s">
        <v>1788</v>
      </c>
      <c r="H790" s="35" t="s">
        <v>11</v>
      </c>
      <c r="I790" s="35" t="s">
        <v>133</v>
      </c>
      <c r="J790" s="21" t="s">
        <v>1789</v>
      </c>
      <c r="K790" s="22" t="s">
        <v>21</v>
      </c>
      <c r="L790" s="22" t="s">
        <v>44</v>
      </c>
      <c r="M790" s="22" t="s">
        <v>143</v>
      </c>
      <c r="N790" s="21">
        <v>812</v>
      </c>
      <c r="O790" s="29">
        <v>45748</v>
      </c>
      <c r="P790" s="29">
        <v>45755</v>
      </c>
      <c r="Q790" s="29">
        <v>45758</v>
      </c>
      <c r="R790" s="29">
        <v>45762</v>
      </c>
      <c r="S790" s="23">
        <f t="shared" si="49"/>
        <v>91</v>
      </c>
      <c r="T790" s="23">
        <f t="shared" si="50"/>
        <v>98</v>
      </c>
      <c r="U790" s="23">
        <f t="shared" si="51"/>
        <v>101</v>
      </c>
      <c r="V790" s="23">
        <f t="shared" si="52"/>
        <v>105</v>
      </c>
      <c r="W790" s="22" t="s">
        <v>11</v>
      </c>
      <c r="X790" s="22" t="s">
        <v>133</v>
      </c>
      <c r="Y790" s="22" t="s">
        <v>21</v>
      </c>
      <c r="Z790" s="22" t="s">
        <v>44</v>
      </c>
      <c r="AA790" s="22" t="s">
        <v>426</v>
      </c>
      <c r="AB790" s="22" t="s">
        <v>200</v>
      </c>
      <c r="AC790" s="22" t="s">
        <v>42</v>
      </c>
      <c r="AD790" s="22"/>
      <c r="AE790" s="2">
        <v>0</v>
      </c>
      <c r="AF790" s="2"/>
    </row>
    <row r="791" spans="1:32" x14ac:dyDescent="0.2">
      <c r="A791" s="35" t="s">
        <v>426</v>
      </c>
      <c r="B791" s="35" t="s">
        <v>200</v>
      </c>
      <c r="C791" s="35" t="s">
        <v>42</v>
      </c>
      <c r="D791" s="31" t="s">
        <v>1344</v>
      </c>
      <c r="E791" s="35" t="s">
        <v>620</v>
      </c>
      <c r="F791" s="35">
        <v>1</v>
      </c>
      <c r="G791" s="35" t="s">
        <v>1790</v>
      </c>
      <c r="H791" s="35" t="s">
        <v>11</v>
      </c>
      <c r="I791" s="35" t="s">
        <v>133</v>
      </c>
      <c r="J791" s="21" t="s">
        <v>1791</v>
      </c>
      <c r="K791" s="22" t="s">
        <v>21</v>
      </c>
      <c r="L791" s="22" t="s">
        <v>44</v>
      </c>
      <c r="M791" s="22" t="s">
        <v>143</v>
      </c>
      <c r="N791" s="21">
        <v>813</v>
      </c>
      <c r="O791" s="29">
        <v>45748</v>
      </c>
      <c r="P791" s="29">
        <v>45755</v>
      </c>
      <c r="Q791" s="29">
        <v>45762</v>
      </c>
      <c r="R791" s="29">
        <v>45772</v>
      </c>
      <c r="S791" s="23">
        <f t="shared" si="49"/>
        <v>91</v>
      </c>
      <c r="T791" s="23">
        <f t="shared" si="50"/>
        <v>98</v>
      </c>
      <c r="U791" s="23">
        <f t="shared" si="51"/>
        <v>105</v>
      </c>
      <c r="V791" s="23">
        <f t="shared" si="52"/>
        <v>115</v>
      </c>
      <c r="W791" s="22" t="s">
        <v>11</v>
      </c>
      <c r="X791" s="22" t="s">
        <v>133</v>
      </c>
      <c r="Y791" s="22" t="s">
        <v>21</v>
      </c>
      <c r="Z791" s="22" t="s">
        <v>44</v>
      </c>
      <c r="AA791" s="22" t="s">
        <v>426</v>
      </c>
      <c r="AB791" s="22" t="s">
        <v>200</v>
      </c>
      <c r="AC791" s="22" t="s">
        <v>42</v>
      </c>
      <c r="AD791" s="22"/>
      <c r="AE791" s="2">
        <v>0</v>
      </c>
      <c r="AF791" s="2"/>
    </row>
    <row r="792" spans="1:32" x14ac:dyDescent="0.2">
      <c r="A792" s="35" t="s">
        <v>426</v>
      </c>
      <c r="B792" s="35" t="s">
        <v>200</v>
      </c>
      <c r="C792" s="35" t="s">
        <v>42</v>
      </c>
      <c r="D792" s="31" t="s">
        <v>1344</v>
      </c>
      <c r="E792" s="35" t="s">
        <v>618</v>
      </c>
      <c r="F792" s="35">
        <v>2</v>
      </c>
      <c r="G792" s="35" t="s">
        <v>1792</v>
      </c>
      <c r="H792" s="35" t="s">
        <v>11</v>
      </c>
      <c r="I792" s="35" t="s">
        <v>133</v>
      </c>
      <c r="J792" s="21" t="s">
        <v>1793</v>
      </c>
      <c r="K792" s="22" t="s">
        <v>21</v>
      </c>
      <c r="L792" s="22" t="s">
        <v>44</v>
      </c>
      <c r="M792" s="22" t="s">
        <v>143</v>
      </c>
      <c r="N792" s="21">
        <v>814</v>
      </c>
      <c r="O792" s="29">
        <v>45748</v>
      </c>
      <c r="P792" s="29">
        <v>45755</v>
      </c>
      <c r="Q792" s="29"/>
      <c r="R792" s="29">
        <v>45762</v>
      </c>
      <c r="S792" s="23">
        <f t="shared" si="49"/>
        <v>91</v>
      </c>
      <c r="T792" s="23">
        <f t="shared" si="50"/>
        <v>98</v>
      </c>
      <c r="U792" s="23">
        <f>(V792+T792)/2</f>
        <v>101.5</v>
      </c>
      <c r="V792" s="23">
        <f t="shared" si="52"/>
        <v>105</v>
      </c>
      <c r="W792" s="22" t="s">
        <v>11</v>
      </c>
      <c r="X792" s="22" t="s">
        <v>133</v>
      </c>
      <c r="Y792" s="22" t="s">
        <v>21</v>
      </c>
      <c r="Z792" s="22" t="s">
        <v>44</v>
      </c>
      <c r="AA792" s="22" t="s">
        <v>426</v>
      </c>
      <c r="AB792" s="22" t="s">
        <v>200</v>
      </c>
      <c r="AC792" s="22" t="s">
        <v>42</v>
      </c>
      <c r="AD792" s="22"/>
      <c r="AE792" s="2">
        <v>0</v>
      </c>
      <c r="AF792" s="2"/>
    </row>
    <row r="793" spans="1:32" x14ac:dyDescent="0.2">
      <c r="A793" s="35" t="s">
        <v>426</v>
      </c>
      <c r="B793" s="35" t="s">
        <v>200</v>
      </c>
      <c r="C793" s="35" t="s">
        <v>42</v>
      </c>
      <c r="D793" s="31" t="s">
        <v>1344</v>
      </c>
      <c r="E793" s="35" t="s">
        <v>619</v>
      </c>
      <c r="F793" s="35">
        <v>2</v>
      </c>
      <c r="G793" s="35" t="s">
        <v>1794</v>
      </c>
      <c r="H793" s="35" t="s">
        <v>11</v>
      </c>
      <c r="I793" s="35" t="s">
        <v>133</v>
      </c>
      <c r="J793" s="21" t="s">
        <v>1795</v>
      </c>
      <c r="K793" s="22" t="s">
        <v>21</v>
      </c>
      <c r="L793" s="22" t="s">
        <v>44</v>
      </c>
      <c r="M793" s="22" t="s">
        <v>143</v>
      </c>
      <c r="N793" s="21">
        <v>815</v>
      </c>
      <c r="O793" s="29">
        <v>45748</v>
      </c>
      <c r="P793" s="29">
        <v>45755</v>
      </c>
      <c r="Q793" s="29">
        <v>45758</v>
      </c>
      <c r="R793" s="29">
        <v>45762</v>
      </c>
      <c r="S793" s="23">
        <f t="shared" si="49"/>
        <v>91</v>
      </c>
      <c r="T793" s="23">
        <f t="shared" si="50"/>
        <v>98</v>
      </c>
      <c r="U793" s="23">
        <f t="shared" si="51"/>
        <v>101</v>
      </c>
      <c r="V793" s="23">
        <f t="shared" si="52"/>
        <v>105</v>
      </c>
      <c r="W793" s="22" t="s">
        <v>11</v>
      </c>
      <c r="X793" s="22" t="s">
        <v>133</v>
      </c>
      <c r="Y793" s="22" t="s">
        <v>21</v>
      </c>
      <c r="Z793" s="22" t="s">
        <v>44</v>
      </c>
      <c r="AA793" s="22" t="s">
        <v>426</v>
      </c>
      <c r="AB793" s="22" t="s">
        <v>200</v>
      </c>
      <c r="AC793" s="22" t="s">
        <v>42</v>
      </c>
      <c r="AD793" s="22"/>
      <c r="AE793" s="2">
        <v>0</v>
      </c>
      <c r="AF793" s="2"/>
    </row>
    <row r="794" spans="1:32" x14ac:dyDescent="0.2">
      <c r="A794" s="35" t="s">
        <v>426</v>
      </c>
      <c r="B794" s="35" t="s">
        <v>200</v>
      </c>
      <c r="C794" s="35" t="s">
        <v>42</v>
      </c>
      <c r="D794" s="31" t="s">
        <v>1344</v>
      </c>
      <c r="E794" s="35" t="s">
        <v>620</v>
      </c>
      <c r="F794" s="35">
        <v>2</v>
      </c>
      <c r="G794" s="35" t="s">
        <v>1796</v>
      </c>
      <c r="H794" s="35" t="s">
        <v>11</v>
      </c>
      <c r="I794" s="35" t="s">
        <v>133</v>
      </c>
      <c r="J794" s="21" t="s">
        <v>1797</v>
      </c>
      <c r="K794" s="22" t="s">
        <v>21</v>
      </c>
      <c r="L794" s="22" t="s">
        <v>44</v>
      </c>
      <c r="M794" s="22" t="s">
        <v>143</v>
      </c>
      <c r="N794" s="21">
        <v>816</v>
      </c>
      <c r="O794" s="29">
        <v>45748</v>
      </c>
      <c r="P794" s="29">
        <v>45755</v>
      </c>
      <c r="Q794" s="29">
        <v>45758</v>
      </c>
      <c r="R794" s="29">
        <v>45762</v>
      </c>
      <c r="S794" s="23">
        <f t="shared" si="49"/>
        <v>91</v>
      </c>
      <c r="T794" s="23">
        <f t="shared" si="50"/>
        <v>98</v>
      </c>
      <c r="U794" s="23">
        <f t="shared" si="51"/>
        <v>101</v>
      </c>
      <c r="V794" s="23">
        <f t="shared" si="52"/>
        <v>105</v>
      </c>
      <c r="W794" s="22" t="s">
        <v>11</v>
      </c>
      <c r="X794" s="22" t="s">
        <v>133</v>
      </c>
      <c r="Y794" s="22" t="s">
        <v>21</v>
      </c>
      <c r="Z794" s="22" t="s">
        <v>44</v>
      </c>
      <c r="AA794" s="22" t="s">
        <v>426</v>
      </c>
      <c r="AB794" s="22" t="s">
        <v>200</v>
      </c>
      <c r="AC794" s="22" t="s">
        <v>42</v>
      </c>
      <c r="AD794" s="22"/>
      <c r="AE794" s="2">
        <v>0</v>
      </c>
      <c r="AF794" s="2"/>
    </row>
    <row r="795" spans="1:32" x14ac:dyDescent="0.2">
      <c r="AA795"/>
      <c r="AB795"/>
      <c r="AC795"/>
    </row>
    <row r="796" spans="1:32" x14ac:dyDescent="0.2">
      <c r="AA796"/>
      <c r="AB796"/>
      <c r="AC796"/>
    </row>
    <row r="797" spans="1:32" x14ac:dyDescent="0.2">
      <c r="AA797"/>
      <c r="AB797"/>
      <c r="AC797"/>
    </row>
    <row r="798" spans="1:32" x14ac:dyDescent="0.2">
      <c r="AA798"/>
      <c r="AB798"/>
      <c r="AC798"/>
    </row>
    <row r="799" spans="1:32" x14ac:dyDescent="0.2">
      <c r="AA799"/>
      <c r="AB799"/>
      <c r="AC799"/>
    </row>
    <row r="800" spans="1:32" x14ac:dyDescent="0.2">
      <c r="AA800"/>
      <c r="AB800"/>
      <c r="AC800"/>
    </row>
    <row r="801" spans="27:29" x14ac:dyDescent="0.2">
      <c r="AA801"/>
      <c r="AB801"/>
      <c r="AC801"/>
    </row>
    <row r="802" spans="27:29" x14ac:dyDescent="0.2">
      <c r="AA802"/>
      <c r="AB802"/>
      <c r="AC802"/>
    </row>
    <row r="803" spans="27:29" x14ac:dyDescent="0.2">
      <c r="AA803"/>
      <c r="AB803"/>
      <c r="AC803"/>
    </row>
    <row r="804" spans="27:29" x14ac:dyDescent="0.2">
      <c r="AA804"/>
      <c r="AB804"/>
      <c r="AC804"/>
    </row>
    <row r="805" spans="27:29" x14ac:dyDescent="0.2">
      <c r="AA805"/>
      <c r="AB805"/>
      <c r="AC805"/>
    </row>
    <row r="806" spans="27:29" x14ac:dyDescent="0.2">
      <c r="AA806"/>
      <c r="AB806"/>
      <c r="AC806"/>
    </row>
    <row r="807" spans="27:29" x14ac:dyDescent="0.2">
      <c r="AA807"/>
      <c r="AB807"/>
      <c r="AC807"/>
    </row>
    <row r="808" spans="27:29" x14ac:dyDescent="0.2">
      <c r="AA808"/>
      <c r="AB808"/>
      <c r="AC808"/>
    </row>
    <row r="809" spans="27:29" x14ac:dyDescent="0.2">
      <c r="AA809"/>
      <c r="AB809"/>
      <c r="AC809"/>
    </row>
    <row r="810" spans="27:29" x14ac:dyDescent="0.2">
      <c r="AA810"/>
      <c r="AB810"/>
      <c r="AC810"/>
    </row>
    <row r="811" spans="27:29" x14ac:dyDescent="0.2">
      <c r="AA811"/>
      <c r="AB811"/>
      <c r="AC811"/>
    </row>
    <row r="812" spans="27:29" x14ac:dyDescent="0.2">
      <c r="AA812"/>
      <c r="AB812"/>
      <c r="AC812"/>
    </row>
    <row r="813" spans="27:29" x14ac:dyDescent="0.2">
      <c r="AA813"/>
      <c r="AB813"/>
      <c r="AC813"/>
    </row>
    <row r="814" spans="27:29" x14ac:dyDescent="0.2">
      <c r="AA814"/>
      <c r="AB814"/>
      <c r="AC814"/>
    </row>
    <row r="815" spans="27:29" x14ac:dyDescent="0.2">
      <c r="AA815"/>
      <c r="AB815"/>
      <c r="AC815"/>
    </row>
    <row r="816" spans="27:29" x14ac:dyDescent="0.2">
      <c r="AA816"/>
      <c r="AB816"/>
      <c r="AC816"/>
    </row>
    <row r="817" spans="27:29" x14ac:dyDescent="0.2">
      <c r="AA817"/>
      <c r="AB817"/>
      <c r="AC817"/>
    </row>
    <row r="818" spans="27:29" x14ac:dyDescent="0.2">
      <c r="AA818"/>
      <c r="AB818"/>
      <c r="AC818"/>
    </row>
    <row r="819" spans="27:29" x14ac:dyDescent="0.2">
      <c r="AA819"/>
      <c r="AB819"/>
      <c r="AC819"/>
    </row>
    <row r="820" spans="27:29" x14ac:dyDescent="0.2">
      <c r="AA820"/>
      <c r="AB820"/>
      <c r="AC820"/>
    </row>
    <row r="821" spans="27:29" x14ac:dyDescent="0.2">
      <c r="AA821"/>
      <c r="AB821"/>
      <c r="AC821"/>
    </row>
    <row r="822" spans="27:29" x14ac:dyDescent="0.2">
      <c r="AA822"/>
      <c r="AB822"/>
      <c r="AC822"/>
    </row>
    <row r="823" spans="27:29" x14ac:dyDescent="0.2">
      <c r="AA823"/>
      <c r="AB823"/>
      <c r="AC823"/>
    </row>
    <row r="824" spans="27:29" x14ac:dyDescent="0.2">
      <c r="AA824"/>
      <c r="AB824"/>
      <c r="AC824"/>
    </row>
    <row r="825" spans="27:29" x14ac:dyDescent="0.2">
      <c r="AA825"/>
      <c r="AB825"/>
      <c r="AC825"/>
    </row>
    <row r="826" spans="27:29" x14ac:dyDescent="0.2">
      <c r="AA826"/>
      <c r="AB826"/>
      <c r="AC826"/>
    </row>
    <row r="827" spans="27:29" x14ac:dyDescent="0.2">
      <c r="AA827"/>
      <c r="AB827"/>
      <c r="AC827"/>
    </row>
    <row r="828" spans="27:29" x14ac:dyDescent="0.2">
      <c r="AA828"/>
      <c r="AB828"/>
      <c r="AC828"/>
    </row>
    <row r="829" spans="27:29" x14ac:dyDescent="0.2">
      <c r="AA829"/>
      <c r="AB829"/>
      <c r="AC829"/>
    </row>
    <row r="830" spans="27:29" x14ac:dyDescent="0.2">
      <c r="AA830"/>
      <c r="AB830"/>
      <c r="AC830"/>
    </row>
    <row r="831" spans="27:29" x14ac:dyDescent="0.2">
      <c r="AA831"/>
      <c r="AB831"/>
      <c r="AC831"/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08708-07E9-4CBA-A8D4-80129BEA7360}">
  <dimension ref="A1:AD795"/>
  <sheetViews>
    <sheetView topLeftCell="A774" zoomScale="110" zoomScaleNormal="110" workbookViewId="0">
      <selection activeCell="O1" sqref="O1:AD1"/>
    </sheetView>
  </sheetViews>
  <sheetFormatPr baseColWidth="10" defaultColWidth="8.6640625" defaultRowHeight="16" x14ac:dyDescent="0.2"/>
  <cols>
    <col min="1" max="2" width="12.6640625" customWidth="1"/>
    <col min="3" max="3" width="12.1640625" customWidth="1"/>
    <col min="4" max="4" width="12.83203125" customWidth="1"/>
    <col min="5" max="5" width="12.1640625" customWidth="1"/>
    <col min="6" max="6" width="16.6640625" customWidth="1"/>
    <col min="7" max="7" width="10.33203125" customWidth="1"/>
    <col min="8" max="9" width="14.5" customWidth="1"/>
    <col min="10" max="10" width="21.83203125" customWidth="1"/>
    <col min="11" max="11" width="13.5" customWidth="1"/>
    <col min="12" max="12" width="20.33203125" customWidth="1"/>
    <col min="13" max="13" width="20.1640625" customWidth="1"/>
    <col min="14" max="14" width="18.1640625" customWidth="1"/>
    <col min="15" max="15" width="17.83203125" customWidth="1"/>
    <col min="16" max="16" width="18.6640625" customWidth="1"/>
    <col min="17" max="18" width="20.5" customWidth="1"/>
    <col min="19" max="19" width="25.1640625" customWidth="1"/>
    <col min="20" max="20" width="18" customWidth="1"/>
    <col min="21" max="21" width="19.33203125" customWidth="1"/>
    <col min="22" max="22" width="16.6640625" customWidth="1"/>
    <col min="23" max="23" width="24.33203125" customWidth="1"/>
    <col min="24" max="24" width="21.83203125" customWidth="1"/>
    <col min="25" max="25" width="20.1640625" customWidth="1"/>
    <col min="26" max="26" width="20.5" customWidth="1"/>
    <col min="27" max="27" width="21.6640625" customWidth="1"/>
    <col min="28" max="28" width="17.83203125" customWidth="1"/>
    <col min="29" max="29" width="22.83203125" customWidth="1"/>
    <col min="30" max="30" width="20.5" customWidth="1"/>
  </cols>
  <sheetData>
    <row r="1" spans="1:30" x14ac:dyDescent="0.2">
      <c r="A1" s="61" t="s">
        <v>0</v>
      </c>
      <c r="B1" s="61" t="s">
        <v>1</v>
      </c>
      <c r="C1" s="61" t="s">
        <v>2</v>
      </c>
      <c r="D1" s="61" t="s">
        <v>4</v>
      </c>
      <c r="E1" s="61" t="s">
        <v>5</v>
      </c>
      <c r="F1" s="61" t="s">
        <v>6</v>
      </c>
      <c r="G1" s="61" t="s">
        <v>7</v>
      </c>
      <c r="H1" s="61" t="s">
        <v>8</v>
      </c>
      <c r="I1" s="61" t="s">
        <v>1798</v>
      </c>
      <c r="J1" s="61" t="s">
        <v>9</v>
      </c>
      <c r="K1" s="61" t="s">
        <v>10</v>
      </c>
      <c r="L1" s="61" t="s">
        <v>11</v>
      </c>
      <c r="M1" s="61" t="s">
        <v>12</v>
      </c>
      <c r="N1" s="63" t="s">
        <v>13</v>
      </c>
      <c r="O1" s="60" t="s">
        <v>2039</v>
      </c>
      <c r="P1" s="60" t="s">
        <v>2034</v>
      </c>
      <c r="Q1" s="60" t="s">
        <v>2035</v>
      </c>
      <c r="R1" s="60" t="s">
        <v>2036</v>
      </c>
      <c r="S1" s="60" t="s">
        <v>2037</v>
      </c>
      <c r="T1" s="60" t="s">
        <v>2040</v>
      </c>
      <c r="U1" s="60" t="s">
        <v>2038</v>
      </c>
      <c r="V1" s="60" t="s">
        <v>2041</v>
      </c>
      <c r="W1" s="60" t="s">
        <v>1899</v>
      </c>
      <c r="X1" s="60" t="s">
        <v>2042</v>
      </c>
      <c r="Y1" s="60" t="s">
        <v>1900</v>
      </c>
      <c r="Z1" s="60" t="s">
        <v>1901</v>
      </c>
      <c r="AA1" s="60" t="s">
        <v>1902</v>
      </c>
      <c r="AB1" s="60" t="s">
        <v>1903</v>
      </c>
      <c r="AC1" s="60" t="s">
        <v>1904</v>
      </c>
      <c r="AD1" s="60" t="s">
        <v>1905</v>
      </c>
    </row>
    <row r="2" spans="1:30" s="38" customFormat="1" x14ac:dyDescent="0.2">
      <c r="A2" s="57" t="s">
        <v>14</v>
      </c>
      <c r="B2" s="57" t="s">
        <v>15</v>
      </c>
      <c r="C2" s="57" t="s">
        <v>16</v>
      </c>
      <c r="D2" s="57" t="s">
        <v>17</v>
      </c>
      <c r="E2" s="57">
        <v>1</v>
      </c>
      <c r="F2" s="57" t="s">
        <v>18</v>
      </c>
      <c r="G2" s="57" t="s">
        <v>19</v>
      </c>
      <c r="H2" s="57" t="s">
        <v>20</v>
      </c>
      <c r="I2" s="57" t="str">
        <f>A2&amp;"-"&amp;B2&amp;"-"&amp;C2</f>
        <v>B1-P1-C1</v>
      </c>
      <c r="J2" s="57" t="str">
        <f>G2&amp;"-"&amp;A2&amp;"-"&amp;B2&amp;"-"&amp;C2&amp;"-"&amp;D2&amp;E2</f>
        <v>Fagus-B1-P1-C1-A1</v>
      </c>
      <c r="K2" s="57" t="s">
        <v>21</v>
      </c>
      <c r="L2" s="57" t="s">
        <v>22</v>
      </c>
      <c r="M2" s="57" t="s">
        <v>23</v>
      </c>
      <c r="N2" s="37">
        <v>1</v>
      </c>
      <c r="O2" s="57">
        <v>8.6</v>
      </c>
      <c r="P2" s="57">
        <v>76.2</v>
      </c>
      <c r="Q2" s="57">
        <v>8.69</v>
      </c>
      <c r="R2" s="57">
        <v>77</v>
      </c>
      <c r="S2" s="57">
        <v>10.210000000000001</v>
      </c>
      <c r="T2" s="57">
        <v>78</v>
      </c>
      <c r="U2" s="57">
        <v>10.38</v>
      </c>
      <c r="V2" s="57">
        <v>77</v>
      </c>
      <c r="W2" s="57">
        <v>10.6</v>
      </c>
      <c r="X2" s="57">
        <v>77.5</v>
      </c>
      <c r="Y2" s="57">
        <v>10.76</v>
      </c>
      <c r="Z2" s="57">
        <v>77</v>
      </c>
      <c r="AA2" s="57">
        <v>11.07</v>
      </c>
      <c r="AB2" s="57">
        <v>77</v>
      </c>
      <c r="AC2" s="57"/>
      <c r="AD2" s="57">
        <v>78</v>
      </c>
    </row>
    <row r="3" spans="1:30" s="38" customFormat="1" x14ac:dyDescent="0.2">
      <c r="A3" s="57" t="s">
        <v>14</v>
      </c>
      <c r="B3" s="57" t="s">
        <v>15</v>
      </c>
      <c r="C3" s="57" t="s">
        <v>16</v>
      </c>
      <c r="D3" s="57" t="s">
        <v>24</v>
      </c>
      <c r="E3" s="57">
        <v>1</v>
      </c>
      <c r="F3" s="57" t="s">
        <v>25</v>
      </c>
      <c r="G3" s="57" t="s">
        <v>19</v>
      </c>
      <c r="H3" s="57" t="s">
        <v>20</v>
      </c>
      <c r="I3" s="57" t="str">
        <f t="shared" ref="I3:I66" si="0">A3&amp;"-"&amp;B3&amp;"-"&amp;C3</f>
        <v>B1-P1-C1</v>
      </c>
      <c r="J3" s="57" t="str">
        <f t="shared" ref="J3:J66" si="1">G3&amp;"-"&amp;A3&amp;"-"&amp;B3&amp;"-"&amp;C3&amp;"-"&amp;D3&amp;E3</f>
        <v>Fagus-B1-P1-C1-B1</v>
      </c>
      <c r="K3" s="57" t="s">
        <v>21</v>
      </c>
      <c r="L3" s="57" t="s">
        <v>22</v>
      </c>
      <c r="M3" s="57" t="s">
        <v>23</v>
      </c>
      <c r="N3" s="37">
        <v>2</v>
      </c>
      <c r="O3" s="57">
        <v>10.1</v>
      </c>
      <c r="P3" s="57">
        <v>73</v>
      </c>
      <c r="Q3" s="57">
        <v>10.1</v>
      </c>
      <c r="R3" s="57">
        <v>84.5</v>
      </c>
      <c r="S3" s="57">
        <v>11.63</v>
      </c>
      <c r="T3" s="57">
        <v>91.5</v>
      </c>
      <c r="U3" s="57">
        <v>11.98</v>
      </c>
      <c r="V3" s="57">
        <v>92</v>
      </c>
      <c r="W3" s="57">
        <v>12.02</v>
      </c>
      <c r="X3" s="57">
        <v>92</v>
      </c>
      <c r="Y3" s="57">
        <v>11.45</v>
      </c>
      <c r="Z3" s="57">
        <v>92</v>
      </c>
      <c r="AA3" s="57">
        <v>12.11</v>
      </c>
      <c r="AB3" s="57">
        <v>92</v>
      </c>
      <c r="AC3" s="57"/>
      <c r="AD3" s="57">
        <v>93</v>
      </c>
    </row>
    <row r="4" spans="1:30" s="38" customFormat="1" x14ac:dyDescent="0.2">
      <c r="A4" s="57" t="s">
        <v>14</v>
      </c>
      <c r="B4" s="57" t="s">
        <v>15</v>
      </c>
      <c r="C4" s="57" t="s">
        <v>16</v>
      </c>
      <c r="D4" s="57" t="s">
        <v>17</v>
      </c>
      <c r="E4" s="57">
        <v>2</v>
      </c>
      <c r="F4" s="57" t="s">
        <v>26</v>
      </c>
      <c r="G4" s="57" t="s">
        <v>19</v>
      </c>
      <c r="H4" s="57" t="s">
        <v>20</v>
      </c>
      <c r="I4" s="57" t="str">
        <f t="shared" si="0"/>
        <v>B1-P1-C1</v>
      </c>
      <c r="J4" s="57" t="str">
        <f t="shared" si="1"/>
        <v>Fagus-B1-P1-C1-A2</v>
      </c>
      <c r="K4" s="57" t="s">
        <v>21</v>
      </c>
      <c r="L4" s="57" t="s">
        <v>22</v>
      </c>
      <c r="M4" s="57" t="s">
        <v>23</v>
      </c>
      <c r="N4" s="37">
        <v>3</v>
      </c>
      <c r="O4" s="57">
        <v>10.7</v>
      </c>
      <c r="P4" s="57">
        <v>90.2</v>
      </c>
      <c r="Q4" s="57">
        <v>10.92</v>
      </c>
      <c r="R4" s="57">
        <v>101</v>
      </c>
      <c r="S4" s="57">
        <v>12.68</v>
      </c>
      <c r="T4" s="57">
        <v>101</v>
      </c>
      <c r="U4" s="57">
        <v>13.19</v>
      </c>
      <c r="V4" s="57">
        <v>100.5</v>
      </c>
      <c r="W4" s="57">
        <v>13.28</v>
      </c>
      <c r="X4" s="57">
        <v>100.5</v>
      </c>
      <c r="Y4" s="57">
        <v>13.43</v>
      </c>
      <c r="Z4" s="57">
        <v>100.5</v>
      </c>
      <c r="AA4" s="57">
        <v>13.57</v>
      </c>
      <c r="AB4" s="57">
        <v>101</v>
      </c>
      <c r="AC4" s="57"/>
      <c r="AD4" s="57">
        <v>101</v>
      </c>
    </row>
    <row r="5" spans="1:30" s="38" customFormat="1" x14ac:dyDescent="0.2">
      <c r="A5" s="57" t="s">
        <v>14</v>
      </c>
      <c r="B5" s="57" t="s">
        <v>15</v>
      </c>
      <c r="C5" s="57" t="s">
        <v>16</v>
      </c>
      <c r="D5" s="57" t="s">
        <v>24</v>
      </c>
      <c r="E5" s="57">
        <v>2</v>
      </c>
      <c r="F5" s="57" t="s">
        <v>27</v>
      </c>
      <c r="G5" s="57" t="s">
        <v>19</v>
      </c>
      <c r="H5" s="57" t="s">
        <v>20</v>
      </c>
      <c r="I5" s="57" t="str">
        <f t="shared" si="0"/>
        <v>B1-P1-C1</v>
      </c>
      <c r="J5" s="57" t="str">
        <f t="shared" si="1"/>
        <v>Fagus-B1-P1-C1-B2</v>
      </c>
      <c r="K5" s="57" t="s">
        <v>21</v>
      </c>
      <c r="L5" s="57" t="s">
        <v>22</v>
      </c>
      <c r="M5" s="57" t="s">
        <v>23</v>
      </c>
      <c r="N5" s="37">
        <v>4</v>
      </c>
      <c r="O5" s="57">
        <v>8.9</v>
      </c>
      <c r="P5" s="57">
        <v>77.5</v>
      </c>
      <c r="Q5" s="57">
        <v>8.98</v>
      </c>
      <c r="R5" s="57">
        <v>92</v>
      </c>
      <c r="S5" s="57">
        <v>11.89</v>
      </c>
      <c r="T5" s="57">
        <v>92.5</v>
      </c>
      <c r="U5" s="57">
        <v>11.56</v>
      </c>
      <c r="V5" s="57">
        <v>91.5</v>
      </c>
      <c r="W5" s="57">
        <v>11.49</v>
      </c>
      <c r="X5" s="57">
        <v>93</v>
      </c>
      <c r="Y5" s="57">
        <v>12.62</v>
      </c>
      <c r="Z5" s="57">
        <v>91</v>
      </c>
      <c r="AA5" s="57">
        <v>12.42</v>
      </c>
      <c r="AB5" s="57">
        <v>92</v>
      </c>
      <c r="AC5" s="57"/>
      <c r="AD5" s="57">
        <v>91.5</v>
      </c>
    </row>
    <row r="6" spans="1:30" s="38" customFormat="1" x14ac:dyDescent="0.2">
      <c r="A6" s="57" t="s">
        <v>14</v>
      </c>
      <c r="B6" s="57" t="s">
        <v>15</v>
      </c>
      <c r="C6" s="57" t="s">
        <v>16</v>
      </c>
      <c r="D6" s="57" t="s">
        <v>17</v>
      </c>
      <c r="E6" s="57">
        <v>3</v>
      </c>
      <c r="F6" s="57" t="s">
        <v>28</v>
      </c>
      <c r="G6" s="57" t="s">
        <v>19</v>
      </c>
      <c r="H6" s="57" t="s">
        <v>20</v>
      </c>
      <c r="I6" s="57" t="str">
        <f t="shared" si="0"/>
        <v>B1-P1-C1</v>
      </c>
      <c r="J6" s="57" t="str">
        <f t="shared" si="1"/>
        <v>Fagus-B1-P1-C1-A3</v>
      </c>
      <c r="K6" s="57" t="s">
        <v>21</v>
      </c>
      <c r="L6" s="57" t="s">
        <v>22</v>
      </c>
      <c r="M6" s="57" t="s">
        <v>23</v>
      </c>
      <c r="N6" s="37">
        <v>5</v>
      </c>
      <c r="O6" s="57">
        <v>10.4</v>
      </c>
      <c r="P6" s="57">
        <v>89.6</v>
      </c>
      <c r="Q6" s="57">
        <v>10.61</v>
      </c>
      <c r="R6" s="57">
        <v>91</v>
      </c>
      <c r="S6" s="57">
        <v>11.97</v>
      </c>
      <c r="T6" s="57">
        <v>91</v>
      </c>
      <c r="U6" s="57">
        <v>12.48</v>
      </c>
      <c r="V6" s="57">
        <v>89</v>
      </c>
      <c r="W6" s="57">
        <v>12.33</v>
      </c>
      <c r="X6" s="57">
        <v>90</v>
      </c>
      <c r="Y6" s="57">
        <v>12.44</v>
      </c>
      <c r="Z6" s="57">
        <v>89</v>
      </c>
      <c r="AA6" s="57">
        <v>12.66</v>
      </c>
      <c r="AB6" s="57">
        <v>89</v>
      </c>
      <c r="AC6" s="57"/>
      <c r="AD6" s="57">
        <v>89</v>
      </c>
    </row>
    <row r="7" spans="1:30" s="38" customFormat="1" x14ac:dyDescent="0.2">
      <c r="A7" s="57" t="s">
        <v>14</v>
      </c>
      <c r="B7" s="57" t="s">
        <v>15</v>
      </c>
      <c r="C7" s="57" t="s">
        <v>16</v>
      </c>
      <c r="D7" s="57" t="s">
        <v>24</v>
      </c>
      <c r="E7" s="57">
        <v>3</v>
      </c>
      <c r="F7" s="57" t="s">
        <v>29</v>
      </c>
      <c r="G7" s="57" t="s">
        <v>19</v>
      </c>
      <c r="H7" s="57" t="s">
        <v>20</v>
      </c>
      <c r="I7" s="57" t="str">
        <f t="shared" si="0"/>
        <v>B1-P1-C1</v>
      </c>
      <c r="J7" s="57" t="str">
        <f t="shared" si="1"/>
        <v>Fagus-B1-P1-C1-B3</v>
      </c>
      <c r="K7" s="57" t="s">
        <v>21</v>
      </c>
      <c r="L7" s="57" t="s">
        <v>22</v>
      </c>
      <c r="M7" s="57" t="s">
        <v>23</v>
      </c>
      <c r="N7" s="37">
        <v>6</v>
      </c>
      <c r="O7" s="57">
        <v>8.3000000000000007</v>
      </c>
      <c r="P7" s="57">
        <v>81</v>
      </c>
      <c r="Q7" s="57">
        <v>8.52</v>
      </c>
      <c r="R7" s="57">
        <v>79.5</v>
      </c>
      <c r="S7" s="57">
        <v>9.75</v>
      </c>
      <c r="T7" s="57">
        <v>97</v>
      </c>
      <c r="U7" s="57">
        <v>10.23</v>
      </c>
      <c r="V7" s="57">
        <v>96</v>
      </c>
      <c r="W7" s="57">
        <v>10.27</v>
      </c>
      <c r="X7" s="57">
        <v>96.5</v>
      </c>
      <c r="Y7" s="57">
        <v>10.27</v>
      </c>
      <c r="Z7" s="57">
        <v>97</v>
      </c>
      <c r="AA7" s="57">
        <v>10.82</v>
      </c>
      <c r="AB7" s="57">
        <v>97</v>
      </c>
      <c r="AC7" s="57"/>
      <c r="AD7" s="57">
        <v>98</v>
      </c>
    </row>
    <row r="8" spans="1:30" s="38" customFormat="1" x14ac:dyDescent="0.2">
      <c r="A8" s="57" t="s">
        <v>14</v>
      </c>
      <c r="B8" s="57" t="s">
        <v>15</v>
      </c>
      <c r="C8" s="57" t="s">
        <v>16</v>
      </c>
      <c r="D8" s="57" t="s">
        <v>17</v>
      </c>
      <c r="E8" s="57">
        <v>4</v>
      </c>
      <c r="F8" s="57" t="s">
        <v>30</v>
      </c>
      <c r="G8" s="57" t="s">
        <v>19</v>
      </c>
      <c r="H8" s="57" t="s">
        <v>20</v>
      </c>
      <c r="I8" s="57" t="str">
        <f t="shared" si="0"/>
        <v>B1-P1-C1</v>
      </c>
      <c r="J8" s="57" t="str">
        <f t="shared" si="1"/>
        <v>Fagus-B1-P1-C1-A4</v>
      </c>
      <c r="K8" s="57" t="s">
        <v>21</v>
      </c>
      <c r="L8" s="57" t="s">
        <v>22</v>
      </c>
      <c r="M8" s="57" t="s">
        <v>23</v>
      </c>
      <c r="N8" s="37">
        <v>7</v>
      </c>
      <c r="O8" s="57">
        <v>9.3000000000000007</v>
      </c>
      <c r="P8" s="57">
        <v>81.2</v>
      </c>
      <c r="Q8" s="57">
        <v>10.17</v>
      </c>
      <c r="R8" s="57">
        <v>100</v>
      </c>
      <c r="S8" s="57">
        <v>10.58</v>
      </c>
      <c r="T8" s="57">
        <v>101</v>
      </c>
      <c r="U8" s="57">
        <v>11.14</v>
      </c>
      <c r="V8" s="57">
        <v>98.5</v>
      </c>
      <c r="W8" s="57">
        <v>10.32</v>
      </c>
      <c r="X8" s="57">
        <v>99</v>
      </c>
      <c r="Y8" s="57">
        <v>10.68</v>
      </c>
      <c r="Z8" s="57">
        <v>99</v>
      </c>
      <c r="AA8" s="57">
        <v>11.23</v>
      </c>
      <c r="AB8" s="57">
        <v>99</v>
      </c>
      <c r="AC8" s="57"/>
      <c r="AD8" s="57">
        <v>99</v>
      </c>
    </row>
    <row r="9" spans="1:30" s="38" customFormat="1" x14ac:dyDescent="0.2">
      <c r="A9" s="57" t="s">
        <v>14</v>
      </c>
      <c r="B9" s="57" t="s">
        <v>15</v>
      </c>
      <c r="C9" s="57" t="s">
        <v>16</v>
      </c>
      <c r="D9" s="57" t="s">
        <v>24</v>
      </c>
      <c r="E9" s="57">
        <v>4</v>
      </c>
      <c r="F9" s="57" t="s">
        <v>31</v>
      </c>
      <c r="G9" s="57" t="s">
        <v>19</v>
      </c>
      <c r="H9" s="57" t="s">
        <v>20</v>
      </c>
      <c r="I9" s="57" t="str">
        <f t="shared" si="0"/>
        <v>B1-P1-C1</v>
      </c>
      <c r="J9" s="57" t="str">
        <f t="shared" si="1"/>
        <v>Fagus-B1-P1-C1-B4</v>
      </c>
      <c r="K9" s="57" t="s">
        <v>21</v>
      </c>
      <c r="L9" s="57" t="s">
        <v>22</v>
      </c>
      <c r="M9" s="57" t="s">
        <v>23</v>
      </c>
      <c r="N9" s="37">
        <v>8</v>
      </c>
      <c r="O9" s="57">
        <v>9.9</v>
      </c>
      <c r="P9" s="57">
        <v>80.599999999999994</v>
      </c>
      <c r="Q9" s="57">
        <v>9.94</v>
      </c>
      <c r="R9" s="57">
        <v>81</v>
      </c>
      <c r="S9" s="57">
        <v>10.43</v>
      </c>
      <c r="T9" s="57">
        <v>81.5</v>
      </c>
      <c r="U9" s="57">
        <v>11.02</v>
      </c>
      <c r="V9" s="57">
        <v>80</v>
      </c>
      <c r="W9" s="57">
        <v>11.21</v>
      </c>
      <c r="X9" s="57">
        <v>81</v>
      </c>
      <c r="Y9" s="57">
        <v>11.27</v>
      </c>
      <c r="Z9" s="57">
        <v>82</v>
      </c>
      <c r="AA9" s="57">
        <v>11.18</v>
      </c>
      <c r="AB9" s="57">
        <v>81</v>
      </c>
      <c r="AC9" s="57"/>
      <c r="AD9" s="57">
        <v>81</v>
      </c>
    </row>
    <row r="10" spans="1:30" x14ac:dyDescent="0.2">
      <c r="A10" s="60" t="s">
        <v>14</v>
      </c>
      <c r="B10" s="60" t="s">
        <v>15</v>
      </c>
      <c r="C10" s="60" t="s">
        <v>32</v>
      </c>
      <c r="D10" s="60" t="s">
        <v>17</v>
      </c>
      <c r="E10" s="60">
        <v>1</v>
      </c>
      <c r="F10" s="60" t="s">
        <v>33</v>
      </c>
      <c r="G10" s="60" t="s">
        <v>19</v>
      </c>
      <c r="H10" s="60" t="s">
        <v>20</v>
      </c>
      <c r="I10" s="60" t="str">
        <f t="shared" si="0"/>
        <v>B1-P1-C2</v>
      </c>
      <c r="J10" s="60" t="str">
        <f t="shared" si="1"/>
        <v>Fagus-B1-P1-C2-A1</v>
      </c>
      <c r="K10" s="60" t="s">
        <v>21</v>
      </c>
      <c r="L10" s="60" t="s">
        <v>22</v>
      </c>
      <c r="M10" s="60" t="s">
        <v>23</v>
      </c>
      <c r="N10" s="15">
        <v>9</v>
      </c>
      <c r="O10" s="60">
        <v>10.199999999999999</v>
      </c>
      <c r="P10" s="60">
        <v>81</v>
      </c>
      <c r="Q10" s="60">
        <v>10.199999999999999</v>
      </c>
      <c r="R10" s="60">
        <v>96</v>
      </c>
      <c r="S10" s="3">
        <v>11.73</v>
      </c>
      <c r="T10" s="3">
        <v>96.5</v>
      </c>
      <c r="U10" s="3">
        <v>12.34</v>
      </c>
      <c r="V10" s="3">
        <v>98.5</v>
      </c>
      <c r="W10" s="3">
        <v>13</v>
      </c>
      <c r="X10" s="3">
        <v>99</v>
      </c>
      <c r="Y10" s="3">
        <v>12.91</v>
      </c>
      <c r="Z10" s="3">
        <v>99</v>
      </c>
      <c r="AA10" s="3">
        <v>12.82</v>
      </c>
      <c r="AB10" s="3">
        <v>99</v>
      </c>
      <c r="AC10" s="3"/>
      <c r="AD10" s="3">
        <v>99</v>
      </c>
    </row>
    <row r="11" spans="1:30" x14ac:dyDescent="0.2">
      <c r="A11" s="60" t="s">
        <v>14</v>
      </c>
      <c r="B11" s="60" t="s">
        <v>15</v>
      </c>
      <c r="C11" s="60" t="s">
        <v>32</v>
      </c>
      <c r="D11" s="60" t="s">
        <v>24</v>
      </c>
      <c r="E11" s="60">
        <v>1</v>
      </c>
      <c r="F11" s="60" t="s">
        <v>34</v>
      </c>
      <c r="G11" s="60" t="s">
        <v>35</v>
      </c>
      <c r="H11" s="60" t="s">
        <v>20</v>
      </c>
      <c r="I11" s="60" t="str">
        <f t="shared" si="0"/>
        <v>B1-P1-C2</v>
      </c>
      <c r="J11" s="60" t="str">
        <f t="shared" si="1"/>
        <v>Quercus-B1-P1-C2-B1</v>
      </c>
      <c r="K11" s="60" t="s">
        <v>21</v>
      </c>
      <c r="L11" s="60" t="s">
        <v>22</v>
      </c>
      <c r="M11" s="60" t="s">
        <v>23</v>
      </c>
      <c r="N11" s="15">
        <v>10</v>
      </c>
      <c r="O11" s="60">
        <v>8</v>
      </c>
      <c r="P11" s="60">
        <v>56.5</v>
      </c>
      <c r="Q11" s="60">
        <v>8.15</v>
      </c>
      <c r="R11" s="60">
        <v>68</v>
      </c>
      <c r="S11" s="3">
        <v>8.43</v>
      </c>
      <c r="T11" s="3">
        <v>76</v>
      </c>
      <c r="U11" s="3">
        <v>9.89</v>
      </c>
      <c r="V11" s="3">
        <v>81</v>
      </c>
      <c r="W11" s="3">
        <v>10.58</v>
      </c>
      <c r="X11" s="3">
        <v>82</v>
      </c>
      <c r="Y11" s="3">
        <v>11.48</v>
      </c>
      <c r="Z11" s="3">
        <v>87</v>
      </c>
      <c r="AA11" s="3">
        <v>12.68</v>
      </c>
      <c r="AB11" s="3">
        <v>87</v>
      </c>
      <c r="AC11" s="3"/>
      <c r="AD11" s="3">
        <v>87</v>
      </c>
    </row>
    <row r="12" spans="1:30" x14ac:dyDescent="0.2">
      <c r="A12" s="60" t="s">
        <v>14</v>
      </c>
      <c r="B12" s="60" t="s">
        <v>15</v>
      </c>
      <c r="C12" s="60" t="s">
        <v>32</v>
      </c>
      <c r="D12" s="60" t="s">
        <v>17</v>
      </c>
      <c r="E12" s="60">
        <v>2</v>
      </c>
      <c r="F12" s="60" t="s">
        <v>36</v>
      </c>
      <c r="G12" s="60" t="s">
        <v>35</v>
      </c>
      <c r="H12" s="60" t="s">
        <v>20</v>
      </c>
      <c r="I12" s="60" t="str">
        <f t="shared" si="0"/>
        <v>B1-P1-C2</v>
      </c>
      <c r="J12" s="60" t="str">
        <f t="shared" si="1"/>
        <v>Quercus-B1-P1-C2-A2</v>
      </c>
      <c r="K12" s="60" t="s">
        <v>21</v>
      </c>
      <c r="L12" s="60" t="s">
        <v>22</v>
      </c>
      <c r="M12" s="60" t="s">
        <v>23</v>
      </c>
      <c r="N12" s="15">
        <v>11</v>
      </c>
      <c r="O12" s="60">
        <v>5.3</v>
      </c>
      <c r="P12" s="60">
        <v>57</v>
      </c>
      <c r="Q12" s="60">
        <v>6.33</v>
      </c>
      <c r="R12" s="60">
        <v>61</v>
      </c>
      <c r="S12" s="3">
        <v>6.99</v>
      </c>
      <c r="T12" s="3">
        <v>73</v>
      </c>
      <c r="U12" s="3">
        <v>7.51</v>
      </c>
      <c r="V12" s="3">
        <v>80</v>
      </c>
      <c r="W12" s="3">
        <v>8.43</v>
      </c>
      <c r="X12" s="3">
        <v>81</v>
      </c>
      <c r="Y12" s="3">
        <v>8.93</v>
      </c>
      <c r="Z12" s="3">
        <v>86</v>
      </c>
      <c r="AA12" s="3">
        <v>9.5299999999999994</v>
      </c>
      <c r="AB12" s="3">
        <v>86</v>
      </c>
      <c r="AC12" s="3"/>
      <c r="AD12" s="3">
        <v>87</v>
      </c>
    </row>
    <row r="13" spans="1:30" x14ac:dyDescent="0.2">
      <c r="A13" s="60" t="s">
        <v>14</v>
      </c>
      <c r="B13" s="60" t="s">
        <v>15</v>
      </c>
      <c r="C13" s="60" t="s">
        <v>32</v>
      </c>
      <c r="D13" s="60" t="s">
        <v>24</v>
      </c>
      <c r="E13" s="60">
        <v>2</v>
      </c>
      <c r="F13" s="60" t="s">
        <v>37</v>
      </c>
      <c r="G13" s="60" t="s">
        <v>19</v>
      </c>
      <c r="H13" s="60" t="s">
        <v>20</v>
      </c>
      <c r="I13" s="60" t="str">
        <f t="shared" si="0"/>
        <v>B1-P1-C2</v>
      </c>
      <c r="J13" s="60" t="str">
        <f t="shared" si="1"/>
        <v>Fagus-B1-P1-C2-B2</v>
      </c>
      <c r="K13" s="60" t="s">
        <v>21</v>
      </c>
      <c r="L13" s="60" t="s">
        <v>22</v>
      </c>
      <c r="M13" s="60" t="s">
        <v>23</v>
      </c>
      <c r="N13" s="15">
        <v>12</v>
      </c>
      <c r="O13" s="60">
        <v>12.4</v>
      </c>
      <c r="P13" s="60">
        <v>79.400000000000006</v>
      </c>
      <c r="Q13" s="60">
        <v>12.4</v>
      </c>
      <c r="R13" s="60">
        <v>93</v>
      </c>
      <c r="S13" s="3">
        <v>14.18</v>
      </c>
      <c r="T13" s="3">
        <v>110</v>
      </c>
      <c r="U13" s="3">
        <v>14.83</v>
      </c>
      <c r="V13" s="3">
        <v>116</v>
      </c>
      <c r="W13" s="3">
        <v>15.08</v>
      </c>
      <c r="X13" s="3">
        <v>117</v>
      </c>
      <c r="Y13" s="3">
        <v>15.51</v>
      </c>
      <c r="Z13" s="3">
        <v>115</v>
      </c>
      <c r="AA13" s="3">
        <v>16.170000000000002</v>
      </c>
      <c r="AB13" s="3">
        <v>116</v>
      </c>
      <c r="AC13" s="3"/>
      <c r="AD13" s="3">
        <v>115</v>
      </c>
    </row>
    <row r="14" spans="1:30" x14ac:dyDescent="0.2">
      <c r="A14" s="60" t="s">
        <v>14</v>
      </c>
      <c r="B14" s="60" t="s">
        <v>15</v>
      </c>
      <c r="C14" s="60" t="s">
        <v>32</v>
      </c>
      <c r="D14" s="60" t="s">
        <v>17</v>
      </c>
      <c r="E14" s="60">
        <v>3</v>
      </c>
      <c r="F14" s="60" t="s">
        <v>38</v>
      </c>
      <c r="G14" s="60" t="s">
        <v>19</v>
      </c>
      <c r="H14" s="60" t="s">
        <v>20</v>
      </c>
      <c r="I14" s="60" t="str">
        <f t="shared" si="0"/>
        <v>B1-P1-C2</v>
      </c>
      <c r="J14" s="60" t="str">
        <f t="shared" si="1"/>
        <v>Fagus-B1-P1-C2-A3</v>
      </c>
      <c r="K14" s="60" t="s">
        <v>21</v>
      </c>
      <c r="L14" s="60" t="s">
        <v>22</v>
      </c>
      <c r="M14" s="60" t="s">
        <v>23</v>
      </c>
      <c r="N14" s="15">
        <v>13</v>
      </c>
      <c r="O14" s="60">
        <v>10.5</v>
      </c>
      <c r="P14" s="60">
        <v>86.5</v>
      </c>
      <c r="Q14" s="60">
        <v>10.64</v>
      </c>
      <c r="R14" s="60">
        <v>110</v>
      </c>
      <c r="S14" s="3">
        <v>12.36</v>
      </c>
      <c r="T14" s="3">
        <v>110</v>
      </c>
      <c r="U14" s="3">
        <v>12.49</v>
      </c>
      <c r="V14" s="3">
        <v>109</v>
      </c>
      <c r="W14" s="3">
        <v>13.4</v>
      </c>
      <c r="X14" s="3">
        <v>111</v>
      </c>
      <c r="Y14" s="3">
        <v>13.4</v>
      </c>
      <c r="Z14" s="3">
        <v>108</v>
      </c>
      <c r="AA14" s="3">
        <v>13.17</v>
      </c>
      <c r="AB14" s="3">
        <v>109</v>
      </c>
      <c r="AC14" s="3"/>
      <c r="AD14" s="3">
        <v>110</v>
      </c>
    </row>
    <row r="15" spans="1:30" x14ac:dyDescent="0.2">
      <c r="A15" s="60" t="s">
        <v>14</v>
      </c>
      <c r="B15" s="60" t="s">
        <v>15</v>
      </c>
      <c r="C15" s="60" t="s">
        <v>32</v>
      </c>
      <c r="D15" s="60" t="s">
        <v>24</v>
      </c>
      <c r="E15" s="60">
        <v>3</v>
      </c>
      <c r="F15" s="60" t="s">
        <v>39</v>
      </c>
      <c r="G15" s="60" t="s">
        <v>35</v>
      </c>
      <c r="H15" s="60" t="s">
        <v>20</v>
      </c>
      <c r="I15" s="60" t="str">
        <f t="shared" si="0"/>
        <v>B1-P1-C2</v>
      </c>
      <c r="J15" s="60" t="str">
        <f t="shared" si="1"/>
        <v>Quercus-B1-P1-C2-B3</v>
      </c>
      <c r="K15" s="60" t="s">
        <v>21</v>
      </c>
      <c r="L15" s="60" t="s">
        <v>22</v>
      </c>
      <c r="M15" s="60" t="s">
        <v>23</v>
      </c>
      <c r="N15" s="15">
        <v>14</v>
      </c>
      <c r="O15" s="60">
        <v>4.3</v>
      </c>
      <c r="P15" s="60">
        <v>38</v>
      </c>
      <c r="Q15" s="60">
        <v>5.31</v>
      </c>
      <c r="R15" s="60">
        <v>44</v>
      </c>
      <c r="S15" s="3">
        <v>6.62</v>
      </c>
      <c r="T15" s="3">
        <v>55</v>
      </c>
      <c r="U15" s="3">
        <v>7.18</v>
      </c>
      <c r="V15" s="3">
        <v>61</v>
      </c>
      <c r="W15" s="3">
        <v>8.06</v>
      </c>
      <c r="X15" s="3">
        <v>64</v>
      </c>
      <c r="Y15" s="3">
        <v>8.49</v>
      </c>
      <c r="Z15" s="3">
        <v>66</v>
      </c>
      <c r="AA15" s="3">
        <v>9.06</v>
      </c>
      <c r="AB15" s="3">
        <v>65</v>
      </c>
      <c r="AC15" s="3"/>
      <c r="AD15" s="3">
        <v>64</v>
      </c>
    </row>
    <row r="16" spans="1:30" x14ac:dyDescent="0.2">
      <c r="A16" s="60" t="s">
        <v>14</v>
      </c>
      <c r="B16" s="60" t="s">
        <v>15</v>
      </c>
      <c r="C16" s="60" t="s">
        <v>32</v>
      </c>
      <c r="D16" s="60" t="s">
        <v>17</v>
      </c>
      <c r="E16" s="60">
        <v>4</v>
      </c>
      <c r="F16" s="60" t="s">
        <v>40</v>
      </c>
      <c r="G16" s="60" t="s">
        <v>35</v>
      </c>
      <c r="H16" s="60" t="s">
        <v>20</v>
      </c>
      <c r="I16" s="60" t="str">
        <f t="shared" si="0"/>
        <v>B1-P1-C2</v>
      </c>
      <c r="J16" s="60" t="str">
        <f t="shared" si="1"/>
        <v>Quercus-B1-P1-C2-A4</v>
      </c>
      <c r="K16" s="60" t="s">
        <v>21</v>
      </c>
      <c r="L16" s="60" t="s">
        <v>22</v>
      </c>
      <c r="M16" s="60" t="s">
        <v>23</v>
      </c>
      <c r="N16" s="15">
        <v>15</v>
      </c>
      <c r="O16" s="60">
        <v>7.2</v>
      </c>
      <c r="P16" s="60">
        <v>52.2</v>
      </c>
      <c r="Q16" s="60">
        <v>9.06</v>
      </c>
      <c r="R16" s="60">
        <v>57.5</v>
      </c>
      <c r="S16" s="3">
        <v>9.84</v>
      </c>
      <c r="T16" s="3">
        <v>62</v>
      </c>
      <c r="U16" s="3">
        <v>10.220000000000001</v>
      </c>
      <c r="V16" s="3">
        <v>63</v>
      </c>
      <c r="W16" s="3">
        <v>11.01</v>
      </c>
      <c r="X16" s="3">
        <v>62</v>
      </c>
      <c r="Y16" s="3">
        <v>11.24</v>
      </c>
      <c r="Z16" s="3">
        <v>63</v>
      </c>
      <c r="AA16" s="3">
        <v>12.67</v>
      </c>
      <c r="AB16" s="3">
        <v>62</v>
      </c>
      <c r="AC16" s="3"/>
      <c r="AD16" s="3">
        <v>62</v>
      </c>
    </row>
    <row r="17" spans="1:30" x14ac:dyDescent="0.2">
      <c r="A17" s="60" t="s">
        <v>14</v>
      </c>
      <c r="B17" s="60" t="s">
        <v>15</v>
      </c>
      <c r="C17" s="60" t="s">
        <v>32</v>
      </c>
      <c r="D17" s="60" t="s">
        <v>24</v>
      </c>
      <c r="E17" s="60">
        <v>4</v>
      </c>
      <c r="F17" s="60" t="s">
        <v>41</v>
      </c>
      <c r="G17" s="60" t="s">
        <v>19</v>
      </c>
      <c r="H17" s="60" t="s">
        <v>20</v>
      </c>
      <c r="I17" s="60" t="str">
        <f t="shared" si="0"/>
        <v>B1-P1-C2</v>
      </c>
      <c r="J17" s="60" t="str">
        <f t="shared" si="1"/>
        <v>Fagus-B1-P1-C2-B4</v>
      </c>
      <c r="K17" s="60" t="s">
        <v>21</v>
      </c>
      <c r="L17" s="60" t="s">
        <v>22</v>
      </c>
      <c r="M17" s="60" t="s">
        <v>23</v>
      </c>
      <c r="N17" s="15">
        <v>16</v>
      </c>
      <c r="O17" s="60">
        <v>10.4</v>
      </c>
      <c r="P17" s="60">
        <v>87</v>
      </c>
      <c r="Q17" s="60">
        <v>10.56</v>
      </c>
      <c r="R17" s="60">
        <v>102</v>
      </c>
      <c r="S17" s="3">
        <v>12.06</v>
      </c>
      <c r="T17" s="3">
        <v>102</v>
      </c>
      <c r="U17" s="3">
        <v>12.22</v>
      </c>
      <c r="V17" s="3">
        <v>100.5</v>
      </c>
      <c r="W17" s="3">
        <v>12.7</v>
      </c>
      <c r="X17" s="3">
        <v>102</v>
      </c>
      <c r="Y17" s="3">
        <v>12.79</v>
      </c>
      <c r="Z17" s="3">
        <v>100.5</v>
      </c>
      <c r="AA17" s="3">
        <v>13.1</v>
      </c>
      <c r="AB17" s="3">
        <v>101</v>
      </c>
      <c r="AC17" s="3"/>
      <c r="AD17" s="3">
        <v>101</v>
      </c>
    </row>
    <row r="18" spans="1:30" s="38" customFormat="1" x14ac:dyDescent="0.2">
      <c r="A18" s="57" t="s">
        <v>14</v>
      </c>
      <c r="B18" s="57" t="s">
        <v>15</v>
      </c>
      <c r="C18" s="57" t="s">
        <v>42</v>
      </c>
      <c r="D18" s="57" t="s">
        <v>17</v>
      </c>
      <c r="E18" s="57">
        <v>1</v>
      </c>
      <c r="F18" s="57" t="s">
        <v>43</v>
      </c>
      <c r="G18" s="57" t="s">
        <v>19</v>
      </c>
      <c r="H18" s="57" t="s">
        <v>20</v>
      </c>
      <c r="I18" s="57" t="str">
        <f t="shared" si="0"/>
        <v>B1-P1-C3</v>
      </c>
      <c r="J18" s="57" t="str">
        <f t="shared" si="1"/>
        <v>Fagus-B1-P1-C3-A1</v>
      </c>
      <c r="K18" s="57" t="s">
        <v>21</v>
      </c>
      <c r="L18" s="57" t="s">
        <v>44</v>
      </c>
      <c r="M18" s="57" t="s">
        <v>45</v>
      </c>
      <c r="N18" s="37">
        <v>17</v>
      </c>
      <c r="O18" s="57">
        <v>11</v>
      </c>
      <c r="P18" s="57">
        <v>89</v>
      </c>
      <c r="Q18" s="57">
        <v>11.14</v>
      </c>
      <c r="R18" s="57">
        <v>119.5</v>
      </c>
      <c r="S18" s="57">
        <v>13.2</v>
      </c>
      <c r="T18" s="57">
        <v>119</v>
      </c>
      <c r="U18" s="57">
        <v>13.57</v>
      </c>
      <c r="V18" s="57">
        <v>119</v>
      </c>
      <c r="W18" s="57">
        <v>14.09</v>
      </c>
      <c r="X18" s="57">
        <v>119</v>
      </c>
      <c r="Y18" s="57">
        <v>14.22</v>
      </c>
      <c r="Z18" s="57">
        <v>119</v>
      </c>
      <c r="AA18" s="57">
        <v>14.47</v>
      </c>
      <c r="AB18" s="57">
        <v>119</v>
      </c>
      <c r="AC18" s="57"/>
      <c r="AD18" s="57">
        <v>119</v>
      </c>
    </row>
    <row r="19" spans="1:30" s="38" customFormat="1" x14ac:dyDescent="0.2">
      <c r="A19" s="57" t="s">
        <v>14</v>
      </c>
      <c r="B19" s="57" t="s">
        <v>15</v>
      </c>
      <c r="C19" s="57" t="s">
        <v>42</v>
      </c>
      <c r="D19" s="57" t="s">
        <v>24</v>
      </c>
      <c r="E19" s="57">
        <v>1</v>
      </c>
      <c r="F19" s="57" t="s">
        <v>46</v>
      </c>
      <c r="G19" s="57" t="s">
        <v>35</v>
      </c>
      <c r="H19" s="57" t="s">
        <v>20</v>
      </c>
      <c r="I19" s="57" t="str">
        <f t="shared" si="0"/>
        <v>B1-P1-C3</v>
      </c>
      <c r="J19" s="57" t="str">
        <f t="shared" si="1"/>
        <v>Quercus-B1-P1-C3-B1</v>
      </c>
      <c r="K19" s="57" t="s">
        <v>21</v>
      </c>
      <c r="L19" s="57" t="s">
        <v>44</v>
      </c>
      <c r="M19" s="57" t="s">
        <v>45</v>
      </c>
      <c r="N19" s="37">
        <v>18</v>
      </c>
      <c r="O19" s="57">
        <v>3.7</v>
      </c>
      <c r="P19" s="57">
        <v>40</v>
      </c>
      <c r="Q19" s="57">
        <v>4.22</v>
      </c>
      <c r="R19" s="57">
        <v>43</v>
      </c>
      <c r="S19" s="57">
        <v>4.68</v>
      </c>
      <c r="T19" s="57">
        <v>45</v>
      </c>
      <c r="U19" s="57">
        <v>4.4000000000000004</v>
      </c>
      <c r="V19" s="57">
        <v>44</v>
      </c>
      <c r="W19" s="57">
        <v>4.58</v>
      </c>
      <c r="X19" s="57">
        <v>45</v>
      </c>
      <c r="Y19" s="57">
        <v>4.7</v>
      </c>
      <c r="Z19" s="57">
        <v>45</v>
      </c>
      <c r="AA19" s="57">
        <v>5.77</v>
      </c>
      <c r="AB19" s="57">
        <v>45</v>
      </c>
      <c r="AC19" s="57"/>
      <c r="AD19" s="57">
        <v>45</v>
      </c>
    </row>
    <row r="20" spans="1:30" s="38" customFormat="1" x14ac:dyDescent="0.2">
      <c r="A20" s="57" t="s">
        <v>14</v>
      </c>
      <c r="B20" s="57" t="s">
        <v>15</v>
      </c>
      <c r="C20" s="57" t="s">
        <v>42</v>
      </c>
      <c r="D20" s="57" t="s">
        <v>17</v>
      </c>
      <c r="E20" s="57">
        <v>2</v>
      </c>
      <c r="F20" s="57" t="s">
        <v>47</v>
      </c>
      <c r="G20" s="57" t="s">
        <v>35</v>
      </c>
      <c r="H20" s="57" t="s">
        <v>20</v>
      </c>
      <c r="I20" s="57" t="str">
        <f t="shared" si="0"/>
        <v>B1-P1-C3</v>
      </c>
      <c r="J20" s="57" t="str">
        <f t="shared" si="1"/>
        <v>Quercus-B1-P1-C3-A2</v>
      </c>
      <c r="K20" s="57" t="s">
        <v>21</v>
      </c>
      <c r="L20" s="57" t="s">
        <v>44</v>
      </c>
      <c r="M20" s="57" t="s">
        <v>45</v>
      </c>
      <c r="N20" s="37">
        <v>19</v>
      </c>
      <c r="O20" s="57">
        <v>4.3</v>
      </c>
      <c r="P20" s="57">
        <v>32.799999999999997</v>
      </c>
      <c r="Q20" s="57">
        <v>4.79</v>
      </c>
      <c r="R20" s="57">
        <v>40</v>
      </c>
      <c r="S20" s="57">
        <v>4.83</v>
      </c>
      <c r="T20" s="57">
        <v>61</v>
      </c>
      <c r="U20" s="57">
        <v>4.8499999999999996</v>
      </c>
      <c r="V20" s="57">
        <v>60</v>
      </c>
      <c r="W20" s="57">
        <v>5.07</v>
      </c>
      <c r="X20" s="57">
        <v>59</v>
      </c>
      <c r="Y20" s="57">
        <v>4.9800000000000004</v>
      </c>
      <c r="Z20" s="57">
        <v>61</v>
      </c>
      <c r="AA20" s="57">
        <v>5.81</v>
      </c>
      <c r="AB20" s="57">
        <v>60</v>
      </c>
      <c r="AC20" s="57"/>
      <c r="AD20" s="57">
        <v>60</v>
      </c>
    </row>
    <row r="21" spans="1:30" s="38" customFormat="1" x14ac:dyDescent="0.2">
      <c r="A21" s="57" t="s">
        <v>14</v>
      </c>
      <c r="B21" s="57" t="s">
        <v>15</v>
      </c>
      <c r="C21" s="57" t="s">
        <v>42</v>
      </c>
      <c r="D21" s="57" t="s">
        <v>24</v>
      </c>
      <c r="E21" s="57">
        <v>2</v>
      </c>
      <c r="F21" s="57" t="s">
        <v>48</v>
      </c>
      <c r="G21" s="57" t="s">
        <v>19</v>
      </c>
      <c r="H21" s="57" t="s">
        <v>20</v>
      </c>
      <c r="I21" s="57" t="str">
        <f t="shared" si="0"/>
        <v>B1-P1-C3</v>
      </c>
      <c r="J21" s="57" t="str">
        <f t="shared" si="1"/>
        <v>Fagus-B1-P1-C3-B2</v>
      </c>
      <c r="K21" s="57" t="s">
        <v>21</v>
      </c>
      <c r="L21" s="57" t="s">
        <v>44</v>
      </c>
      <c r="M21" s="57" t="s">
        <v>45</v>
      </c>
      <c r="N21" s="37">
        <v>20</v>
      </c>
      <c r="O21" s="57">
        <v>13.7</v>
      </c>
      <c r="P21" s="57">
        <v>85.5</v>
      </c>
      <c r="Q21" s="57">
        <v>13.79</v>
      </c>
      <c r="R21" s="57">
        <v>105</v>
      </c>
      <c r="S21" s="57">
        <v>16.03</v>
      </c>
      <c r="T21" s="57">
        <v>105.5</v>
      </c>
      <c r="U21" s="57">
        <v>16.11</v>
      </c>
      <c r="V21" s="57">
        <v>110</v>
      </c>
      <c r="W21" s="57">
        <v>16.34</v>
      </c>
      <c r="X21" s="57">
        <v>106</v>
      </c>
      <c r="Y21" s="57">
        <v>16.77</v>
      </c>
      <c r="Z21" s="57">
        <v>106</v>
      </c>
      <c r="AA21" s="57">
        <v>16.53</v>
      </c>
      <c r="AB21" s="57">
        <v>107</v>
      </c>
      <c r="AC21" s="57"/>
      <c r="AD21" s="57">
        <v>107</v>
      </c>
    </row>
    <row r="22" spans="1:30" s="38" customFormat="1" x14ac:dyDescent="0.2">
      <c r="A22" s="57" t="s">
        <v>14</v>
      </c>
      <c r="B22" s="57" t="s">
        <v>15</v>
      </c>
      <c r="C22" s="57" t="s">
        <v>42</v>
      </c>
      <c r="D22" s="57" t="s">
        <v>17</v>
      </c>
      <c r="E22" s="57">
        <v>3</v>
      </c>
      <c r="F22" s="57" t="s">
        <v>49</v>
      </c>
      <c r="G22" s="57" t="s">
        <v>19</v>
      </c>
      <c r="H22" s="57" t="s">
        <v>20</v>
      </c>
      <c r="I22" s="57" t="str">
        <f t="shared" si="0"/>
        <v>B1-P1-C3</v>
      </c>
      <c r="J22" s="57" t="str">
        <f t="shared" si="1"/>
        <v>Fagus-B1-P1-C3-A3</v>
      </c>
      <c r="K22" s="57" t="s">
        <v>21</v>
      </c>
      <c r="L22" s="57" t="s">
        <v>44</v>
      </c>
      <c r="M22" s="57" t="s">
        <v>45</v>
      </c>
      <c r="N22" s="37">
        <v>21</v>
      </c>
      <c r="O22" s="57">
        <v>9.6999999999999993</v>
      </c>
      <c r="P22" s="57">
        <v>105</v>
      </c>
      <c r="Q22" s="57">
        <v>10.01</v>
      </c>
      <c r="R22" s="57">
        <v>105</v>
      </c>
      <c r="S22" s="57">
        <v>11.8</v>
      </c>
      <c r="T22" s="57">
        <v>106.5</v>
      </c>
      <c r="U22" s="57">
        <v>12.29</v>
      </c>
      <c r="V22" s="57">
        <v>107</v>
      </c>
      <c r="W22" s="57">
        <v>12.12</v>
      </c>
      <c r="X22" s="57">
        <v>106</v>
      </c>
      <c r="Y22" s="57">
        <v>12.65</v>
      </c>
      <c r="Z22" s="57">
        <v>106</v>
      </c>
      <c r="AA22" s="57">
        <v>12.95</v>
      </c>
      <c r="AB22" s="57">
        <v>106</v>
      </c>
      <c r="AC22" s="57"/>
      <c r="AD22" s="57">
        <v>106</v>
      </c>
    </row>
    <row r="23" spans="1:30" s="38" customFormat="1" x14ac:dyDescent="0.2">
      <c r="A23" s="57" t="s">
        <v>14</v>
      </c>
      <c r="B23" s="57" t="s">
        <v>15</v>
      </c>
      <c r="C23" s="57" t="s">
        <v>42</v>
      </c>
      <c r="D23" s="57" t="s">
        <v>24</v>
      </c>
      <c r="E23" s="57">
        <v>3</v>
      </c>
      <c r="F23" s="57" t="s">
        <v>50</v>
      </c>
      <c r="G23" s="57" t="s">
        <v>35</v>
      </c>
      <c r="H23" s="57" t="s">
        <v>20</v>
      </c>
      <c r="I23" s="57" t="str">
        <f t="shared" si="0"/>
        <v>B1-P1-C3</v>
      </c>
      <c r="J23" s="57" t="str">
        <f t="shared" si="1"/>
        <v>Quercus-B1-P1-C3-B3</v>
      </c>
      <c r="K23" s="57" t="s">
        <v>21</v>
      </c>
      <c r="L23" s="57" t="s">
        <v>44</v>
      </c>
      <c r="M23" s="57" t="s">
        <v>45</v>
      </c>
      <c r="N23" s="37">
        <v>22</v>
      </c>
      <c r="O23" s="57">
        <v>6.8</v>
      </c>
      <c r="P23" s="57">
        <v>62</v>
      </c>
      <c r="Q23" s="57">
        <v>7.62</v>
      </c>
      <c r="R23" s="57">
        <v>76</v>
      </c>
      <c r="S23" s="57">
        <v>8.57</v>
      </c>
      <c r="T23" s="57">
        <v>87</v>
      </c>
      <c r="U23" s="57">
        <v>8.75</v>
      </c>
      <c r="V23" s="57">
        <v>91</v>
      </c>
      <c r="W23" s="57">
        <v>8.69</v>
      </c>
      <c r="X23" s="57">
        <v>92</v>
      </c>
      <c r="Y23" s="57">
        <v>8.99</v>
      </c>
      <c r="Z23" s="57">
        <v>90</v>
      </c>
      <c r="AA23" s="57">
        <v>10.92</v>
      </c>
      <c r="AB23" s="57">
        <v>88</v>
      </c>
      <c r="AC23" s="57"/>
      <c r="AD23" s="57">
        <v>89</v>
      </c>
    </row>
    <row r="24" spans="1:30" s="38" customFormat="1" x14ac:dyDescent="0.2">
      <c r="A24" s="57" t="s">
        <v>14</v>
      </c>
      <c r="B24" s="57" t="s">
        <v>15</v>
      </c>
      <c r="C24" s="57" t="s">
        <v>42</v>
      </c>
      <c r="D24" s="57" t="s">
        <v>17</v>
      </c>
      <c r="E24" s="57">
        <v>4</v>
      </c>
      <c r="F24" s="57" t="s">
        <v>51</v>
      </c>
      <c r="G24" s="57" t="s">
        <v>35</v>
      </c>
      <c r="H24" s="57" t="s">
        <v>20</v>
      </c>
      <c r="I24" s="57" t="str">
        <f t="shared" si="0"/>
        <v>B1-P1-C3</v>
      </c>
      <c r="J24" s="57" t="str">
        <f t="shared" si="1"/>
        <v>Quercus-B1-P1-C3-A4</v>
      </c>
      <c r="K24" s="57" t="s">
        <v>21</v>
      </c>
      <c r="L24" s="57" t="s">
        <v>44</v>
      </c>
      <c r="M24" s="57" t="s">
        <v>45</v>
      </c>
      <c r="N24" s="37">
        <v>23</v>
      </c>
      <c r="O24" s="57">
        <v>4.2</v>
      </c>
      <c r="P24" s="57">
        <v>38</v>
      </c>
      <c r="Q24" s="57">
        <v>4.91</v>
      </c>
      <c r="R24" s="57">
        <v>41.5</v>
      </c>
      <c r="S24" s="57">
        <v>5.56</v>
      </c>
      <c r="T24" s="57">
        <v>49</v>
      </c>
      <c r="U24" s="57">
        <v>5.84</v>
      </c>
      <c r="V24" s="57">
        <v>46</v>
      </c>
      <c r="W24" s="57">
        <v>6.1</v>
      </c>
      <c r="X24" s="57">
        <v>48</v>
      </c>
      <c r="Y24" s="57">
        <v>6.11</v>
      </c>
      <c r="Z24" s="57">
        <v>48</v>
      </c>
      <c r="AA24" s="57">
        <v>7.14</v>
      </c>
      <c r="AB24" s="57">
        <v>46</v>
      </c>
      <c r="AC24" s="57"/>
      <c r="AD24" s="57">
        <v>46</v>
      </c>
    </row>
    <row r="25" spans="1:30" s="38" customFormat="1" x14ac:dyDescent="0.2">
      <c r="A25" s="57" t="s">
        <v>14</v>
      </c>
      <c r="B25" s="57" t="s">
        <v>15</v>
      </c>
      <c r="C25" s="57" t="s">
        <v>42</v>
      </c>
      <c r="D25" s="57" t="s">
        <v>24</v>
      </c>
      <c r="E25" s="57">
        <v>4</v>
      </c>
      <c r="F25" s="57" t="s">
        <v>52</v>
      </c>
      <c r="G25" s="57" t="s">
        <v>19</v>
      </c>
      <c r="H25" s="57" t="s">
        <v>20</v>
      </c>
      <c r="I25" s="57" t="str">
        <f t="shared" si="0"/>
        <v>B1-P1-C3</v>
      </c>
      <c r="J25" s="57" t="str">
        <f t="shared" si="1"/>
        <v>Fagus-B1-P1-C3-B4</v>
      </c>
      <c r="K25" s="57" t="s">
        <v>21</v>
      </c>
      <c r="L25" s="57" t="s">
        <v>44</v>
      </c>
      <c r="M25" s="57" t="s">
        <v>45</v>
      </c>
      <c r="N25" s="37">
        <v>24</v>
      </c>
      <c r="O25" s="57">
        <v>11</v>
      </c>
      <c r="P25" s="57">
        <v>99.3</v>
      </c>
      <c r="Q25" s="57">
        <v>11.06</v>
      </c>
      <c r="R25" s="57">
        <v>110</v>
      </c>
      <c r="S25" s="57">
        <v>12.06</v>
      </c>
      <c r="T25" s="57">
        <v>113</v>
      </c>
      <c r="U25" s="57">
        <v>12.61</v>
      </c>
      <c r="V25" s="57">
        <v>112</v>
      </c>
      <c r="W25" s="57">
        <v>12.35</v>
      </c>
      <c r="X25" s="57">
        <v>112</v>
      </c>
      <c r="Y25" s="57">
        <v>13.42</v>
      </c>
      <c r="Z25" s="57">
        <v>112</v>
      </c>
      <c r="AA25" s="57">
        <v>13.17</v>
      </c>
      <c r="AB25" s="57">
        <v>111</v>
      </c>
      <c r="AC25" s="57"/>
      <c r="AD25" s="57">
        <v>111</v>
      </c>
    </row>
    <row r="26" spans="1:30" x14ac:dyDescent="0.2">
      <c r="A26" s="60" t="s">
        <v>14</v>
      </c>
      <c r="B26" s="60" t="s">
        <v>15</v>
      </c>
      <c r="C26" s="60" t="s">
        <v>53</v>
      </c>
      <c r="D26" s="60" t="s">
        <v>17</v>
      </c>
      <c r="E26" s="60">
        <v>1</v>
      </c>
      <c r="F26" s="60" t="s">
        <v>54</v>
      </c>
      <c r="G26" s="60" t="s">
        <v>35</v>
      </c>
      <c r="H26" s="60" t="s">
        <v>20</v>
      </c>
      <c r="I26" s="60" t="str">
        <f t="shared" si="0"/>
        <v>B1-P1-C4</v>
      </c>
      <c r="J26" s="60" t="str">
        <f t="shared" si="1"/>
        <v>Quercus-B1-P1-C4-A1</v>
      </c>
      <c r="K26" s="60" t="s">
        <v>21</v>
      </c>
      <c r="L26" s="60" t="s">
        <v>44</v>
      </c>
      <c r="M26" s="60" t="s">
        <v>45</v>
      </c>
      <c r="N26" s="15">
        <v>25</v>
      </c>
      <c r="O26" s="60">
        <v>5.5</v>
      </c>
      <c r="P26" s="60">
        <v>42</v>
      </c>
      <c r="Q26" s="60">
        <v>5.74</v>
      </c>
      <c r="R26" s="60">
        <v>45</v>
      </c>
      <c r="S26" s="3">
        <v>6.25</v>
      </c>
      <c r="T26" s="3">
        <v>53.5</v>
      </c>
      <c r="U26" s="3">
        <v>5.79</v>
      </c>
      <c r="V26" s="3">
        <v>53</v>
      </c>
      <c r="W26" s="3">
        <v>6.48</v>
      </c>
      <c r="X26" s="3">
        <v>54</v>
      </c>
      <c r="Y26" s="3">
        <v>6.34</v>
      </c>
      <c r="Z26" s="3">
        <v>53</v>
      </c>
      <c r="AA26" s="3">
        <v>7.3</v>
      </c>
      <c r="AB26" s="3">
        <v>54</v>
      </c>
      <c r="AC26" s="3"/>
      <c r="AD26" s="3">
        <v>54</v>
      </c>
    </row>
    <row r="27" spans="1:30" x14ac:dyDescent="0.2">
      <c r="A27" s="60" t="s">
        <v>14</v>
      </c>
      <c r="B27" s="60" t="s">
        <v>15</v>
      </c>
      <c r="C27" s="60" t="s">
        <v>53</v>
      </c>
      <c r="D27" s="60" t="s">
        <v>24</v>
      </c>
      <c r="E27" s="60">
        <v>1</v>
      </c>
      <c r="F27" s="60" t="s">
        <v>55</v>
      </c>
      <c r="G27" s="60" t="s">
        <v>35</v>
      </c>
      <c r="H27" s="60" t="s">
        <v>20</v>
      </c>
      <c r="I27" s="60" t="str">
        <f t="shared" si="0"/>
        <v>B1-P1-C4</v>
      </c>
      <c r="J27" s="60" t="str">
        <f t="shared" si="1"/>
        <v>Quercus-B1-P1-C4-B1</v>
      </c>
      <c r="K27" s="60" t="s">
        <v>21</v>
      </c>
      <c r="L27" s="60" t="s">
        <v>44</v>
      </c>
      <c r="M27" s="60" t="s">
        <v>45</v>
      </c>
      <c r="N27" s="15">
        <v>26</v>
      </c>
      <c r="O27" s="60">
        <v>5.6</v>
      </c>
      <c r="P27" s="60">
        <v>42</v>
      </c>
      <c r="Q27" s="60">
        <v>6.49</v>
      </c>
      <c r="R27" s="60">
        <v>43</v>
      </c>
      <c r="S27" s="3">
        <v>6.83</v>
      </c>
      <c r="T27" s="3">
        <v>48</v>
      </c>
      <c r="U27" s="3">
        <v>7.53</v>
      </c>
      <c r="V27" s="3">
        <v>48</v>
      </c>
      <c r="W27" s="3">
        <v>7.15</v>
      </c>
      <c r="X27" s="3">
        <v>50</v>
      </c>
      <c r="Y27" s="3">
        <v>7.7</v>
      </c>
      <c r="Z27" s="3">
        <v>48</v>
      </c>
      <c r="AA27" s="3">
        <v>9.2200000000000006</v>
      </c>
      <c r="AB27" s="3">
        <v>49</v>
      </c>
      <c r="AC27" s="3"/>
      <c r="AD27" s="3">
        <v>49</v>
      </c>
    </row>
    <row r="28" spans="1:30" x14ac:dyDescent="0.2">
      <c r="A28" s="60" t="s">
        <v>14</v>
      </c>
      <c r="B28" s="60" t="s">
        <v>15</v>
      </c>
      <c r="C28" s="60" t="s">
        <v>53</v>
      </c>
      <c r="D28" s="60" t="s">
        <v>17</v>
      </c>
      <c r="E28" s="60">
        <v>2</v>
      </c>
      <c r="F28" s="60" t="s">
        <v>56</v>
      </c>
      <c r="G28" s="60" t="s">
        <v>35</v>
      </c>
      <c r="H28" s="60" t="s">
        <v>20</v>
      </c>
      <c r="I28" s="60" t="str">
        <f t="shared" si="0"/>
        <v>B1-P1-C4</v>
      </c>
      <c r="J28" s="60" t="str">
        <f t="shared" si="1"/>
        <v>Quercus-B1-P1-C4-A2</v>
      </c>
      <c r="K28" s="60" t="s">
        <v>21</v>
      </c>
      <c r="L28" s="60" t="s">
        <v>44</v>
      </c>
      <c r="M28" s="60" t="s">
        <v>45</v>
      </c>
      <c r="N28" s="15">
        <v>27</v>
      </c>
      <c r="O28" s="60">
        <v>4</v>
      </c>
      <c r="P28" s="60">
        <v>32</v>
      </c>
      <c r="Q28" s="60">
        <v>4.34</v>
      </c>
      <c r="R28" s="60">
        <v>32</v>
      </c>
      <c r="S28" s="3">
        <v>4.28</v>
      </c>
      <c r="T28" s="3">
        <v>39</v>
      </c>
      <c r="U28" s="3">
        <v>4.3499999999999996</v>
      </c>
      <c r="V28" s="3">
        <v>37.5</v>
      </c>
      <c r="W28" s="3">
        <v>4.7699999999999996</v>
      </c>
      <c r="X28" s="3">
        <v>40</v>
      </c>
      <c r="Y28" s="3">
        <v>4.9800000000000004</v>
      </c>
      <c r="Z28" s="3">
        <v>38</v>
      </c>
      <c r="AA28" s="3">
        <v>6.09</v>
      </c>
      <c r="AB28" s="3">
        <v>38</v>
      </c>
      <c r="AC28" s="3"/>
      <c r="AD28" s="3">
        <v>39</v>
      </c>
    </row>
    <row r="29" spans="1:30" x14ac:dyDescent="0.2">
      <c r="A29" s="60" t="s">
        <v>14</v>
      </c>
      <c r="B29" s="60" t="s">
        <v>15</v>
      </c>
      <c r="C29" s="60" t="s">
        <v>53</v>
      </c>
      <c r="D29" s="60" t="s">
        <v>24</v>
      </c>
      <c r="E29" s="60">
        <v>2</v>
      </c>
      <c r="F29" s="60" t="s">
        <v>57</v>
      </c>
      <c r="G29" s="60" t="s">
        <v>35</v>
      </c>
      <c r="H29" s="60" t="s">
        <v>20</v>
      </c>
      <c r="I29" s="60" t="str">
        <f t="shared" si="0"/>
        <v>B1-P1-C4</v>
      </c>
      <c r="J29" s="60" t="str">
        <f t="shared" si="1"/>
        <v>Quercus-B1-P1-C4-B2</v>
      </c>
      <c r="K29" s="60" t="s">
        <v>21</v>
      </c>
      <c r="L29" s="60" t="s">
        <v>44</v>
      </c>
      <c r="M29" s="60" t="s">
        <v>45</v>
      </c>
      <c r="N29" s="15">
        <v>28</v>
      </c>
      <c r="O29" s="60">
        <v>7.7</v>
      </c>
      <c r="P29" s="60">
        <v>45.2</v>
      </c>
      <c r="Q29" s="60">
        <v>7.84</v>
      </c>
      <c r="R29" s="60">
        <v>55.5</v>
      </c>
      <c r="S29" s="3">
        <v>8.93</v>
      </c>
      <c r="T29" s="3">
        <v>63</v>
      </c>
      <c r="U29" s="3">
        <v>9.32</v>
      </c>
      <c r="V29" s="3">
        <v>64</v>
      </c>
      <c r="W29" s="3">
        <v>8.93</v>
      </c>
      <c r="X29" s="3">
        <v>63.5</v>
      </c>
      <c r="Y29" s="3">
        <v>9.41</v>
      </c>
      <c r="Z29" s="3">
        <v>67</v>
      </c>
      <c r="AA29" s="3">
        <v>11.11</v>
      </c>
      <c r="AB29" s="3">
        <v>70</v>
      </c>
      <c r="AC29" s="3"/>
      <c r="AD29" s="3">
        <v>69</v>
      </c>
    </row>
    <row r="30" spans="1:30" x14ac:dyDescent="0.2">
      <c r="A30" s="60" t="s">
        <v>14</v>
      </c>
      <c r="B30" s="60" t="s">
        <v>15</v>
      </c>
      <c r="C30" s="60" t="s">
        <v>53</v>
      </c>
      <c r="D30" s="60" t="s">
        <v>17</v>
      </c>
      <c r="E30" s="60">
        <v>3</v>
      </c>
      <c r="F30" s="60" t="s">
        <v>58</v>
      </c>
      <c r="G30" s="60" t="s">
        <v>35</v>
      </c>
      <c r="H30" s="60" t="s">
        <v>20</v>
      </c>
      <c r="I30" s="60" t="str">
        <f t="shared" si="0"/>
        <v>B1-P1-C4</v>
      </c>
      <c r="J30" s="60" t="str">
        <f t="shared" si="1"/>
        <v>Quercus-B1-P1-C4-A3</v>
      </c>
      <c r="K30" s="60" t="s">
        <v>21</v>
      </c>
      <c r="L30" s="60" t="s">
        <v>44</v>
      </c>
      <c r="M30" s="60" t="s">
        <v>45</v>
      </c>
      <c r="N30" s="15">
        <v>29</v>
      </c>
      <c r="O30" s="60">
        <v>6</v>
      </c>
      <c r="P30" s="60">
        <v>48</v>
      </c>
      <c r="Q30" s="60">
        <v>6.83</v>
      </c>
      <c r="R30" s="60">
        <v>51</v>
      </c>
      <c r="S30" s="3">
        <v>7.25</v>
      </c>
      <c r="T30" s="3">
        <v>56</v>
      </c>
      <c r="U30" s="3">
        <v>7.16</v>
      </c>
      <c r="V30" s="3">
        <v>56</v>
      </c>
      <c r="W30" s="3">
        <v>7.57</v>
      </c>
      <c r="X30" s="3">
        <v>59</v>
      </c>
      <c r="Y30" s="3">
        <v>8.0399999999999991</v>
      </c>
      <c r="Z30" s="3">
        <v>59</v>
      </c>
      <c r="AA30" s="3">
        <v>8.24</v>
      </c>
      <c r="AB30" s="3">
        <v>61</v>
      </c>
      <c r="AC30" s="3"/>
      <c r="AD30" s="3">
        <v>61</v>
      </c>
    </row>
    <row r="31" spans="1:30" x14ac:dyDescent="0.2">
      <c r="A31" s="60" t="s">
        <v>14</v>
      </c>
      <c r="B31" s="60" t="s">
        <v>15</v>
      </c>
      <c r="C31" s="60" t="s">
        <v>53</v>
      </c>
      <c r="D31" s="60" t="s">
        <v>24</v>
      </c>
      <c r="E31" s="60">
        <v>3</v>
      </c>
      <c r="F31" s="60" t="s">
        <v>59</v>
      </c>
      <c r="G31" s="60" t="s">
        <v>35</v>
      </c>
      <c r="H31" s="60" t="s">
        <v>20</v>
      </c>
      <c r="I31" s="60" t="str">
        <f t="shared" si="0"/>
        <v>B1-P1-C4</v>
      </c>
      <c r="J31" s="60" t="str">
        <f t="shared" si="1"/>
        <v>Quercus-B1-P1-C4-B3</v>
      </c>
      <c r="K31" s="60" t="s">
        <v>21</v>
      </c>
      <c r="L31" s="60" t="s">
        <v>44</v>
      </c>
      <c r="M31" s="60" t="s">
        <v>45</v>
      </c>
      <c r="N31" s="15">
        <v>30</v>
      </c>
      <c r="O31" s="60">
        <v>5.6</v>
      </c>
      <c r="P31" s="60">
        <v>47</v>
      </c>
      <c r="Q31" s="60">
        <v>5.91</v>
      </c>
      <c r="R31" s="60">
        <v>47.5</v>
      </c>
      <c r="S31" s="3">
        <v>6.21</v>
      </c>
      <c r="T31" s="3">
        <v>49.5</v>
      </c>
      <c r="U31" s="3">
        <v>6.4</v>
      </c>
      <c r="V31" s="3">
        <v>51</v>
      </c>
      <c r="W31" s="3">
        <v>6.24</v>
      </c>
      <c r="X31" s="3">
        <v>51</v>
      </c>
      <c r="Y31" s="3">
        <v>6.7</v>
      </c>
      <c r="Z31" s="3">
        <v>50</v>
      </c>
      <c r="AA31" s="3">
        <v>7.48</v>
      </c>
      <c r="AB31" s="3">
        <v>53</v>
      </c>
      <c r="AC31" s="3"/>
      <c r="AD31" s="3">
        <v>52</v>
      </c>
    </row>
    <row r="32" spans="1:30" x14ac:dyDescent="0.2">
      <c r="A32" s="60" t="s">
        <v>14</v>
      </c>
      <c r="B32" s="60" t="s">
        <v>15</v>
      </c>
      <c r="C32" s="60" t="s">
        <v>53</v>
      </c>
      <c r="D32" s="60" t="s">
        <v>17</v>
      </c>
      <c r="E32" s="60">
        <v>4</v>
      </c>
      <c r="F32" s="60" t="s">
        <v>60</v>
      </c>
      <c r="G32" s="60" t="s">
        <v>35</v>
      </c>
      <c r="H32" s="60" t="s">
        <v>20</v>
      </c>
      <c r="I32" s="60" t="str">
        <f t="shared" si="0"/>
        <v>B1-P1-C4</v>
      </c>
      <c r="J32" s="60" t="str">
        <f t="shared" si="1"/>
        <v>Quercus-B1-P1-C4-A4</v>
      </c>
      <c r="K32" s="60" t="s">
        <v>21</v>
      </c>
      <c r="L32" s="60" t="s">
        <v>44</v>
      </c>
      <c r="M32" s="60" t="s">
        <v>45</v>
      </c>
      <c r="N32" s="15">
        <v>31</v>
      </c>
      <c r="O32" s="60">
        <v>5.2</v>
      </c>
      <c r="P32" s="60">
        <v>42.9</v>
      </c>
      <c r="Q32" s="60">
        <v>5.46</v>
      </c>
      <c r="R32" s="60">
        <v>44.5</v>
      </c>
      <c r="S32" s="3">
        <v>6.23</v>
      </c>
      <c r="T32" s="3">
        <v>64.5</v>
      </c>
      <c r="U32" s="3">
        <v>6.41</v>
      </c>
      <c r="V32" s="3">
        <v>63.5</v>
      </c>
      <c r="W32" s="3">
        <v>6.63</v>
      </c>
      <c r="X32" s="3">
        <v>63</v>
      </c>
      <c r="Y32" s="3">
        <v>6.94</v>
      </c>
      <c r="Z32" s="3">
        <v>66</v>
      </c>
      <c r="AA32" s="3">
        <v>8.4499999999999993</v>
      </c>
      <c r="AB32" s="3">
        <v>68</v>
      </c>
      <c r="AC32" s="3"/>
      <c r="AD32" s="3">
        <v>68</v>
      </c>
    </row>
    <row r="33" spans="1:30" x14ac:dyDescent="0.2">
      <c r="A33" s="60" t="s">
        <v>14</v>
      </c>
      <c r="B33" s="60" t="s">
        <v>15</v>
      </c>
      <c r="C33" s="60" t="s">
        <v>53</v>
      </c>
      <c r="D33" s="60" t="s">
        <v>24</v>
      </c>
      <c r="E33" s="60">
        <v>4</v>
      </c>
      <c r="F33" s="60" t="s">
        <v>61</v>
      </c>
      <c r="G33" s="60" t="s">
        <v>35</v>
      </c>
      <c r="H33" s="60" t="s">
        <v>20</v>
      </c>
      <c r="I33" s="60" t="str">
        <f t="shared" si="0"/>
        <v>B1-P1-C4</v>
      </c>
      <c r="J33" s="60" t="str">
        <f t="shared" si="1"/>
        <v>Quercus-B1-P1-C4-B4</v>
      </c>
      <c r="K33" s="60" t="s">
        <v>21</v>
      </c>
      <c r="L33" s="60" t="s">
        <v>44</v>
      </c>
      <c r="M33" s="60" t="s">
        <v>45</v>
      </c>
      <c r="N33" s="15">
        <v>32</v>
      </c>
      <c r="O33" s="60">
        <v>6.9</v>
      </c>
      <c r="P33" s="60">
        <v>64.8</v>
      </c>
      <c r="Q33" s="60">
        <v>8.0299999999999994</v>
      </c>
      <c r="R33" s="60">
        <v>67</v>
      </c>
      <c r="S33" s="3">
        <v>8.94</v>
      </c>
      <c r="T33" s="3">
        <v>79</v>
      </c>
      <c r="U33" s="3">
        <v>8.98</v>
      </c>
      <c r="V33" s="3">
        <v>79</v>
      </c>
      <c r="W33" s="3">
        <v>9.56</v>
      </c>
      <c r="X33" s="3">
        <v>79</v>
      </c>
      <c r="Y33" s="3">
        <v>9.67</v>
      </c>
      <c r="Z33" s="3">
        <v>79</v>
      </c>
      <c r="AA33" s="3">
        <v>11.21</v>
      </c>
      <c r="AB33" s="3">
        <v>87</v>
      </c>
      <c r="AC33" s="3"/>
      <c r="AD33" s="3">
        <v>88</v>
      </c>
    </row>
    <row r="34" spans="1:30" s="38" customFormat="1" x14ac:dyDescent="0.2">
      <c r="A34" s="57" t="s">
        <v>14</v>
      </c>
      <c r="B34" s="57" t="s">
        <v>62</v>
      </c>
      <c r="C34" s="57" t="s">
        <v>16</v>
      </c>
      <c r="D34" s="57" t="s">
        <v>17</v>
      </c>
      <c r="E34" s="57">
        <v>1</v>
      </c>
      <c r="F34" s="57" t="s">
        <v>63</v>
      </c>
      <c r="G34" s="57" t="s">
        <v>35</v>
      </c>
      <c r="H34" s="57" t="s">
        <v>20</v>
      </c>
      <c r="I34" s="57" t="str">
        <f t="shared" si="0"/>
        <v>B1-P2-C1</v>
      </c>
      <c r="J34" s="57" t="str">
        <f t="shared" si="1"/>
        <v>Quercus-B1-P2-C1-A1</v>
      </c>
      <c r="K34" s="57" t="s">
        <v>64</v>
      </c>
      <c r="L34" s="57" t="s">
        <v>44</v>
      </c>
      <c r="M34" s="57" t="s">
        <v>65</v>
      </c>
      <c r="N34" s="37">
        <v>33</v>
      </c>
      <c r="O34" s="57">
        <v>4.5</v>
      </c>
      <c r="P34" s="57">
        <v>25.5</v>
      </c>
      <c r="Q34" s="57">
        <v>5.33</v>
      </c>
      <c r="R34" s="57">
        <v>37</v>
      </c>
      <c r="S34" s="57">
        <v>5.18</v>
      </c>
      <c r="T34" s="57">
        <v>38</v>
      </c>
      <c r="U34" s="57">
        <v>5.43</v>
      </c>
      <c r="V34" s="57">
        <v>35</v>
      </c>
      <c r="W34" s="57">
        <v>5.93</v>
      </c>
      <c r="X34" s="57">
        <v>35</v>
      </c>
      <c r="Y34" s="57">
        <v>6.1</v>
      </c>
      <c r="Z34" s="57">
        <v>37</v>
      </c>
      <c r="AA34" s="57">
        <v>7.51</v>
      </c>
      <c r="AB34" s="57">
        <v>40</v>
      </c>
      <c r="AC34" s="57"/>
      <c r="AD34" s="57">
        <v>39</v>
      </c>
    </row>
    <row r="35" spans="1:30" s="38" customFormat="1" x14ac:dyDescent="0.2">
      <c r="A35" s="57" t="s">
        <v>14</v>
      </c>
      <c r="B35" s="57" t="s">
        <v>62</v>
      </c>
      <c r="C35" s="57" t="s">
        <v>16</v>
      </c>
      <c r="D35" s="57" t="s">
        <v>24</v>
      </c>
      <c r="E35" s="57">
        <v>1</v>
      </c>
      <c r="F35" s="57" t="s">
        <v>66</v>
      </c>
      <c r="G35" s="57" t="s">
        <v>35</v>
      </c>
      <c r="H35" s="57" t="s">
        <v>20</v>
      </c>
      <c r="I35" s="57" t="str">
        <f t="shared" si="0"/>
        <v>B1-P2-C1</v>
      </c>
      <c r="J35" s="57" t="str">
        <f t="shared" si="1"/>
        <v>Quercus-B1-P2-C1-B1</v>
      </c>
      <c r="K35" s="57" t="s">
        <v>64</v>
      </c>
      <c r="L35" s="57" t="s">
        <v>44</v>
      </c>
      <c r="M35" s="57" t="s">
        <v>65</v>
      </c>
      <c r="N35" s="37">
        <v>34</v>
      </c>
      <c r="O35" s="57">
        <v>4</v>
      </c>
      <c r="P35" s="57">
        <v>35.5</v>
      </c>
      <c r="Q35" s="57">
        <v>4.6100000000000003</v>
      </c>
      <c r="R35" s="57">
        <v>37.5</v>
      </c>
      <c r="S35" s="57">
        <v>4.63</v>
      </c>
      <c r="T35" s="57">
        <v>42</v>
      </c>
      <c r="U35" s="57">
        <v>5.0999999999999996</v>
      </c>
      <c r="V35" s="57">
        <v>43.5</v>
      </c>
      <c r="W35" s="57">
        <v>4.88</v>
      </c>
      <c r="X35" s="57">
        <v>44</v>
      </c>
      <c r="Y35" s="57">
        <v>5.64</v>
      </c>
      <c r="Z35" s="57">
        <v>45</v>
      </c>
      <c r="AA35" s="57">
        <v>6.73</v>
      </c>
      <c r="AB35" s="57">
        <v>47</v>
      </c>
      <c r="AC35" s="57"/>
      <c r="AD35" s="57">
        <v>46</v>
      </c>
    </row>
    <row r="36" spans="1:30" s="38" customFormat="1" x14ac:dyDescent="0.2">
      <c r="A36" s="57" t="s">
        <v>14</v>
      </c>
      <c r="B36" s="57" t="s">
        <v>62</v>
      </c>
      <c r="C36" s="57" t="s">
        <v>16</v>
      </c>
      <c r="D36" s="57" t="s">
        <v>17</v>
      </c>
      <c r="E36" s="57">
        <v>2</v>
      </c>
      <c r="F36" s="57" t="s">
        <v>67</v>
      </c>
      <c r="G36" s="57" t="s">
        <v>35</v>
      </c>
      <c r="H36" s="57" t="s">
        <v>20</v>
      </c>
      <c r="I36" s="57" t="str">
        <f t="shared" si="0"/>
        <v>B1-P2-C1</v>
      </c>
      <c r="J36" s="57" t="str">
        <f t="shared" si="1"/>
        <v>Quercus-B1-P2-C1-A2</v>
      </c>
      <c r="K36" s="57" t="s">
        <v>64</v>
      </c>
      <c r="L36" s="57" t="s">
        <v>44</v>
      </c>
      <c r="M36" s="57" t="s">
        <v>65</v>
      </c>
      <c r="N36" s="37">
        <v>35</v>
      </c>
      <c r="O36" s="57">
        <v>3.8</v>
      </c>
      <c r="P36" s="57">
        <v>31.5</v>
      </c>
      <c r="Q36" s="57">
        <v>4.1900000000000004</v>
      </c>
      <c r="R36" s="57">
        <v>39.5</v>
      </c>
      <c r="S36" s="57">
        <v>4.33</v>
      </c>
      <c r="T36" s="57">
        <v>41</v>
      </c>
      <c r="U36" s="57">
        <v>4.24</v>
      </c>
      <c r="V36" s="57">
        <v>41</v>
      </c>
      <c r="W36" s="57">
        <v>4.99</v>
      </c>
      <c r="X36" s="57">
        <v>41.5</v>
      </c>
      <c r="Y36" s="57">
        <v>5.09</v>
      </c>
      <c r="Z36" s="57">
        <v>42.5</v>
      </c>
      <c r="AA36" s="57">
        <v>6.24</v>
      </c>
      <c r="AB36" s="57">
        <v>44</v>
      </c>
      <c r="AC36" s="57"/>
      <c r="AD36" s="57">
        <v>43</v>
      </c>
    </row>
    <row r="37" spans="1:30" s="38" customFormat="1" x14ac:dyDescent="0.2">
      <c r="A37" s="57" t="s">
        <v>14</v>
      </c>
      <c r="B37" s="57" t="s">
        <v>62</v>
      </c>
      <c r="C37" s="57" t="s">
        <v>16</v>
      </c>
      <c r="D37" s="57" t="s">
        <v>24</v>
      </c>
      <c r="E37" s="57">
        <v>2</v>
      </c>
      <c r="F37" s="57" t="s">
        <v>68</v>
      </c>
      <c r="G37" s="57" t="s">
        <v>35</v>
      </c>
      <c r="H37" s="57" t="s">
        <v>20</v>
      </c>
      <c r="I37" s="57" t="str">
        <f t="shared" si="0"/>
        <v>B1-P2-C1</v>
      </c>
      <c r="J37" s="57" t="str">
        <f t="shared" si="1"/>
        <v>Quercus-B1-P2-C1-B2</v>
      </c>
      <c r="K37" s="57" t="s">
        <v>64</v>
      </c>
      <c r="L37" s="57" t="s">
        <v>44</v>
      </c>
      <c r="M37" s="57" t="s">
        <v>65</v>
      </c>
      <c r="N37" s="37">
        <v>36</v>
      </c>
      <c r="O37" s="57">
        <v>4.7</v>
      </c>
      <c r="P37" s="57">
        <v>34</v>
      </c>
      <c r="Q37" s="57">
        <v>5</v>
      </c>
      <c r="R37" s="57">
        <v>42</v>
      </c>
      <c r="S37" s="57">
        <v>5</v>
      </c>
      <c r="T37" s="57">
        <v>44</v>
      </c>
      <c r="U37" s="57">
        <v>5.05</v>
      </c>
      <c r="V37" s="57">
        <v>42</v>
      </c>
      <c r="W37" s="57">
        <v>5.47</v>
      </c>
      <c r="X37" s="57">
        <v>44</v>
      </c>
      <c r="Y37" s="57">
        <v>5.65</v>
      </c>
      <c r="Z37" s="57">
        <v>45</v>
      </c>
      <c r="AA37" s="57">
        <v>6.3</v>
      </c>
      <c r="AB37" s="57">
        <v>45</v>
      </c>
      <c r="AC37" s="57"/>
      <c r="AD37" s="57">
        <v>43</v>
      </c>
    </row>
    <row r="38" spans="1:30" s="38" customFormat="1" x14ac:dyDescent="0.2">
      <c r="A38" s="57" t="s">
        <v>14</v>
      </c>
      <c r="B38" s="57" t="s">
        <v>62</v>
      </c>
      <c r="C38" s="57" t="s">
        <v>16</v>
      </c>
      <c r="D38" s="57" t="s">
        <v>17</v>
      </c>
      <c r="E38" s="57">
        <v>3</v>
      </c>
      <c r="F38" s="57" t="s">
        <v>69</v>
      </c>
      <c r="G38" s="57" t="s">
        <v>35</v>
      </c>
      <c r="H38" s="57" t="s">
        <v>20</v>
      </c>
      <c r="I38" s="57" t="str">
        <f t="shared" si="0"/>
        <v>B1-P2-C1</v>
      </c>
      <c r="J38" s="57" t="str">
        <f t="shared" si="1"/>
        <v>Quercus-B1-P2-C1-A3</v>
      </c>
      <c r="K38" s="57" t="s">
        <v>64</v>
      </c>
      <c r="L38" s="57" t="s">
        <v>44</v>
      </c>
      <c r="M38" s="57" t="s">
        <v>65</v>
      </c>
      <c r="N38" s="37">
        <v>37</v>
      </c>
      <c r="O38" s="57">
        <v>5.0999999999999996</v>
      </c>
      <c r="P38" s="57">
        <v>35</v>
      </c>
      <c r="Q38" s="57">
        <v>5.8</v>
      </c>
      <c r="R38" s="57">
        <v>40</v>
      </c>
      <c r="S38" s="57">
        <v>5.8</v>
      </c>
      <c r="T38" s="57">
        <v>39</v>
      </c>
      <c r="U38" s="57">
        <v>5.86</v>
      </c>
      <c r="V38" s="57">
        <v>40</v>
      </c>
      <c r="W38" s="57">
        <v>6.44</v>
      </c>
      <c r="X38" s="57">
        <v>40</v>
      </c>
      <c r="Y38" s="57">
        <v>7.21</v>
      </c>
      <c r="Z38" s="57">
        <v>40</v>
      </c>
      <c r="AA38" s="57">
        <v>7.48</v>
      </c>
      <c r="AB38" s="57">
        <v>45</v>
      </c>
      <c r="AC38" s="57"/>
      <c r="AD38" s="57">
        <v>44</v>
      </c>
    </row>
    <row r="39" spans="1:30" s="38" customFormat="1" x14ac:dyDescent="0.2">
      <c r="A39" s="57" t="s">
        <v>14</v>
      </c>
      <c r="B39" s="57" t="s">
        <v>62</v>
      </c>
      <c r="C39" s="57" t="s">
        <v>16</v>
      </c>
      <c r="D39" s="57" t="s">
        <v>24</v>
      </c>
      <c r="E39" s="57">
        <v>3</v>
      </c>
      <c r="F39" s="57" t="s">
        <v>70</v>
      </c>
      <c r="G39" s="57" t="s">
        <v>35</v>
      </c>
      <c r="H39" s="57" t="s">
        <v>20</v>
      </c>
      <c r="I39" s="57" t="str">
        <f t="shared" si="0"/>
        <v>B1-P2-C1</v>
      </c>
      <c r="J39" s="57" t="str">
        <f t="shared" si="1"/>
        <v>Quercus-B1-P2-C1-B3</v>
      </c>
      <c r="K39" s="57" t="s">
        <v>64</v>
      </c>
      <c r="L39" s="57" t="s">
        <v>44</v>
      </c>
      <c r="M39" s="57" t="s">
        <v>65</v>
      </c>
      <c r="N39" s="37">
        <v>38</v>
      </c>
      <c r="O39" s="57">
        <v>4.3</v>
      </c>
      <c r="P39" s="57">
        <v>35</v>
      </c>
      <c r="Q39" s="57">
        <v>6.04</v>
      </c>
      <c r="R39" s="57">
        <v>46</v>
      </c>
      <c r="S39" s="57">
        <v>6.05</v>
      </c>
      <c r="T39" s="57">
        <v>50.5</v>
      </c>
      <c r="U39" s="57">
        <v>5.83</v>
      </c>
      <c r="V39" s="57">
        <v>50</v>
      </c>
      <c r="W39" s="57">
        <v>5.81</v>
      </c>
      <c r="X39" s="57">
        <v>50.5</v>
      </c>
      <c r="Y39" s="57">
        <v>6.02</v>
      </c>
      <c r="Z39" s="57">
        <v>50</v>
      </c>
      <c r="AA39" s="57">
        <v>7.76</v>
      </c>
      <c r="AB39" s="57">
        <v>56</v>
      </c>
      <c r="AC39" s="57"/>
      <c r="AD39" s="57">
        <v>57</v>
      </c>
    </row>
    <row r="40" spans="1:30" s="38" customFormat="1" x14ac:dyDescent="0.2">
      <c r="A40" s="57" t="s">
        <v>14</v>
      </c>
      <c r="B40" s="57" t="s">
        <v>62</v>
      </c>
      <c r="C40" s="57" t="s">
        <v>16</v>
      </c>
      <c r="D40" s="57" t="s">
        <v>17</v>
      </c>
      <c r="E40" s="57">
        <v>4</v>
      </c>
      <c r="F40" s="57" t="s">
        <v>71</v>
      </c>
      <c r="G40" s="57" t="s">
        <v>35</v>
      </c>
      <c r="H40" s="57" t="s">
        <v>20</v>
      </c>
      <c r="I40" s="57" t="str">
        <f t="shared" si="0"/>
        <v>B1-P2-C1</v>
      </c>
      <c r="J40" s="57" t="str">
        <f t="shared" si="1"/>
        <v>Quercus-B1-P2-C1-A4</v>
      </c>
      <c r="K40" s="57" t="s">
        <v>64</v>
      </c>
      <c r="L40" s="57" t="s">
        <v>44</v>
      </c>
      <c r="M40" s="57" t="s">
        <v>65</v>
      </c>
      <c r="N40" s="37">
        <v>39</v>
      </c>
      <c r="O40" s="57">
        <v>4</v>
      </c>
      <c r="P40" s="57">
        <v>27</v>
      </c>
      <c r="Q40" s="57">
        <v>5.08</v>
      </c>
      <c r="R40" s="57">
        <v>34.5</v>
      </c>
      <c r="S40" s="57">
        <v>5.0999999999999996</v>
      </c>
      <c r="T40" s="57">
        <v>35.5</v>
      </c>
      <c r="U40" s="57">
        <v>5.14</v>
      </c>
      <c r="V40" s="57">
        <v>35</v>
      </c>
      <c r="W40" s="57">
        <v>5.33</v>
      </c>
      <c r="X40" s="57">
        <v>35.5</v>
      </c>
      <c r="Y40" s="57">
        <v>5.71</v>
      </c>
      <c r="Z40" s="57">
        <v>39</v>
      </c>
      <c r="AA40" s="57">
        <v>5.9</v>
      </c>
      <c r="AB40" s="57">
        <v>40</v>
      </c>
      <c r="AC40" s="57"/>
      <c r="AD40" s="57">
        <v>39</v>
      </c>
    </row>
    <row r="41" spans="1:30" s="38" customFormat="1" x14ac:dyDescent="0.2">
      <c r="A41" s="57" t="s">
        <v>14</v>
      </c>
      <c r="B41" s="57" t="s">
        <v>62</v>
      </c>
      <c r="C41" s="57" t="s">
        <v>16</v>
      </c>
      <c r="D41" s="57" t="s">
        <v>24</v>
      </c>
      <c r="E41" s="57">
        <v>4</v>
      </c>
      <c r="F41" s="57" t="s">
        <v>72</v>
      </c>
      <c r="G41" s="57" t="s">
        <v>35</v>
      </c>
      <c r="H41" s="57" t="s">
        <v>20</v>
      </c>
      <c r="I41" s="57" t="str">
        <f t="shared" si="0"/>
        <v>B1-P2-C1</v>
      </c>
      <c r="J41" s="57" t="str">
        <f t="shared" si="1"/>
        <v>Quercus-B1-P2-C1-B4</v>
      </c>
      <c r="K41" s="57" t="s">
        <v>64</v>
      </c>
      <c r="L41" s="57" t="s">
        <v>44</v>
      </c>
      <c r="M41" s="57" t="s">
        <v>65</v>
      </c>
      <c r="N41" s="37">
        <v>40</v>
      </c>
      <c r="O41" s="57">
        <v>3.7</v>
      </c>
      <c r="P41" s="62">
        <v>24.8</v>
      </c>
      <c r="Q41" s="57">
        <v>4.3</v>
      </c>
      <c r="R41" s="57">
        <v>38</v>
      </c>
      <c r="S41" s="57">
        <v>4.58</v>
      </c>
      <c r="T41" s="57">
        <v>41</v>
      </c>
      <c r="U41" s="57">
        <v>4.79</v>
      </c>
      <c r="V41" s="57">
        <v>40</v>
      </c>
      <c r="W41" s="57">
        <v>5.22</v>
      </c>
      <c r="X41" s="57">
        <v>39</v>
      </c>
      <c r="Y41" s="57">
        <v>5.74</v>
      </c>
      <c r="Z41" s="57">
        <v>43</v>
      </c>
      <c r="AA41" s="57">
        <v>6.84</v>
      </c>
      <c r="AB41" s="57">
        <v>47</v>
      </c>
      <c r="AC41" s="57"/>
      <c r="AD41" s="57">
        <v>19</v>
      </c>
    </row>
    <row r="42" spans="1:30" x14ac:dyDescent="0.2">
      <c r="A42" s="60" t="s">
        <v>14</v>
      </c>
      <c r="B42" s="60" t="s">
        <v>62</v>
      </c>
      <c r="C42" s="60" t="s">
        <v>32</v>
      </c>
      <c r="D42" s="60" t="s">
        <v>17</v>
      </c>
      <c r="E42" s="60">
        <v>1</v>
      </c>
      <c r="F42" s="60" t="s">
        <v>73</v>
      </c>
      <c r="G42" s="60" t="s">
        <v>19</v>
      </c>
      <c r="H42" s="60" t="s">
        <v>20</v>
      </c>
      <c r="I42" s="60" t="str">
        <f t="shared" si="0"/>
        <v>B1-P2-C2</v>
      </c>
      <c r="J42" s="60" t="str">
        <f t="shared" si="1"/>
        <v>Fagus-B1-P2-C2-A1</v>
      </c>
      <c r="K42" s="60" t="s">
        <v>64</v>
      </c>
      <c r="L42" s="60" t="s">
        <v>22</v>
      </c>
      <c r="M42" s="60" t="s">
        <v>74</v>
      </c>
      <c r="N42" s="15">
        <v>41</v>
      </c>
      <c r="O42" s="60">
        <v>12</v>
      </c>
      <c r="P42" s="3">
        <v>80.2</v>
      </c>
      <c r="Q42" s="60">
        <v>12.04</v>
      </c>
      <c r="R42" s="60">
        <v>81</v>
      </c>
      <c r="S42" s="3">
        <v>12.8</v>
      </c>
      <c r="T42" s="3">
        <v>81</v>
      </c>
      <c r="U42" s="3">
        <v>13.76</v>
      </c>
      <c r="V42" s="3">
        <v>88</v>
      </c>
      <c r="W42" s="3">
        <v>15.34</v>
      </c>
      <c r="X42" s="3">
        <v>87</v>
      </c>
      <c r="Y42" s="3">
        <v>16.440000000000001</v>
      </c>
      <c r="Z42" s="3">
        <v>87</v>
      </c>
      <c r="AA42" s="3">
        <v>16.22</v>
      </c>
      <c r="AB42" s="3">
        <v>87</v>
      </c>
      <c r="AC42" s="3"/>
      <c r="AD42" s="3">
        <v>88</v>
      </c>
    </row>
    <row r="43" spans="1:30" x14ac:dyDescent="0.2">
      <c r="A43" s="60" t="s">
        <v>14</v>
      </c>
      <c r="B43" s="60" t="s">
        <v>62</v>
      </c>
      <c r="C43" s="60" t="s">
        <v>32</v>
      </c>
      <c r="D43" s="60" t="s">
        <v>24</v>
      </c>
      <c r="E43" s="60">
        <v>1</v>
      </c>
      <c r="F43" s="60" t="s">
        <v>75</v>
      </c>
      <c r="G43" s="60" t="s">
        <v>35</v>
      </c>
      <c r="H43" s="60" t="s">
        <v>20</v>
      </c>
      <c r="I43" s="60" t="str">
        <f t="shared" si="0"/>
        <v>B1-P2-C2</v>
      </c>
      <c r="J43" s="60" t="str">
        <f t="shared" si="1"/>
        <v>Quercus-B1-P2-C2-B1</v>
      </c>
      <c r="K43" s="60" t="s">
        <v>64</v>
      </c>
      <c r="L43" s="60" t="s">
        <v>22</v>
      </c>
      <c r="M43" s="60" t="s">
        <v>74</v>
      </c>
      <c r="N43" s="15">
        <v>42</v>
      </c>
      <c r="O43" s="60">
        <v>6.4</v>
      </c>
      <c r="P43" s="60">
        <v>55.3</v>
      </c>
      <c r="Q43" s="60">
        <v>7.45</v>
      </c>
      <c r="R43" s="60">
        <v>55</v>
      </c>
      <c r="S43" s="3">
        <v>8.09</v>
      </c>
      <c r="T43" s="3">
        <v>57.5</v>
      </c>
      <c r="U43" s="3">
        <v>9.15</v>
      </c>
      <c r="V43" s="3">
        <v>63</v>
      </c>
      <c r="W43" s="3">
        <v>9.41</v>
      </c>
      <c r="X43" s="3">
        <v>61.5</v>
      </c>
      <c r="Y43" s="3">
        <v>10.17</v>
      </c>
      <c r="Z43" s="3">
        <v>62</v>
      </c>
      <c r="AA43" s="3">
        <v>11.9</v>
      </c>
      <c r="AB43" s="3">
        <v>62</v>
      </c>
      <c r="AC43" s="3"/>
      <c r="AD43" s="3">
        <v>62</v>
      </c>
    </row>
    <row r="44" spans="1:30" x14ac:dyDescent="0.2">
      <c r="A44" s="60" t="s">
        <v>14</v>
      </c>
      <c r="B44" s="60" t="s">
        <v>62</v>
      </c>
      <c r="C44" s="60" t="s">
        <v>32</v>
      </c>
      <c r="D44" s="60" t="s">
        <v>17</v>
      </c>
      <c r="E44" s="60">
        <v>2</v>
      </c>
      <c r="F44" s="60" t="s">
        <v>76</v>
      </c>
      <c r="G44" s="60" t="s">
        <v>35</v>
      </c>
      <c r="H44" s="60" t="s">
        <v>20</v>
      </c>
      <c r="I44" s="60" t="str">
        <f t="shared" si="0"/>
        <v>B1-P2-C2</v>
      </c>
      <c r="J44" s="60" t="str">
        <f t="shared" si="1"/>
        <v>Quercus-B1-P2-C2-A2</v>
      </c>
      <c r="K44" s="60" t="s">
        <v>64</v>
      </c>
      <c r="L44" s="60" t="s">
        <v>22</v>
      </c>
      <c r="M44" s="60" t="s">
        <v>74</v>
      </c>
      <c r="N44" s="15">
        <v>43</v>
      </c>
      <c r="O44" s="60">
        <v>6.4</v>
      </c>
      <c r="P44" s="60">
        <v>51.3</v>
      </c>
      <c r="Q44" s="60">
        <v>7.71</v>
      </c>
      <c r="R44" s="60">
        <v>62</v>
      </c>
      <c r="S44" s="3">
        <v>8.51</v>
      </c>
      <c r="T44" s="3">
        <v>63.5</v>
      </c>
      <c r="U44" s="3">
        <v>9.2100000000000009</v>
      </c>
      <c r="V44" s="3">
        <v>77.5</v>
      </c>
      <c r="W44" s="3">
        <v>10.45</v>
      </c>
      <c r="X44" s="3">
        <v>74.5</v>
      </c>
      <c r="Y44" s="3">
        <v>10.69</v>
      </c>
      <c r="Z44" s="3">
        <v>77</v>
      </c>
      <c r="AA44" s="3">
        <v>11.98</v>
      </c>
      <c r="AB44" s="3">
        <v>84</v>
      </c>
      <c r="AC44" s="3"/>
      <c r="AD44" s="3">
        <v>84</v>
      </c>
    </row>
    <row r="45" spans="1:30" x14ac:dyDescent="0.2">
      <c r="A45" s="60" t="s">
        <v>14</v>
      </c>
      <c r="B45" s="60" t="s">
        <v>62</v>
      </c>
      <c r="C45" s="60" t="s">
        <v>32</v>
      </c>
      <c r="D45" s="60" t="s">
        <v>24</v>
      </c>
      <c r="E45" s="60">
        <v>2</v>
      </c>
      <c r="F45" s="60" t="s">
        <v>77</v>
      </c>
      <c r="G45" s="60" t="s">
        <v>19</v>
      </c>
      <c r="H45" s="60" t="s">
        <v>20</v>
      </c>
      <c r="I45" s="60" t="str">
        <f t="shared" si="0"/>
        <v>B1-P2-C2</v>
      </c>
      <c r="J45" s="60" t="str">
        <f t="shared" si="1"/>
        <v>Fagus-B1-P2-C2-B2</v>
      </c>
      <c r="K45" s="60" t="s">
        <v>64</v>
      </c>
      <c r="L45" s="60" t="s">
        <v>22</v>
      </c>
      <c r="M45" s="60" t="s">
        <v>74</v>
      </c>
      <c r="N45" s="15">
        <v>44</v>
      </c>
      <c r="O45" s="60">
        <v>10.7</v>
      </c>
      <c r="P45" s="60">
        <v>83.2</v>
      </c>
      <c r="Q45" s="60">
        <v>10.83</v>
      </c>
      <c r="R45" s="60">
        <v>100</v>
      </c>
      <c r="S45" s="3">
        <v>12.22</v>
      </c>
      <c r="T45" s="3">
        <v>100</v>
      </c>
      <c r="U45" s="3">
        <v>13.2</v>
      </c>
      <c r="V45" s="3">
        <v>120</v>
      </c>
      <c r="W45" s="3">
        <v>13.9</v>
      </c>
      <c r="X45" s="3">
        <v>120.5</v>
      </c>
      <c r="Y45" s="3">
        <v>13.95</v>
      </c>
      <c r="Z45" s="3">
        <v>120</v>
      </c>
      <c r="AA45" s="3">
        <v>14.7</v>
      </c>
      <c r="AB45" s="3">
        <v>120</v>
      </c>
      <c r="AC45" s="3"/>
      <c r="AD45" s="3">
        <v>120</v>
      </c>
    </row>
    <row r="46" spans="1:30" x14ac:dyDescent="0.2">
      <c r="A46" s="60" t="s">
        <v>14</v>
      </c>
      <c r="B46" s="60" t="s">
        <v>62</v>
      </c>
      <c r="C46" s="60" t="s">
        <v>32</v>
      </c>
      <c r="D46" s="60" t="s">
        <v>17</v>
      </c>
      <c r="E46" s="60">
        <v>3</v>
      </c>
      <c r="F46" s="60" t="s">
        <v>78</v>
      </c>
      <c r="G46" s="60" t="s">
        <v>19</v>
      </c>
      <c r="H46" s="60" t="s">
        <v>20</v>
      </c>
      <c r="I46" s="60" t="str">
        <f t="shared" si="0"/>
        <v>B1-P2-C2</v>
      </c>
      <c r="J46" s="60" t="str">
        <f t="shared" si="1"/>
        <v>Fagus-B1-P2-C2-A3</v>
      </c>
      <c r="K46" s="60" t="s">
        <v>64</v>
      </c>
      <c r="L46" s="60" t="s">
        <v>22</v>
      </c>
      <c r="M46" s="60" t="s">
        <v>74</v>
      </c>
      <c r="N46" s="15">
        <v>45</v>
      </c>
      <c r="O46" s="60">
        <v>8.5</v>
      </c>
      <c r="P46" s="60">
        <v>52.2</v>
      </c>
      <c r="Q46" s="60">
        <v>8.5</v>
      </c>
      <c r="R46" s="60">
        <v>65.5</v>
      </c>
      <c r="S46" s="3">
        <v>9.2799999999999994</v>
      </c>
      <c r="T46" s="3">
        <v>78</v>
      </c>
      <c r="U46" s="3">
        <v>10.4</v>
      </c>
      <c r="V46" s="3">
        <v>89.5</v>
      </c>
      <c r="W46" s="3">
        <v>10.67</v>
      </c>
      <c r="X46" s="3">
        <v>92.5</v>
      </c>
      <c r="Y46" s="3">
        <v>10.63</v>
      </c>
      <c r="Z46" s="3">
        <v>91</v>
      </c>
      <c r="AA46" s="3">
        <v>10.96</v>
      </c>
      <c r="AB46" s="3">
        <v>92</v>
      </c>
      <c r="AC46" s="3"/>
      <c r="AD46" s="3">
        <v>92</v>
      </c>
    </row>
    <row r="47" spans="1:30" x14ac:dyDescent="0.2">
      <c r="A47" s="60" t="s">
        <v>14</v>
      </c>
      <c r="B47" s="60" t="s">
        <v>62</v>
      </c>
      <c r="C47" s="60" t="s">
        <v>32</v>
      </c>
      <c r="D47" s="60" t="s">
        <v>24</v>
      </c>
      <c r="E47" s="60">
        <v>3</v>
      </c>
      <c r="F47" s="60" t="s">
        <v>79</v>
      </c>
      <c r="G47" s="60" t="s">
        <v>35</v>
      </c>
      <c r="H47" s="60" t="s">
        <v>20</v>
      </c>
      <c r="I47" s="60" t="str">
        <f t="shared" si="0"/>
        <v>B1-P2-C2</v>
      </c>
      <c r="J47" s="60" t="str">
        <f t="shared" si="1"/>
        <v>Quercus-B1-P2-C2-B3</v>
      </c>
      <c r="K47" s="60" t="s">
        <v>64</v>
      </c>
      <c r="L47" s="60" t="s">
        <v>22</v>
      </c>
      <c r="M47" s="60" t="s">
        <v>74</v>
      </c>
      <c r="N47" s="15">
        <v>46</v>
      </c>
      <c r="O47" s="60">
        <v>5.0999999999999996</v>
      </c>
      <c r="P47" s="60">
        <v>44</v>
      </c>
      <c r="Q47" s="60">
        <v>7.14</v>
      </c>
      <c r="R47" s="60">
        <v>56.5</v>
      </c>
      <c r="S47" s="3">
        <v>7.59</v>
      </c>
      <c r="T47" s="3">
        <v>61.5</v>
      </c>
      <c r="U47" s="3">
        <v>7.81</v>
      </c>
      <c r="V47" s="3">
        <v>67</v>
      </c>
      <c r="W47" s="3">
        <v>8.2899999999999991</v>
      </c>
      <c r="X47" s="3">
        <v>67.5</v>
      </c>
      <c r="Y47" s="3">
        <v>8.44</v>
      </c>
      <c r="Z47" s="3">
        <v>66</v>
      </c>
      <c r="AA47" s="3">
        <v>9.4499999999999993</v>
      </c>
      <c r="AB47" s="3">
        <v>67</v>
      </c>
      <c r="AC47" s="3"/>
      <c r="AD47" s="3">
        <v>66</v>
      </c>
    </row>
    <row r="48" spans="1:30" x14ac:dyDescent="0.2">
      <c r="A48" s="60" t="s">
        <v>14</v>
      </c>
      <c r="B48" s="60" t="s">
        <v>62</v>
      </c>
      <c r="C48" s="60" t="s">
        <v>32</v>
      </c>
      <c r="D48" s="60" t="s">
        <v>17</v>
      </c>
      <c r="E48" s="60">
        <v>4</v>
      </c>
      <c r="F48" s="60" t="s">
        <v>80</v>
      </c>
      <c r="G48" s="60" t="s">
        <v>35</v>
      </c>
      <c r="H48" s="60" t="s">
        <v>20</v>
      </c>
      <c r="I48" s="60" t="str">
        <f t="shared" si="0"/>
        <v>B1-P2-C2</v>
      </c>
      <c r="J48" s="60" t="str">
        <f t="shared" si="1"/>
        <v>Quercus-B1-P2-C2-A4</v>
      </c>
      <c r="K48" s="60" t="s">
        <v>64</v>
      </c>
      <c r="L48" s="60" t="s">
        <v>22</v>
      </c>
      <c r="M48" s="60" t="s">
        <v>74</v>
      </c>
      <c r="N48" s="15">
        <v>47</v>
      </c>
      <c r="O48" s="60">
        <v>5.3</v>
      </c>
      <c r="P48" s="60">
        <v>38.700000000000003</v>
      </c>
      <c r="Q48" s="60">
        <v>6.33</v>
      </c>
      <c r="R48" s="60">
        <v>56</v>
      </c>
      <c r="S48" s="3">
        <v>8.51</v>
      </c>
      <c r="T48" s="3">
        <v>60</v>
      </c>
      <c r="U48" s="3">
        <v>9.4700000000000006</v>
      </c>
      <c r="V48" s="3">
        <v>67</v>
      </c>
      <c r="W48" s="3">
        <v>9.3000000000000007</v>
      </c>
      <c r="X48" s="3">
        <v>67</v>
      </c>
      <c r="Y48" s="3">
        <v>9.91</v>
      </c>
      <c r="Z48" s="3">
        <v>69.5</v>
      </c>
      <c r="AA48" s="3">
        <v>11.94</v>
      </c>
      <c r="AB48" s="3">
        <v>70</v>
      </c>
      <c r="AC48" s="3"/>
      <c r="AD48" s="3">
        <v>69</v>
      </c>
    </row>
    <row r="49" spans="1:30" x14ac:dyDescent="0.2">
      <c r="A49" s="60" t="s">
        <v>14</v>
      </c>
      <c r="B49" s="60" t="s">
        <v>62</v>
      </c>
      <c r="C49" s="60" t="s">
        <v>32</v>
      </c>
      <c r="D49" s="60" t="s">
        <v>24</v>
      </c>
      <c r="E49" s="60">
        <v>4</v>
      </c>
      <c r="F49" s="60" t="s">
        <v>81</v>
      </c>
      <c r="G49" s="60" t="s">
        <v>19</v>
      </c>
      <c r="H49" s="60" t="s">
        <v>20</v>
      </c>
      <c r="I49" s="60" t="str">
        <f t="shared" si="0"/>
        <v>B1-P2-C2</v>
      </c>
      <c r="J49" s="60" t="str">
        <f t="shared" si="1"/>
        <v>Fagus-B1-P2-C2-B4</v>
      </c>
      <c r="K49" s="60" t="s">
        <v>64</v>
      </c>
      <c r="L49" s="60" t="s">
        <v>22</v>
      </c>
      <c r="M49" s="60" t="s">
        <v>74</v>
      </c>
      <c r="N49" s="15">
        <v>48</v>
      </c>
      <c r="O49" s="60">
        <v>11</v>
      </c>
      <c r="P49" s="60">
        <v>103.2</v>
      </c>
      <c r="Q49" s="60">
        <v>11</v>
      </c>
      <c r="R49" s="60">
        <v>126.5</v>
      </c>
      <c r="S49" s="3">
        <v>12.9</v>
      </c>
      <c r="T49" s="3">
        <v>128</v>
      </c>
      <c r="U49" s="3">
        <v>14.35</v>
      </c>
      <c r="V49" s="3">
        <v>128</v>
      </c>
      <c r="W49" s="3">
        <v>15.65</v>
      </c>
      <c r="X49" s="3">
        <v>127</v>
      </c>
      <c r="Y49" s="3">
        <v>15.71</v>
      </c>
      <c r="Z49" s="3">
        <v>127</v>
      </c>
      <c r="AA49" s="3">
        <v>15.84</v>
      </c>
      <c r="AB49" s="3">
        <v>126.5</v>
      </c>
      <c r="AC49" s="3"/>
      <c r="AD49" s="3">
        <v>127</v>
      </c>
    </row>
    <row r="50" spans="1:30" s="38" customFormat="1" x14ac:dyDescent="0.2">
      <c r="A50" s="57" t="s">
        <v>14</v>
      </c>
      <c r="B50" s="57" t="s">
        <v>62</v>
      </c>
      <c r="C50" s="57" t="s">
        <v>42</v>
      </c>
      <c r="D50" s="57" t="s">
        <v>17</v>
      </c>
      <c r="E50" s="57">
        <v>1</v>
      </c>
      <c r="F50" s="57" t="s">
        <v>82</v>
      </c>
      <c r="G50" s="57" t="s">
        <v>19</v>
      </c>
      <c r="H50" s="57" t="s">
        <v>20</v>
      </c>
      <c r="I50" s="57" t="str">
        <f t="shared" si="0"/>
        <v>B1-P2-C3</v>
      </c>
      <c r="J50" s="57" t="str">
        <f t="shared" si="1"/>
        <v>Fagus-B1-P2-C3-A1</v>
      </c>
      <c r="K50" s="57" t="s">
        <v>21</v>
      </c>
      <c r="L50" s="57" t="s">
        <v>44</v>
      </c>
      <c r="M50" s="57" t="s">
        <v>45</v>
      </c>
      <c r="N50" s="37">
        <v>49</v>
      </c>
      <c r="O50" s="57">
        <v>9.4</v>
      </c>
      <c r="P50" s="57">
        <v>85</v>
      </c>
      <c r="Q50" s="57">
        <v>9.6300000000000008</v>
      </c>
      <c r="R50" s="57">
        <v>87.5</v>
      </c>
      <c r="S50" s="57">
        <v>11.2</v>
      </c>
      <c r="T50" s="57">
        <v>88</v>
      </c>
      <c r="U50" s="57">
        <v>11.46</v>
      </c>
      <c r="V50" s="57">
        <v>87</v>
      </c>
      <c r="W50" s="57">
        <v>11.44</v>
      </c>
      <c r="X50" s="57">
        <v>86.5</v>
      </c>
      <c r="Y50" s="57">
        <v>11.41</v>
      </c>
      <c r="Z50" s="57">
        <v>87</v>
      </c>
      <c r="AA50" s="57">
        <v>12.04</v>
      </c>
      <c r="AB50" s="57">
        <v>87</v>
      </c>
      <c r="AC50" s="57"/>
      <c r="AD50" s="57">
        <v>87</v>
      </c>
    </row>
    <row r="51" spans="1:30" s="38" customFormat="1" x14ac:dyDescent="0.2">
      <c r="A51" s="57" t="s">
        <v>14</v>
      </c>
      <c r="B51" s="57" t="s">
        <v>62</v>
      </c>
      <c r="C51" s="57" t="s">
        <v>42</v>
      </c>
      <c r="D51" s="57" t="s">
        <v>24</v>
      </c>
      <c r="E51" s="57">
        <v>1</v>
      </c>
      <c r="F51" s="57" t="s">
        <v>83</v>
      </c>
      <c r="G51" s="57" t="s">
        <v>19</v>
      </c>
      <c r="H51" s="57" t="s">
        <v>20</v>
      </c>
      <c r="I51" s="57" t="str">
        <f t="shared" si="0"/>
        <v>B1-P2-C3</v>
      </c>
      <c r="J51" s="57" t="str">
        <f t="shared" si="1"/>
        <v>Fagus-B1-P2-C3-B1</v>
      </c>
      <c r="K51" s="57" t="s">
        <v>21</v>
      </c>
      <c r="L51" s="57" t="s">
        <v>44</v>
      </c>
      <c r="M51" s="57" t="s">
        <v>45</v>
      </c>
      <c r="N51" s="37">
        <v>50</v>
      </c>
      <c r="O51" s="57">
        <v>11.8</v>
      </c>
      <c r="P51" s="57">
        <v>73.2</v>
      </c>
      <c r="Q51" s="57">
        <v>11.8</v>
      </c>
      <c r="R51" s="57">
        <v>73</v>
      </c>
      <c r="S51" s="57">
        <v>12.36</v>
      </c>
      <c r="T51" s="57">
        <v>73</v>
      </c>
      <c r="U51" s="57">
        <v>12.3</v>
      </c>
      <c r="V51" s="57">
        <v>72.5</v>
      </c>
      <c r="W51" s="57">
        <v>12.39</v>
      </c>
      <c r="X51" s="57">
        <v>71</v>
      </c>
      <c r="Y51" s="57">
        <v>12.32</v>
      </c>
      <c r="Z51" s="57">
        <v>71.5</v>
      </c>
      <c r="AA51" s="57">
        <v>13.21</v>
      </c>
      <c r="AB51" s="57">
        <v>72</v>
      </c>
      <c r="AC51" s="57"/>
      <c r="AD51" s="57">
        <v>72</v>
      </c>
    </row>
    <row r="52" spans="1:30" s="38" customFormat="1" x14ac:dyDescent="0.2">
      <c r="A52" s="57" t="s">
        <v>14</v>
      </c>
      <c r="B52" s="57" t="s">
        <v>62</v>
      </c>
      <c r="C52" s="57" t="s">
        <v>42</v>
      </c>
      <c r="D52" s="57" t="s">
        <v>17</v>
      </c>
      <c r="E52" s="57">
        <v>2</v>
      </c>
      <c r="F52" s="57" t="s">
        <v>84</v>
      </c>
      <c r="G52" s="57" t="s">
        <v>19</v>
      </c>
      <c r="H52" s="57" t="s">
        <v>20</v>
      </c>
      <c r="I52" s="57" t="str">
        <f t="shared" si="0"/>
        <v>B1-P2-C3</v>
      </c>
      <c r="J52" s="57" t="str">
        <f t="shared" si="1"/>
        <v>Fagus-B1-P2-C3-A2</v>
      </c>
      <c r="K52" s="57" t="s">
        <v>21</v>
      </c>
      <c r="L52" s="57" t="s">
        <v>44</v>
      </c>
      <c r="M52" s="57" t="s">
        <v>45</v>
      </c>
      <c r="N52" s="37">
        <v>51</v>
      </c>
      <c r="O52" s="57">
        <v>9.8000000000000007</v>
      </c>
      <c r="P52" s="57">
        <v>69.099999999999994</v>
      </c>
      <c r="Q52" s="57">
        <v>10.39</v>
      </c>
      <c r="R52" s="57">
        <v>80</v>
      </c>
      <c r="S52" s="57">
        <v>11.02</v>
      </c>
      <c r="T52" s="57">
        <v>80</v>
      </c>
      <c r="U52" s="57">
        <v>11.24</v>
      </c>
      <c r="V52" s="57">
        <v>81</v>
      </c>
      <c r="W52" s="57">
        <v>11.18</v>
      </c>
      <c r="X52" s="57">
        <v>80</v>
      </c>
      <c r="Y52" s="57">
        <v>11.6</v>
      </c>
      <c r="Z52" s="57">
        <v>79</v>
      </c>
      <c r="AA52" s="57">
        <v>11.31</v>
      </c>
      <c r="AB52" s="57">
        <v>79</v>
      </c>
      <c r="AC52" s="57"/>
      <c r="AD52" s="57">
        <v>79</v>
      </c>
    </row>
    <row r="53" spans="1:30" s="38" customFormat="1" x14ac:dyDescent="0.2">
      <c r="A53" s="57" t="s">
        <v>14</v>
      </c>
      <c r="B53" s="57" t="s">
        <v>62</v>
      </c>
      <c r="C53" s="57" t="s">
        <v>42</v>
      </c>
      <c r="D53" s="57" t="s">
        <v>24</v>
      </c>
      <c r="E53" s="57">
        <v>2</v>
      </c>
      <c r="F53" s="57" t="s">
        <v>85</v>
      </c>
      <c r="G53" s="57" t="s">
        <v>19</v>
      </c>
      <c r="H53" s="57" t="s">
        <v>20</v>
      </c>
      <c r="I53" s="57" t="str">
        <f t="shared" si="0"/>
        <v>B1-P2-C3</v>
      </c>
      <c r="J53" s="57" t="str">
        <f t="shared" si="1"/>
        <v>Fagus-B1-P2-C3-B2</v>
      </c>
      <c r="K53" s="57" t="s">
        <v>21</v>
      </c>
      <c r="L53" s="57" t="s">
        <v>44</v>
      </c>
      <c r="M53" s="57" t="s">
        <v>45</v>
      </c>
      <c r="N53" s="37">
        <v>52</v>
      </c>
      <c r="O53" s="57">
        <v>9.6</v>
      </c>
      <c r="P53" s="57">
        <v>87.7</v>
      </c>
      <c r="Q53" s="57">
        <v>9.5</v>
      </c>
      <c r="R53" s="57">
        <v>90.5</v>
      </c>
      <c r="S53" s="57">
        <v>10.42</v>
      </c>
      <c r="T53" s="57">
        <v>90.5</v>
      </c>
      <c r="U53" s="57">
        <v>10.55</v>
      </c>
      <c r="V53" s="57">
        <v>90</v>
      </c>
      <c r="W53" s="57">
        <v>10.63</v>
      </c>
      <c r="X53" s="57">
        <v>90</v>
      </c>
      <c r="Y53" s="57">
        <v>10.59</v>
      </c>
      <c r="Z53" s="57">
        <v>89.5</v>
      </c>
      <c r="AA53" s="57">
        <v>10.94</v>
      </c>
      <c r="AB53" s="57">
        <v>90</v>
      </c>
      <c r="AC53" s="57"/>
      <c r="AD53" s="57">
        <v>89</v>
      </c>
    </row>
    <row r="54" spans="1:30" s="38" customFormat="1" x14ac:dyDescent="0.2">
      <c r="A54" s="57" t="s">
        <v>14</v>
      </c>
      <c r="B54" s="57" t="s">
        <v>62</v>
      </c>
      <c r="C54" s="57" t="s">
        <v>42</v>
      </c>
      <c r="D54" s="57" t="s">
        <v>17</v>
      </c>
      <c r="E54" s="57">
        <v>3</v>
      </c>
      <c r="F54" s="57" t="s">
        <v>86</v>
      </c>
      <c r="G54" s="57" t="s">
        <v>19</v>
      </c>
      <c r="H54" s="57" t="s">
        <v>20</v>
      </c>
      <c r="I54" s="57" t="str">
        <f t="shared" si="0"/>
        <v>B1-P2-C3</v>
      </c>
      <c r="J54" s="57" t="str">
        <f t="shared" si="1"/>
        <v>Fagus-B1-P2-C3-A3</v>
      </c>
      <c r="K54" s="57" t="s">
        <v>21</v>
      </c>
      <c r="L54" s="57" t="s">
        <v>44</v>
      </c>
      <c r="M54" s="57" t="s">
        <v>45</v>
      </c>
      <c r="N54" s="37">
        <v>53</v>
      </c>
      <c r="O54" s="57">
        <v>13.2</v>
      </c>
      <c r="P54" s="57">
        <v>89.8</v>
      </c>
      <c r="Q54" s="57">
        <v>13.31</v>
      </c>
      <c r="R54" s="57">
        <v>126.5</v>
      </c>
      <c r="S54" s="57">
        <v>14</v>
      </c>
      <c r="T54" s="57">
        <v>127</v>
      </c>
      <c r="U54" s="57">
        <v>14.01</v>
      </c>
      <c r="V54" s="57">
        <v>127</v>
      </c>
      <c r="W54" s="57">
        <v>14.1</v>
      </c>
      <c r="X54" s="57">
        <v>127</v>
      </c>
      <c r="Y54" s="57">
        <v>14.38</v>
      </c>
      <c r="Z54" s="57">
        <v>125</v>
      </c>
      <c r="AA54" s="57">
        <v>14.48</v>
      </c>
      <c r="AB54" s="57">
        <v>127</v>
      </c>
      <c r="AC54" s="57"/>
      <c r="AD54" s="57">
        <v>127</v>
      </c>
    </row>
    <row r="55" spans="1:30" s="38" customFormat="1" x14ac:dyDescent="0.2">
      <c r="A55" s="57" t="s">
        <v>14</v>
      </c>
      <c r="B55" s="57" t="s">
        <v>62</v>
      </c>
      <c r="C55" s="57" t="s">
        <v>42</v>
      </c>
      <c r="D55" s="57" t="s">
        <v>24</v>
      </c>
      <c r="E55" s="57">
        <v>3</v>
      </c>
      <c r="F55" s="57" t="s">
        <v>87</v>
      </c>
      <c r="G55" s="57" t="s">
        <v>19</v>
      </c>
      <c r="H55" s="57" t="s">
        <v>20</v>
      </c>
      <c r="I55" s="57" t="str">
        <f t="shared" si="0"/>
        <v>B1-P2-C3</v>
      </c>
      <c r="J55" s="57" t="str">
        <f t="shared" si="1"/>
        <v>Fagus-B1-P2-C3-B3</v>
      </c>
      <c r="K55" s="57" t="s">
        <v>21</v>
      </c>
      <c r="L55" s="57" t="s">
        <v>44</v>
      </c>
      <c r="M55" s="57" t="s">
        <v>45</v>
      </c>
      <c r="N55" s="37">
        <v>54</v>
      </c>
      <c r="O55" s="57">
        <v>10</v>
      </c>
      <c r="P55" s="57">
        <v>90</v>
      </c>
      <c r="Q55" s="57">
        <v>10.130000000000001</v>
      </c>
      <c r="R55" s="57">
        <v>101.5</v>
      </c>
      <c r="S55" s="57">
        <v>10.99</v>
      </c>
      <c r="T55" s="57">
        <v>107.5</v>
      </c>
      <c r="U55" s="57">
        <v>10.87</v>
      </c>
      <c r="V55" s="57">
        <v>108</v>
      </c>
      <c r="W55" s="57">
        <v>10.87</v>
      </c>
      <c r="X55" s="57">
        <v>108</v>
      </c>
      <c r="Y55" s="57">
        <v>11.02</v>
      </c>
      <c r="Z55" s="57">
        <v>106</v>
      </c>
      <c r="AA55" s="57">
        <v>11.19</v>
      </c>
      <c r="AB55" s="57">
        <v>107</v>
      </c>
      <c r="AC55" s="57"/>
      <c r="AD55" s="57">
        <v>106</v>
      </c>
    </row>
    <row r="56" spans="1:30" s="38" customFormat="1" x14ac:dyDescent="0.2">
      <c r="A56" s="57" t="s">
        <v>14</v>
      </c>
      <c r="B56" s="57" t="s">
        <v>62</v>
      </c>
      <c r="C56" s="57" t="s">
        <v>42</v>
      </c>
      <c r="D56" s="57" t="s">
        <v>17</v>
      </c>
      <c r="E56" s="57">
        <v>4</v>
      </c>
      <c r="F56" s="57" t="s">
        <v>88</v>
      </c>
      <c r="G56" s="57" t="s">
        <v>19</v>
      </c>
      <c r="H56" s="57" t="s">
        <v>20</v>
      </c>
      <c r="I56" s="57" t="str">
        <f t="shared" si="0"/>
        <v>B1-P2-C3</v>
      </c>
      <c r="J56" s="57" t="str">
        <f t="shared" si="1"/>
        <v>Fagus-B1-P2-C3-A4</v>
      </c>
      <c r="K56" s="57" t="s">
        <v>21</v>
      </c>
      <c r="L56" s="57" t="s">
        <v>44</v>
      </c>
      <c r="M56" s="57" t="s">
        <v>45</v>
      </c>
      <c r="N56" s="37">
        <v>55</v>
      </c>
      <c r="O56" s="57">
        <v>8.6</v>
      </c>
      <c r="P56" s="57">
        <v>76.5</v>
      </c>
      <c r="Q56" s="57">
        <v>9.77</v>
      </c>
      <c r="R56" s="57">
        <v>85</v>
      </c>
      <c r="S56" s="57">
        <v>9.8000000000000007</v>
      </c>
      <c r="T56" s="57">
        <v>86.5</v>
      </c>
      <c r="U56" s="57">
        <v>9.76</v>
      </c>
      <c r="V56" s="57">
        <v>85</v>
      </c>
      <c r="W56" s="57">
        <v>9.9</v>
      </c>
      <c r="X56" s="57">
        <v>85</v>
      </c>
      <c r="Y56" s="57">
        <v>9.49</v>
      </c>
      <c r="Z56" s="57">
        <v>84</v>
      </c>
      <c r="AA56" s="57">
        <v>11.16</v>
      </c>
      <c r="AB56" s="57">
        <v>85</v>
      </c>
      <c r="AC56" s="57"/>
      <c r="AD56" s="57">
        <v>85</v>
      </c>
    </row>
    <row r="57" spans="1:30" s="38" customFormat="1" x14ac:dyDescent="0.2">
      <c r="A57" s="57" t="s">
        <v>14</v>
      </c>
      <c r="B57" s="57" t="s">
        <v>62</v>
      </c>
      <c r="C57" s="57" t="s">
        <v>42</v>
      </c>
      <c r="D57" s="57" t="s">
        <v>24</v>
      </c>
      <c r="E57" s="57">
        <v>4</v>
      </c>
      <c r="F57" s="57" t="s">
        <v>89</v>
      </c>
      <c r="G57" s="57" t="s">
        <v>19</v>
      </c>
      <c r="H57" s="57" t="s">
        <v>20</v>
      </c>
      <c r="I57" s="57" t="str">
        <f t="shared" si="0"/>
        <v>B1-P2-C3</v>
      </c>
      <c r="J57" s="57" t="str">
        <f t="shared" si="1"/>
        <v>Fagus-B1-P2-C3-B4</v>
      </c>
      <c r="K57" s="57" t="s">
        <v>21</v>
      </c>
      <c r="L57" s="57" t="s">
        <v>44</v>
      </c>
      <c r="M57" s="57" t="s">
        <v>45</v>
      </c>
      <c r="N57" s="37">
        <v>56</v>
      </c>
      <c r="O57" s="57">
        <v>8.6</v>
      </c>
      <c r="P57" s="57">
        <v>60.5</v>
      </c>
      <c r="Q57" s="57">
        <v>9.01</v>
      </c>
      <c r="R57" s="57">
        <v>67</v>
      </c>
      <c r="S57" s="57">
        <v>10.15</v>
      </c>
      <c r="T57" s="57">
        <v>67.5</v>
      </c>
      <c r="U57" s="57">
        <v>10.31</v>
      </c>
      <c r="V57" s="57">
        <v>63</v>
      </c>
      <c r="W57" s="57">
        <v>10.39</v>
      </c>
      <c r="X57" s="57">
        <v>63</v>
      </c>
      <c r="Y57" s="57">
        <v>10.17</v>
      </c>
      <c r="Z57" s="57">
        <v>66</v>
      </c>
      <c r="AA57" s="57">
        <v>10.44</v>
      </c>
      <c r="AB57" s="57">
        <v>65</v>
      </c>
      <c r="AC57" s="57"/>
      <c r="AD57" s="57">
        <v>64</v>
      </c>
    </row>
    <row r="58" spans="1:30" x14ac:dyDescent="0.2">
      <c r="A58" s="60" t="s">
        <v>14</v>
      </c>
      <c r="B58" s="60" t="s">
        <v>62</v>
      </c>
      <c r="C58" s="60" t="s">
        <v>53</v>
      </c>
      <c r="D58" s="60" t="s">
        <v>17</v>
      </c>
      <c r="E58" s="60">
        <v>1</v>
      </c>
      <c r="F58" s="60" t="s">
        <v>90</v>
      </c>
      <c r="G58" s="60" t="s">
        <v>35</v>
      </c>
      <c r="H58" s="60" t="s">
        <v>20</v>
      </c>
      <c r="I58" s="60" t="str">
        <f t="shared" si="0"/>
        <v>B1-P2-C4</v>
      </c>
      <c r="J58" s="60" t="str">
        <f t="shared" si="1"/>
        <v>Quercus-B1-P2-C4-A1</v>
      </c>
      <c r="K58" s="60" t="s">
        <v>21</v>
      </c>
      <c r="L58" s="60" t="s">
        <v>22</v>
      </c>
      <c r="M58" s="60" t="s">
        <v>23</v>
      </c>
      <c r="N58" s="15">
        <v>57</v>
      </c>
      <c r="O58" s="60">
        <v>5.3</v>
      </c>
      <c r="P58" s="60">
        <v>41.4</v>
      </c>
      <c r="Q58" s="60">
        <v>5.36</v>
      </c>
      <c r="R58" s="60">
        <v>43</v>
      </c>
      <c r="S58" s="3">
        <v>6.16</v>
      </c>
      <c r="T58" s="3">
        <v>50</v>
      </c>
      <c r="U58" s="3">
        <v>6.93</v>
      </c>
      <c r="V58" s="3">
        <v>67</v>
      </c>
      <c r="W58" s="3">
        <v>7.85</v>
      </c>
      <c r="X58" s="3">
        <v>69</v>
      </c>
      <c r="Y58" s="3">
        <v>9.2100000000000009</v>
      </c>
      <c r="Z58" s="3">
        <v>75</v>
      </c>
      <c r="AA58" s="3">
        <v>10.85</v>
      </c>
      <c r="AB58" s="3">
        <v>82</v>
      </c>
      <c r="AC58" s="3"/>
      <c r="AD58" s="3">
        <v>82</v>
      </c>
    </row>
    <row r="59" spans="1:30" x14ac:dyDescent="0.2">
      <c r="A59" s="60" t="s">
        <v>14</v>
      </c>
      <c r="B59" s="60" t="s">
        <v>62</v>
      </c>
      <c r="C59" s="61" t="s">
        <v>53</v>
      </c>
      <c r="D59" s="60" t="s">
        <v>24</v>
      </c>
      <c r="E59" s="60">
        <v>1</v>
      </c>
      <c r="F59" s="60" t="s">
        <v>91</v>
      </c>
      <c r="G59" s="60" t="s">
        <v>35</v>
      </c>
      <c r="H59" s="60" t="s">
        <v>20</v>
      </c>
      <c r="I59" s="60" t="str">
        <f t="shared" si="0"/>
        <v>B1-P2-C4</v>
      </c>
      <c r="J59" s="60" t="str">
        <f t="shared" si="1"/>
        <v>Quercus-B1-P2-C4-B1</v>
      </c>
      <c r="K59" s="60" t="s">
        <v>21</v>
      </c>
      <c r="L59" s="60" t="s">
        <v>22</v>
      </c>
      <c r="M59" s="60" t="s">
        <v>23</v>
      </c>
      <c r="N59" s="15">
        <v>58</v>
      </c>
      <c r="O59" s="60">
        <v>5.0999999999999996</v>
      </c>
      <c r="P59" s="60">
        <v>44.2</v>
      </c>
      <c r="Q59" s="60">
        <v>6.06</v>
      </c>
      <c r="R59" s="60">
        <v>46</v>
      </c>
      <c r="S59" s="3">
        <v>6.9</v>
      </c>
      <c r="T59" s="3">
        <v>53</v>
      </c>
      <c r="U59" s="3">
        <v>8.35</v>
      </c>
      <c r="V59" s="3">
        <v>67.5</v>
      </c>
      <c r="W59" s="3">
        <v>9.2100000000000009</v>
      </c>
      <c r="X59" s="3">
        <v>67</v>
      </c>
      <c r="Y59" s="3">
        <v>10.220000000000001</v>
      </c>
      <c r="Z59" s="3">
        <v>68.5</v>
      </c>
      <c r="AA59" s="3">
        <v>11.96</v>
      </c>
      <c r="AB59" s="3">
        <v>82</v>
      </c>
      <c r="AC59" s="3"/>
      <c r="AD59" s="3">
        <v>82</v>
      </c>
    </row>
    <row r="60" spans="1:30" x14ac:dyDescent="0.2">
      <c r="A60" s="60" t="s">
        <v>14</v>
      </c>
      <c r="B60" s="60" t="s">
        <v>62</v>
      </c>
      <c r="C60" s="61" t="s">
        <v>53</v>
      </c>
      <c r="D60" s="60" t="s">
        <v>17</v>
      </c>
      <c r="E60" s="60">
        <v>2</v>
      </c>
      <c r="F60" s="60" t="s">
        <v>92</v>
      </c>
      <c r="G60" s="60" t="s">
        <v>35</v>
      </c>
      <c r="H60" s="60" t="s">
        <v>20</v>
      </c>
      <c r="I60" s="60" t="str">
        <f t="shared" si="0"/>
        <v>B1-P2-C4</v>
      </c>
      <c r="J60" s="60" t="str">
        <f t="shared" si="1"/>
        <v>Quercus-B1-P2-C4-A2</v>
      </c>
      <c r="K60" s="60" t="s">
        <v>21</v>
      </c>
      <c r="L60" s="60" t="s">
        <v>22</v>
      </c>
      <c r="M60" s="60" t="s">
        <v>23</v>
      </c>
      <c r="N60" s="15">
        <v>59</v>
      </c>
      <c r="O60" s="60">
        <v>6</v>
      </c>
      <c r="P60" s="60">
        <v>48.2</v>
      </c>
      <c r="Q60" s="60">
        <v>7.13</v>
      </c>
      <c r="R60" s="60">
        <v>61</v>
      </c>
      <c r="S60" s="3">
        <v>7.71</v>
      </c>
      <c r="T60" s="3">
        <v>61.5</v>
      </c>
      <c r="U60" s="3">
        <v>8.51</v>
      </c>
      <c r="V60" s="3">
        <v>80.5</v>
      </c>
      <c r="W60" s="3">
        <v>10.15</v>
      </c>
      <c r="X60" s="3">
        <v>81.5</v>
      </c>
      <c r="Y60" s="3">
        <v>11.6</v>
      </c>
      <c r="Z60" s="3">
        <v>80</v>
      </c>
      <c r="AA60" s="3">
        <v>13.42</v>
      </c>
      <c r="AB60" s="3">
        <v>91</v>
      </c>
      <c r="AC60" s="3"/>
      <c r="AD60" s="3">
        <v>90</v>
      </c>
    </row>
    <row r="61" spans="1:30" x14ac:dyDescent="0.2">
      <c r="A61" s="60" t="s">
        <v>14</v>
      </c>
      <c r="B61" s="60" t="s">
        <v>62</v>
      </c>
      <c r="C61" s="61" t="s">
        <v>53</v>
      </c>
      <c r="D61" s="60" t="s">
        <v>24</v>
      </c>
      <c r="E61" s="60">
        <v>2</v>
      </c>
      <c r="F61" s="60" t="s">
        <v>93</v>
      </c>
      <c r="G61" s="60" t="s">
        <v>35</v>
      </c>
      <c r="H61" s="60" t="s">
        <v>20</v>
      </c>
      <c r="I61" s="60" t="str">
        <f t="shared" si="0"/>
        <v>B1-P2-C4</v>
      </c>
      <c r="J61" s="60" t="str">
        <f t="shared" si="1"/>
        <v>Quercus-B1-P2-C4-B2</v>
      </c>
      <c r="K61" s="60" t="s">
        <v>21</v>
      </c>
      <c r="L61" s="60" t="s">
        <v>22</v>
      </c>
      <c r="M61" s="60" t="s">
        <v>23</v>
      </c>
      <c r="N61" s="15">
        <v>60</v>
      </c>
      <c r="O61" s="60">
        <v>4.2</v>
      </c>
      <c r="P61" s="60">
        <v>31</v>
      </c>
      <c r="Q61" s="60">
        <v>4.62</v>
      </c>
      <c r="R61" s="60">
        <v>33</v>
      </c>
      <c r="S61" s="3">
        <v>5.5</v>
      </c>
      <c r="T61" s="3">
        <v>35</v>
      </c>
      <c r="U61" s="3">
        <v>6.37</v>
      </c>
      <c r="V61" s="3">
        <v>47</v>
      </c>
      <c r="W61" s="3">
        <v>7.48</v>
      </c>
      <c r="X61" s="3">
        <v>48</v>
      </c>
      <c r="Y61" s="3">
        <v>8.35</v>
      </c>
      <c r="Z61" s="3">
        <v>49</v>
      </c>
      <c r="AA61" s="3">
        <v>9.23</v>
      </c>
      <c r="AB61" s="3">
        <v>55</v>
      </c>
      <c r="AC61" s="3"/>
      <c r="AD61" s="3">
        <v>55</v>
      </c>
    </row>
    <row r="62" spans="1:30" x14ac:dyDescent="0.2">
      <c r="A62" s="60" t="s">
        <v>14</v>
      </c>
      <c r="B62" s="60" t="s">
        <v>62</v>
      </c>
      <c r="C62" s="61" t="s">
        <v>53</v>
      </c>
      <c r="D62" s="60" t="s">
        <v>17</v>
      </c>
      <c r="E62" s="60">
        <v>3</v>
      </c>
      <c r="F62" s="60" t="s">
        <v>94</v>
      </c>
      <c r="G62" s="60" t="s">
        <v>35</v>
      </c>
      <c r="H62" s="60" t="s">
        <v>20</v>
      </c>
      <c r="I62" s="60" t="str">
        <f t="shared" si="0"/>
        <v>B1-P2-C4</v>
      </c>
      <c r="J62" s="60" t="str">
        <f t="shared" si="1"/>
        <v>Quercus-B1-P2-C4-A3</v>
      </c>
      <c r="K62" s="60" t="s">
        <v>21</v>
      </c>
      <c r="L62" s="60" t="s">
        <v>22</v>
      </c>
      <c r="M62" s="60" t="s">
        <v>23</v>
      </c>
      <c r="N62" s="15">
        <v>61</v>
      </c>
      <c r="O62" s="60">
        <v>2.9</v>
      </c>
      <c r="P62" s="60">
        <v>24</v>
      </c>
      <c r="Q62" s="60">
        <v>3.43</v>
      </c>
      <c r="R62" s="60">
        <v>24.5</v>
      </c>
      <c r="S62" s="3">
        <v>3.77</v>
      </c>
      <c r="T62" s="3">
        <v>29</v>
      </c>
      <c r="U62" s="3">
        <v>4.3899999999999997</v>
      </c>
      <c r="V62" s="3">
        <v>38.5</v>
      </c>
      <c r="W62" s="3">
        <v>5.53</v>
      </c>
      <c r="X62" s="3">
        <v>41</v>
      </c>
      <c r="Y62" s="3">
        <v>5.86</v>
      </c>
      <c r="Z62" s="3">
        <v>40</v>
      </c>
      <c r="AA62" s="3">
        <v>7.56</v>
      </c>
      <c r="AB62" s="3">
        <v>42</v>
      </c>
      <c r="AC62" s="3"/>
      <c r="AD62" s="3">
        <v>42</v>
      </c>
    </row>
    <row r="63" spans="1:30" x14ac:dyDescent="0.2">
      <c r="A63" s="60" t="s">
        <v>14</v>
      </c>
      <c r="B63" s="60" t="s">
        <v>62</v>
      </c>
      <c r="C63" s="61" t="s">
        <v>53</v>
      </c>
      <c r="D63" s="60" t="s">
        <v>24</v>
      </c>
      <c r="E63" s="60">
        <v>3</v>
      </c>
      <c r="F63" s="60" t="s">
        <v>95</v>
      </c>
      <c r="G63" s="60" t="s">
        <v>35</v>
      </c>
      <c r="H63" s="60" t="s">
        <v>20</v>
      </c>
      <c r="I63" s="60" t="str">
        <f t="shared" si="0"/>
        <v>B1-P2-C4</v>
      </c>
      <c r="J63" s="60" t="str">
        <f t="shared" si="1"/>
        <v>Quercus-B1-P2-C4-B3</v>
      </c>
      <c r="K63" s="60" t="s">
        <v>21</v>
      </c>
      <c r="L63" s="60" t="s">
        <v>22</v>
      </c>
      <c r="M63" s="60" t="s">
        <v>23</v>
      </c>
      <c r="N63" s="15">
        <v>62</v>
      </c>
      <c r="O63" s="60">
        <v>5.9</v>
      </c>
      <c r="P63" s="60">
        <v>43.2</v>
      </c>
      <c r="Q63" s="60">
        <v>7</v>
      </c>
      <c r="R63" s="60">
        <v>47</v>
      </c>
      <c r="S63" s="3">
        <v>7.77</v>
      </c>
      <c r="T63" s="3">
        <v>55</v>
      </c>
      <c r="U63" s="3">
        <v>8.02</v>
      </c>
      <c r="V63" s="3">
        <v>73</v>
      </c>
      <c r="W63" s="3">
        <v>9.34</v>
      </c>
      <c r="X63" s="3">
        <v>74</v>
      </c>
      <c r="Y63" s="3">
        <v>10.11</v>
      </c>
      <c r="Z63" s="3">
        <v>75</v>
      </c>
      <c r="AA63" s="3">
        <v>11.94</v>
      </c>
      <c r="AB63" s="3">
        <v>75</v>
      </c>
      <c r="AC63" s="3"/>
      <c r="AD63" s="3">
        <v>74</v>
      </c>
    </row>
    <row r="64" spans="1:30" x14ac:dyDescent="0.2">
      <c r="A64" s="60" t="s">
        <v>14</v>
      </c>
      <c r="B64" s="60" t="s">
        <v>62</v>
      </c>
      <c r="C64" s="61" t="s">
        <v>53</v>
      </c>
      <c r="D64" s="60" t="s">
        <v>17</v>
      </c>
      <c r="E64" s="60">
        <v>4</v>
      </c>
      <c r="F64" s="60" t="s">
        <v>96</v>
      </c>
      <c r="G64" s="60" t="s">
        <v>35</v>
      </c>
      <c r="H64" s="60" t="s">
        <v>20</v>
      </c>
      <c r="I64" s="60" t="str">
        <f t="shared" si="0"/>
        <v>B1-P2-C4</v>
      </c>
      <c r="J64" s="60" t="str">
        <f t="shared" si="1"/>
        <v>Quercus-B1-P2-C4-A4</v>
      </c>
      <c r="K64" s="60" t="s">
        <v>21</v>
      </c>
      <c r="L64" s="60" t="s">
        <v>22</v>
      </c>
      <c r="M64" s="60" t="s">
        <v>23</v>
      </c>
      <c r="N64" s="15">
        <v>63</v>
      </c>
      <c r="O64" s="60">
        <v>7</v>
      </c>
      <c r="P64" s="60">
        <v>49.7</v>
      </c>
      <c r="Q64" s="60">
        <v>7.4</v>
      </c>
      <c r="R64" s="60">
        <v>51</v>
      </c>
      <c r="S64" s="3">
        <v>8.4700000000000006</v>
      </c>
      <c r="T64" s="3">
        <v>61</v>
      </c>
      <c r="U64" s="3">
        <v>8.94</v>
      </c>
      <c r="V64" s="3">
        <v>81</v>
      </c>
      <c r="W64" s="3">
        <v>10.38</v>
      </c>
      <c r="X64" s="3">
        <v>82</v>
      </c>
      <c r="Y64" s="3">
        <v>10.9</v>
      </c>
      <c r="Z64" s="3">
        <v>82</v>
      </c>
      <c r="AA64" s="3">
        <v>13</v>
      </c>
      <c r="AB64" s="3">
        <v>81</v>
      </c>
      <c r="AC64" s="3"/>
      <c r="AD64" s="3">
        <v>81</v>
      </c>
    </row>
    <row r="65" spans="1:30" x14ac:dyDescent="0.2">
      <c r="A65" s="60" t="s">
        <v>14</v>
      </c>
      <c r="B65" s="60" t="s">
        <v>62</v>
      </c>
      <c r="C65" s="61" t="s">
        <v>53</v>
      </c>
      <c r="D65" s="60" t="s">
        <v>24</v>
      </c>
      <c r="E65" s="60">
        <v>4</v>
      </c>
      <c r="F65" s="60" t="s">
        <v>97</v>
      </c>
      <c r="G65" s="60" t="s">
        <v>35</v>
      </c>
      <c r="H65" s="60" t="s">
        <v>20</v>
      </c>
      <c r="I65" s="60" t="str">
        <f t="shared" si="0"/>
        <v>B1-P2-C4</v>
      </c>
      <c r="J65" s="60" t="str">
        <f t="shared" si="1"/>
        <v>Quercus-B1-P2-C4-B4</v>
      </c>
      <c r="K65" s="60" t="s">
        <v>21</v>
      </c>
      <c r="L65" s="60" t="s">
        <v>22</v>
      </c>
      <c r="M65" s="60" t="s">
        <v>23</v>
      </c>
      <c r="N65" s="15">
        <v>64</v>
      </c>
      <c r="O65" s="60">
        <v>5.3</v>
      </c>
      <c r="P65" s="60">
        <v>35.200000000000003</v>
      </c>
      <c r="Q65" s="60">
        <v>6.02</v>
      </c>
      <c r="R65" s="60">
        <v>40.5</v>
      </c>
      <c r="S65" s="3">
        <v>7.28</v>
      </c>
      <c r="T65" s="3">
        <v>50.5</v>
      </c>
      <c r="U65" s="3">
        <v>7.85</v>
      </c>
      <c r="V65" s="3">
        <v>72.5</v>
      </c>
      <c r="W65" s="3">
        <v>8.1999999999999993</v>
      </c>
      <c r="X65" s="3">
        <v>74</v>
      </c>
      <c r="Y65" s="3">
        <v>8.69</v>
      </c>
      <c r="Z65" s="3">
        <v>73</v>
      </c>
      <c r="AA65" s="3">
        <v>10.41</v>
      </c>
      <c r="AB65" s="3">
        <v>73</v>
      </c>
      <c r="AC65" s="3"/>
      <c r="AD65" s="3">
        <v>72</v>
      </c>
    </row>
    <row r="66" spans="1:30" s="38" customFormat="1" x14ac:dyDescent="0.2">
      <c r="A66" s="57" t="s">
        <v>14</v>
      </c>
      <c r="B66" s="57" t="s">
        <v>98</v>
      </c>
      <c r="C66" s="57" t="s">
        <v>16</v>
      </c>
      <c r="D66" s="57" t="s">
        <v>17</v>
      </c>
      <c r="E66" s="57">
        <v>1</v>
      </c>
      <c r="F66" s="57" t="s">
        <v>99</v>
      </c>
      <c r="G66" s="57" t="s">
        <v>35</v>
      </c>
      <c r="H66" s="57" t="s">
        <v>20</v>
      </c>
      <c r="I66" s="57" t="str">
        <f t="shared" si="0"/>
        <v>B1-P3-C1</v>
      </c>
      <c r="J66" s="57" t="str">
        <f t="shared" si="1"/>
        <v>Quercus-B1-P3-C1-A1</v>
      </c>
      <c r="K66" s="57" t="s">
        <v>64</v>
      </c>
      <c r="L66" s="57" t="s">
        <v>22</v>
      </c>
      <c r="M66" s="57" t="s">
        <v>74</v>
      </c>
      <c r="N66" s="37">
        <v>65</v>
      </c>
      <c r="O66" s="57">
        <v>5.7</v>
      </c>
      <c r="P66" s="57">
        <v>45.2</v>
      </c>
      <c r="Q66" s="57">
        <v>6.6</v>
      </c>
      <c r="R66" s="57">
        <v>48.5</v>
      </c>
      <c r="S66" s="57">
        <v>7.56</v>
      </c>
      <c r="T66" s="57">
        <v>54</v>
      </c>
      <c r="U66" s="57">
        <v>8.64</v>
      </c>
      <c r="V66" s="57">
        <v>70</v>
      </c>
      <c r="W66" s="57">
        <v>8.68</v>
      </c>
      <c r="X66" s="57">
        <v>70</v>
      </c>
      <c r="Y66" s="57">
        <v>9.4</v>
      </c>
      <c r="Z66" s="57">
        <v>70</v>
      </c>
      <c r="AA66" s="57">
        <v>11.73</v>
      </c>
      <c r="AB66" s="57">
        <v>68.5</v>
      </c>
      <c r="AC66" s="57"/>
      <c r="AD66" s="57">
        <v>68</v>
      </c>
    </row>
    <row r="67" spans="1:30" s="38" customFormat="1" x14ac:dyDescent="0.2">
      <c r="A67" s="57" t="s">
        <v>14</v>
      </c>
      <c r="B67" s="57" t="s">
        <v>98</v>
      </c>
      <c r="C67" s="57" t="s">
        <v>16</v>
      </c>
      <c r="D67" s="57" t="s">
        <v>24</v>
      </c>
      <c r="E67" s="57">
        <v>1</v>
      </c>
      <c r="F67" s="57" t="s">
        <v>100</v>
      </c>
      <c r="G67" s="57" t="s">
        <v>35</v>
      </c>
      <c r="H67" s="57" t="s">
        <v>20</v>
      </c>
      <c r="I67" s="57" t="str">
        <f t="shared" ref="I67:I130" si="2">A67&amp;"-"&amp;B67&amp;"-"&amp;C67</f>
        <v>B1-P3-C1</v>
      </c>
      <c r="J67" s="57" t="str">
        <f t="shared" ref="J67:J130" si="3">G67&amp;"-"&amp;A67&amp;"-"&amp;B67&amp;"-"&amp;C67&amp;"-"&amp;D67&amp;E67</f>
        <v>Quercus-B1-P3-C1-B1</v>
      </c>
      <c r="K67" s="57" t="s">
        <v>64</v>
      </c>
      <c r="L67" s="57" t="s">
        <v>22</v>
      </c>
      <c r="M67" s="57" t="s">
        <v>74</v>
      </c>
      <c r="N67" s="37">
        <v>66</v>
      </c>
      <c r="O67" s="57">
        <v>5.6</v>
      </c>
      <c r="P67" s="57">
        <v>35.799999999999997</v>
      </c>
      <c r="Q67" s="57">
        <v>5.7</v>
      </c>
      <c r="R67" s="57">
        <v>42</v>
      </c>
      <c r="S67" s="57">
        <v>6.5</v>
      </c>
      <c r="T67" s="57">
        <v>42</v>
      </c>
      <c r="U67" s="57">
        <v>7.7</v>
      </c>
      <c r="V67" s="57">
        <v>52</v>
      </c>
      <c r="W67" s="57">
        <v>8.7899999999999991</v>
      </c>
      <c r="X67" s="57">
        <v>50.5</v>
      </c>
      <c r="Y67" s="57">
        <v>11.11</v>
      </c>
      <c r="Z67" s="57">
        <v>50</v>
      </c>
      <c r="AA67" s="57">
        <v>11.03</v>
      </c>
      <c r="AB67" s="57">
        <v>52</v>
      </c>
      <c r="AC67" s="57"/>
      <c r="AD67" s="57">
        <v>51</v>
      </c>
    </row>
    <row r="68" spans="1:30" s="38" customFormat="1" x14ac:dyDescent="0.2">
      <c r="A68" s="57" t="s">
        <v>14</v>
      </c>
      <c r="B68" s="57" t="s">
        <v>98</v>
      </c>
      <c r="C68" s="57" t="s">
        <v>16</v>
      </c>
      <c r="D68" s="57" t="s">
        <v>17</v>
      </c>
      <c r="E68" s="57">
        <v>2</v>
      </c>
      <c r="F68" s="57" t="s">
        <v>101</v>
      </c>
      <c r="G68" s="57" t="s">
        <v>35</v>
      </c>
      <c r="H68" s="57" t="s">
        <v>20</v>
      </c>
      <c r="I68" s="57" t="str">
        <f t="shared" si="2"/>
        <v>B1-P3-C1</v>
      </c>
      <c r="J68" s="57" t="str">
        <f t="shared" si="3"/>
        <v>Quercus-B1-P3-C1-A2</v>
      </c>
      <c r="K68" s="57" t="s">
        <v>64</v>
      </c>
      <c r="L68" s="57" t="s">
        <v>22</v>
      </c>
      <c r="M68" s="57" t="s">
        <v>74</v>
      </c>
      <c r="N68" s="37">
        <v>67</v>
      </c>
      <c r="O68" s="57">
        <v>6.9</v>
      </c>
      <c r="P68" s="57">
        <v>52.2</v>
      </c>
      <c r="Q68" s="57">
        <v>7.87</v>
      </c>
      <c r="R68" s="57">
        <v>58</v>
      </c>
      <c r="S68" s="57">
        <v>9.2100000000000009</v>
      </c>
      <c r="T68" s="57">
        <v>67.5</v>
      </c>
      <c r="U68" s="57">
        <v>10.18</v>
      </c>
      <c r="V68" s="57">
        <v>78.5</v>
      </c>
      <c r="W68" s="57">
        <v>10.46</v>
      </c>
      <c r="X68" s="57">
        <v>79</v>
      </c>
      <c r="Y68" s="57">
        <v>12.45</v>
      </c>
      <c r="Z68" s="57">
        <v>79</v>
      </c>
      <c r="AA68" s="57">
        <v>13.94</v>
      </c>
      <c r="AB68" s="57">
        <v>82</v>
      </c>
      <c r="AC68" s="57"/>
      <c r="AD68" s="57">
        <v>81</v>
      </c>
    </row>
    <row r="69" spans="1:30" s="38" customFormat="1" x14ac:dyDescent="0.2">
      <c r="A69" s="57" t="s">
        <v>14</v>
      </c>
      <c r="B69" s="57" t="s">
        <v>98</v>
      </c>
      <c r="C69" s="57" t="s">
        <v>16</v>
      </c>
      <c r="D69" s="57" t="s">
        <v>24</v>
      </c>
      <c r="E69" s="57">
        <v>2</v>
      </c>
      <c r="F69" s="57" t="s">
        <v>102</v>
      </c>
      <c r="G69" s="57" t="s">
        <v>35</v>
      </c>
      <c r="H69" s="57" t="s">
        <v>20</v>
      </c>
      <c r="I69" s="57" t="str">
        <f t="shared" si="2"/>
        <v>B1-P3-C1</v>
      </c>
      <c r="J69" s="57" t="str">
        <f t="shared" si="3"/>
        <v>Quercus-B1-P3-C1-B2</v>
      </c>
      <c r="K69" s="57" t="s">
        <v>64</v>
      </c>
      <c r="L69" s="57" t="s">
        <v>22</v>
      </c>
      <c r="M69" s="57" t="s">
        <v>74</v>
      </c>
      <c r="N69" s="37">
        <v>68</v>
      </c>
      <c r="O69" s="57">
        <v>6.2</v>
      </c>
      <c r="P69" s="57">
        <v>25.2</v>
      </c>
      <c r="Q69" s="57">
        <v>6.46</v>
      </c>
      <c r="R69" s="57">
        <v>29</v>
      </c>
      <c r="S69" s="57">
        <v>6.42</v>
      </c>
      <c r="T69" s="57">
        <v>31</v>
      </c>
      <c r="U69" s="57">
        <v>6.73</v>
      </c>
      <c r="V69" s="57">
        <v>31</v>
      </c>
      <c r="W69" s="57">
        <v>6.3</v>
      </c>
      <c r="X69" s="57">
        <v>30</v>
      </c>
      <c r="Y69" s="57">
        <v>6.72</v>
      </c>
      <c r="Z69" s="57">
        <v>31</v>
      </c>
      <c r="AA69" s="57">
        <v>7.98</v>
      </c>
      <c r="AB69" s="57">
        <v>32</v>
      </c>
      <c r="AC69" s="57"/>
      <c r="AD69" s="57">
        <v>31</v>
      </c>
    </row>
    <row r="70" spans="1:30" s="38" customFormat="1" x14ac:dyDescent="0.2">
      <c r="A70" s="57" t="s">
        <v>14</v>
      </c>
      <c r="B70" s="57" t="s">
        <v>98</v>
      </c>
      <c r="C70" s="57" t="s">
        <v>16</v>
      </c>
      <c r="D70" s="57" t="s">
        <v>17</v>
      </c>
      <c r="E70" s="57">
        <v>3</v>
      </c>
      <c r="F70" s="57" t="s">
        <v>103</v>
      </c>
      <c r="G70" s="57" t="s">
        <v>35</v>
      </c>
      <c r="H70" s="57" t="s">
        <v>20</v>
      </c>
      <c r="I70" s="57" t="str">
        <f t="shared" si="2"/>
        <v>B1-P3-C1</v>
      </c>
      <c r="J70" s="57" t="str">
        <f t="shared" si="3"/>
        <v>Quercus-B1-P3-C1-A3</v>
      </c>
      <c r="K70" s="57" t="s">
        <v>64</v>
      </c>
      <c r="L70" s="57" t="s">
        <v>22</v>
      </c>
      <c r="M70" s="57" t="s">
        <v>74</v>
      </c>
      <c r="N70" s="37">
        <v>69</v>
      </c>
      <c r="O70" s="57">
        <v>5.5</v>
      </c>
      <c r="P70" s="57">
        <v>32.5</v>
      </c>
      <c r="Q70" s="57">
        <v>6.03</v>
      </c>
      <c r="R70" s="57">
        <v>39</v>
      </c>
      <c r="S70" s="57">
        <v>6.73</v>
      </c>
      <c r="T70" s="57">
        <v>41</v>
      </c>
      <c r="U70" s="57">
        <v>8.0299999999999994</v>
      </c>
      <c r="V70" s="57">
        <v>52</v>
      </c>
      <c r="W70" s="57">
        <v>9.42</v>
      </c>
      <c r="X70" s="57">
        <v>54</v>
      </c>
      <c r="Y70" s="57">
        <v>9.5299999999999994</v>
      </c>
      <c r="Z70" s="57">
        <v>55</v>
      </c>
      <c r="AA70" s="57">
        <v>10.91</v>
      </c>
      <c r="AB70" s="57">
        <v>60</v>
      </c>
      <c r="AC70" s="57"/>
      <c r="AD70" s="57">
        <v>59</v>
      </c>
    </row>
    <row r="71" spans="1:30" s="38" customFormat="1" x14ac:dyDescent="0.2">
      <c r="A71" s="57" t="s">
        <v>14</v>
      </c>
      <c r="B71" s="57" t="s">
        <v>98</v>
      </c>
      <c r="C71" s="57" t="s">
        <v>16</v>
      </c>
      <c r="D71" s="57" t="s">
        <v>24</v>
      </c>
      <c r="E71" s="57">
        <v>3</v>
      </c>
      <c r="F71" s="57" t="s">
        <v>104</v>
      </c>
      <c r="G71" s="57" t="s">
        <v>35</v>
      </c>
      <c r="H71" s="57" t="s">
        <v>20</v>
      </c>
      <c r="I71" s="57" t="str">
        <f t="shared" si="2"/>
        <v>B1-P3-C1</v>
      </c>
      <c r="J71" s="57" t="str">
        <f t="shared" si="3"/>
        <v>Quercus-B1-P3-C1-B3</v>
      </c>
      <c r="K71" s="57" t="s">
        <v>64</v>
      </c>
      <c r="L71" s="57" t="s">
        <v>22</v>
      </c>
      <c r="M71" s="57" t="s">
        <v>74</v>
      </c>
      <c r="N71" s="37">
        <v>70</v>
      </c>
      <c r="O71" s="57">
        <v>5.8</v>
      </c>
      <c r="P71" s="57">
        <v>39.6</v>
      </c>
      <c r="Q71" s="57">
        <v>7.23</v>
      </c>
      <c r="R71" s="57">
        <v>48.5</v>
      </c>
      <c r="S71" s="57">
        <v>7.8</v>
      </c>
      <c r="T71" s="57">
        <v>54</v>
      </c>
      <c r="U71" s="57">
        <v>9.3000000000000007</v>
      </c>
      <c r="V71" s="57">
        <v>67.5</v>
      </c>
      <c r="W71" s="57">
        <v>9.89</v>
      </c>
      <c r="X71" s="57">
        <v>69.5</v>
      </c>
      <c r="Y71" s="57">
        <v>9.9600000000000009</v>
      </c>
      <c r="Z71" s="57">
        <v>66</v>
      </c>
      <c r="AA71" s="57">
        <v>12.45</v>
      </c>
      <c r="AB71" s="57">
        <v>69.5</v>
      </c>
      <c r="AC71" s="57"/>
      <c r="AD71" s="57">
        <v>69</v>
      </c>
    </row>
    <row r="72" spans="1:30" s="38" customFormat="1" x14ac:dyDescent="0.2">
      <c r="A72" s="57" t="s">
        <v>14</v>
      </c>
      <c r="B72" s="57" t="s">
        <v>98</v>
      </c>
      <c r="C72" s="57" t="s">
        <v>16</v>
      </c>
      <c r="D72" s="57" t="s">
        <v>17</v>
      </c>
      <c r="E72" s="57">
        <v>4</v>
      </c>
      <c r="F72" s="57" t="s">
        <v>105</v>
      </c>
      <c r="G72" s="57" t="s">
        <v>35</v>
      </c>
      <c r="H72" s="57" t="s">
        <v>20</v>
      </c>
      <c r="I72" s="57" t="str">
        <f t="shared" si="2"/>
        <v>B1-P3-C1</v>
      </c>
      <c r="J72" s="57" t="str">
        <f t="shared" si="3"/>
        <v>Quercus-B1-P3-C1-A4</v>
      </c>
      <c r="K72" s="57" t="s">
        <v>64</v>
      </c>
      <c r="L72" s="57" t="s">
        <v>22</v>
      </c>
      <c r="M72" s="57" t="s">
        <v>74</v>
      </c>
      <c r="N72" s="37">
        <v>71</v>
      </c>
      <c r="O72" s="57">
        <v>3.7</v>
      </c>
      <c r="P72" s="57">
        <v>21.4</v>
      </c>
      <c r="Q72" s="57">
        <v>4.49</v>
      </c>
      <c r="R72" s="57">
        <v>25</v>
      </c>
      <c r="S72" s="57">
        <v>4.25</v>
      </c>
      <c r="T72" s="57">
        <v>27</v>
      </c>
      <c r="U72" s="57">
        <v>5</v>
      </c>
      <c r="V72" s="57">
        <v>31.5</v>
      </c>
      <c r="W72" s="57">
        <v>5.22</v>
      </c>
      <c r="X72" s="57">
        <v>31.5</v>
      </c>
      <c r="Y72" s="57">
        <v>5.18</v>
      </c>
      <c r="Z72" s="57">
        <v>30</v>
      </c>
      <c r="AA72" s="57">
        <v>6.64</v>
      </c>
      <c r="AB72" s="57">
        <v>31</v>
      </c>
      <c r="AC72" s="57"/>
      <c r="AD72" s="57">
        <v>31</v>
      </c>
    </row>
    <row r="73" spans="1:30" s="38" customFormat="1" x14ac:dyDescent="0.2">
      <c r="A73" s="57" t="s">
        <v>14</v>
      </c>
      <c r="B73" s="57" t="s">
        <v>98</v>
      </c>
      <c r="C73" s="57" t="s">
        <v>16</v>
      </c>
      <c r="D73" s="57" t="s">
        <v>24</v>
      </c>
      <c r="E73" s="57">
        <v>4</v>
      </c>
      <c r="F73" s="57" t="s">
        <v>106</v>
      </c>
      <c r="G73" s="57" t="s">
        <v>35</v>
      </c>
      <c r="H73" s="57" t="s">
        <v>20</v>
      </c>
      <c r="I73" s="57" t="str">
        <f t="shared" si="2"/>
        <v>B1-P3-C1</v>
      </c>
      <c r="J73" s="57" t="str">
        <f t="shared" si="3"/>
        <v>Quercus-B1-P3-C1-B4</v>
      </c>
      <c r="K73" s="57" t="s">
        <v>64</v>
      </c>
      <c r="L73" s="57" t="s">
        <v>22</v>
      </c>
      <c r="M73" s="57" t="s">
        <v>74</v>
      </c>
      <c r="N73" s="37">
        <v>72</v>
      </c>
      <c r="O73" s="57">
        <v>4.2</v>
      </c>
      <c r="P73" s="57">
        <v>32.700000000000003</v>
      </c>
      <c r="Q73" s="57">
        <v>4.8</v>
      </c>
      <c r="R73" s="57">
        <v>43</v>
      </c>
      <c r="S73" s="57">
        <v>5.88</v>
      </c>
      <c r="T73" s="57">
        <v>46</v>
      </c>
      <c r="U73" s="57">
        <v>5.76</v>
      </c>
      <c r="V73" s="57">
        <v>51</v>
      </c>
      <c r="W73" s="57">
        <v>6.71</v>
      </c>
      <c r="X73" s="57">
        <v>51</v>
      </c>
      <c r="Y73" s="57">
        <v>7.49</v>
      </c>
      <c r="Z73" s="57">
        <v>51</v>
      </c>
      <c r="AA73" s="57">
        <v>8.06</v>
      </c>
      <c r="AB73" s="57">
        <v>50.5</v>
      </c>
      <c r="AC73" s="57"/>
      <c r="AD73" s="57">
        <v>50</v>
      </c>
    </row>
    <row r="74" spans="1:30" x14ac:dyDescent="0.2">
      <c r="A74" s="60" t="s">
        <v>14</v>
      </c>
      <c r="B74" s="60" t="s">
        <v>98</v>
      </c>
      <c r="C74" s="60" t="s">
        <v>32</v>
      </c>
      <c r="D74" s="60" t="s">
        <v>17</v>
      </c>
      <c r="E74" s="60">
        <v>1</v>
      </c>
      <c r="F74" s="60" t="s">
        <v>107</v>
      </c>
      <c r="G74" s="60" t="s">
        <v>19</v>
      </c>
      <c r="H74" s="60" t="s">
        <v>20</v>
      </c>
      <c r="I74" s="60" t="str">
        <f t="shared" si="2"/>
        <v>B1-P3-C2</v>
      </c>
      <c r="J74" s="60" t="str">
        <f t="shared" si="3"/>
        <v>Fagus-B1-P3-C2-A1</v>
      </c>
      <c r="K74" s="60" t="s">
        <v>64</v>
      </c>
      <c r="L74" s="60" t="s">
        <v>22</v>
      </c>
      <c r="M74" s="60" t="s">
        <v>74</v>
      </c>
      <c r="N74" s="15">
        <v>73</v>
      </c>
      <c r="O74" s="60">
        <v>11.5</v>
      </c>
      <c r="P74" s="60">
        <v>89.6</v>
      </c>
      <c r="Q74" s="60">
        <v>11.52</v>
      </c>
      <c r="R74" s="60">
        <v>102.5</v>
      </c>
      <c r="S74" s="3">
        <v>13.44</v>
      </c>
      <c r="T74" s="3">
        <v>102.5</v>
      </c>
      <c r="U74" s="3">
        <v>13.99</v>
      </c>
      <c r="V74" s="3">
        <v>102</v>
      </c>
      <c r="W74" s="3">
        <v>14.41</v>
      </c>
      <c r="X74" s="3">
        <v>102</v>
      </c>
      <c r="Y74" s="3">
        <v>14.33</v>
      </c>
      <c r="Z74" s="3">
        <v>101</v>
      </c>
      <c r="AA74" s="3">
        <v>14.7</v>
      </c>
      <c r="AB74" s="3">
        <v>101</v>
      </c>
      <c r="AC74" s="3"/>
      <c r="AD74" s="3">
        <v>101</v>
      </c>
    </row>
    <row r="75" spans="1:30" x14ac:dyDescent="0.2">
      <c r="A75" s="60" t="s">
        <v>14</v>
      </c>
      <c r="B75" s="60" t="s">
        <v>98</v>
      </c>
      <c r="C75" s="60" t="s">
        <v>32</v>
      </c>
      <c r="D75" s="60" t="s">
        <v>24</v>
      </c>
      <c r="E75" s="60">
        <v>1</v>
      </c>
      <c r="F75" s="60" t="s">
        <v>108</v>
      </c>
      <c r="G75" s="60" t="s">
        <v>19</v>
      </c>
      <c r="H75" s="60" t="s">
        <v>20</v>
      </c>
      <c r="I75" s="60" t="str">
        <f t="shared" si="2"/>
        <v>B1-P3-C2</v>
      </c>
      <c r="J75" s="60" t="str">
        <f t="shared" si="3"/>
        <v>Fagus-B1-P3-C2-B1</v>
      </c>
      <c r="K75" s="60" t="s">
        <v>64</v>
      </c>
      <c r="L75" s="60" t="s">
        <v>22</v>
      </c>
      <c r="M75" s="60" t="s">
        <v>74</v>
      </c>
      <c r="N75" s="15">
        <v>74</v>
      </c>
      <c r="O75" s="60">
        <v>8.6</v>
      </c>
      <c r="P75" s="60">
        <v>42</v>
      </c>
      <c r="Q75" s="60">
        <v>8.6199999999999992</v>
      </c>
      <c r="R75" s="60">
        <v>62.5</v>
      </c>
      <c r="S75" s="3">
        <v>10</v>
      </c>
      <c r="T75" s="3">
        <v>68</v>
      </c>
      <c r="U75" s="3">
        <v>10.44</v>
      </c>
      <c r="V75" s="3">
        <v>67</v>
      </c>
      <c r="W75" s="3">
        <v>11.24</v>
      </c>
      <c r="X75" s="3">
        <v>67</v>
      </c>
      <c r="Y75" s="3">
        <v>11.24</v>
      </c>
      <c r="Z75" s="3">
        <v>68</v>
      </c>
      <c r="AA75" s="3">
        <v>11.77</v>
      </c>
      <c r="AB75" s="3">
        <v>69</v>
      </c>
      <c r="AC75" s="3"/>
      <c r="AD75" s="3">
        <v>68</v>
      </c>
    </row>
    <row r="76" spans="1:30" x14ac:dyDescent="0.2">
      <c r="A76" s="60" t="s">
        <v>14</v>
      </c>
      <c r="B76" s="60" t="s">
        <v>98</v>
      </c>
      <c r="C76" s="60" t="s">
        <v>32</v>
      </c>
      <c r="D76" s="60" t="s">
        <v>17</v>
      </c>
      <c r="E76" s="60">
        <v>2</v>
      </c>
      <c r="F76" s="60" t="s">
        <v>109</v>
      </c>
      <c r="G76" s="60" t="s">
        <v>19</v>
      </c>
      <c r="H76" s="60" t="s">
        <v>20</v>
      </c>
      <c r="I76" s="60" t="str">
        <f t="shared" si="2"/>
        <v>B1-P3-C2</v>
      </c>
      <c r="J76" s="60" t="str">
        <f t="shared" si="3"/>
        <v>Fagus-B1-P3-C2-A2</v>
      </c>
      <c r="K76" s="60" t="s">
        <v>64</v>
      </c>
      <c r="L76" s="60" t="s">
        <v>22</v>
      </c>
      <c r="M76" s="60" t="s">
        <v>74</v>
      </c>
      <c r="N76" s="15">
        <v>75</v>
      </c>
      <c r="O76" s="60">
        <v>10</v>
      </c>
      <c r="P76" s="60">
        <v>83</v>
      </c>
      <c r="Q76" s="60">
        <v>10.31</v>
      </c>
      <c r="R76" s="60">
        <v>93</v>
      </c>
      <c r="S76" s="3">
        <v>11.25</v>
      </c>
      <c r="T76" s="3">
        <v>102</v>
      </c>
      <c r="U76" s="3">
        <v>11.8</v>
      </c>
      <c r="V76" s="3">
        <v>104</v>
      </c>
      <c r="W76" s="3">
        <v>12.23</v>
      </c>
      <c r="X76" s="3">
        <v>103</v>
      </c>
      <c r="Y76" s="3">
        <v>12.23</v>
      </c>
      <c r="Z76" s="3">
        <v>103</v>
      </c>
      <c r="AA76" s="3">
        <v>12.45</v>
      </c>
      <c r="AB76" s="3">
        <v>103</v>
      </c>
      <c r="AC76" s="3"/>
      <c r="AD76" s="3">
        <v>103</v>
      </c>
    </row>
    <row r="77" spans="1:30" x14ac:dyDescent="0.2">
      <c r="A77" s="60" t="s">
        <v>14</v>
      </c>
      <c r="B77" s="60" t="s">
        <v>98</v>
      </c>
      <c r="C77" s="60" t="s">
        <v>32</v>
      </c>
      <c r="D77" s="60" t="s">
        <v>24</v>
      </c>
      <c r="E77" s="60">
        <v>2</v>
      </c>
      <c r="F77" s="60" t="s">
        <v>110</v>
      </c>
      <c r="G77" s="60" t="s">
        <v>19</v>
      </c>
      <c r="H77" s="60" t="s">
        <v>20</v>
      </c>
      <c r="I77" s="60" t="str">
        <f t="shared" si="2"/>
        <v>B1-P3-C2</v>
      </c>
      <c r="J77" s="60" t="str">
        <f t="shared" si="3"/>
        <v>Fagus-B1-P3-C2-B2</v>
      </c>
      <c r="K77" s="60" t="s">
        <v>64</v>
      </c>
      <c r="L77" s="60" t="s">
        <v>22</v>
      </c>
      <c r="M77" s="60" t="s">
        <v>74</v>
      </c>
      <c r="N77" s="15">
        <v>76</v>
      </c>
      <c r="O77" s="60">
        <v>10.6</v>
      </c>
      <c r="P77" s="60">
        <v>88</v>
      </c>
      <c r="Q77" s="60">
        <v>11.31</v>
      </c>
      <c r="R77" s="60">
        <v>115</v>
      </c>
      <c r="S77" s="3">
        <v>12.1</v>
      </c>
      <c r="T77" s="3">
        <v>132</v>
      </c>
      <c r="U77" s="3">
        <v>12.77</v>
      </c>
      <c r="V77" s="3">
        <v>133</v>
      </c>
      <c r="W77" s="3">
        <v>12.91</v>
      </c>
      <c r="X77" s="3">
        <v>134</v>
      </c>
      <c r="Y77" s="3">
        <v>12.94</v>
      </c>
      <c r="Z77" s="3">
        <v>132</v>
      </c>
      <c r="AA77" s="3">
        <v>13.09</v>
      </c>
      <c r="AB77" s="3">
        <v>133</v>
      </c>
      <c r="AC77" s="3"/>
      <c r="AD77" s="3">
        <v>132</v>
      </c>
    </row>
    <row r="78" spans="1:30" x14ac:dyDescent="0.2">
      <c r="A78" s="60" t="s">
        <v>14</v>
      </c>
      <c r="B78" s="60" t="s">
        <v>98</v>
      </c>
      <c r="C78" s="60" t="s">
        <v>32</v>
      </c>
      <c r="D78" s="60" t="s">
        <v>17</v>
      </c>
      <c r="E78" s="60">
        <v>3</v>
      </c>
      <c r="F78" s="60" t="s">
        <v>111</v>
      </c>
      <c r="G78" s="60" t="s">
        <v>19</v>
      </c>
      <c r="H78" s="60" t="s">
        <v>20</v>
      </c>
      <c r="I78" s="60" t="str">
        <f t="shared" si="2"/>
        <v>B1-P3-C2</v>
      </c>
      <c r="J78" s="60" t="str">
        <f t="shared" si="3"/>
        <v>Fagus-B1-P3-C2-A3</v>
      </c>
      <c r="K78" s="60" t="s">
        <v>64</v>
      </c>
      <c r="L78" s="60" t="s">
        <v>22</v>
      </c>
      <c r="M78" s="60" t="s">
        <v>74</v>
      </c>
      <c r="N78" s="15">
        <v>77</v>
      </c>
      <c r="O78" s="60">
        <v>9.3000000000000007</v>
      </c>
      <c r="P78" s="60">
        <v>80.2</v>
      </c>
      <c r="Q78" s="60">
        <v>9.4499999999999993</v>
      </c>
      <c r="R78" s="60">
        <v>80</v>
      </c>
      <c r="S78" s="3">
        <v>10.32</v>
      </c>
      <c r="T78" s="3">
        <v>80</v>
      </c>
      <c r="U78" s="3">
        <v>10.64</v>
      </c>
      <c r="V78" s="3">
        <v>80</v>
      </c>
      <c r="W78" s="3">
        <v>11.02</v>
      </c>
      <c r="X78" s="3">
        <v>79</v>
      </c>
      <c r="Y78" s="3">
        <v>11.07</v>
      </c>
      <c r="Z78" s="3">
        <v>80</v>
      </c>
      <c r="AA78" s="3">
        <v>10.9</v>
      </c>
      <c r="AB78" s="3">
        <v>80</v>
      </c>
      <c r="AC78" s="3"/>
      <c r="AD78" s="3">
        <v>80</v>
      </c>
    </row>
    <row r="79" spans="1:30" x14ac:dyDescent="0.2">
      <c r="A79" s="60" t="s">
        <v>14</v>
      </c>
      <c r="B79" s="60" t="s">
        <v>98</v>
      </c>
      <c r="C79" s="60" t="s">
        <v>32</v>
      </c>
      <c r="D79" s="60" t="s">
        <v>24</v>
      </c>
      <c r="E79" s="60">
        <v>3</v>
      </c>
      <c r="F79" s="60" t="s">
        <v>112</v>
      </c>
      <c r="G79" s="60" t="s">
        <v>19</v>
      </c>
      <c r="H79" s="60" t="s">
        <v>20</v>
      </c>
      <c r="I79" s="60" t="str">
        <f t="shared" si="2"/>
        <v>B1-P3-C2</v>
      </c>
      <c r="J79" s="60" t="str">
        <f t="shared" si="3"/>
        <v>Fagus-B1-P3-C2-B3</v>
      </c>
      <c r="K79" s="60" t="s">
        <v>64</v>
      </c>
      <c r="L79" s="60" t="s">
        <v>22</v>
      </c>
      <c r="M79" s="60" t="s">
        <v>74</v>
      </c>
      <c r="N79" s="15">
        <v>78</v>
      </c>
      <c r="O79" s="60">
        <v>8.6999999999999993</v>
      </c>
      <c r="P79" s="60">
        <v>52.3</v>
      </c>
      <c r="Q79" s="60">
        <v>8.98</v>
      </c>
      <c r="R79" s="60">
        <v>71</v>
      </c>
      <c r="S79" s="3">
        <v>9.6</v>
      </c>
      <c r="T79" s="3">
        <v>79</v>
      </c>
      <c r="U79" s="3">
        <v>10.24</v>
      </c>
      <c r="V79" s="3">
        <v>79</v>
      </c>
      <c r="W79" s="3">
        <v>10.220000000000001</v>
      </c>
      <c r="X79" s="3">
        <v>79</v>
      </c>
      <c r="Y79" s="3">
        <v>10.43</v>
      </c>
      <c r="Z79" s="3">
        <v>79</v>
      </c>
      <c r="AA79" s="3">
        <v>10.44</v>
      </c>
      <c r="AB79" s="3">
        <v>79</v>
      </c>
      <c r="AC79" s="3"/>
      <c r="AD79" s="3">
        <v>79</v>
      </c>
    </row>
    <row r="80" spans="1:30" x14ac:dyDescent="0.2">
      <c r="A80" s="60" t="s">
        <v>14</v>
      </c>
      <c r="B80" s="60" t="s">
        <v>98</v>
      </c>
      <c r="C80" s="60" t="s">
        <v>32</v>
      </c>
      <c r="D80" s="60" t="s">
        <v>17</v>
      </c>
      <c r="E80" s="60">
        <v>4</v>
      </c>
      <c r="F80" s="60" t="s">
        <v>113</v>
      </c>
      <c r="G80" s="60" t="s">
        <v>19</v>
      </c>
      <c r="H80" s="60" t="s">
        <v>20</v>
      </c>
      <c r="I80" s="60" t="str">
        <f t="shared" si="2"/>
        <v>B1-P3-C2</v>
      </c>
      <c r="J80" s="60" t="str">
        <f t="shared" si="3"/>
        <v>Fagus-B1-P3-C2-A4</v>
      </c>
      <c r="K80" s="60" t="s">
        <v>64</v>
      </c>
      <c r="L80" s="60" t="s">
        <v>22</v>
      </c>
      <c r="M80" s="60" t="s">
        <v>74</v>
      </c>
      <c r="N80" s="15">
        <v>79</v>
      </c>
      <c r="O80" s="60">
        <v>10.7</v>
      </c>
      <c r="P80" s="60">
        <v>90.5</v>
      </c>
      <c r="Q80" s="60">
        <v>11.13</v>
      </c>
      <c r="R80" s="60">
        <v>108.5</v>
      </c>
      <c r="S80" s="3">
        <v>12.05</v>
      </c>
      <c r="T80" s="3">
        <v>112</v>
      </c>
      <c r="U80" s="3">
        <v>11.96</v>
      </c>
      <c r="V80" s="3">
        <v>110</v>
      </c>
      <c r="W80" s="3">
        <v>12.1</v>
      </c>
      <c r="X80" s="3">
        <v>112</v>
      </c>
      <c r="Y80" s="3">
        <v>12.09</v>
      </c>
      <c r="Z80" s="3">
        <v>111</v>
      </c>
      <c r="AA80" s="3">
        <v>13.12</v>
      </c>
      <c r="AB80" s="3">
        <v>111</v>
      </c>
      <c r="AC80" s="3"/>
      <c r="AD80" s="3">
        <v>113</v>
      </c>
    </row>
    <row r="81" spans="1:30" x14ac:dyDescent="0.2">
      <c r="A81" s="60" t="s">
        <v>14</v>
      </c>
      <c r="B81" s="60" t="s">
        <v>98</v>
      </c>
      <c r="C81" s="60" t="s">
        <v>32</v>
      </c>
      <c r="D81" s="60" t="s">
        <v>24</v>
      </c>
      <c r="E81" s="60">
        <v>4</v>
      </c>
      <c r="F81" s="60" t="s">
        <v>114</v>
      </c>
      <c r="G81" s="60" t="s">
        <v>19</v>
      </c>
      <c r="H81" s="60" t="s">
        <v>20</v>
      </c>
      <c r="I81" s="60" t="str">
        <f t="shared" si="2"/>
        <v>B1-P3-C2</v>
      </c>
      <c r="J81" s="60" t="str">
        <f t="shared" si="3"/>
        <v>Fagus-B1-P3-C2-B4</v>
      </c>
      <c r="K81" s="60" t="s">
        <v>64</v>
      </c>
      <c r="L81" s="60" t="s">
        <v>22</v>
      </c>
      <c r="M81" s="60" t="s">
        <v>74</v>
      </c>
      <c r="N81" s="15">
        <v>80</v>
      </c>
      <c r="O81" s="60">
        <v>12.7</v>
      </c>
      <c r="P81" s="60">
        <v>74.599999999999994</v>
      </c>
      <c r="Q81" s="60">
        <v>12.91</v>
      </c>
      <c r="R81" s="60">
        <v>94</v>
      </c>
      <c r="S81" s="3">
        <v>14.64</v>
      </c>
      <c r="T81" s="3">
        <v>96.6</v>
      </c>
      <c r="U81" s="3">
        <v>15.6</v>
      </c>
      <c r="V81" s="3">
        <v>103</v>
      </c>
      <c r="W81" s="3">
        <v>15.55</v>
      </c>
      <c r="X81" s="3">
        <v>105</v>
      </c>
      <c r="Y81" s="3">
        <v>15.72</v>
      </c>
      <c r="Z81" s="3">
        <v>105</v>
      </c>
      <c r="AA81" s="3">
        <v>16.09</v>
      </c>
      <c r="AB81" s="3">
        <v>106</v>
      </c>
      <c r="AC81" s="3"/>
      <c r="AD81" s="3">
        <v>105</v>
      </c>
    </row>
    <row r="82" spans="1:30" s="38" customFormat="1" x14ac:dyDescent="0.2">
      <c r="A82" s="57" t="s">
        <v>14</v>
      </c>
      <c r="B82" s="57" t="s">
        <v>98</v>
      </c>
      <c r="C82" s="57" t="s">
        <v>42</v>
      </c>
      <c r="D82" s="57" t="s">
        <v>17</v>
      </c>
      <c r="E82" s="57">
        <v>1</v>
      </c>
      <c r="F82" s="57" t="s">
        <v>115</v>
      </c>
      <c r="G82" s="57" t="s">
        <v>19</v>
      </c>
      <c r="H82" s="57" t="s">
        <v>20</v>
      </c>
      <c r="I82" s="57" t="str">
        <f t="shared" si="2"/>
        <v>B1-P3-C3</v>
      </c>
      <c r="J82" s="57" t="str">
        <f t="shared" si="3"/>
        <v>Fagus-B1-P3-C3-A1</v>
      </c>
      <c r="K82" s="57" t="s">
        <v>64</v>
      </c>
      <c r="L82" s="57" t="s">
        <v>44</v>
      </c>
      <c r="M82" s="57" t="s">
        <v>65</v>
      </c>
      <c r="N82" s="37">
        <v>81</v>
      </c>
      <c r="O82" s="57">
        <v>8.8000000000000007</v>
      </c>
      <c r="P82" s="57">
        <v>77</v>
      </c>
      <c r="Q82" s="57">
        <v>8.76</v>
      </c>
      <c r="R82" s="57">
        <v>79</v>
      </c>
      <c r="S82" s="57">
        <v>9.5</v>
      </c>
      <c r="T82" s="57">
        <v>79</v>
      </c>
      <c r="U82" s="57">
        <v>9.51</v>
      </c>
      <c r="V82" s="57">
        <v>78</v>
      </c>
      <c r="W82" s="57">
        <v>9.5500000000000007</v>
      </c>
      <c r="X82" s="57">
        <v>78</v>
      </c>
      <c r="Y82" s="57">
        <v>9.6</v>
      </c>
      <c r="Z82" s="57">
        <v>77</v>
      </c>
      <c r="AA82" s="57">
        <v>9.66</v>
      </c>
      <c r="AB82" s="57">
        <v>78</v>
      </c>
      <c r="AC82" s="57"/>
      <c r="AD82" s="57">
        <v>77</v>
      </c>
    </row>
    <row r="83" spans="1:30" s="38" customFormat="1" x14ac:dyDescent="0.2">
      <c r="A83" s="57" t="s">
        <v>14</v>
      </c>
      <c r="B83" s="57" t="s">
        <v>98</v>
      </c>
      <c r="C83" s="57" t="s">
        <v>42</v>
      </c>
      <c r="D83" s="57" t="s">
        <v>24</v>
      </c>
      <c r="E83" s="57">
        <v>1</v>
      </c>
      <c r="F83" s="57" t="s">
        <v>116</v>
      </c>
      <c r="G83" s="57" t="s">
        <v>35</v>
      </c>
      <c r="H83" s="57" t="s">
        <v>20</v>
      </c>
      <c r="I83" s="57" t="str">
        <f t="shared" si="2"/>
        <v>B1-P3-C3</v>
      </c>
      <c r="J83" s="57" t="str">
        <f t="shared" si="3"/>
        <v>Quercus-B1-P3-C3-B1</v>
      </c>
      <c r="K83" s="57" t="s">
        <v>64</v>
      </c>
      <c r="L83" s="57" t="s">
        <v>44</v>
      </c>
      <c r="M83" s="57" t="s">
        <v>65</v>
      </c>
      <c r="N83" s="37">
        <v>82</v>
      </c>
      <c r="O83" s="57">
        <v>4.5</v>
      </c>
      <c r="P83" s="57">
        <v>35.200000000000003</v>
      </c>
      <c r="Q83" s="57">
        <v>5.17</v>
      </c>
      <c r="R83" s="57">
        <v>44.5</v>
      </c>
      <c r="S83" s="57">
        <v>5.41</v>
      </c>
      <c r="T83" s="57">
        <v>46</v>
      </c>
      <c r="U83" s="57">
        <v>5.22</v>
      </c>
      <c r="V83" s="57">
        <v>46</v>
      </c>
      <c r="W83" s="57">
        <v>5.49</v>
      </c>
      <c r="X83" s="57">
        <v>46</v>
      </c>
      <c r="Y83" s="57">
        <v>5.76</v>
      </c>
      <c r="Z83" s="57">
        <v>45</v>
      </c>
      <c r="AA83" s="57">
        <v>6.43</v>
      </c>
      <c r="AB83" s="57">
        <v>48</v>
      </c>
      <c r="AC83" s="57"/>
      <c r="AD83" s="57">
        <v>50</v>
      </c>
    </row>
    <row r="84" spans="1:30" s="38" customFormat="1" x14ac:dyDescent="0.2">
      <c r="A84" s="57" t="s">
        <v>14</v>
      </c>
      <c r="B84" s="57" t="s">
        <v>98</v>
      </c>
      <c r="C84" s="57" t="s">
        <v>42</v>
      </c>
      <c r="D84" s="57" t="s">
        <v>17</v>
      </c>
      <c r="E84" s="57">
        <v>2</v>
      </c>
      <c r="F84" s="57" t="s">
        <v>117</v>
      </c>
      <c r="G84" s="57" t="s">
        <v>35</v>
      </c>
      <c r="H84" s="57" t="s">
        <v>20</v>
      </c>
      <c r="I84" s="57" t="str">
        <f t="shared" si="2"/>
        <v>B1-P3-C3</v>
      </c>
      <c r="J84" s="57" t="str">
        <f t="shared" si="3"/>
        <v>Quercus-B1-P3-C3-A2</v>
      </c>
      <c r="K84" s="57" t="s">
        <v>64</v>
      </c>
      <c r="L84" s="57" t="s">
        <v>44</v>
      </c>
      <c r="M84" s="57" t="s">
        <v>65</v>
      </c>
      <c r="N84" s="37">
        <v>83</v>
      </c>
      <c r="O84" s="57">
        <v>5.8</v>
      </c>
      <c r="P84" s="57">
        <v>50</v>
      </c>
      <c r="Q84" s="57">
        <v>6.78</v>
      </c>
      <c r="R84" s="57">
        <v>55</v>
      </c>
      <c r="S84" s="57">
        <v>6.74</v>
      </c>
      <c r="T84" s="57">
        <v>62.5</v>
      </c>
      <c r="U84" s="57">
        <v>6.51</v>
      </c>
      <c r="V84" s="57">
        <v>62</v>
      </c>
      <c r="W84" s="57">
        <v>7.03</v>
      </c>
      <c r="X84" s="57">
        <v>62</v>
      </c>
      <c r="Y84" s="57">
        <v>6.85</v>
      </c>
      <c r="Z84" s="57">
        <v>62</v>
      </c>
      <c r="AA84" s="57">
        <v>7.36</v>
      </c>
      <c r="AB84" s="57">
        <v>61</v>
      </c>
      <c r="AC84" s="57"/>
      <c r="AD84" s="57">
        <v>62</v>
      </c>
    </row>
    <row r="85" spans="1:30" s="38" customFormat="1" x14ac:dyDescent="0.2">
      <c r="A85" s="57" t="s">
        <v>14</v>
      </c>
      <c r="B85" s="57" t="s">
        <v>98</v>
      </c>
      <c r="C85" s="57" t="s">
        <v>42</v>
      </c>
      <c r="D85" s="57" t="s">
        <v>24</v>
      </c>
      <c r="E85" s="57">
        <v>2</v>
      </c>
      <c r="F85" s="57" t="s">
        <v>118</v>
      </c>
      <c r="G85" s="57" t="s">
        <v>19</v>
      </c>
      <c r="H85" s="57" t="s">
        <v>20</v>
      </c>
      <c r="I85" s="57" t="str">
        <f t="shared" si="2"/>
        <v>B1-P3-C3</v>
      </c>
      <c r="J85" s="57" t="str">
        <f t="shared" si="3"/>
        <v>Fagus-B1-P3-C3-B2</v>
      </c>
      <c r="K85" s="57" t="s">
        <v>64</v>
      </c>
      <c r="L85" s="57" t="s">
        <v>44</v>
      </c>
      <c r="M85" s="57" t="s">
        <v>65</v>
      </c>
      <c r="N85" s="37">
        <v>84</v>
      </c>
      <c r="O85" s="57">
        <v>8.6999999999999993</v>
      </c>
      <c r="P85" s="57">
        <v>49</v>
      </c>
      <c r="Q85" s="57">
        <v>8.98</v>
      </c>
      <c r="R85" s="57">
        <v>82</v>
      </c>
      <c r="S85" s="57">
        <v>9.26</v>
      </c>
      <c r="T85" s="57">
        <v>84</v>
      </c>
      <c r="U85" s="57">
        <v>9.8000000000000007</v>
      </c>
      <c r="V85" s="57">
        <v>83</v>
      </c>
      <c r="W85" s="57">
        <v>9.61</v>
      </c>
      <c r="X85" s="57">
        <v>84</v>
      </c>
      <c r="Y85" s="57">
        <v>9.61</v>
      </c>
      <c r="Z85" s="57">
        <v>83</v>
      </c>
      <c r="AA85" s="57">
        <v>9.59</v>
      </c>
      <c r="AB85" s="57">
        <v>84</v>
      </c>
      <c r="AC85" s="57"/>
      <c r="AD85" s="57">
        <v>83</v>
      </c>
    </row>
    <row r="86" spans="1:30" s="38" customFormat="1" x14ac:dyDescent="0.2">
      <c r="A86" s="57" t="s">
        <v>14</v>
      </c>
      <c r="B86" s="57" t="s">
        <v>98</v>
      </c>
      <c r="C86" s="57" t="s">
        <v>42</v>
      </c>
      <c r="D86" s="57" t="s">
        <v>17</v>
      </c>
      <c r="E86" s="57">
        <v>3</v>
      </c>
      <c r="F86" s="57" t="s">
        <v>119</v>
      </c>
      <c r="G86" s="57" t="s">
        <v>19</v>
      </c>
      <c r="H86" s="57" t="s">
        <v>20</v>
      </c>
      <c r="I86" s="57" t="str">
        <f t="shared" si="2"/>
        <v>B1-P3-C3</v>
      </c>
      <c r="J86" s="57" t="str">
        <f t="shared" si="3"/>
        <v>Fagus-B1-P3-C3-A3</v>
      </c>
      <c r="K86" s="57" t="s">
        <v>64</v>
      </c>
      <c r="L86" s="57" t="s">
        <v>44</v>
      </c>
      <c r="M86" s="57" t="s">
        <v>65</v>
      </c>
      <c r="N86" s="37">
        <v>85</v>
      </c>
      <c r="O86" s="57">
        <v>11.9</v>
      </c>
      <c r="P86" s="57">
        <v>102</v>
      </c>
      <c r="Q86" s="57">
        <v>11.91</v>
      </c>
      <c r="R86" s="57">
        <v>137</v>
      </c>
      <c r="S86" s="57">
        <v>12.33</v>
      </c>
      <c r="T86" s="57">
        <v>138.5</v>
      </c>
      <c r="U86" s="57">
        <v>12.34</v>
      </c>
      <c r="V86" s="57">
        <v>139</v>
      </c>
      <c r="W86" s="57">
        <v>12.54</v>
      </c>
      <c r="X86" s="57">
        <v>139</v>
      </c>
      <c r="Y86" s="57">
        <v>12.42</v>
      </c>
      <c r="Z86" s="57">
        <v>144</v>
      </c>
      <c r="AA86" s="57">
        <v>12.76</v>
      </c>
      <c r="AB86" s="57">
        <v>143</v>
      </c>
      <c r="AC86" s="57"/>
      <c r="AD86" s="57">
        <v>142</v>
      </c>
    </row>
    <row r="87" spans="1:30" s="38" customFormat="1" x14ac:dyDescent="0.2">
      <c r="A87" s="57" t="s">
        <v>14</v>
      </c>
      <c r="B87" s="57" t="s">
        <v>98</v>
      </c>
      <c r="C87" s="57" t="s">
        <v>42</v>
      </c>
      <c r="D87" s="57" t="s">
        <v>24</v>
      </c>
      <c r="E87" s="57">
        <v>3</v>
      </c>
      <c r="F87" s="57" t="s">
        <v>120</v>
      </c>
      <c r="G87" s="57" t="s">
        <v>35</v>
      </c>
      <c r="H87" s="57" t="s">
        <v>20</v>
      </c>
      <c r="I87" s="57" t="str">
        <f t="shared" si="2"/>
        <v>B1-P3-C3</v>
      </c>
      <c r="J87" s="57" t="str">
        <f t="shared" si="3"/>
        <v>Quercus-B1-P3-C3-B3</v>
      </c>
      <c r="K87" s="57" t="s">
        <v>64</v>
      </c>
      <c r="L87" s="57" t="s">
        <v>44</v>
      </c>
      <c r="M87" s="57" t="s">
        <v>65</v>
      </c>
      <c r="N87" s="37">
        <v>86</v>
      </c>
      <c r="O87" s="57">
        <v>4.9000000000000004</v>
      </c>
      <c r="P87" s="57">
        <v>35.200000000000003</v>
      </c>
      <c r="Q87" s="57">
        <v>5.44</v>
      </c>
      <c r="R87" s="57">
        <v>43</v>
      </c>
      <c r="S87" s="57">
        <v>5.3</v>
      </c>
      <c r="T87" s="57">
        <v>44</v>
      </c>
      <c r="U87" s="57">
        <v>5.24</v>
      </c>
      <c r="V87" s="57">
        <v>43</v>
      </c>
      <c r="W87" s="57">
        <v>5.37</v>
      </c>
      <c r="X87" s="57">
        <v>44</v>
      </c>
      <c r="Y87" s="57">
        <v>5.52</v>
      </c>
      <c r="Z87" s="57">
        <v>44</v>
      </c>
      <c r="AA87" s="57">
        <v>5.68</v>
      </c>
      <c r="AB87" s="57">
        <v>43</v>
      </c>
      <c r="AC87" s="57"/>
      <c r="AD87" s="57">
        <v>43</v>
      </c>
    </row>
    <row r="88" spans="1:30" s="38" customFormat="1" x14ac:dyDescent="0.2">
      <c r="A88" s="57" t="s">
        <v>14</v>
      </c>
      <c r="B88" s="57" t="s">
        <v>98</v>
      </c>
      <c r="C88" s="57" t="s">
        <v>42</v>
      </c>
      <c r="D88" s="57" t="s">
        <v>17</v>
      </c>
      <c r="E88" s="57">
        <v>4</v>
      </c>
      <c r="F88" s="57" t="s">
        <v>121</v>
      </c>
      <c r="G88" s="57" t="s">
        <v>35</v>
      </c>
      <c r="H88" s="57" t="s">
        <v>20</v>
      </c>
      <c r="I88" s="57" t="str">
        <f t="shared" si="2"/>
        <v>B1-P3-C3</v>
      </c>
      <c r="J88" s="57" t="str">
        <f t="shared" si="3"/>
        <v>Quercus-B1-P3-C3-A4</v>
      </c>
      <c r="K88" s="57" t="s">
        <v>64</v>
      </c>
      <c r="L88" s="57" t="s">
        <v>44</v>
      </c>
      <c r="M88" s="57" t="s">
        <v>65</v>
      </c>
      <c r="N88" s="37">
        <v>87</v>
      </c>
      <c r="O88" s="57">
        <v>6.1</v>
      </c>
      <c r="P88" s="57">
        <v>45</v>
      </c>
      <c r="Q88" s="57">
        <v>7.06</v>
      </c>
      <c r="R88" s="57">
        <v>57</v>
      </c>
      <c r="S88" s="57">
        <v>7.32</v>
      </c>
      <c r="T88" s="57">
        <v>58</v>
      </c>
      <c r="U88" s="57">
        <v>7.3</v>
      </c>
      <c r="V88" s="57">
        <v>58</v>
      </c>
      <c r="W88" s="57">
        <v>7.31</v>
      </c>
      <c r="X88" s="57">
        <v>58</v>
      </c>
      <c r="Y88" s="57">
        <v>7.58</v>
      </c>
      <c r="Z88" s="57">
        <v>57</v>
      </c>
      <c r="AA88" s="57">
        <v>9.24</v>
      </c>
      <c r="AB88" s="57">
        <v>65</v>
      </c>
      <c r="AC88" s="57"/>
      <c r="AD88" s="57">
        <v>64</v>
      </c>
    </row>
    <row r="89" spans="1:30" s="38" customFormat="1" x14ac:dyDescent="0.2">
      <c r="A89" s="57" t="s">
        <v>14</v>
      </c>
      <c r="B89" s="57" t="s">
        <v>98</v>
      </c>
      <c r="C89" s="57" t="s">
        <v>42</v>
      </c>
      <c r="D89" s="57" t="s">
        <v>24</v>
      </c>
      <c r="E89" s="57">
        <v>4</v>
      </c>
      <c r="F89" s="57" t="s">
        <v>122</v>
      </c>
      <c r="G89" s="57" t="s">
        <v>19</v>
      </c>
      <c r="H89" s="57" t="s">
        <v>20</v>
      </c>
      <c r="I89" s="57" t="str">
        <f t="shared" si="2"/>
        <v>B1-P3-C3</v>
      </c>
      <c r="J89" s="57" t="str">
        <f t="shared" si="3"/>
        <v>Fagus-B1-P3-C3-B4</v>
      </c>
      <c r="K89" s="57" t="s">
        <v>64</v>
      </c>
      <c r="L89" s="57" t="s">
        <v>44</v>
      </c>
      <c r="M89" s="57" t="s">
        <v>65</v>
      </c>
      <c r="N89" s="37">
        <v>88</v>
      </c>
      <c r="O89" s="57">
        <v>12.8</v>
      </c>
      <c r="P89" s="57">
        <v>86.8</v>
      </c>
      <c r="Q89" s="57">
        <v>13.35</v>
      </c>
      <c r="R89" s="57">
        <v>111</v>
      </c>
      <c r="S89" s="57">
        <v>13.54</v>
      </c>
      <c r="T89" s="57">
        <v>119</v>
      </c>
      <c r="U89" s="57">
        <v>13.68</v>
      </c>
      <c r="V89" s="57">
        <v>120</v>
      </c>
      <c r="W89" s="57">
        <v>13.6</v>
      </c>
      <c r="X89" s="57">
        <v>125.5</v>
      </c>
      <c r="Y89" s="57">
        <v>13.72</v>
      </c>
      <c r="Z89" s="57">
        <v>119</v>
      </c>
      <c r="AA89" s="57">
        <v>13.62</v>
      </c>
      <c r="AB89" s="57">
        <v>124</v>
      </c>
      <c r="AC89" s="57"/>
      <c r="AD89" s="57">
        <v>123</v>
      </c>
    </row>
    <row r="90" spans="1:30" x14ac:dyDescent="0.2">
      <c r="A90" s="60" t="s">
        <v>14</v>
      </c>
      <c r="B90" s="60" t="s">
        <v>98</v>
      </c>
      <c r="C90" s="60" t="s">
        <v>53</v>
      </c>
      <c r="D90" s="60" t="s">
        <v>17</v>
      </c>
      <c r="E90" s="60">
        <v>1</v>
      </c>
      <c r="F90" s="60" t="s">
        <v>123</v>
      </c>
      <c r="G90" s="60" t="s">
        <v>19</v>
      </c>
      <c r="H90" s="60" t="s">
        <v>20</v>
      </c>
      <c r="I90" s="60" t="str">
        <f t="shared" si="2"/>
        <v>B1-P3-C4</v>
      </c>
      <c r="J90" s="60" t="str">
        <f t="shared" si="3"/>
        <v>Fagus-B1-P3-C4-A1</v>
      </c>
      <c r="K90" s="60" t="s">
        <v>64</v>
      </c>
      <c r="L90" s="60" t="s">
        <v>44</v>
      </c>
      <c r="M90" s="60" t="s">
        <v>65</v>
      </c>
      <c r="N90" s="15">
        <v>89</v>
      </c>
      <c r="O90" s="60">
        <v>8.5</v>
      </c>
      <c r="P90" s="60">
        <v>57</v>
      </c>
      <c r="Q90" s="60">
        <v>8.6300000000000008</v>
      </c>
      <c r="R90" s="60">
        <v>75.5</v>
      </c>
      <c r="S90" s="3">
        <v>9.0299999999999994</v>
      </c>
      <c r="T90" s="3">
        <v>76</v>
      </c>
      <c r="U90" s="3">
        <v>9.15</v>
      </c>
      <c r="V90" s="3">
        <v>74.5</v>
      </c>
      <c r="W90" s="3">
        <v>8.99</v>
      </c>
      <c r="X90" s="3">
        <v>75.5</v>
      </c>
      <c r="Y90" s="3">
        <v>8.98</v>
      </c>
      <c r="Z90" s="3">
        <v>74</v>
      </c>
      <c r="AA90" s="3">
        <v>9.25</v>
      </c>
      <c r="AB90" s="3">
        <v>75</v>
      </c>
      <c r="AC90" s="3"/>
      <c r="AD90" s="3">
        <v>74</v>
      </c>
    </row>
    <row r="91" spans="1:30" x14ac:dyDescent="0.2">
      <c r="A91" s="60" t="s">
        <v>14</v>
      </c>
      <c r="B91" s="60" t="s">
        <v>98</v>
      </c>
      <c r="C91" s="60" t="s">
        <v>53</v>
      </c>
      <c r="D91" s="60" t="s">
        <v>24</v>
      </c>
      <c r="E91" s="60">
        <v>1</v>
      </c>
      <c r="F91" s="60" t="s">
        <v>124</v>
      </c>
      <c r="G91" s="60" t="s">
        <v>19</v>
      </c>
      <c r="H91" s="60" t="s">
        <v>20</v>
      </c>
      <c r="I91" s="60" t="str">
        <f t="shared" si="2"/>
        <v>B1-P3-C4</v>
      </c>
      <c r="J91" s="60" t="str">
        <f t="shared" si="3"/>
        <v>Fagus-B1-P3-C4-B1</v>
      </c>
      <c r="K91" s="60" t="s">
        <v>64</v>
      </c>
      <c r="L91" s="60" t="s">
        <v>44</v>
      </c>
      <c r="M91" s="60" t="s">
        <v>65</v>
      </c>
      <c r="N91" s="15">
        <v>90</v>
      </c>
      <c r="O91" s="60">
        <v>9.6999999999999993</v>
      </c>
      <c r="P91" s="60">
        <v>71.400000000000006</v>
      </c>
      <c r="Q91" s="60">
        <v>9.91</v>
      </c>
      <c r="R91" s="60">
        <v>72.5</v>
      </c>
      <c r="S91" s="3">
        <v>10.56</v>
      </c>
      <c r="T91" s="3">
        <v>72.5</v>
      </c>
      <c r="U91" s="3">
        <v>9.8800000000000008</v>
      </c>
      <c r="V91" s="3">
        <v>73</v>
      </c>
      <c r="W91" s="3">
        <v>10.88</v>
      </c>
      <c r="X91" s="3">
        <v>73</v>
      </c>
      <c r="Y91" s="3">
        <v>10.58</v>
      </c>
      <c r="Z91" s="3">
        <v>72</v>
      </c>
      <c r="AA91" s="3">
        <v>10.97</v>
      </c>
      <c r="AB91" s="3">
        <v>72</v>
      </c>
      <c r="AC91" s="3"/>
      <c r="AD91" s="3">
        <v>72</v>
      </c>
    </row>
    <row r="92" spans="1:30" x14ac:dyDescent="0.2">
      <c r="A92" s="60" t="s">
        <v>14</v>
      </c>
      <c r="B92" s="60" t="s">
        <v>98</v>
      </c>
      <c r="C92" s="60" t="s">
        <v>53</v>
      </c>
      <c r="D92" s="60" t="s">
        <v>17</v>
      </c>
      <c r="E92" s="60">
        <v>2</v>
      </c>
      <c r="F92" s="60" t="s">
        <v>125</v>
      </c>
      <c r="G92" s="60" t="s">
        <v>19</v>
      </c>
      <c r="H92" s="60" t="s">
        <v>20</v>
      </c>
      <c r="I92" s="60" t="str">
        <f t="shared" si="2"/>
        <v>B1-P3-C4</v>
      </c>
      <c r="J92" s="60" t="str">
        <f t="shared" si="3"/>
        <v>Fagus-B1-P3-C4-A2</v>
      </c>
      <c r="K92" s="60" t="s">
        <v>64</v>
      </c>
      <c r="L92" s="60" t="s">
        <v>44</v>
      </c>
      <c r="M92" s="60" t="s">
        <v>65</v>
      </c>
      <c r="N92" s="15">
        <v>91</v>
      </c>
      <c r="O92" s="60">
        <v>6.4</v>
      </c>
      <c r="P92" s="60">
        <v>46.3</v>
      </c>
      <c r="Q92" s="60">
        <v>6.72</v>
      </c>
      <c r="R92" s="60">
        <v>57</v>
      </c>
      <c r="S92" s="3">
        <v>6.3</v>
      </c>
      <c r="T92" s="3">
        <v>57.5</v>
      </c>
      <c r="U92" s="3">
        <v>6.66</v>
      </c>
      <c r="V92" s="3">
        <v>56</v>
      </c>
      <c r="W92" s="3">
        <v>6.67</v>
      </c>
      <c r="X92" s="3">
        <v>58</v>
      </c>
      <c r="Y92" s="3">
        <v>6.49</v>
      </c>
      <c r="Z92" s="3">
        <v>56</v>
      </c>
      <c r="AA92" s="3">
        <v>6.74</v>
      </c>
      <c r="AB92" s="3">
        <v>58</v>
      </c>
      <c r="AC92" s="3"/>
      <c r="AD92" s="3">
        <v>58</v>
      </c>
    </row>
    <row r="93" spans="1:30" x14ac:dyDescent="0.2">
      <c r="A93" s="60" t="s">
        <v>14</v>
      </c>
      <c r="B93" s="60" t="s">
        <v>98</v>
      </c>
      <c r="C93" s="60" t="s">
        <v>53</v>
      </c>
      <c r="D93" s="60" t="s">
        <v>24</v>
      </c>
      <c r="E93" s="60">
        <v>2</v>
      </c>
      <c r="F93" s="60" t="s">
        <v>126</v>
      </c>
      <c r="G93" s="60" t="s">
        <v>19</v>
      </c>
      <c r="H93" s="60" t="s">
        <v>20</v>
      </c>
      <c r="I93" s="60" t="str">
        <f t="shared" si="2"/>
        <v>B1-P3-C4</v>
      </c>
      <c r="J93" s="60" t="str">
        <f t="shared" si="3"/>
        <v>Fagus-B1-P3-C4-B2</v>
      </c>
      <c r="K93" s="60" t="s">
        <v>64</v>
      </c>
      <c r="L93" s="60" t="s">
        <v>44</v>
      </c>
      <c r="M93" s="60" t="s">
        <v>65</v>
      </c>
      <c r="N93" s="15">
        <v>92</v>
      </c>
      <c r="O93" s="60">
        <v>7.3</v>
      </c>
      <c r="P93" s="60">
        <v>66.2</v>
      </c>
      <c r="Q93" s="60">
        <v>7.34</v>
      </c>
      <c r="R93" s="60">
        <v>72</v>
      </c>
      <c r="S93" s="3">
        <v>7.34</v>
      </c>
      <c r="T93" s="3">
        <v>75.5</v>
      </c>
      <c r="U93" s="3">
        <v>7.51</v>
      </c>
      <c r="V93" s="3">
        <v>74</v>
      </c>
      <c r="W93" s="3">
        <v>7.68</v>
      </c>
      <c r="X93" s="3">
        <v>74</v>
      </c>
      <c r="Y93" s="3">
        <v>7.33</v>
      </c>
      <c r="Z93" s="3">
        <v>73</v>
      </c>
      <c r="AA93" s="3">
        <v>7.6</v>
      </c>
      <c r="AB93" s="3">
        <v>73</v>
      </c>
      <c r="AC93" s="3"/>
      <c r="AD93" s="3">
        <v>73</v>
      </c>
    </row>
    <row r="94" spans="1:30" x14ac:dyDescent="0.2">
      <c r="A94" s="60" t="s">
        <v>14</v>
      </c>
      <c r="B94" s="60" t="s">
        <v>98</v>
      </c>
      <c r="C94" s="60" t="s">
        <v>53</v>
      </c>
      <c r="D94" s="60" t="s">
        <v>17</v>
      </c>
      <c r="E94" s="60">
        <v>3</v>
      </c>
      <c r="F94" s="60" t="s">
        <v>127</v>
      </c>
      <c r="G94" s="60" t="s">
        <v>19</v>
      </c>
      <c r="H94" s="60" t="s">
        <v>20</v>
      </c>
      <c r="I94" s="60" t="str">
        <f t="shared" si="2"/>
        <v>B1-P3-C4</v>
      </c>
      <c r="J94" s="60" t="str">
        <f t="shared" si="3"/>
        <v>Fagus-B1-P3-C4-A3</v>
      </c>
      <c r="K94" s="60" t="s">
        <v>64</v>
      </c>
      <c r="L94" s="60" t="s">
        <v>44</v>
      </c>
      <c r="M94" s="60" t="s">
        <v>65</v>
      </c>
      <c r="N94" s="15">
        <v>93</v>
      </c>
      <c r="O94" s="60">
        <v>8.6</v>
      </c>
      <c r="P94" s="60">
        <v>66.3</v>
      </c>
      <c r="Q94" s="60">
        <v>8.64</v>
      </c>
      <c r="R94" s="60">
        <v>88</v>
      </c>
      <c r="S94" s="3">
        <v>9.01</v>
      </c>
      <c r="T94" s="3">
        <v>88</v>
      </c>
      <c r="U94" s="3">
        <v>8.93</v>
      </c>
      <c r="V94" s="3">
        <v>86</v>
      </c>
      <c r="W94" s="3">
        <v>8.84</v>
      </c>
      <c r="X94" s="3">
        <v>87</v>
      </c>
      <c r="Y94" s="3">
        <v>8.76</v>
      </c>
      <c r="Z94" s="3">
        <v>86</v>
      </c>
      <c r="AA94" s="3">
        <v>8.8800000000000008</v>
      </c>
      <c r="AB94" s="3">
        <v>86</v>
      </c>
      <c r="AC94" s="3"/>
      <c r="AD94" s="3">
        <v>87</v>
      </c>
    </row>
    <row r="95" spans="1:30" x14ac:dyDescent="0.2">
      <c r="A95" s="60" t="s">
        <v>14</v>
      </c>
      <c r="B95" s="60" t="s">
        <v>98</v>
      </c>
      <c r="C95" s="60" t="s">
        <v>53</v>
      </c>
      <c r="D95" s="60" t="s">
        <v>24</v>
      </c>
      <c r="E95" s="60">
        <v>3</v>
      </c>
      <c r="F95" s="60" t="s">
        <v>128</v>
      </c>
      <c r="G95" s="60" t="s">
        <v>19</v>
      </c>
      <c r="H95" s="60" t="s">
        <v>20</v>
      </c>
      <c r="I95" s="60" t="str">
        <f t="shared" si="2"/>
        <v>B1-P3-C4</v>
      </c>
      <c r="J95" s="60" t="str">
        <f t="shared" si="3"/>
        <v>Fagus-B1-P3-C4-B3</v>
      </c>
      <c r="K95" s="60" t="s">
        <v>64</v>
      </c>
      <c r="L95" s="60" t="s">
        <v>44</v>
      </c>
      <c r="M95" s="60" t="s">
        <v>65</v>
      </c>
      <c r="N95" s="15">
        <v>94</v>
      </c>
      <c r="O95" s="60">
        <v>9.1</v>
      </c>
      <c r="P95" s="60">
        <v>80</v>
      </c>
      <c r="Q95" s="60">
        <v>9.24</v>
      </c>
      <c r="R95" s="60">
        <v>92</v>
      </c>
      <c r="S95" s="3">
        <v>9.7799999999999994</v>
      </c>
      <c r="T95" s="3">
        <v>92</v>
      </c>
      <c r="U95" s="3">
        <v>9.5299999999999994</v>
      </c>
      <c r="V95" s="3">
        <v>91</v>
      </c>
      <c r="W95" s="3">
        <v>9.9</v>
      </c>
      <c r="X95" s="3">
        <v>92</v>
      </c>
      <c r="Y95" s="3">
        <v>10.08</v>
      </c>
      <c r="Z95" s="3">
        <v>91</v>
      </c>
      <c r="AA95" s="3">
        <v>9.84</v>
      </c>
      <c r="AB95" s="3">
        <v>91</v>
      </c>
      <c r="AC95" s="3"/>
      <c r="AD95" s="3">
        <v>90</v>
      </c>
    </row>
    <row r="96" spans="1:30" x14ac:dyDescent="0.2">
      <c r="A96" s="60" t="s">
        <v>14</v>
      </c>
      <c r="B96" s="60" t="s">
        <v>98</v>
      </c>
      <c r="C96" s="60" t="s">
        <v>53</v>
      </c>
      <c r="D96" s="60" t="s">
        <v>17</v>
      </c>
      <c r="E96" s="60">
        <v>4</v>
      </c>
      <c r="F96" s="60" t="s">
        <v>129</v>
      </c>
      <c r="G96" s="60" t="s">
        <v>19</v>
      </c>
      <c r="H96" s="60" t="s">
        <v>20</v>
      </c>
      <c r="I96" s="60" t="str">
        <f t="shared" si="2"/>
        <v>B1-P3-C4</v>
      </c>
      <c r="J96" s="60" t="str">
        <f t="shared" si="3"/>
        <v>Fagus-B1-P3-C4-A4</v>
      </c>
      <c r="K96" s="60" t="s">
        <v>64</v>
      </c>
      <c r="L96" s="60" t="s">
        <v>44</v>
      </c>
      <c r="M96" s="60" t="s">
        <v>65</v>
      </c>
      <c r="N96" s="15">
        <v>95</v>
      </c>
      <c r="O96" s="60">
        <v>11</v>
      </c>
      <c r="P96" s="60">
        <v>63</v>
      </c>
      <c r="Q96" s="60">
        <v>11.15</v>
      </c>
      <c r="R96" s="60">
        <v>95</v>
      </c>
      <c r="S96" s="3">
        <v>11.32</v>
      </c>
      <c r="T96" s="3">
        <v>96</v>
      </c>
      <c r="U96" s="3">
        <v>11.26</v>
      </c>
      <c r="V96" s="3">
        <v>97</v>
      </c>
      <c r="W96" s="3">
        <v>11.24</v>
      </c>
      <c r="X96" s="3">
        <v>95.5</v>
      </c>
      <c r="Y96" s="3">
        <v>11.15</v>
      </c>
      <c r="Z96" s="3">
        <v>102</v>
      </c>
      <c r="AA96" s="3">
        <v>11.65</v>
      </c>
      <c r="AB96" s="3">
        <v>103</v>
      </c>
      <c r="AC96" s="3"/>
      <c r="AD96" s="3">
        <v>102</v>
      </c>
    </row>
    <row r="97" spans="1:30" x14ac:dyDescent="0.2">
      <c r="A97" s="60" t="s">
        <v>14</v>
      </c>
      <c r="B97" s="60" t="s">
        <v>98</v>
      </c>
      <c r="C97" s="60" t="s">
        <v>53</v>
      </c>
      <c r="D97" s="60" t="s">
        <v>24</v>
      </c>
      <c r="E97" s="60">
        <v>4</v>
      </c>
      <c r="F97" s="60" t="s">
        <v>130</v>
      </c>
      <c r="G97" s="60" t="s">
        <v>19</v>
      </c>
      <c r="H97" s="60" t="s">
        <v>20</v>
      </c>
      <c r="I97" s="60" t="str">
        <f t="shared" si="2"/>
        <v>B1-P3-C4</v>
      </c>
      <c r="J97" s="60" t="str">
        <f t="shared" si="3"/>
        <v>Fagus-B1-P3-C4-B4</v>
      </c>
      <c r="K97" s="60" t="s">
        <v>64</v>
      </c>
      <c r="L97" s="60" t="s">
        <v>44</v>
      </c>
      <c r="M97" s="60" t="s">
        <v>65</v>
      </c>
      <c r="N97" s="15">
        <v>96</v>
      </c>
      <c r="O97" s="60">
        <v>10.1</v>
      </c>
      <c r="P97" s="60">
        <v>82</v>
      </c>
      <c r="Q97" s="60">
        <v>10.19</v>
      </c>
      <c r="R97" s="60">
        <v>111</v>
      </c>
      <c r="S97" s="3">
        <v>10.83</v>
      </c>
      <c r="T97" s="3">
        <v>111</v>
      </c>
      <c r="U97" s="3">
        <v>11.04</v>
      </c>
      <c r="V97" s="3">
        <v>111</v>
      </c>
      <c r="W97" s="3">
        <v>10.87</v>
      </c>
      <c r="X97" s="3">
        <v>113</v>
      </c>
      <c r="Y97" s="3">
        <v>10.84</v>
      </c>
      <c r="Z97" s="3">
        <v>112</v>
      </c>
      <c r="AA97" s="3">
        <v>11.2</v>
      </c>
      <c r="AB97" s="3">
        <v>113</v>
      </c>
      <c r="AC97" s="3"/>
      <c r="AD97" s="3">
        <v>111</v>
      </c>
    </row>
    <row r="98" spans="1:30" s="38" customFormat="1" x14ac:dyDescent="0.2">
      <c r="A98" s="57" t="s">
        <v>14</v>
      </c>
      <c r="B98" s="57" t="s">
        <v>131</v>
      </c>
      <c r="C98" s="57" t="s">
        <v>16</v>
      </c>
      <c r="D98" s="57" t="s">
        <v>17</v>
      </c>
      <c r="E98" s="57">
        <v>1</v>
      </c>
      <c r="F98" s="57" t="s">
        <v>132</v>
      </c>
      <c r="G98" s="57" t="s">
        <v>19</v>
      </c>
      <c r="H98" s="57" t="s">
        <v>133</v>
      </c>
      <c r="I98" s="57" t="str">
        <f t="shared" si="2"/>
        <v>B1-P4-C1</v>
      </c>
      <c r="J98" s="57" t="str">
        <f t="shared" si="3"/>
        <v>Fagus-B1-P4-C1-A1</v>
      </c>
      <c r="K98" s="57" t="s">
        <v>21</v>
      </c>
      <c r="L98" s="57" t="s">
        <v>22</v>
      </c>
      <c r="M98" s="57" t="s">
        <v>134</v>
      </c>
      <c r="N98" s="37">
        <v>97</v>
      </c>
      <c r="O98" s="57">
        <v>12</v>
      </c>
      <c r="P98" s="57">
        <v>91.8</v>
      </c>
      <c r="Q98" s="57">
        <v>12.06</v>
      </c>
      <c r="R98" s="57">
        <v>109.5</v>
      </c>
      <c r="S98" s="57">
        <v>14.01</v>
      </c>
      <c r="T98" s="57">
        <v>114</v>
      </c>
      <c r="U98" s="57">
        <v>16.39</v>
      </c>
      <c r="V98" s="57">
        <v>115</v>
      </c>
      <c r="W98" s="57">
        <v>17.760000000000002</v>
      </c>
      <c r="X98" s="57">
        <v>115</v>
      </c>
      <c r="Y98" s="57">
        <v>18.22</v>
      </c>
      <c r="Z98" s="57">
        <v>116</v>
      </c>
      <c r="AA98" s="57">
        <v>17.96</v>
      </c>
      <c r="AB98" s="57">
        <v>115</v>
      </c>
      <c r="AC98" s="57"/>
      <c r="AD98" s="57">
        <v>114</v>
      </c>
    </row>
    <row r="99" spans="1:30" s="38" customFormat="1" x14ac:dyDescent="0.2">
      <c r="A99" s="57" t="s">
        <v>14</v>
      </c>
      <c r="B99" s="57" t="s">
        <v>131</v>
      </c>
      <c r="C99" s="57" t="s">
        <v>16</v>
      </c>
      <c r="D99" s="57" t="s">
        <v>24</v>
      </c>
      <c r="E99" s="57">
        <v>1</v>
      </c>
      <c r="F99" s="57" t="s">
        <v>135</v>
      </c>
      <c r="G99" s="57" t="s">
        <v>35</v>
      </c>
      <c r="H99" s="57" t="s">
        <v>133</v>
      </c>
      <c r="I99" s="57" t="str">
        <f t="shared" si="2"/>
        <v>B1-P4-C1</v>
      </c>
      <c r="J99" s="57" t="str">
        <f t="shared" si="3"/>
        <v>Quercus-B1-P4-C1-B1</v>
      </c>
      <c r="K99" s="57" t="s">
        <v>21</v>
      </c>
      <c r="L99" s="57" t="s">
        <v>22</v>
      </c>
      <c r="M99" s="57" t="s">
        <v>134</v>
      </c>
      <c r="N99" s="37">
        <v>98</v>
      </c>
      <c r="O99" s="57">
        <v>4.5999999999999996</v>
      </c>
      <c r="P99" s="57">
        <v>38.700000000000003</v>
      </c>
      <c r="Q99" s="57">
        <v>5.35</v>
      </c>
      <c r="R99" s="57">
        <v>41</v>
      </c>
      <c r="S99" s="57">
        <v>5.55</v>
      </c>
      <c r="T99" s="57">
        <v>43</v>
      </c>
      <c r="U99" s="57">
        <v>6.16</v>
      </c>
      <c r="V99" s="57">
        <v>47</v>
      </c>
      <c r="W99" s="57">
        <v>7.18</v>
      </c>
      <c r="X99" s="57">
        <v>48</v>
      </c>
      <c r="Y99" s="57">
        <v>7.44</v>
      </c>
      <c r="Z99" s="57">
        <v>52</v>
      </c>
      <c r="AA99" s="57">
        <v>9.33</v>
      </c>
      <c r="AB99" s="57">
        <v>54</v>
      </c>
      <c r="AC99" s="57"/>
      <c r="AD99" s="57">
        <v>54</v>
      </c>
    </row>
    <row r="100" spans="1:30" s="38" customFormat="1" x14ac:dyDescent="0.2">
      <c r="A100" s="57" t="s">
        <v>14</v>
      </c>
      <c r="B100" s="57" t="s">
        <v>131</v>
      </c>
      <c r="C100" s="57" t="s">
        <v>16</v>
      </c>
      <c r="D100" s="57" t="s">
        <v>17</v>
      </c>
      <c r="E100" s="57">
        <v>2</v>
      </c>
      <c r="F100" s="57" t="s">
        <v>136</v>
      </c>
      <c r="G100" s="57" t="s">
        <v>35</v>
      </c>
      <c r="H100" s="57" t="s">
        <v>133</v>
      </c>
      <c r="I100" s="57" t="str">
        <f t="shared" si="2"/>
        <v>B1-P4-C1</v>
      </c>
      <c r="J100" s="57" t="str">
        <f t="shared" si="3"/>
        <v>Quercus-B1-P4-C1-A2</v>
      </c>
      <c r="K100" s="57" t="s">
        <v>21</v>
      </c>
      <c r="L100" s="57" t="s">
        <v>22</v>
      </c>
      <c r="M100" s="57" t="s">
        <v>134</v>
      </c>
      <c r="N100" s="37">
        <v>99</v>
      </c>
      <c r="O100" s="57">
        <v>5</v>
      </c>
      <c r="P100" s="57">
        <v>38.5</v>
      </c>
      <c r="Q100" s="57">
        <v>6.3</v>
      </c>
      <c r="R100" s="57">
        <v>46</v>
      </c>
      <c r="S100" s="57">
        <v>8.17</v>
      </c>
      <c r="T100" s="57">
        <v>49</v>
      </c>
      <c r="U100" s="57">
        <v>7.86</v>
      </c>
      <c r="V100" s="57">
        <v>49.5</v>
      </c>
      <c r="W100" s="57">
        <v>8.6199999999999992</v>
      </c>
      <c r="X100" s="57">
        <v>51</v>
      </c>
      <c r="Y100" s="57">
        <v>11.8</v>
      </c>
      <c r="Z100" s="57">
        <v>57</v>
      </c>
      <c r="AA100" s="57">
        <v>11.61</v>
      </c>
      <c r="AB100" s="57">
        <v>58</v>
      </c>
      <c r="AC100" s="57"/>
      <c r="AD100" s="57">
        <v>57</v>
      </c>
    </row>
    <row r="101" spans="1:30" s="38" customFormat="1" x14ac:dyDescent="0.2">
      <c r="A101" s="57" t="s">
        <v>14</v>
      </c>
      <c r="B101" s="57" t="s">
        <v>131</v>
      </c>
      <c r="C101" s="57" t="s">
        <v>16</v>
      </c>
      <c r="D101" s="57" t="s">
        <v>24</v>
      </c>
      <c r="E101" s="57">
        <v>2</v>
      </c>
      <c r="F101" s="57" t="s">
        <v>137</v>
      </c>
      <c r="G101" s="57" t="s">
        <v>19</v>
      </c>
      <c r="H101" s="57" t="s">
        <v>133</v>
      </c>
      <c r="I101" s="57" t="str">
        <f t="shared" si="2"/>
        <v>B1-P4-C1</v>
      </c>
      <c r="J101" s="57" t="str">
        <f t="shared" si="3"/>
        <v>Fagus-B1-P4-C1-B2</v>
      </c>
      <c r="K101" s="57" t="s">
        <v>21</v>
      </c>
      <c r="L101" s="57" t="s">
        <v>22</v>
      </c>
      <c r="M101" s="57" t="s">
        <v>134</v>
      </c>
      <c r="N101" s="37">
        <v>100</v>
      </c>
      <c r="O101" s="57">
        <v>10.3</v>
      </c>
      <c r="P101" s="57">
        <v>78.099999999999994</v>
      </c>
      <c r="Q101" s="57">
        <v>10.51</v>
      </c>
      <c r="R101" s="57">
        <v>78.5</v>
      </c>
      <c r="S101" s="57">
        <v>12.43</v>
      </c>
      <c r="T101" s="57">
        <v>78.5</v>
      </c>
      <c r="U101" s="57">
        <v>14.37</v>
      </c>
      <c r="V101" s="57">
        <v>81</v>
      </c>
      <c r="W101" s="57">
        <v>15.2</v>
      </c>
      <c r="X101" s="57">
        <v>99</v>
      </c>
      <c r="Y101" s="57">
        <v>15.69</v>
      </c>
      <c r="Z101" s="57">
        <v>103</v>
      </c>
      <c r="AA101" s="57">
        <v>15.59</v>
      </c>
      <c r="AB101" s="57">
        <v>106</v>
      </c>
      <c r="AC101" s="57"/>
      <c r="AD101" s="57">
        <v>104</v>
      </c>
    </row>
    <row r="102" spans="1:30" s="38" customFormat="1" x14ac:dyDescent="0.2">
      <c r="A102" s="57" t="s">
        <v>14</v>
      </c>
      <c r="B102" s="57" t="s">
        <v>131</v>
      </c>
      <c r="C102" s="57" t="s">
        <v>16</v>
      </c>
      <c r="D102" s="57" t="s">
        <v>17</v>
      </c>
      <c r="E102" s="57">
        <v>3</v>
      </c>
      <c r="F102" s="57" t="s">
        <v>138</v>
      </c>
      <c r="G102" s="57" t="s">
        <v>19</v>
      </c>
      <c r="H102" s="57" t="s">
        <v>133</v>
      </c>
      <c r="I102" s="57" t="str">
        <f t="shared" si="2"/>
        <v>B1-P4-C1</v>
      </c>
      <c r="J102" s="57" t="str">
        <f t="shared" si="3"/>
        <v>Fagus-B1-P4-C1-A3</v>
      </c>
      <c r="K102" s="57" t="s">
        <v>21</v>
      </c>
      <c r="L102" s="57" t="s">
        <v>22</v>
      </c>
      <c r="M102" s="57" t="s">
        <v>134</v>
      </c>
      <c r="N102" s="37">
        <v>101</v>
      </c>
      <c r="O102" s="57">
        <v>10.1</v>
      </c>
      <c r="P102" s="57">
        <v>69.3</v>
      </c>
      <c r="Q102" s="57">
        <v>10.199999999999999</v>
      </c>
      <c r="R102" s="57">
        <v>72.5</v>
      </c>
      <c r="S102" s="57">
        <v>11.78</v>
      </c>
      <c r="T102" s="57">
        <v>73.5</v>
      </c>
      <c r="U102" s="57">
        <v>13.66</v>
      </c>
      <c r="V102" s="57">
        <v>84</v>
      </c>
      <c r="W102" s="57">
        <v>14.13</v>
      </c>
      <c r="X102" s="57">
        <v>88</v>
      </c>
      <c r="Y102" s="57">
        <v>14.5</v>
      </c>
      <c r="Z102" s="57">
        <v>90</v>
      </c>
      <c r="AA102" s="57">
        <v>14.8</v>
      </c>
      <c r="AB102" s="57">
        <v>92</v>
      </c>
      <c r="AC102" s="57"/>
      <c r="AD102" s="57">
        <v>91</v>
      </c>
    </row>
    <row r="103" spans="1:30" s="38" customFormat="1" x14ac:dyDescent="0.2">
      <c r="A103" s="57" t="s">
        <v>14</v>
      </c>
      <c r="B103" s="57" t="s">
        <v>131</v>
      </c>
      <c r="C103" s="57" t="s">
        <v>16</v>
      </c>
      <c r="D103" s="57" t="s">
        <v>24</v>
      </c>
      <c r="E103" s="57">
        <v>3</v>
      </c>
      <c r="F103" s="57" t="s">
        <v>139</v>
      </c>
      <c r="G103" s="57" t="s">
        <v>35</v>
      </c>
      <c r="H103" s="57" t="s">
        <v>133</v>
      </c>
      <c r="I103" s="57" t="str">
        <f t="shared" si="2"/>
        <v>B1-P4-C1</v>
      </c>
      <c r="J103" s="57" t="str">
        <f t="shared" si="3"/>
        <v>Quercus-B1-P4-C1-B3</v>
      </c>
      <c r="K103" s="57" t="s">
        <v>21</v>
      </c>
      <c r="L103" s="57" t="s">
        <v>22</v>
      </c>
      <c r="M103" s="57" t="s">
        <v>134</v>
      </c>
      <c r="N103" s="37">
        <v>102</v>
      </c>
      <c r="O103" s="57">
        <v>6</v>
      </c>
      <c r="P103" s="57">
        <v>47.4</v>
      </c>
      <c r="Q103" s="57">
        <v>6.8</v>
      </c>
      <c r="R103" s="57">
        <v>55</v>
      </c>
      <c r="S103" s="57">
        <v>7.6</v>
      </c>
      <c r="T103" s="57">
        <v>58.5</v>
      </c>
      <c r="U103" s="57">
        <v>8.33</v>
      </c>
      <c r="V103" s="57">
        <v>80</v>
      </c>
      <c r="W103" s="57">
        <v>9.2100000000000009</v>
      </c>
      <c r="X103" s="57">
        <v>81</v>
      </c>
      <c r="Y103" s="57">
        <v>9.52</v>
      </c>
      <c r="Z103" s="57">
        <v>93</v>
      </c>
      <c r="AA103" s="57">
        <v>10.72</v>
      </c>
      <c r="AB103" s="57">
        <v>95</v>
      </c>
      <c r="AC103" s="57"/>
      <c r="AD103" s="57">
        <v>95</v>
      </c>
    </row>
    <row r="104" spans="1:30" s="38" customFormat="1" x14ac:dyDescent="0.2">
      <c r="A104" s="57" t="s">
        <v>14</v>
      </c>
      <c r="B104" s="57" t="s">
        <v>131</v>
      </c>
      <c r="C104" s="57" t="s">
        <v>16</v>
      </c>
      <c r="D104" s="57" t="s">
        <v>17</v>
      </c>
      <c r="E104" s="57">
        <v>4</v>
      </c>
      <c r="F104" s="57" t="s">
        <v>140</v>
      </c>
      <c r="G104" s="57" t="s">
        <v>35</v>
      </c>
      <c r="H104" s="57" t="s">
        <v>133</v>
      </c>
      <c r="I104" s="57" t="str">
        <f t="shared" si="2"/>
        <v>B1-P4-C1</v>
      </c>
      <c r="J104" s="57" t="str">
        <f t="shared" si="3"/>
        <v>Quercus-B1-P4-C1-A4</v>
      </c>
      <c r="K104" s="57" t="s">
        <v>21</v>
      </c>
      <c r="L104" s="57" t="s">
        <v>22</v>
      </c>
      <c r="M104" s="57" t="s">
        <v>134</v>
      </c>
      <c r="N104" s="37">
        <v>103</v>
      </c>
      <c r="O104" s="57">
        <v>5.5</v>
      </c>
      <c r="P104" s="57">
        <v>34.299999999999997</v>
      </c>
      <c r="Q104" s="57">
        <v>6.1</v>
      </c>
      <c r="R104" s="57">
        <v>43</v>
      </c>
      <c r="S104" s="57">
        <v>7.5</v>
      </c>
      <c r="T104" s="57">
        <v>43</v>
      </c>
      <c r="U104" s="57">
        <v>8.16</v>
      </c>
      <c r="V104" s="57">
        <v>48</v>
      </c>
      <c r="W104" s="57">
        <v>8.5399999999999991</v>
      </c>
      <c r="X104" s="57">
        <v>50</v>
      </c>
      <c r="Y104" s="57">
        <v>9.91</v>
      </c>
      <c r="Z104" s="57">
        <v>53</v>
      </c>
      <c r="AA104" s="57">
        <v>9.85</v>
      </c>
      <c r="AB104" s="57">
        <v>54.5</v>
      </c>
      <c r="AC104" s="57"/>
      <c r="AD104" s="57">
        <v>54</v>
      </c>
    </row>
    <row r="105" spans="1:30" s="38" customFormat="1" x14ac:dyDescent="0.2">
      <c r="A105" s="57" t="s">
        <v>14</v>
      </c>
      <c r="B105" s="57" t="s">
        <v>131</v>
      </c>
      <c r="C105" s="57" t="s">
        <v>16</v>
      </c>
      <c r="D105" s="57" t="s">
        <v>24</v>
      </c>
      <c r="E105" s="57">
        <v>4</v>
      </c>
      <c r="F105" s="57" t="s">
        <v>141</v>
      </c>
      <c r="G105" s="57" t="s">
        <v>19</v>
      </c>
      <c r="H105" s="57" t="s">
        <v>133</v>
      </c>
      <c r="I105" s="57" t="str">
        <f t="shared" si="2"/>
        <v>B1-P4-C1</v>
      </c>
      <c r="J105" s="57" t="str">
        <f t="shared" si="3"/>
        <v>Fagus-B1-P4-C1-B4</v>
      </c>
      <c r="K105" s="57" t="s">
        <v>21</v>
      </c>
      <c r="L105" s="57" t="s">
        <v>22</v>
      </c>
      <c r="M105" s="57" t="s">
        <v>134</v>
      </c>
      <c r="N105" s="37">
        <v>104</v>
      </c>
      <c r="O105" s="57">
        <v>9.8000000000000007</v>
      </c>
      <c r="P105" s="57">
        <v>93.5</v>
      </c>
      <c r="Q105" s="57">
        <v>9.6999999999999993</v>
      </c>
      <c r="R105" s="57">
        <v>94</v>
      </c>
      <c r="S105" s="57">
        <v>12.49</v>
      </c>
      <c r="T105" s="57">
        <v>94</v>
      </c>
      <c r="U105" s="57">
        <v>14.19</v>
      </c>
      <c r="V105" s="57">
        <v>105</v>
      </c>
      <c r="W105" s="57">
        <v>14.71</v>
      </c>
      <c r="X105" s="57">
        <v>114.5</v>
      </c>
      <c r="Y105" s="57">
        <v>14.94</v>
      </c>
      <c r="Z105" s="57">
        <v>125</v>
      </c>
      <c r="AA105" s="57">
        <v>14.72</v>
      </c>
      <c r="AB105" s="57">
        <v>127</v>
      </c>
      <c r="AC105" s="57"/>
      <c r="AD105" s="57">
        <v>126</v>
      </c>
    </row>
    <row r="106" spans="1:30" x14ac:dyDescent="0.2">
      <c r="A106" s="60" t="s">
        <v>14</v>
      </c>
      <c r="B106" s="60" t="s">
        <v>131</v>
      </c>
      <c r="C106" s="60" t="s">
        <v>32</v>
      </c>
      <c r="D106" s="60" t="s">
        <v>17</v>
      </c>
      <c r="E106" s="60">
        <v>1</v>
      </c>
      <c r="F106" s="60" t="s">
        <v>142</v>
      </c>
      <c r="G106" s="60" t="s">
        <v>19</v>
      </c>
      <c r="H106" s="60" t="s">
        <v>133</v>
      </c>
      <c r="I106" s="60" t="str">
        <f t="shared" si="2"/>
        <v>B1-P4-C2</v>
      </c>
      <c r="J106" s="60" t="str">
        <f t="shared" si="3"/>
        <v>Fagus-B1-P4-C2-A1</v>
      </c>
      <c r="K106" s="60" t="s">
        <v>21</v>
      </c>
      <c r="L106" s="60" t="s">
        <v>44</v>
      </c>
      <c r="M106" s="60" t="s">
        <v>143</v>
      </c>
      <c r="N106" s="15">
        <v>105</v>
      </c>
      <c r="O106" s="60">
        <v>9.6999999999999993</v>
      </c>
      <c r="P106" s="60">
        <v>80.7</v>
      </c>
      <c r="Q106" s="60">
        <v>9.5</v>
      </c>
      <c r="R106" s="60">
        <v>81</v>
      </c>
      <c r="S106" s="3">
        <v>10.88</v>
      </c>
      <c r="T106" s="3">
        <v>81</v>
      </c>
      <c r="U106" s="3">
        <v>11.17</v>
      </c>
      <c r="V106" s="3">
        <v>80</v>
      </c>
      <c r="W106" s="3">
        <v>11.34</v>
      </c>
      <c r="X106" s="3">
        <v>81.5</v>
      </c>
      <c r="Y106" s="3">
        <v>11.52</v>
      </c>
      <c r="Z106" s="3">
        <v>80</v>
      </c>
      <c r="AA106" s="3">
        <v>11.24</v>
      </c>
      <c r="AB106" s="3">
        <v>80</v>
      </c>
      <c r="AC106" s="3"/>
      <c r="AD106" s="3">
        <v>80</v>
      </c>
    </row>
    <row r="107" spans="1:30" x14ac:dyDescent="0.2">
      <c r="A107" s="60" t="s">
        <v>14</v>
      </c>
      <c r="B107" s="60" t="s">
        <v>131</v>
      </c>
      <c r="C107" s="60" t="s">
        <v>32</v>
      </c>
      <c r="D107" s="60" t="s">
        <v>24</v>
      </c>
      <c r="E107" s="60">
        <v>1</v>
      </c>
      <c r="F107" s="60" t="s">
        <v>144</v>
      </c>
      <c r="G107" s="60" t="s">
        <v>19</v>
      </c>
      <c r="H107" s="60" t="s">
        <v>133</v>
      </c>
      <c r="I107" s="60" t="str">
        <f t="shared" si="2"/>
        <v>B1-P4-C2</v>
      </c>
      <c r="J107" s="60" t="str">
        <f t="shared" si="3"/>
        <v>Fagus-B1-P4-C2-B1</v>
      </c>
      <c r="K107" s="60" t="s">
        <v>21</v>
      </c>
      <c r="L107" s="60" t="s">
        <v>44</v>
      </c>
      <c r="M107" s="60" t="s">
        <v>143</v>
      </c>
      <c r="N107" s="15">
        <v>106</v>
      </c>
      <c r="O107" s="60">
        <v>8.6999999999999993</v>
      </c>
      <c r="P107" s="60">
        <v>8.1999999999999993</v>
      </c>
      <c r="Q107" s="60">
        <v>8.76</v>
      </c>
      <c r="R107" s="60">
        <v>82.5</v>
      </c>
      <c r="S107" s="3">
        <v>10.45</v>
      </c>
      <c r="T107" s="3">
        <v>83</v>
      </c>
      <c r="U107" s="3">
        <v>10.59</v>
      </c>
      <c r="V107" s="3">
        <v>81</v>
      </c>
      <c r="W107" s="3">
        <v>11.8</v>
      </c>
      <c r="X107" s="3">
        <v>79.5</v>
      </c>
      <c r="Y107" s="3">
        <v>11.14</v>
      </c>
      <c r="Z107" s="3">
        <v>79</v>
      </c>
      <c r="AA107" s="3">
        <v>11.77</v>
      </c>
      <c r="AB107" s="3">
        <v>81</v>
      </c>
      <c r="AC107" s="3"/>
      <c r="AD107" s="3">
        <v>81</v>
      </c>
    </row>
    <row r="108" spans="1:30" x14ac:dyDescent="0.2">
      <c r="A108" s="60" t="s">
        <v>14</v>
      </c>
      <c r="B108" s="60" t="s">
        <v>131</v>
      </c>
      <c r="C108" s="60" t="s">
        <v>32</v>
      </c>
      <c r="D108" s="60" t="s">
        <v>17</v>
      </c>
      <c r="E108" s="60">
        <v>2</v>
      </c>
      <c r="F108" s="60" t="s">
        <v>145</v>
      </c>
      <c r="G108" s="60" t="s">
        <v>19</v>
      </c>
      <c r="H108" s="60" t="s">
        <v>133</v>
      </c>
      <c r="I108" s="60" t="str">
        <f t="shared" si="2"/>
        <v>B1-P4-C2</v>
      </c>
      <c r="J108" s="60" t="str">
        <f t="shared" si="3"/>
        <v>Fagus-B1-P4-C2-A2</v>
      </c>
      <c r="K108" s="60" t="s">
        <v>21</v>
      </c>
      <c r="L108" s="60" t="s">
        <v>44</v>
      </c>
      <c r="M108" s="60" t="s">
        <v>143</v>
      </c>
      <c r="N108" s="15">
        <v>107</v>
      </c>
      <c r="O108" s="60">
        <v>12.6</v>
      </c>
      <c r="P108" s="60">
        <v>128</v>
      </c>
      <c r="Q108" s="60">
        <v>12.4</v>
      </c>
      <c r="R108" s="60">
        <v>152</v>
      </c>
      <c r="S108" s="3">
        <v>13.75</v>
      </c>
      <c r="T108" s="3">
        <v>159</v>
      </c>
      <c r="U108" s="3">
        <v>14.05</v>
      </c>
      <c r="V108" s="3">
        <v>157</v>
      </c>
      <c r="W108" s="3">
        <v>14.07</v>
      </c>
      <c r="X108" s="3">
        <v>158</v>
      </c>
      <c r="Y108" s="3">
        <v>14.49</v>
      </c>
      <c r="Z108" s="3">
        <v>158</v>
      </c>
      <c r="AA108" s="3">
        <v>14.1</v>
      </c>
      <c r="AB108" s="3">
        <v>159</v>
      </c>
      <c r="AC108" s="3"/>
      <c r="AD108" s="3">
        <v>160</v>
      </c>
    </row>
    <row r="109" spans="1:30" x14ac:dyDescent="0.2">
      <c r="A109" s="60" t="s">
        <v>14</v>
      </c>
      <c r="B109" s="60" t="s">
        <v>131</v>
      </c>
      <c r="C109" s="60" t="s">
        <v>32</v>
      </c>
      <c r="D109" s="60" t="s">
        <v>24</v>
      </c>
      <c r="E109" s="60">
        <v>2</v>
      </c>
      <c r="F109" s="60" t="s">
        <v>146</v>
      </c>
      <c r="G109" s="60" t="s">
        <v>19</v>
      </c>
      <c r="H109" s="60" t="s">
        <v>133</v>
      </c>
      <c r="I109" s="60" t="str">
        <f t="shared" si="2"/>
        <v>B1-P4-C2</v>
      </c>
      <c r="J109" s="60" t="str">
        <f t="shared" si="3"/>
        <v>Fagus-B1-P4-C2-B2</v>
      </c>
      <c r="K109" s="60" t="s">
        <v>21</v>
      </c>
      <c r="L109" s="60" t="s">
        <v>44</v>
      </c>
      <c r="M109" s="60" t="s">
        <v>143</v>
      </c>
      <c r="N109" s="15">
        <v>108</v>
      </c>
      <c r="O109" s="60">
        <v>8</v>
      </c>
      <c r="P109" s="60">
        <v>97.5</v>
      </c>
      <c r="Q109" s="60">
        <v>8.3000000000000007</v>
      </c>
      <c r="R109" s="60">
        <v>97.5</v>
      </c>
      <c r="S109" s="3">
        <v>9.7899999999999991</v>
      </c>
      <c r="T109" s="3">
        <v>97.5</v>
      </c>
      <c r="U109" s="3">
        <v>9.9499999999999993</v>
      </c>
      <c r="V109" s="3">
        <v>97</v>
      </c>
      <c r="W109" s="3">
        <v>10.52</v>
      </c>
      <c r="X109" s="3">
        <v>99</v>
      </c>
      <c r="Y109" s="3">
        <v>10.8</v>
      </c>
      <c r="Z109" s="3">
        <v>98</v>
      </c>
      <c r="AA109" s="3">
        <v>11.37</v>
      </c>
      <c r="AB109" s="3">
        <v>98.5</v>
      </c>
      <c r="AC109" s="3"/>
      <c r="AD109" s="3">
        <v>99</v>
      </c>
    </row>
    <row r="110" spans="1:30" x14ac:dyDescent="0.2">
      <c r="A110" s="60" t="s">
        <v>14</v>
      </c>
      <c r="B110" s="60" t="s">
        <v>131</v>
      </c>
      <c r="C110" s="60" t="s">
        <v>32</v>
      </c>
      <c r="D110" s="60" t="s">
        <v>17</v>
      </c>
      <c r="E110" s="60">
        <v>3</v>
      </c>
      <c r="F110" s="60" t="s">
        <v>147</v>
      </c>
      <c r="G110" s="60" t="s">
        <v>19</v>
      </c>
      <c r="H110" s="60" t="s">
        <v>133</v>
      </c>
      <c r="I110" s="60" t="str">
        <f t="shared" si="2"/>
        <v>B1-P4-C2</v>
      </c>
      <c r="J110" s="60" t="str">
        <f t="shared" si="3"/>
        <v>Fagus-B1-P4-C2-A3</v>
      </c>
      <c r="K110" s="60" t="s">
        <v>21</v>
      </c>
      <c r="L110" s="60" t="s">
        <v>44</v>
      </c>
      <c r="M110" s="60" t="s">
        <v>143</v>
      </c>
      <c r="N110" s="15">
        <v>109</v>
      </c>
      <c r="O110" s="60">
        <v>9.3000000000000007</v>
      </c>
      <c r="P110" s="60">
        <v>78.5</v>
      </c>
      <c r="Q110" s="60">
        <v>9.35</v>
      </c>
      <c r="R110" s="60">
        <v>88.5</v>
      </c>
      <c r="S110" s="3">
        <v>10.39</v>
      </c>
      <c r="T110" s="3">
        <v>88.5</v>
      </c>
      <c r="U110" s="3">
        <v>10.69</v>
      </c>
      <c r="V110" s="3">
        <v>88</v>
      </c>
      <c r="W110" s="3">
        <v>11.23</v>
      </c>
      <c r="X110" s="3">
        <v>89.5</v>
      </c>
      <c r="Y110" s="3">
        <v>11.98</v>
      </c>
      <c r="Z110" s="3">
        <v>88</v>
      </c>
      <c r="AA110" s="3">
        <v>11.37</v>
      </c>
      <c r="AB110" s="3">
        <v>90</v>
      </c>
      <c r="AC110" s="3"/>
      <c r="AD110" s="3">
        <v>88</v>
      </c>
    </row>
    <row r="111" spans="1:30" x14ac:dyDescent="0.2">
      <c r="A111" s="60" t="s">
        <v>14</v>
      </c>
      <c r="B111" s="60" t="s">
        <v>131</v>
      </c>
      <c r="C111" s="60" t="s">
        <v>32</v>
      </c>
      <c r="D111" s="60" t="s">
        <v>24</v>
      </c>
      <c r="E111" s="60">
        <v>3</v>
      </c>
      <c r="F111" s="60" t="s">
        <v>148</v>
      </c>
      <c r="G111" s="60" t="s">
        <v>19</v>
      </c>
      <c r="H111" s="60" t="s">
        <v>133</v>
      </c>
      <c r="I111" s="60" t="str">
        <f t="shared" si="2"/>
        <v>B1-P4-C2</v>
      </c>
      <c r="J111" s="60" t="str">
        <f t="shared" si="3"/>
        <v>Fagus-B1-P4-C2-B3</v>
      </c>
      <c r="K111" s="60" t="s">
        <v>21</v>
      </c>
      <c r="L111" s="60" t="s">
        <v>44</v>
      </c>
      <c r="M111" s="60" t="s">
        <v>143</v>
      </c>
      <c r="N111" s="15">
        <v>110</v>
      </c>
      <c r="O111" s="60">
        <v>8.6</v>
      </c>
      <c r="P111" s="60">
        <v>74.8</v>
      </c>
      <c r="Q111" s="60">
        <v>9.15</v>
      </c>
      <c r="R111" s="60">
        <v>76</v>
      </c>
      <c r="S111" s="3">
        <v>9.7799999999999994</v>
      </c>
      <c r="T111" s="3">
        <v>76</v>
      </c>
      <c r="U111" s="3">
        <v>9.84</v>
      </c>
      <c r="V111" s="3">
        <v>75</v>
      </c>
      <c r="W111" s="3">
        <v>10.54</v>
      </c>
      <c r="X111" s="3">
        <v>75</v>
      </c>
      <c r="Y111" s="3">
        <v>10.26</v>
      </c>
      <c r="Z111" s="3">
        <v>74</v>
      </c>
      <c r="AA111" s="3">
        <v>10.46</v>
      </c>
      <c r="AB111" s="3">
        <v>74</v>
      </c>
      <c r="AC111" s="3"/>
      <c r="AD111" s="3">
        <v>74</v>
      </c>
    </row>
    <row r="112" spans="1:30" x14ac:dyDescent="0.2">
      <c r="A112" s="60" t="s">
        <v>14</v>
      </c>
      <c r="B112" s="60" t="s">
        <v>131</v>
      </c>
      <c r="C112" s="60" t="s">
        <v>32</v>
      </c>
      <c r="D112" s="60" t="s">
        <v>17</v>
      </c>
      <c r="E112" s="60">
        <v>4</v>
      </c>
      <c r="F112" s="60" t="s">
        <v>149</v>
      </c>
      <c r="G112" s="60" t="s">
        <v>19</v>
      </c>
      <c r="H112" s="60" t="s">
        <v>133</v>
      </c>
      <c r="I112" s="60" t="str">
        <f t="shared" si="2"/>
        <v>B1-P4-C2</v>
      </c>
      <c r="J112" s="60" t="str">
        <f t="shared" si="3"/>
        <v>Fagus-B1-P4-C2-A4</v>
      </c>
      <c r="K112" s="60" t="s">
        <v>21</v>
      </c>
      <c r="L112" s="60" t="s">
        <v>44</v>
      </c>
      <c r="M112" s="60" t="s">
        <v>143</v>
      </c>
      <c r="N112" s="15">
        <v>111</v>
      </c>
      <c r="O112" s="60">
        <v>9.8000000000000007</v>
      </c>
      <c r="P112" s="60">
        <v>71</v>
      </c>
      <c r="Q112" s="60">
        <v>9.92</v>
      </c>
      <c r="R112" s="60">
        <v>90</v>
      </c>
      <c r="S112" s="3">
        <v>11.24</v>
      </c>
      <c r="T112" s="3">
        <v>90</v>
      </c>
      <c r="U112" s="3">
        <v>11.38</v>
      </c>
      <c r="V112" s="3">
        <v>88.5</v>
      </c>
      <c r="W112" s="3">
        <v>11.81</v>
      </c>
      <c r="X112" s="3">
        <v>87</v>
      </c>
      <c r="Y112" s="3">
        <v>12.1</v>
      </c>
      <c r="Z112" s="3">
        <v>89</v>
      </c>
      <c r="AA112" s="3">
        <v>12.13</v>
      </c>
      <c r="AB112" s="3">
        <v>88</v>
      </c>
      <c r="AC112" s="3"/>
      <c r="AD112" s="3">
        <v>87</v>
      </c>
    </row>
    <row r="113" spans="1:30" x14ac:dyDescent="0.2">
      <c r="A113" s="60" t="s">
        <v>14</v>
      </c>
      <c r="B113" s="60" t="s">
        <v>131</v>
      </c>
      <c r="C113" s="60" t="s">
        <v>32</v>
      </c>
      <c r="D113" s="60" t="s">
        <v>24</v>
      </c>
      <c r="E113" s="60">
        <v>4</v>
      </c>
      <c r="F113" s="60" t="s">
        <v>150</v>
      </c>
      <c r="G113" s="60" t="s">
        <v>19</v>
      </c>
      <c r="H113" s="60" t="s">
        <v>133</v>
      </c>
      <c r="I113" s="60" t="str">
        <f t="shared" si="2"/>
        <v>B1-P4-C2</v>
      </c>
      <c r="J113" s="60" t="str">
        <f t="shared" si="3"/>
        <v>Fagus-B1-P4-C2-B4</v>
      </c>
      <c r="K113" s="60" t="s">
        <v>21</v>
      </c>
      <c r="L113" s="60" t="s">
        <v>44</v>
      </c>
      <c r="M113" s="60" t="s">
        <v>143</v>
      </c>
      <c r="N113" s="15">
        <v>112</v>
      </c>
      <c r="O113" s="60">
        <v>8.5</v>
      </c>
      <c r="P113" s="60">
        <v>86.1</v>
      </c>
      <c r="Q113" s="60">
        <v>8.5</v>
      </c>
      <c r="R113" s="60">
        <v>87</v>
      </c>
      <c r="S113" s="3">
        <v>9.5500000000000007</v>
      </c>
      <c r="T113" s="3">
        <v>87</v>
      </c>
      <c r="U113" s="3">
        <v>9.59</v>
      </c>
      <c r="V113" s="3">
        <v>85</v>
      </c>
      <c r="W113" s="3">
        <v>10.26</v>
      </c>
      <c r="X113" s="3">
        <v>90</v>
      </c>
      <c r="Y113" s="3">
        <v>10.85</v>
      </c>
      <c r="Z113" s="3">
        <v>90</v>
      </c>
      <c r="AA113" s="3">
        <v>11.07</v>
      </c>
      <c r="AB113" s="3">
        <v>90</v>
      </c>
      <c r="AC113" s="3"/>
      <c r="AD113" s="3">
        <v>90</v>
      </c>
    </row>
    <row r="114" spans="1:30" s="38" customFormat="1" x14ac:dyDescent="0.2">
      <c r="A114" s="57" t="s">
        <v>14</v>
      </c>
      <c r="B114" s="57" t="s">
        <v>131</v>
      </c>
      <c r="C114" s="57" t="s">
        <v>42</v>
      </c>
      <c r="D114" s="57" t="s">
        <v>17</v>
      </c>
      <c r="E114" s="57">
        <v>1</v>
      </c>
      <c r="F114" s="57" t="s">
        <v>151</v>
      </c>
      <c r="G114" s="57" t="s">
        <v>35</v>
      </c>
      <c r="H114" s="57" t="s">
        <v>133</v>
      </c>
      <c r="I114" s="57" t="str">
        <f t="shared" si="2"/>
        <v>B1-P4-C3</v>
      </c>
      <c r="J114" s="57" t="str">
        <f t="shared" si="3"/>
        <v>Quercus-B1-P4-C3-A1</v>
      </c>
      <c r="K114" s="57" t="s">
        <v>21</v>
      </c>
      <c r="L114" s="57" t="s">
        <v>44</v>
      </c>
      <c r="M114" s="57" t="s">
        <v>143</v>
      </c>
      <c r="N114" s="37">
        <v>113</v>
      </c>
      <c r="O114" s="57">
        <v>6.5</v>
      </c>
      <c r="P114" s="57">
        <v>44.2</v>
      </c>
      <c r="Q114" s="57">
        <v>7.5</v>
      </c>
      <c r="R114" s="57">
        <v>45.5</v>
      </c>
      <c r="S114" s="57">
        <v>8.07</v>
      </c>
      <c r="T114" s="57">
        <v>60</v>
      </c>
      <c r="U114" s="57">
        <v>8.6199999999999992</v>
      </c>
      <c r="V114" s="57">
        <v>72</v>
      </c>
      <c r="W114" s="57">
        <v>10</v>
      </c>
      <c r="X114" s="57">
        <v>75</v>
      </c>
      <c r="Y114" s="57">
        <v>9.74</v>
      </c>
      <c r="Z114" s="57">
        <v>77</v>
      </c>
      <c r="AA114" s="57">
        <v>11.39</v>
      </c>
      <c r="AB114" s="57">
        <v>78.5</v>
      </c>
      <c r="AC114" s="57"/>
      <c r="AD114" s="57">
        <v>79</v>
      </c>
    </row>
    <row r="115" spans="1:30" s="38" customFormat="1" x14ac:dyDescent="0.2">
      <c r="A115" s="57" t="s">
        <v>14</v>
      </c>
      <c r="B115" s="57" t="s">
        <v>131</v>
      </c>
      <c r="C115" s="57" t="s">
        <v>42</v>
      </c>
      <c r="D115" s="57" t="s">
        <v>24</v>
      </c>
      <c r="E115" s="57">
        <v>1</v>
      </c>
      <c r="F115" s="57" t="s">
        <v>152</v>
      </c>
      <c r="G115" s="57" t="s">
        <v>35</v>
      </c>
      <c r="H115" s="57" t="s">
        <v>133</v>
      </c>
      <c r="I115" s="57" t="str">
        <f t="shared" si="2"/>
        <v>B1-P4-C3</v>
      </c>
      <c r="J115" s="57" t="str">
        <f t="shared" si="3"/>
        <v>Quercus-B1-P4-C3-B1</v>
      </c>
      <c r="K115" s="57" t="s">
        <v>21</v>
      </c>
      <c r="L115" s="57" t="s">
        <v>44</v>
      </c>
      <c r="M115" s="57" t="s">
        <v>143</v>
      </c>
      <c r="N115" s="37">
        <v>114</v>
      </c>
      <c r="O115" s="57">
        <v>5.3</v>
      </c>
      <c r="P115" s="57">
        <v>30</v>
      </c>
      <c r="Q115" s="57">
        <v>5.56</v>
      </c>
      <c r="R115" s="57">
        <v>36</v>
      </c>
      <c r="S115" s="57">
        <v>6.09</v>
      </c>
      <c r="T115" s="57">
        <v>39</v>
      </c>
      <c r="U115" s="57">
        <v>6.89</v>
      </c>
      <c r="V115" s="57">
        <v>39</v>
      </c>
      <c r="W115" s="57">
        <v>7.11</v>
      </c>
      <c r="X115" s="57">
        <v>39.5</v>
      </c>
      <c r="Y115" s="57">
        <v>7.35</v>
      </c>
      <c r="Z115" s="57">
        <v>39</v>
      </c>
      <c r="AA115" s="57">
        <v>8.94</v>
      </c>
      <c r="AB115" s="57">
        <v>41</v>
      </c>
      <c r="AC115" s="57"/>
      <c r="AD115" s="57">
        <v>41</v>
      </c>
    </row>
    <row r="116" spans="1:30" s="38" customFormat="1" x14ac:dyDescent="0.2">
      <c r="A116" s="57" t="s">
        <v>14</v>
      </c>
      <c r="B116" s="57" t="s">
        <v>131</v>
      </c>
      <c r="C116" s="57" t="s">
        <v>42</v>
      </c>
      <c r="D116" s="57" t="s">
        <v>17</v>
      </c>
      <c r="E116" s="57">
        <v>2</v>
      </c>
      <c r="F116" s="57" t="s">
        <v>153</v>
      </c>
      <c r="G116" s="57" t="s">
        <v>35</v>
      </c>
      <c r="H116" s="57" t="s">
        <v>133</v>
      </c>
      <c r="I116" s="57" t="str">
        <f t="shared" si="2"/>
        <v>B1-P4-C3</v>
      </c>
      <c r="J116" s="57" t="str">
        <f t="shared" si="3"/>
        <v>Quercus-B1-P4-C3-A2</v>
      </c>
      <c r="K116" s="57" t="s">
        <v>21</v>
      </c>
      <c r="L116" s="57" t="s">
        <v>44</v>
      </c>
      <c r="M116" s="57" t="s">
        <v>143</v>
      </c>
      <c r="N116" s="37">
        <v>115</v>
      </c>
      <c r="O116" s="57">
        <v>4.4000000000000004</v>
      </c>
      <c r="P116" s="57">
        <v>36</v>
      </c>
      <c r="Q116" s="57">
        <v>4.6500000000000004</v>
      </c>
      <c r="R116" s="57">
        <v>36</v>
      </c>
      <c r="S116" s="57">
        <v>5.04</v>
      </c>
      <c r="T116" s="57">
        <v>43</v>
      </c>
      <c r="U116" s="57">
        <v>5.23</v>
      </c>
      <c r="V116" s="57">
        <v>44</v>
      </c>
      <c r="W116" s="57">
        <v>5.86</v>
      </c>
      <c r="X116" s="57">
        <v>47</v>
      </c>
      <c r="Y116" s="57">
        <v>6.02</v>
      </c>
      <c r="Z116" s="57">
        <v>53</v>
      </c>
      <c r="AA116" s="57">
        <v>6.08</v>
      </c>
      <c r="AB116" s="57">
        <v>53</v>
      </c>
      <c r="AC116" s="57"/>
      <c r="AD116" s="57">
        <v>52</v>
      </c>
    </row>
    <row r="117" spans="1:30" s="38" customFormat="1" x14ac:dyDescent="0.2">
      <c r="A117" s="57" t="s">
        <v>14</v>
      </c>
      <c r="B117" s="57" t="s">
        <v>131</v>
      </c>
      <c r="C117" s="57" t="s">
        <v>42</v>
      </c>
      <c r="D117" s="57" t="s">
        <v>24</v>
      </c>
      <c r="E117" s="57">
        <v>2</v>
      </c>
      <c r="F117" s="57" t="s">
        <v>154</v>
      </c>
      <c r="G117" s="57" t="s">
        <v>35</v>
      </c>
      <c r="H117" s="57" t="s">
        <v>133</v>
      </c>
      <c r="I117" s="57" t="str">
        <f t="shared" si="2"/>
        <v>B1-P4-C3</v>
      </c>
      <c r="J117" s="57" t="str">
        <f t="shared" si="3"/>
        <v>Quercus-B1-P4-C3-B2</v>
      </c>
      <c r="K117" s="57" t="s">
        <v>21</v>
      </c>
      <c r="L117" s="57" t="s">
        <v>44</v>
      </c>
      <c r="M117" s="57" t="s">
        <v>143</v>
      </c>
      <c r="N117" s="37">
        <v>116</v>
      </c>
      <c r="O117" s="57">
        <v>4.0999999999999996</v>
      </c>
      <c r="P117" s="57">
        <v>38.200000000000003</v>
      </c>
      <c r="Q117" s="57">
        <v>4.8499999999999996</v>
      </c>
      <c r="R117" s="57">
        <v>42.5</v>
      </c>
      <c r="S117" s="57">
        <v>4.8</v>
      </c>
      <c r="T117" s="57">
        <v>44</v>
      </c>
      <c r="U117" s="57">
        <v>5.0999999999999996</v>
      </c>
      <c r="V117" s="57">
        <v>44</v>
      </c>
      <c r="W117" s="57">
        <v>5.83</v>
      </c>
      <c r="X117" s="57">
        <v>62</v>
      </c>
      <c r="Y117" s="57">
        <v>5.54</v>
      </c>
      <c r="Z117" s="57">
        <v>64</v>
      </c>
      <c r="AA117" s="57">
        <v>6.49</v>
      </c>
      <c r="AB117" s="57">
        <v>63</v>
      </c>
      <c r="AC117" s="57"/>
      <c r="AD117" s="57">
        <v>63</v>
      </c>
    </row>
    <row r="118" spans="1:30" s="38" customFormat="1" x14ac:dyDescent="0.2">
      <c r="A118" s="57" t="s">
        <v>14</v>
      </c>
      <c r="B118" s="57" t="s">
        <v>131</v>
      </c>
      <c r="C118" s="57" t="s">
        <v>42</v>
      </c>
      <c r="D118" s="57" t="s">
        <v>17</v>
      </c>
      <c r="E118" s="57">
        <v>3</v>
      </c>
      <c r="F118" s="57" t="s">
        <v>155</v>
      </c>
      <c r="G118" s="57" t="s">
        <v>35</v>
      </c>
      <c r="H118" s="57" t="s">
        <v>133</v>
      </c>
      <c r="I118" s="57" t="str">
        <f t="shared" si="2"/>
        <v>B1-P4-C3</v>
      </c>
      <c r="J118" s="57" t="str">
        <f t="shared" si="3"/>
        <v>Quercus-B1-P4-C3-A3</v>
      </c>
      <c r="K118" s="57" t="s">
        <v>21</v>
      </c>
      <c r="L118" s="57" t="s">
        <v>44</v>
      </c>
      <c r="M118" s="57" t="s">
        <v>143</v>
      </c>
      <c r="N118" s="37">
        <v>117</v>
      </c>
      <c r="O118" s="57">
        <v>4.4000000000000004</v>
      </c>
      <c r="P118" s="57">
        <v>31</v>
      </c>
      <c r="Q118" s="57">
        <v>5.04</v>
      </c>
      <c r="R118" s="57">
        <v>32</v>
      </c>
      <c r="S118" s="57">
        <v>5.2</v>
      </c>
      <c r="T118" s="57">
        <v>37</v>
      </c>
      <c r="U118" s="57">
        <v>5.25</v>
      </c>
      <c r="V118" s="57">
        <v>36</v>
      </c>
      <c r="W118" s="57">
        <v>5.27</v>
      </c>
      <c r="X118" s="57">
        <v>37</v>
      </c>
      <c r="Y118" s="57">
        <v>5.79</v>
      </c>
      <c r="Z118" s="57">
        <v>34</v>
      </c>
      <c r="AA118" s="57">
        <v>6.85</v>
      </c>
      <c r="AB118" s="57">
        <v>38</v>
      </c>
      <c r="AC118" s="57"/>
      <c r="AD118" s="57">
        <v>37</v>
      </c>
    </row>
    <row r="119" spans="1:30" s="38" customFormat="1" x14ac:dyDescent="0.2">
      <c r="A119" s="57" t="s">
        <v>14</v>
      </c>
      <c r="B119" s="57" t="s">
        <v>131</v>
      </c>
      <c r="C119" s="57" t="s">
        <v>42</v>
      </c>
      <c r="D119" s="57" t="s">
        <v>24</v>
      </c>
      <c r="E119" s="57">
        <v>3</v>
      </c>
      <c r="F119" s="57" t="s">
        <v>156</v>
      </c>
      <c r="G119" s="57" t="s">
        <v>35</v>
      </c>
      <c r="H119" s="57" t="s">
        <v>133</v>
      </c>
      <c r="I119" s="57" t="str">
        <f t="shared" si="2"/>
        <v>B1-P4-C3</v>
      </c>
      <c r="J119" s="57" t="str">
        <f t="shared" si="3"/>
        <v>Quercus-B1-P4-C3-B3</v>
      </c>
      <c r="K119" s="57" t="s">
        <v>21</v>
      </c>
      <c r="L119" s="57" t="s">
        <v>44</v>
      </c>
      <c r="M119" s="57" t="s">
        <v>143</v>
      </c>
      <c r="N119" s="37">
        <v>118</v>
      </c>
      <c r="O119" s="57">
        <v>4.9000000000000004</v>
      </c>
      <c r="P119" s="57">
        <v>43</v>
      </c>
      <c r="Q119" s="57">
        <v>5.6</v>
      </c>
      <c r="R119" s="57">
        <v>50.5</v>
      </c>
      <c r="S119" s="57">
        <v>5.91</v>
      </c>
      <c r="T119" s="57">
        <v>55</v>
      </c>
      <c r="U119" s="57">
        <v>6.13</v>
      </c>
      <c r="V119" s="57">
        <v>54.5</v>
      </c>
      <c r="W119" s="57">
        <v>6.74</v>
      </c>
      <c r="X119" s="57">
        <v>55.5</v>
      </c>
      <c r="Y119" s="57">
        <v>7.58</v>
      </c>
      <c r="Z119" s="57">
        <v>61</v>
      </c>
      <c r="AA119" s="57">
        <v>8.48</v>
      </c>
      <c r="AB119" s="57">
        <v>66</v>
      </c>
      <c r="AC119" s="57"/>
      <c r="AD119" s="57">
        <v>66</v>
      </c>
    </row>
    <row r="120" spans="1:30" s="38" customFormat="1" x14ac:dyDescent="0.2">
      <c r="A120" s="57" t="s">
        <v>14</v>
      </c>
      <c r="B120" s="57" t="s">
        <v>131</v>
      </c>
      <c r="C120" s="57" t="s">
        <v>42</v>
      </c>
      <c r="D120" s="57" t="s">
        <v>17</v>
      </c>
      <c r="E120" s="57">
        <v>4</v>
      </c>
      <c r="F120" s="57" t="s">
        <v>157</v>
      </c>
      <c r="G120" s="57" t="s">
        <v>35</v>
      </c>
      <c r="H120" s="57" t="s">
        <v>133</v>
      </c>
      <c r="I120" s="57" t="str">
        <f t="shared" si="2"/>
        <v>B1-P4-C3</v>
      </c>
      <c r="J120" s="57" t="str">
        <f t="shared" si="3"/>
        <v>Quercus-B1-P4-C3-A4</v>
      </c>
      <c r="K120" s="57" t="s">
        <v>21</v>
      </c>
      <c r="L120" s="57" t="s">
        <v>44</v>
      </c>
      <c r="M120" s="57" t="s">
        <v>143</v>
      </c>
      <c r="N120" s="37">
        <v>119</v>
      </c>
      <c r="O120" s="57">
        <v>3.9</v>
      </c>
      <c r="P120" s="57">
        <v>29</v>
      </c>
      <c r="Q120" s="57">
        <v>4.37</v>
      </c>
      <c r="R120" s="57">
        <v>35</v>
      </c>
      <c r="S120" s="57">
        <v>5.0199999999999996</v>
      </c>
      <c r="T120" s="57">
        <v>38</v>
      </c>
      <c r="U120" s="57">
        <v>5.55</v>
      </c>
      <c r="V120" s="57">
        <v>46</v>
      </c>
      <c r="W120" s="57">
        <v>5.63</v>
      </c>
      <c r="X120" s="57">
        <v>48</v>
      </c>
      <c r="Y120" s="57">
        <v>6.29</v>
      </c>
      <c r="Z120" s="57">
        <v>46</v>
      </c>
      <c r="AA120" s="57">
        <v>6.55</v>
      </c>
      <c r="AB120" s="57">
        <v>53</v>
      </c>
      <c r="AC120" s="57"/>
      <c r="AD120" s="57">
        <v>52</v>
      </c>
    </row>
    <row r="121" spans="1:30" s="38" customFormat="1" x14ac:dyDescent="0.2">
      <c r="A121" s="57" t="s">
        <v>14</v>
      </c>
      <c r="B121" s="57" t="s">
        <v>131</v>
      </c>
      <c r="C121" s="57" t="s">
        <v>42</v>
      </c>
      <c r="D121" s="57" t="s">
        <v>24</v>
      </c>
      <c r="E121" s="57">
        <v>4</v>
      </c>
      <c r="F121" s="57" t="s">
        <v>158</v>
      </c>
      <c r="G121" s="57" t="s">
        <v>35</v>
      </c>
      <c r="H121" s="57" t="s">
        <v>133</v>
      </c>
      <c r="I121" s="57" t="str">
        <f t="shared" si="2"/>
        <v>B1-P4-C3</v>
      </c>
      <c r="J121" s="57" t="str">
        <f t="shared" si="3"/>
        <v>Quercus-B1-P4-C3-B4</v>
      </c>
      <c r="K121" s="57" t="s">
        <v>21</v>
      </c>
      <c r="L121" s="57" t="s">
        <v>44</v>
      </c>
      <c r="M121" s="57" t="s">
        <v>143</v>
      </c>
      <c r="N121" s="37">
        <v>120</v>
      </c>
      <c r="O121" s="57">
        <v>6.7</v>
      </c>
      <c r="P121" s="57">
        <v>45.2</v>
      </c>
      <c r="Q121" s="57">
        <v>8.0299999999999994</v>
      </c>
      <c r="R121" s="57">
        <v>55</v>
      </c>
      <c r="S121" s="57">
        <v>8.59</v>
      </c>
      <c r="T121" s="57">
        <v>58.5</v>
      </c>
      <c r="U121" s="57">
        <v>9.33</v>
      </c>
      <c r="V121" s="57">
        <v>72</v>
      </c>
      <c r="W121" s="57">
        <v>10.5</v>
      </c>
      <c r="X121" s="57">
        <v>75</v>
      </c>
      <c r="Y121" s="57">
        <v>10.050000000000001</v>
      </c>
      <c r="Z121" s="57">
        <v>77</v>
      </c>
      <c r="AA121" s="57">
        <v>11.47</v>
      </c>
      <c r="AB121" s="57">
        <v>79.5</v>
      </c>
      <c r="AC121" s="57"/>
      <c r="AD121" s="57">
        <v>79</v>
      </c>
    </row>
    <row r="122" spans="1:30" x14ac:dyDescent="0.2">
      <c r="A122" s="60" t="s">
        <v>14</v>
      </c>
      <c r="B122" s="60" t="s">
        <v>131</v>
      </c>
      <c r="C122" s="60" t="s">
        <v>53</v>
      </c>
      <c r="D122" s="60" t="s">
        <v>17</v>
      </c>
      <c r="E122" s="60">
        <v>1</v>
      </c>
      <c r="F122" s="60" t="s">
        <v>159</v>
      </c>
      <c r="G122" s="60" t="s">
        <v>19</v>
      </c>
      <c r="H122" s="60" t="s">
        <v>133</v>
      </c>
      <c r="I122" s="60" t="str">
        <f t="shared" si="2"/>
        <v>B1-P4-C4</v>
      </c>
      <c r="J122" s="60" t="str">
        <f t="shared" si="3"/>
        <v>Fagus-B1-P4-C4-A1</v>
      </c>
      <c r="K122" s="60" t="s">
        <v>21</v>
      </c>
      <c r="L122" s="60" t="s">
        <v>44</v>
      </c>
      <c r="M122" s="60" t="s">
        <v>143</v>
      </c>
      <c r="N122" s="15">
        <v>121</v>
      </c>
      <c r="O122" s="60">
        <v>8.6</v>
      </c>
      <c r="P122" s="60">
        <v>57.1</v>
      </c>
      <c r="Q122" s="60">
        <v>8.65</v>
      </c>
      <c r="R122" s="60">
        <v>60</v>
      </c>
      <c r="S122" s="3">
        <v>9.86</v>
      </c>
      <c r="T122" s="3">
        <v>60</v>
      </c>
      <c r="U122" s="3">
        <v>9.85</v>
      </c>
      <c r="V122" s="3">
        <v>58</v>
      </c>
      <c r="W122" s="3">
        <v>10.07</v>
      </c>
      <c r="X122" s="3">
        <v>59</v>
      </c>
      <c r="Y122" s="3">
        <v>11.01</v>
      </c>
      <c r="Z122" s="3">
        <v>56</v>
      </c>
      <c r="AA122" s="3">
        <v>10.91</v>
      </c>
      <c r="AB122" s="3">
        <v>57</v>
      </c>
      <c r="AC122" s="3"/>
      <c r="AD122" s="3">
        <v>57</v>
      </c>
    </row>
    <row r="123" spans="1:30" x14ac:dyDescent="0.2">
      <c r="A123" s="60" t="s">
        <v>14</v>
      </c>
      <c r="B123" s="60" t="s">
        <v>131</v>
      </c>
      <c r="C123" s="60" t="s">
        <v>53</v>
      </c>
      <c r="D123" s="60" t="s">
        <v>24</v>
      </c>
      <c r="E123" s="60">
        <v>1</v>
      </c>
      <c r="F123" s="60" t="s">
        <v>160</v>
      </c>
      <c r="G123" s="60" t="s">
        <v>35</v>
      </c>
      <c r="H123" s="60" t="s">
        <v>133</v>
      </c>
      <c r="I123" s="60" t="str">
        <f t="shared" si="2"/>
        <v>B1-P4-C4</v>
      </c>
      <c r="J123" s="60" t="str">
        <f t="shared" si="3"/>
        <v>Quercus-B1-P4-C4-B1</v>
      </c>
      <c r="K123" s="60" t="s">
        <v>21</v>
      </c>
      <c r="L123" s="60" t="s">
        <v>44</v>
      </c>
      <c r="M123" s="60" t="s">
        <v>143</v>
      </c>
      <c r="N123" s="15">
        <v>122</v>
      </c>
      <c r="O123" s="60">
        <v>5.0999999999999996</v>
      </c>
      <c r="P123" s="60">
        <v>33</v>
      </c>
      <c r="Q123" s="60">
        <v>5.78</v>
      </c>
      <c r="R123" s="60">
        <v>38</v>
      </c>
      <c r="S123" s="3">
        <v>6.92</v>
      </c>
      <c r="T123" s="3">
        <v>42</v>
      </c>
      <c r="U123" s="3">
        <v>6.3</v>
      </c>
      <c r="V123" s="3">
        <v>42</v>
      </c>
      <c r="W123" s="3">
        <v>7.04</v>
      </c>
      <c r="X123" s="3">
        <v>44.5</v>
      </c>
      <c r="Y123" s="3">
        <v>7.34</v>
      </c>
      <c r="Z123" s="3">
        <v>49</v>
      </c>
      <c r="AA123" s="3">
        <v>8.27</v>
      </c>
      <c r="AB123" s="3">
        <v>49.5</v>
      </c>
      <c r="AC123" s="3"/>
      <c r="AD123" s="3">
        <v>50</v>
      </c>
    </row>
    <row r="124" spans="1:30" x14ac:dyDescent="0.2">
      <c r="A124" s="60" t="s">
        <v>14</v>
      </c>
      <c r="B124" s="60" t="s">
        <v>131</v>
      </c>
      <c r="C124" s="60" t="s">
        <v>53</v>
      </c>
      <c r="D124" s="60" t="s">
        <v>17</v>
      </c>
      <c r="E124" s="60">
        <v>2</v>
      </c>
      <c r="F124" s="60" t="s">
        <v>161</v>
      </c>
      <c r="G124" s="60" t="s">
        <v>35</v>
      </c>
      <c r="H124" s="60" t="s">
        <v>133</v>
      </c>
      <c r="I124" s="60" t="str">
        <f t="shared" si="2"/>
        <v>B1-P4-C4</v>
      </c>
      <c r="J124" s="60" t="str">
        <f t="shared" si="3"/>
        <v>Quercus-B1-P4-C4-A2</v>
      </c>
      <c r="K124" s="60" t="s">
        <v>21</v>
      </c>
      <c r="L124" s="60" t="s">
        <v>44</v>
      </c>
      <c r="M124" s="60" t="s">
        <v>143</v>
      </c>
      <c r="N124" s="15">
        <v>123</v>
      </c>
      <c r="O124" s="60">
        <v>4</v>
      </c>
      <c r="P124" s="60">
        <v>26.5</v>
      </c>
      <c r="Q124" s="60">
        <v>4.2699999999999996</v>
      </c>
      <c r="R124" s="60">
        <v>35</v>
      </c>
      <c r="S124" s="3">
        <v>4.2</v>
      </c>
      <c r="T124" s="3">
        <v>36</v>
      </c>
      <c r="U124" s="3">
        <v>4.0199999999999996</v>
      </c>
      <c r="V124" s="3">
        <v>35.5</v>
      </c>
      <c r="W124" s="3">
        <v>4.17</v>
      </c>
      <c r="X124" s="3">
        <v>35</v>
      </c>
      <c r="Y124" s="3">
        <v>5.38</v>
      </c>
      <c r="Z124" s="3">
        <v>36</v>
      </c>
      <c r="AA124" s="3">
        <v>5.41</v>
      </c>
      <c r="AB124" s="3">
        <v>38</v>
      </c>
      <c r="AC124" s="3"/>
      <c r="AD124" s="3">
        <v>39</v>
      </c>
    </row>
    <row r="125" spans="1:30" x14ac:dyDescent="0.2">
      <c r="A125" s="60" t="s">
        <v>14</v>
      </c>
      <c r="B125" s="60" t="s">
        <v>131</v>
      </c>
      <c r="C125" s="60" t="s">
        <v>53</v>
      </c>
      <c r="D125" s="60" t="s">
        <v>24</v>
      </c>
      <c r="E125" s="60">
        <v>2</v>
      </c>
      <c r="F125" s="60" t="s">
        <v>162</v>
      </c>
      <c r="G125" s="60" t="s">
        <v>19</v>
      </c>
      <c r="H125" s="60" t="s">
        <v>133</v>
      </c>
      <c r="I125" s="60" t="str">
        <f t="shared" si="2"/>
        <v>B1-P4-C4</v>
      </c>
      <c r="J125" s="60" t="str">
        <f t="shared" si="3"/>
        <v>Fagus-B1-P4-C4-B2</v>
      </c>
      <c r="K125" s="60" t="s">
        <v>21</v>
      </c>
      <c r="L125" s="60" t="s">
        <v>44</v>
      </c>
      <c r="M125" s="60" t="s">
        <v>143</v>
      </c>
      <c r="N125" s="15">
        <v>124</v>
      </c>
      <c r="O125" s="60">
        <v>8.3000000000000007</v>
      </c>
      <c r="P125" s="60">
        <v>72.5</v>
      </c>
      <c r="Q125" s="60">
        <v>8.5500000000000007</v>
      </c>
      <c r="R125" s="60">
        <v>75</v>
      </c>
      <c r="S125" s="3">
        <v>10.3</v>
      </c>
      <c r="T125" s="3">
        <v>74.5</v>
      </c>
      <c r="U125" s="3">
        <v>10.31</v>
      </c>
      <c r="V125" s="3">
        <v>75</v>
      </c>
      <c r="W125" s="3">
        <v>10.18</v>
      </c>
      <c r="X125" s="3">
        <v>75.5</v>
      </c>
      <c r="Y125" s="3">
        <v>11.02</v>
      </c>
      <c r="Z125" s="3">
        <v>75</v>
      </c>
      <c r="AA125" s="3">
        <v>11.21</v>
      </c>
      <c r="AB125" s="3">
        <v>75</v>
      </c>
      <c r="AC125" s="3"/>
      <c r="AD125" s="3">
        <v>75</v>
      </c>
    </row>
    <row r="126" spans="1:30" x14ac:dyDescent="0.2">
      <c r="A126" s="60" t="s">
        <v>14</v>
      </c>
      <c r="B126" s="60" t="s">
        <v>131</v>
      </c>
      <c r="C126" s="60" t="s">
        <v>53</v>
      </c>
      <c r="D126" s="60" t="s">
        <v>17</v>
      </c>
      <c r="E126" s="60">
        <v>3</v>
      </c>
      <c r="F126" s="60" t="s">
        <v>163</v>
      </c>
      <c r="G126" s="60" t="s">
        <v>19</v>
      </c>
      <c r="H126" s="60" t="s">
        <v>133</v>
      </c>
      <c r="I126" s="60" t="str">
        <f t="shared" si="2"/>
        <v>B1-P4-C4</v>
      </c>
      <c r="J126" s="60" t="str">
        <f t="shared" si="3"/>
        <v>Fagus-B1-P4-C4-A3</v>
      </c>
      <c r="K126" s="60" t="s">
        <v>21</v>
      </c>
      <c r="L126" s="60" t="s">
        <v>44</v>
      </c>
      <c r="M126" s="60" t="s">
        <v>143</v>
      </c>
      <c r="N126" s="15">
        <v>125</v>
      </c>
      <c r="O126" s="60">
        <v>9.6</v>
      </c>
      <c r="P126" s="60">
        <v>67</v>
      </c>
      <c r="Q126" s="60">
        <v>9.6999999999999993</v>
      </c>
      <c r="R126" s="60">
        <v>67.5</v>
      </c>
      <c r="S126" s="3">
        <v>10.51</v>
      </c>
      <c r="T126" s="3">
        <v>68</v>
      </c>
      <c r="U126" s="3">
        <v>10.54</v>
      </c>
      <c r="V126" s="3">
        <v>68</v>
      </c>
      <c r="W126" s="3">
        <v>10.73</v>
      </c>
      <c r="X126" s="3">
        <v>68</v>
      </c>
      <c r="Y126" s="3">
        <v>11.5</v>
      </c>
      <c r="Z126" s="3">
        <v>65</v>
      </c>
      <c r="AA126" s="3">
        <v>11.44</v>
      </c>
      <c r="AB126" s="3">
        <v>68</v>
      </c>
      <c r="AC126" s="3"/>
      <c r="AD126" s="3">
        <v>67</v>
      </c>
    </row>
    <row r="127" spans="1:30" x14ac:dyDescent="0.2">
      <c r="A127" s="60" t="s">
        <v>14</v>
      </c>
      <c r="B127" s="60" t="s">
        <v>131</v>
      </c>
      <c r="C127" s="60" t="s">
        <v>53</v>
      </c>
      <c r="D127" s="60" t="s">
        <v>24</v>
      </c>
      <c r="E127" s="60">
        <v>3</v>
      </c>
      <c r="F127" s="60" t="s">
        <v>164</v>
      </c>
      <c r="G127" s="60" t="s">
        <v>35</v>
      </c>
      <c r="H127" s="60" t="s">
        <v>133</v>
      </c>
      <c r="I127" s="60" t="str">
        <f t="shared" si="2"/>
        <v>B1-P4-C4</v>
      </c>
      <c r="J127" s="60" t="str">
        <f t="shared" si="3"/>
        <v>Quercus-B1-P4-C4-B3</v>
      </c>
      <c r="K127" s="60" t="s">
        <v>21</v>
      </c>
      <c r="L127" s="60" t="s">
        <v>44</v>
      </c>
      <c r="M127" s="60" t="s">
        <v>143</v>
      </c>
      <c r="N127" s="15">
        <v>126</v>
      </c>
      <c r="O127" s="60">
        <v>4.0999999999999996</v>
      </c>
      <c r="P127" s="60">
        <v>33.700000000000003</v>
      </c>
      <c r="Q127" s="60">
        <v>4.5199999999999996</v>
      </c>
      <c r="R127" s="60">
        <v>46</v>
      </c>
      <c r="S127" s="3">
        <v>4.8</v>
      </c>
      <c r="T127" s="3">
        <v>47</v>
      </c>
      <c r="U127" s="3">
        <v>4.9800000000000004</v>
      </c>
      <c r="V127" s="3">
        <v>45.5</v>
      </c>
      <c r="W127" s="3">
        <v>5.63</v>
      </c>
      <c r="X127" s="3">
        <v>58</v>
      </c>
      <c r="Y127" s="3">
        <v>5.85</v>
      </c>
      <c r="Z127" s="3">
        <v>63</v>
      </c>
      <c r="AA127" s="3">
        <v>6.85</v>
      </c>
      <c r="AB127" s="3">
        <v>61</v>
      </c>
      <c r="AC127" s="3"/>
      <c r="AD127" s="3">
        <v>60</v>
      </c>
    </row>
    <row r="128" spans="1:30" x14ac:dyDescent="0.2">
      <c r="A128" s="60" t="s">
        <v>14</v>
      </c>
      <c r="B128" s="60" t="s">
        <v>131</v>
      </c>
      <c r="C128" s="60" t="s">
        <v>53</v>
      </c>
      <c r="D128" s="60" t="s">
        <v>17</v>
      </c>
      <c r="E128" s="60">
        <v>4</v>
      </c>
      <c r="F128" s="60" t="s">
        <v>165</v>
      </c>
      <c r="G128" s="60" t="s">
        <v>35</v>
      </c>
      <c r="H128" s="60" t="s">
        <v>133</v>
      </c>
      <c r="I128" s="60" t="str">
        <f t="shared" si="2"/>
        <v>B1-P4-C4</v>
      </c>
      <c r="J128" s="60" t="str">
        <f t="shared" si="3"/>
        <v>Quercus-B1-P4-C4-A4</v>
      </c>
      <c r="K128" s="60" t="s">
        <v>21</v>
      </c>
      <c r="L128" s="60" t="s">
        <v>44</v>
      </c>
      <c r="M128" s="60" t="s">
        <v>143</v>
      </c>
      <c r="N128" s="15">
        <v>127</v>
      </c>
      <c r="O128" s="60">
        <v>5.5</v>
      </c>
      <c r="P128" s="60">
        <v>31</v>
      </c>
      <c r="Q128" s="60">
        <v>6.16</v>
      </c>
      <c r="R128" s="60">
        <v>37</v>
      </c>
      <c r="S128" s="3">
        <v>6.3</v>
      </c>
      <c r="T128" s="3">
        <v>37</v>
      </c>
      <c r="U128" s="3">
        <v>6.57</v>
      </c>
      <c r="V128" s="3">
        <v>37</v>
      </c>
      <c r="W128" s="3">
        <v>7.01</v>
      </c>
      <c r="X128" s="3">
        <v>40</v>
      </c>
      <c r="Y128" s="3">
        <v>7.53</v>
      </c>
      <c r="Z128" s="3">
        <v>43</v>
      </c>
      <c r="AA128" s="3">
        <v>7.92</v>
      </c>
      <c r="AB128" s="3">
        <v>44</v>
      </c>
      <c r="AC128" s="3"/>
      <c r="AD128" s="3">
        <v>45</v>
      </c>
    </row>
    <row r="129" spans="1:30" x14ac:dyDescent="0.2">
      <c r="A129" s="60" t="s">
        <v>14</v>
      </c>
      <c r="B129" s="60" t="s">
        <v>131</v>
      </c>
      <c r="C129" s="60" t="s">
        <v>53</v>
      </c>
      <c r="D129" s="60" t="s">
        <v>24</v>
      </c>
      <c r="E129" s="60">
        <v>4</v>
      </c>
      <c r="F129" s="60" t="s">
        <v>166</v>
      </c>
      <c r="G129" s="60" t="s">
        <v>19</v>
      </c>
      <c r="H129" s="60" t="s">
        <v>133</v>
      </c>
      <c r="I129" s="60" t="str">
        <f t="shared" si="2"/>
        <v>B1-P4-C4</v>
      </c>
      <c r="J129" s="60" t="str">
        <f t="shared" si="3"/>
        <v>Fagus-B1-P4-C4-B4</v>
      </c>
      <c r="K129" s="60" t="s">
        <v>21</v>
      </c>
      <c r="L129" s="60" t="s">
        <v>44</v>
      </c>
      <c r="M129" s="60" t="s">
        <v>143</v>
      </c>
      <c r="N129" s="15">
        <v>128</v>
      </c>
      <c r="O129" s="60">
        <v>8.4</v>
      </c>
      <c r="P129" s="60">
        <v>91.7</v>
      </c>
      <c r="Q129" s="60">
        <v>8.57</v>
      </c>
      <c r="R129" s="60">
        <v>92</v>
      </c>
      <c r="S129" s="3">
        <v>10.18</v>
      </c>
      <c r="T129" s="3">
        <v>92</v>
      </c>
      <c r="U129" s="3">
        <v>10.56</v>
      </c>
      <c r="V129" s="3">
        <v>92</v>
      </c>
      <c r="W129" s="3">
        <v>10.85</v>
      </c>
      <c r="X129" s="3">
        <v>91.5</v>
      </c>
      <c r="Y129" s="3">
        <v>11.22</v>
      </c>
      <c r="Z129" s="3">
        <v>90</v>
      </c>
      <c r="AA129" s="3">
        <v>11.32</v>
      </c>
      <c r="AB129" s="3">
        <v>91</v>
      </c>
      <c r="AC129" s="3"/>
      <c r="AD129" s="3">
        <v>90</v>
      </c>
    </row>
    <row r="130" spans="1:30" s="38" customFormat="1" x14ac:dyDescent="0.2">
      <c r="A130" s="57" t="s">
        <v>14</v>
      </c>
      <c r="B130" s="57" t="s">
        <v>167</v>
      </c>
      <c r="C130" s="57" t="s">
        <v>16</v>
      </c>
      <c r="D130" s="57" t="s">
        <v>17</v>
      </c>
      <c r="E130" s="57">
        <v>1</v>
      </c>
      <c r="F130" s="57" t="s">
        <v>168</v>
      </c>
      <c r="G130" s="57" t="s">
        <v>35</v>
      </c>
      <c r="H130" s="57" t="s">
        <v>133</v>
      </c>
      <c r="I130" s="57" t="str">
        <f t="shared" si="2"/>
        <v>B1-P5-C1</v>
      </c>
      <c r="J130" s="57" t="str">
        <f t="shared" si="3"/>
        <v>Quercus-B1-P5-C1-A1</v>
      </c>
      <c r="K130" s="57" t="s">
        <v>64</v>
      </c>
      <c r="L130" s="57" t="s">
        <v>44</v>
      </c>
      <c r="M130" s="57" t="s">
        <v>169</v>
      </c>
      <c r="N130" s="37">
        <v>129</v>
      </c>
      <c r="O130" s="57">
        <v>9</v>
      </c>
      <c r="P130" s="57">
        <v>67.599999999999994</v>
      </c>
      <c r="Q130" s="57">
        <v>9.85</v>
      </c>
      <c r="R130" s="57">
        <v>77</v>
      </c>
      <c r="S130" s="57">
        <v>10.6</v>
      </c>
      <c r="T130" s="57">
        <v>80</v>
      </c>
      <c r="U130" s="57">
        <v>10.78</v>
      </c>
      <c r="V130" s="57">
        <v>81</v>
      </c>
      <c r="W130" s="57">
        <v>11.42</v>
      </c>
      <c r="X130" s="57">
        <v>90</v>
      </c>
      <c r="Y130" s="57">
        <v>12.06</v>
      </c>
      <c r="Z130" s="57">
        <v>95</v>
      </c>
      <c r="AA130" s="57">
        <v>12.99</v>
      </c>
      <c r="AB130" s="57">
        <v>96</v>
      </c>
      <c r="AC130" s="57"/>
      <c r="AD130" s="57">
        <v>96</v>
      </c>
    </row>
    <row r="131" spans="1:30" s="38" customFormat="1" x14ac:dyDescent="0.2">
      <c r="A131" s="57" t="s">
        <v>14</v>
      </c>
      <c r="B131" s="57" t="s">
        <v>167</v>
      </c>
      <c r="C131" s="57" t="s">
        <v>16</v>
      </c>
      <c r="D131" s="57" t="s">
        <v>24</v>
      </c>
      <c r="E131" s="57">
        <v>1</v>
      </c>
      <c r="F131" s="57" t="s">
        <v>170</v>
      </c>
      <c r="G131" s="57" t="s">
        <v>35</v>
      </c>
      <c r="H131" s="57" t="s">
        <v>133</v>
      </c>
      <c r="I131" s="57" t="str">
        <f t="shared" ref="I131:I194" si="4">A131&amp;"-"&amp;B131&amp;"-"&amp;C131</f>
        <v>B1-P5-C1</v>
      </c>
      <c r="J131" s="57" t="str">
        <f t="shared" ref="J131:J194" si="5">G131&amp;"-"&amp;A131&amp;"-"&amp;B131&amp;"-"&amp;C131&amp;"-"&amp;D131&amp;E131</f>
        <v>Quercus-B1-P5-C1-B1</v>
      </c>
      <c r="K131" s="57" t="s">
        <v>64</v>
      </c>
      <c r="L131" s="57" t="s">
        <v>44</v>
      </c>
      <c r="M131" s="57" t="s">
        <v>169</v>
      </c>
      <c r="N131" s="37">
        <v>130</v>
      </c>
      <c r="O131" s="57">
        <v>6.1</v>
      </c>
      <c r="P131" s="57">
        <v>49.3</v>
      </c>
      <c r="Q131" s="57">
        <v>6.42</v>
      </c>
      <c r="R131" s="57">
        <v>51</v>
      </c>
      <c r="S131" s="57">
        <v>6.97</v>
      </c>
      <c r="T131" s="57">
        <v>53</v>
      </c>
      <c r="U131" s="57">
        <v>6.97</v>
      </c>
      <c r="V131" s="57">
        <v>53</v>
      </c>
      <c r="W131" s="57">
        <v>7.11</v>
      </c>
      <c r="X131" s="57">
        <v>63</v>
      </c>
      <c r="Y131" s="57">
        <v>8.19</v>
      </c>
      <c r="Z131" s="57">
        <v>68</v>
      </c>
      <c r="AA131" s="57">
        <v>9.92</v>
      </c>
      <c r="AB131" s="57">
        <v>69</v>
      </c>
      <c r="AC131" s="57"/>
      <c r="AD131" s="57">
        <v>68</v>
      </c>
    </row>
    <row r="132" spans="1:30" s="38" customFormat="1" x14ac:dyDescent="0.2">
      <c r="A132" s="57" t="s">
        <v>14</v>
      </c>
      <c r="B132" s="57" t="s">
        <v>167</v>
      </c>
      <c r="C132" s="57" t="s">
        <v>16</v>
      </c>
      <c r="D132" s="57" t="s">
        <v>17</v>
      </c>
      <c r="E132" s="57">
        <v>2</v>
      </c>
      <c r="F132" s="57" t="s">
        <v>171</v>
      </c>
      <c r="G132" s="57" t="s">
        <v>35</v>
      </c>
      <c r="H132" s="57" t="s">
        <v>133</v>
      </c>
      <c r="I132" s="57" t="str">
        <f t="shared" si="4"/>
        <v>B1-P5-C1</v>
      </c>
      <c r="J132" s="57" t="str">
        <f t="shared" si="5"/>
        <v>Quercus-B1-P5-C1-A2</v>
      </c>
      <c r="K132" s="57" t="s">
        <v>64</v>
      </c>
      <c r="L132" s="57" t="s">
        <v>44</v>
      </c>
      <c r="M132" s="57" t="s">
        <v>169</v>
      </c>
      <c r="N132" s="37">
        <v>131</v>
      </c>
      <c r="O132" s="57">
        <v>5.2</v>
      </c>
      <c r="P132" s="57">
        <v>40.299999999999997</v>
      </c>
      <c r="Q132" s="57">
        <v>5.37</v>
      </c>
      <c r="R132" s="57">
        <v>40</v>
      </c>
      <c r="S132" s="57">
        <v>5.52</v>
      </c>
      <c r="T132" s="57">
        <v>42.5</v>
      </c>
      <c r="U132" s="57">
        <v>6.03</v>
      </c>
      <c r="V132" s="57">
        <v>40</v>
      </c>
      <c r="W132" s="57">
        <v>6.16</v>
      </c>
      <c r="X132" s="57">
        <v>52</v>
      </c>
      <c r="Y132" s="57">
        <v>5.85</v>
      </c>
      <c r="Z132" s="57">
        <v>55</v>
      </c>
      <c r="AA132" s="57">
        <v>7.89</v>
      </c>
      <c r="AB132" s="57">
        <v>51</v>
      </c>
      <c r="AC132" s="57"/>
      <c r="AD132" s="57">
        <v>52</v>
      </c>
    </row>
    <row r="133" spans="1:30" s="38" customFormat="1" x14ac:dyDescent="0.2">
      <c r="A133" s="57" t="s">
        <v>14</v>
      </c>
      <c r="B133" s="57" t="s">
        <v>167</v>
      </c>
      <c r="C133" s="57" t="s">
        <v>16</v>
      </c>
      <c r="D133" s="57" t="s">
        <v>24</v>
      </c>
      <c r="E133" s="57">
        <v>2</v>
      </c>
      <c r="F133" s="57" t="s">
        <v>172</v>
      </c>
      <c r="G133" s="57" t="s">
        <v>35</v>
      </c>
      <c r="H133" s="57" t="s">
        <v>133</v>
      </c>
      <c r="I133" s="57" t="str">
        <f t="shared" si="4"/>
        <v>B1-P5-C1</v>
      </c>
      <c r="J133" s="57" t="str">
        <f t="shared" si="5"/>
        <v>Quercus-B1-P5-C1-B2</v>
      </c>
      <c r="K133" s="57" t="s">
        <v>64</v>
      </c>
      <c r="L133" s="57" t="s">
        <v>44</v>
      </c>
      <c r="M133" s="57" t="s">
        <v>169</v>
      </c>
      <c r="N133" s="37">
        <v>132</v>
      </c>
      <c r="O133" s="57">
        <v>5</v>
      </c>
      <c r="P133" s="57">
        <v>34.5</v>
      </c>
      <c r="Q133" s="57">
        <v>5.33</v>
      </c>
      <c r="R133" s="57">
        <v>37</v>
      </c>
      <c r="S133" s="57">
        <v>5.5</v>
      </c>
      <c r="T133" s="57">
        <v>39.5</v>
      </c>
      <c r="U133" s="57">
        <v>5.33</v>
      </c>
      <c r="V133" s="57">
        <v>39.5</v>
      </c>
      <c r="W133" s="57">
        <v>5.16</v>
      </c>
      <c r="X133" s="57">
        <v>40.5</v>
      </c>
      <c r="Y133" s="57">
        <v>4.71</v>
      </c>
      <c r="Z133" s="57">
        <v>42</v>
      </c>
      <c r="AA133" s="57">
        <v>5.86</v>
      </c>
      <c r="AB133" s="57">
        <v>44</v>
      </c>
      <c r="AC133" s="57"/>
      <c r="AD133" s="57">
        <v>44</v>
      </c>
    </row>
    <row r="134" spans="1:30" s="38" customFormat="1" x14ac:dyDescent="0.2">
      <c r="A134" s="57" t="s">
        <v>14</v>
      </c>
      <c r="B134" s="57" t="s">
        <v>167</v>
      </c>
      <c r="C134" s="57" t="s">
        <v>16</v>
      </c>
      <c r="D134" s="57" t="s">
        <v>17</v>
      </c>
      <c r="E134" s="57">
        <v>3</v>
      </c>
      <c r="F134" s="57" t="s">
        <v>173</v>
      </c>
      <c r="G134" s="57" t="s">
        <v>35</v>
      </c>
      <c r="H134" s="57" t="s">
        <v>133</v>
      </c>
      <c r="I134" s="57" t="str">
        <f t="shared" si="4"/>
        <v>B1-P5-C1</v>
      </c>
      <c r="J134" s="57" t="str">
        <f t="shared" si="5"/>
        <v>Quercus-B1-P5-C1-A3</v>
      </c>
      <c r="K134" s="57" t="s">
        <v>64</v>
      </c>
      <c r="L134" s="57" t="s">
        <v>44</v>
      </c>
      <c r="M134" s="57" t="s">
        <v>169</v>
      </c>
      <c r="N134" s="37">
        <v>133</v>
      </c>
      <c r="O134" s="57">
        <v>4.8</v>
      </c>
      <c r="P134" s="57">
        <v>45.2</v>
      </c>
      <c r="Q134" s="57">
        <v>5.47</v>
      </c>
      <c r="R134" s="57">
        <v>51.5</v>
      </c>
      <c r="S134" s="57">
        <v>5.72</v>
      </c>
      <c r="T134" s="57">
        <v>61.5</v>
      </c>
      <c r="U134" s="57">
        <v>5.97</v>
      </c>
      <c r="V134" s="57">
        <v>58</v>
      </c>
      <c r="W134" s="57">
        <v>6.16</v>
      </c>
      <c r="X134" s="57">
        <v>62</v>
      </c>
      <c r="Y134" s="57">
        <v>6.07</v>
      </c>
      <c r="Z134" s="57">
        <v>69</v>
      </c>
      <c r="AA134" s="57">
        <v>7.59</v>
      </c>
      <c r="AB134" s="57">
        <v>67</v>
      </c>
      <c r="AC134" s="57"/>
      <c r="AD134" s="57">
        <v>68</v>
      </c>
    </row>
    <row r="135" spans="1:30" s="38" customFormat="1" x14ac:dyDescent="0.2">
      <c r="A135" s="57" t="s">
        <v>14</v>
      </c>
      <c r="B135" s="57" t="s">
        <v>167</v>
      </c>
      <c r="C135" s="57" t="s">
        <v>16</v>
      </c>
      <c r="D135" s="57" t="s">
        <v>24</v>
      </c>
      <c r="E135" s="57">
        <v>3</v>
      </c>
      <c r="F135" s="57" t="s">
        <v>174</v>
      </c>
      <c r="G135" s="57" t="s">
        <v>35</v>
      </c>
      <c r="H135" s="57" t="s">
        <v>133</v>
      </c>
      <c r="I135" s="57" t="str">
        <f t="shared" si="4"/>
        <v>B1-P5-C1</v>
      </c>
      <c r="J135" s="57" t="str">
        <f t="shared" si="5"/>
        <v>Quercus-B1-P5-C1-B3</v>
      </c>
      <c r="K135" s="57" t="s">
        <v>64</v>
      </c>
      <c r="L135" s="57" t="s">
        <v>44</v>
      </c>
      <c r="M135" s="57" t="s">
        <v>169</v>
      </c>
      <c r="N135" s="37">
        <v>134</v>
      </c>
      <c r="O135" s="57">
        <v>4.7</v>
      </c>
      <c r="P135" s="57">
        <v>37.799999999999997</v>
      </c>
      <c r="Q135" s="57">
        <v>5.35</v>
      </c>
      <c r="R135" s="57">
        <v>40</v>
      </c>
      <c r="S135" s="57">
        <v>5.3</v>
      </c>
      <c r="T135" s="57">
        <v>41</v>
      </c>
      <c r="U135" s="57">
        <v>5.48</v>
      </c>
      <c r="V135" s="57">
        <v>41</v>
      </c>
      <c r="W135" s="57">
        <v>5.83</v>
      </c>
      <c r="X135" s="57">
        <v>43</v>
      </c>
      <c r="Y135" s="57">
        <v>5.9</v>
      </c>
      <c r="Z135" s="57">
        <v>42</v>
      </c>
      <c r="AA135" s="57">
        <v>7.13</v>
      </c>
      <c r="AB135" s="57">
        <v>43</v>
      </c>
      <c r="AC135" s="57"/>
      <c r="AD135" s="57">
        <v>43</v>
      </c>
    </row>
    <row r="136" spans="1:30" s="38" customFormat="1" x14ac:dyDescent="0.2">
      <c r="A136" s="57" t="s">
        <v>14</v>
      </c>
      <c r="B136" s="57" t="s">
        <v>167</v>
      </c>
      <c r="C136" s="57" t="s">
        <v>16</v>
      </c>
      <c r="D136" s="57" t="s">
        <v>17</v>
      </c>
      <c r="E136" s="57">
        <v>4</v>
      </c>
      <c r="F136" s="57" t="s">
        <v>175</v>
      </c>
      <c r="G136" s="57" t="s">
        <v>35</v>
      </c>
      <c r="H136" s="57" t="s">
        <v>133</v>
      </c>
      <c r="I136" s="57" t="str">
        <f t="shared" si="4"/>
        <v>B1-P5-C1</v>
      </c>
      <c r="J136" s="57" t="str">
        <f t="shared" si="5"/>
        <v>Quercus-B1-P5-C1-A4</v>
      </c>
      <c r="K136" s="57" t="s">
        <v>64</v>
      </c>
      <c r="L136" s="57" t="s">
        <v>44</v>
      </c>
      <c r="M136" s="57" t="s">
        <v>169</v>
      </c>
      <c r="N136" s="37">
        <v>135</v>
      </c>
      <c r="O136" s="57">
        <v>4.5999999999999996</v>
      </c>
      <c r="P136" s="57">
        <v>38</v>
      </c>
      <c r="Q136" s="57">
        <v>5.83</v>
      </c>
      <c r="R136" s="57">
        <v>52.5</v>
      </c>
      <c r="S136" s="57">
        <v>6.05</v>
      </c>
      <c r="T136" s="57">
        <v>53</v>
      </c>
      <c r="U136" s="57">
        <v>6.06</v>
      </c>
      <c r="V136" s="57">
        <v>52</v>
      </c>
      <c r="W136" s="57">
        <v>5.73</v>
      </c>
      <c r="X136" s="57">
        <v>53</v>
      </c>
      <c r="Y136" s="57">
        <v>5.96</v>
      </c>
      <c r="Z136" s="57">
        <v>54</v>
      </c>
      <c r="AA136" s="57">
        <v>7.63</v>
      </c>
      <c r="AB136" s="57">
        <v>64</v>
      </c>
      <c r="AC136" s="57"/>
      <c r="AD136" s="57">
        <v>64</v>
      </c>
    </row>
    <row r="137" spans="1:30" s="38" customFormat="1" x14ac:dyDescent="0.2">
      <c r="A137" s="57" t="s">
        <v>14</v>
      </c>
      <c r="B137" s="57" t="s">
        <v>167</v>
      </c>
      <c r="C137" s="57" t="s">
        <v>16</v>
      </c>
      <c r="D137" s="57" t="s">
        <v>24</v>
      </c>
      <c r="E137" s="57">
        <v>4</v>
      </c>
      <c r="F137" s="57" t="s">
        <v>176</v>
      </c>
      <c r="G137" s="57" t="s">
        <v>35</v>
      </c>
      <c r="H137" s="57" t="s">
        <v>133</v>
      </c>
      <c r="I137" s="57" t="str">
        <f t="shared" si="4"/>
        <v>B1-P5-C1</v>
      </c>
      <c r="J137" s="57" t="str">
        <f t="shared" si="5"/>
        <v>Quercus-B1-P5-C1-B4</v>
      </c>
      <c r="K137" s="57" t="s">
        <v>64</v>
      </c>
      <c r="L137" s="57" t="s">
        <v>44</v>
      </c>
      <c r="M137" s="57" t="s">
        <v>169</v>
      </c>
      <c r="N137" s="37">
        <v>136</v>
      </c>
      <c r="O137" s="57">
        <v>4.5</v>
      </c>
      <c r="P137" s="57">
        <v>34.299999999999997</v>
      </c>
      <c r="Q137" s="57">
        <v>5.04</v>
      </c>
      <c r="R137" s="57">
        <v>47.5</v>
      </c>
      <c r="S137" s="57">
        <v>5.62</v>
      </c>
      <c r="T137" s="57">
        <v>50</v>
      </c>
      <c r="U137" s="57">
        <v>5.45</v>
      </c>
      <c r="V137" s="57">
        <v>50</v>
      </c>
      <c r="W137" s="57">
        <v>6.27</v>
      </c>
      <c r="X137" s="57">
        <v>51</v>
      </c>
      <c r="Y137" s="57">
        <v>6.37</v>
      </c>
      <c r="Z137" s="57">
        <v>48</v>
      </c>
      <c r="AA137" s="57">
        <v>7.96</v>
      </c>
      <c r="AB137" s="57">
        <v>60</v>
      </c>
      <c r="AC137" s="57"/>
      <c r="AD137" s="57">
        <v>58</v>
      </c>
    </row>
    <row r="138" spans="1:30" x14ac:dyDescent="0.2">
      <c r="A138" s="60" t="s">
        <v>14</v>
      </c>
      <c r="B138" s="60" t="s">
        <v>167</v>
      </c>
      <c r="C138" s="60" t="s">
        <v>32</v>
      </c>
      <c r="D138" s="60" t="s">
        <v>17</v>
      </c>
      <c r="E138" s="60">
        <v>1</v>
      </c>
      <c r="F138" s="60" t="s">
        <v>177</v>
      </c>
      <c r="G138" s="60" t="s">
        <v>19</v>
      </c>
      <c r="H138" s="60" t="s">
        <v>133</v>
      </c>
      <c r="I138" s="60" t="str">
        <f t="shared" si="4"/>
        <v>B1-P5-C2</v>
      </c>
      <c r="J138" s="60" t="str">
        <f t="shared" si="5"/>
        <v>Fagus-B1-P5-C2-A1</v>
      </c>
      <c r="K138" s="60" t="s">
        <v>64</v>
      </c>
      <c r="L138" s="60" t="s">
        <v>44</v>
      </c>
      <c r="M138" s="60" t="s">
        <v>169</v>
      </c>
      <c r="N138" s="15">
        <v>137</v>
      </c>
      <c r="O138" s="60">
        <v>7.5</v>
      </c>
      <c r="P138" s="60">
        <v>80</v>
      </c>
      <c r="Q138" s="60">
        <v>7.6</v>
      </c>
      <c r="R138" s="60">
        <v>81.5</v>
      </c>
      <c r="S138" s="3">
        <v>9.0299999999999994</v>
      </c>
      <c r="T138" s="3">
        <v>81.5</v>
      </c>
      <c r="U138" s="3">
        <v>9.16</v>
      </c>
      <c r="V138" s="3">
        <v>81</v>
      </c>
      <c r="W138" s="3">
        <v>9.4600000000000009</v>
      </c>
      <c r="X138" s="3">
        <v>82.5</v>
      </c>
      <c r="Y138" s="3">
        <v>9.94</v>
      </c>
      <c r="Z138" s="3">
        <v>80</v>
      </c>
      <c r="AA138" s="3">
        <v>9.56</v>
      </c>
      <c r="AB138" s="3">
        <v>81</v>
      </c>
      <c r="AC138" s="3"/>
      <c r="AD138" s="3">
        <v>81</v>
      </c>
    </row>
    <row r="139" spans="1:30" x14ac:dyDescent="0.2">
      <c r="A139" s="60" t="s">
        <v>14</v>
      </c>
      <c r="B139" s="60" t="s">
        <v>167</v>
      </c>
      <c r="C139" s="60" t="s">
        <v>32</v>
      </c>
      <c r="D139" s="60" t="s">
        <v>24</v>
      </c>
      <c r="E139" s="60">
        <v>1</v>
      </c>
      <c r="F139" s="60" t="s">
        <v>178</v>
      </c>
      <c r="G139" s="60" t="s">
        <v>35</v>
      </c>
      <c r="H139" s="60" t="s">
        <v>133</v>
      </c>
      <c r="I139" s="60" t="str">
        <f t="shared" si="4"/>
        <v>B1-P5-C2</v>
      </c>
      <c r="J139" s="60" t="str">
        <f t="shared" si="5"/>
        <v>Quercus-B1-P5-C2-B1</v>
      </c>
      <c r="K139" s="60" t="s">
        <v>64</v>
      </c>
      <c r="L139" s="60" t="s">
        <v>44</v>
      </c>
      <c r="M139" s="60" t="s">
        <v>169</v>
      </c>
      <c r="N139" s="15">
        <v>138</v>
      </c>
      <c r="O139" s="60">
        <v>4.3</v>
      </c>
      <c r="P139" s="60">
        <v>31.5</v>
      </c>
      <c r="Q139" s="60">
        <v>5.2</v>
      </c>
      <c r="R139" s="60">
        <v>38</v>
      </c>
      <c r="S139" s="3">
        <v>5.64</v>
      </c>
      <c r="T139" s="3">
        <v>40.5</v>
      </c>
      <c r="U139" s="3">
        <v>5.64</v>
      </c>
      <c r="V139" s="3">
        <v>40</v>
      </c>
      <c r="W139" s="3">
        <v>7.36</v>
      </c>
      <c r="X139" s="3">
        <v>50</v>
      </c>
      <c r="Y139" s="3">
        <v>6.87</v>
      </c>
      <c r="Z139" s="3">
        <v>49</v>
      </c>
      <c r="AA139" s="3">
        <v>8.69</v>
      </c>
      <c r="AB139" s="3">
        <v>50</v>
      </c>
      <c r="AC139" s="3"/>
      <c r="AD139" s="3">
        <v>49</v>
      </c>
    </row>
    <row r="140" spans="1:30" x14ac:dyDescent="0.2">
      <c r="A140" s="60" t="s">
        <v>14</v>
      </c>
      <c r="B140" s="60" t="s">
        <v>167</v>
      </c>
      <c r="C140" s="60" t="s">
        <v>32</v>
      </c>
      <c r="D140" s="60" t="s">
        <v>17</v>
      </c>
      <c r="E140" s="60">
        <v>2</v>
      </c>
      <c r="F140" s="60" t="s">
        <v>179</v>
      </c>
      <c r="G140" s="60" t="s">
        <v>35</v>
      </c>
      <c r="H140" s="60" t="s">
        <v>133</v>
      </c>
      <c r="I140" s="60" t="str">
        <f t="shared" si="4"/>
        <v>B1-P5-C2</v>
      </c>
      <c r="J140" s="60" t="str">
        <f t="shared" si="5"/>
        <v>Quercus-B1-P5-C2-A2</v>
      </c>
      <c r="K140" s="60" t="s">
        <v>64</v>
      </c>
      <c r="L140" s="60" t="s">
        <v>44</v>
      </c>
      <c r="M140" s="60" t="s">
        <v>169</v>
      </c>
      <c r="N140" s="15">
        <v>139</v>
      </c>
      <c r="O140" s="60">
        <v>6.7</v>
      </c>
      <c r="P140" s="60">
        <v>42.6</v>
      </c>
      <c r="Q140" s="60">
        <v>6.77</v>
      </c>
      <c r="R140" s="60">
        <v>46</v>
      </c>
      <c r="S140" s="3">
        <v>6.76</v>
      </c>
      <c r="T140" s="3">
        <v>56</v>
      </c>
      <c r="U140" s="3">
        <v>6.93</v>
      </c>
      <c r="V140" s="3">
        <v>56</v>
      </c>
      <c r="W140" s="3">
        <v>6.85</v>
      </c>
      <c r="X140" s="3">
        <v>56.5</v>
      </c>
      <c r="Y140" s="3">
        <v>6.96</v>
      </c>
      <c r="Z140" s="3">
        <v>59</v>
      </c>
      <c r="AA140" s="3">
        <v>8.52</v>
      </c>
      <c r="AB140" s="3">
        <v>60</v>
      </c>
      <c r="AC140" s="3"/>
      <c r="AD140" s="3">
        <v>61</v>
      </c>
    </row>
    <row r="141" spans="1:30" x14ac:dyDescent="0.2">
      <c r="A141" s="60" t="s">
        <v>14</v>
      </c>
      <c r="B141" s="60" t="s">
        <v>167</v>
      </c>
      <c r="C141" s="60" t="s">
        <v>32</v>
      </c>
      <c r="D141" s="60" t="s">
        <v>24</v>
      </c>
      <c r="E141" s="60">
        <v>2</v>
      </c>
      <c r="F141" s="60" t="s">
        <v>180</v>
      </c>
      <c r="G141" s="60" t="s">
        <v>19</v>
      </c>
      <c r="H141" s="60" t="s">
        <v>133</v>
      </c>
      <c r="I141" s="60" t="str">
        <f t="shared" si="4"/>
        <v>B1-P5-C2</v>
      </c>
      <c r="J141" s="60" t="str">
        <f t="shared" si="5"/>
        <v>Fagus-B1-P5-C2-B2</v>
      </c>
      <c r="K141" s="60" t="s">
        <v>64</v>
      </c>
      <c r="L141" s="60" t="s">
        <v>44</v>
      </c>
      <c r="M141" s="60" t="s">
        <v>169</v>
      </c>
      <c r="N141" s="15">
        <v>140</v>
      </c>
      <c r="O141" s="60">
        <v>9.8000000000000007</v>
      </c>
      <c r="P141" s="60">
        <v>71</v>
      </c>
      <c r="Q141" s="60">
        <v>10.45</v>
      </c>
      <c r="R141" s="60">
        <v>73</v>
      </c>
      <c r="S141" s="3">
        <v>11.71</v>
      </c>
      <c r="T141" s="3">
        <v>73</v>
      </c>
      <c r="U141" s="3">
        <v>12.56</v>
      </c>
      <c r="V141" s="3">
        <v>75</v>
      </c>
      <c r="W141" s="3">
        <v>12.7</v>
      </c>
      <c r="X141" s="3">
        <v>75.5</v>
      </c>
      <c r="Y141" s="3">
        <v>11.84</v>
      </c>
      <c r="Z141" s="3">
        <v>77</v>
      </c>
      <c r="AA141" s="3">
        <v>12.03</v>
      </c>
      <c r="AB141" s="3">
        <v>76</v>
      </c>
      <c r="AC141" s="3"/>
      <c r="AD141" s="3">
        <v>76</v>
      </c>
    </row>
    <row r="142" spans="1:30" x14ac:dyDescent="0.2">
      <c r="A142" s="60" t="s">
        <v>14</v>
      </c>
      <c r="B142" s="60" t="s">
        <v>167</v>
      </c>
      <c r="C142" s="60" t="s">
        <v>32</v>
      </c>
      <c r="D142" s="60" t="s">
        <v>17</v>
      </c>
      <c r="E142" s="60">
        <v>3</v>
      </c>
      <c r="F142" s="60" t="s">
        <v>181</v>
      </c>
      <c r="G142" s="60" t="s">
        <v>19</v>
      </c>
      <c r="H142" s="60" t="s">
        <v>133</v>
      </c>
      <c r="I142" s="60" t="str">
        <f t="shared" si="4"/>
        <v>B1-P5-C2</v>
      </c>
      <c r="J142" s="60" t="str">
        <f t="shared" si="5"/>
        <v>Fagus-B1-P5-C2-A3</v>
      </c>
      <c r="K142" s="60" t="s">
        <v>64</v>
      </c>
      <c r="L142" s="60" t="s">
        <v>44</v>
      </c>
      <c r="M142" s="60" t="s">
        <v>169</v>
      </c>
      <c r="N142" s="15">
        <v>141</v>
      </c>
      <c r="O142" s="60">
        <v>7.7</v>
      </c>
      <c r="P142" s="60">
        <v>52</v>
      </c>
      <c r="Q142" s="60">
        <v>7.87</v>
      </c>
      <c r="R142" s="60">
        <v>54</v>
      </c>
      <c r="S142" s="3">
        <v>8.19</v>
      </c>
      <c r="T142" s="3">
        <v>54</v>
      </c>
      <c r="U142" s="3">
        <v>8.59</v>
      </c>
      <c r="V142" s="3">
        <v>57</v>
      </c>
      <c r="W142" s="3">
        <v>8.83</v>
      </c>
      <c r="X142" s="3">
        <v>55</v>
      </c>
      <c r="Y142" s="3">
        <v>9.19</v>
      </c>
      <c r="Z142" s="3">
        <v>55</v>
      </c>
      <c r="AA142" s="3">
        <v>9.25</v>
      </c>
      <c r="AB142" s="3">
        <v>56</v>
      </c>
      <c r="AC142" s="3"/>
      <c r="AD142" s="3">
        <v>55</v>
      </c>
    </row>
    <row r="143" spans="1:30" x14ac:dyDescent="0.2">
      <c r="A143" s="60" t="s">
        <v>14</v>
      </c>
      <c r="B143" s="60" t="s">
        <v>167</v>
      </c>
      <c r="C143" s="60" t="s">
        <v>32</v>
      </c>
      <c r="D143" s="60" t="s">
        <v>24</v>
      </c>
      <c r="E143" s="60">
        <v>3</v>
      </c>
      <c r="F143" s="60" t="s">
        <v>182</v>
      </c>
      <c r="G143" s="60" t="s">
        <v>35</v>
      </c>
      <c r="H143" s="60" t="s">
        <v>133</v>
      </c>
      <c r="I143" s="60" t="str">
        <f t="shared" si="4"/>
        <v>B1-P5-C2</v>
      </c>
      <c r="J143" s="60" t="str">
        <f t="shared" si="5"/>
        <v>Quercus-B1-P5-C2-B3</v>
      </c>
      <c r="K143" s="60" t="s">
        <v>64</v>
      </c>
      <c r="L143" s="60" t="s">
        <v>44</v>
      </c>
      <c r="M143" s="60" t="s">
        <v>169</v>
      </c>
      <c r="N143" s="15">
        <v>142</v>
      </c>
      <c r="O143" s="60">
        <v>6.3</v>
      </c>
      <c r="P143" s="60">
        <v>47</v>
      </c>
      <c r="Q143" s="60">
        <v>7.45</v>
      </c>
      <c r="R143" s="60">
        <v>57</v>
      </c>
      <c r="S143" s="3">
        <v>7.75</v>
      </c>
      <c r="T143" s="3">
        <v>66</v>
      </c>
      <c r="U143" s="3">
        <v>7.73</v>
      </c>
      <c r="V143" s="3">
        <v>68</v>
      </c>
      <c r="W143" s="3">
        <v>8.4</v>
      </c>
      <c r="X143" s="3">
        <v>71.5</v>
      </c>
      <c r="Y143" s="3">
        <v>9.68</v>
      </c>
      <c r="Z143" s="3">
        <v>74</v>
      </c>
      <c r="AA143" s="3">
        <v>9.7100000000000009</v>
      </c>
      <c r="AB143" s="3">
        <v>76</v>
      </c>
      <c r="AC143" s="3"/>
      <c r="AD143" s="3">
        <v>75</v>
      </c>
    </row>
    <row r="144" spans="1:30" x14ac:dyDescent="0.2">
      <c r="A144" s="60" t="s">
        <v>14</v>
      </c>
      <c r="B144" s="60" t="s">
        <v>167</v>
      </c>
      <c r="C144" s="60" t="s">
        <v>32</v>
      </c>
      <c r="D144" s="60" t="s">
        <v>17</v>
      </c>
      <c r="E144" s="60">
        <v>4</v>
      </c>
      <c r="F144" s="60" t="s">
        <v>183</v>
      </c>
      <c r="G144" s="60" t="s">
        <v>35</v>
      </c>
      <c r="H144" s="60" t="s">
        <v>133</v>
      </c>
      <c r="I144" s="60" t="str">
        <f t="shared" si="4"/>
        <v>B1-P5-C2</v>
      </c>
      <c r="J144" s="60" t="str">
        <f t="shared" si="5"/>
        <v>Quercus-B1-P5-C2-A4</v>
      </c>
      <c r="K144" s="60" t="s">
        <v>64</v>
      </c>
      <c r="L144" s="60" t="s">
        <v>44</v>
      </c>
      <c r="M144" s="60" t="s">
        <v>169</v>
      </c>
      <c r="N144" s="15">
        <v>143</v>
      </c>
      <c r="O144" s="60">
        <v>6.5</v>
      </c>
      <c r="P144" s="60">
        <v>60</v>
      </c>
      <c r="Q144" s="60">
        <v>7.69</v>
      </c>
      <c r="R144" s="60">
        <v>69.5</v>
      </c>
      <c r="S144" s="3">
        <v>8.48</v>
      </c>
      <c r="T144" s="3">
        <v>71.5</v>
      </c>
      <c r="U144" s="3">
        <v>8.86</v>
      </c>
      <c r="V144" s="3">
        <v>73</v>
      </c>
      <c r="W144" s="3">
        <v>9.9</v>
      </c>
      <c r="X144" s="3">
        <v>73</v>
      </c>
      <c r="Y144" s="3">
        <v>10.199999999999999</v>
      </c>
      <c r="Z144" s="3">
        <v>80</v>
      </c>
      <c r="AA144" s="3">
        <v>12</v>
      </c>
      <c r="AB144" s="3">
        <v>80</v>
      </c>
      <c r="AC144" s="3"/>
      <c r="AD144" s="82">
        <v>84</v>
      </c>
    </row>
    <row r="145" spans="1:30" x14ac:dyDescent="0.2">
      <c r="A145" s="60" t="s">
        <v>14</v>
      </c>
      <c r="B145" s="60" t="s">
        <v>167</v>
      </c>
      <c r="C145" s="60" t="s">
        <v>32</v>
      </c>
      <c r="D145" s="60" t="s">
        <v>24</v>
      </c>
      <c r="E145" s="60">
        <v>4</v>
      </c>
      <c r="F145" s="60" t="s">
        <v>184</v>
      </c>
      <c r="G145" s="60" t="s">
        <v>19</v>
      </c>
      <c r="H145" s="60" t="s">
        <v>133</v>
      </c>
      <c r="I145" s="60" t="str">
        <f t="shared" si="4"/>
        <v>B1-P5-C2</v>
      </c>
      <c r="J145" s="60" t="str">
        <f t="shared" si="5"/>
        <v>Fagus-B1-P5-C2-B4</v>
      </c>
      <c r="K145" s="60" t="s">
        <v>64</v>
      </c>
      <c r="L145" s="60" t="s">
        <v>44</v>
      </c>
      <c r="M145" s="60" t="s">
        <v>169</v>
      </c>
      <c r="N145" s="15">
        <v>144</v>
      </c>
      <c r="O145" s="60">
        <v>8.1999999999999993</v>
      </c>
      <c r="P145" s="60">
        <v>70.3</v>
      </c>
      <c r="Q145" s="60">
        <v>8.59</v>
      </c>
      <c r="R145" s="60">
        <v>73</v>
      </c>
      <c r="S145" s="3">
        <v>9.69</v>
      </c>
      <c r="T145" s="3">
        <v>73</v>
      </c>
      <c r="U145" s="3">
        <v>9.74</v>
      </c>
      <c r="V145" s="3">
        <v>72</v>
      </c>
      <c r="W145" s="3">
        <v>9.82</v>
      </c>
      <c r="X145" s="3">
        <v>70</v>
      </c>
      <c r="Y145" s="3">
        <v>10.27</v>
      </c>
      <c r="Z145" s="3">
        <v>70</v>
      </c>
      <c r="AA145" s="3">
        <v>10.3</v>
      </c>
      <c r="AB145" s="3">
        <v>71</v>
      </c>
      <c r="AC145" s="3"/>
      <c r="AD145" s="3">
        <v>72</v>
      </c>
    </row>
    <row r="146" spans="1:30" s="38" customFormat="1" x14ac:dyDescent="0.2">
      <c r="A146" s="57" t="s">
        <v>14</v>
      </c>
      <c r="B146" s="57" t="s">
        <v>167</v>
      </c>
      <c r="C146" s="57" t="s">
        <v>42</v>
      </c>
      <c r="D146" s="57" t="s">
        <v>17</v>
      </c>
      <c r="E146" s="57">
        <v>1</v>
      </c>
      <c r="F146" s="57" t="s">
        <v>185</v>
      </c>
      <c r="G146" s="57" t="s">
        <v>19</v>
      </c>
      <c r="H146" s="57" t="s">
        <v>133</v>
      </c>
      <c r="I146" s="57" t="str">
        <f t="shared" si="4"/>
        <v>B1-P5-C3</v>
      </c>
      <c r="J146" s="57" t="str">
        <f t="shared" si="5"/>
        <v>Fagus-B1-P5-C3-A1</v>
      </c>
      <c r="K146" s="57" t="s">
        <v>21</v>
      </c>
      <c r="L146" s="57" t="s">
        <v>22</v>
      </c>
      <c r="M146" s="57" t="s">
        <v>134</v>
      </c>
      <c r="N146" s="37">
        <v>145</v>
      </c>
      <c r="O146" s="57">
        <v>8.5</v>
      </c>
      <c r="P146" s="57">
        <v>66.2</v>
      </c>
      <c r="Q146" s="57">
        <v>8.4499999999999993</v>
      </c>
      <c r="R146" s="57">
        <v>83</v>
      </c>
      <c r="S146" s="57">
        <v>10.17</v>
      </c>
      <c r="T146" s="57">
        <v>91.5</v>
      </c>
      <c r="U146" s="57">
        <v>11.23</v>
      </c>
      <c r="V146" s="57">
        <v>115</v>
      </c>
      <c r="W146" s="57">
        <v>12.3</v>
      </c>
      <c r="X146" s="57">
        <v>116</v>
      </c>
      <c r="Y146" s="57">
        <v>12.52</v>
      </c>
      <c r="Z146" s="57">
        <v>115</v>
      </c>
      <c r="AA146" s="57">
        <v>12.64</v>
      </c>
      <c r="AB146" s="57">
        <v>115</v>
      </c>
      <c r="AC146" s="57"/>
      <c r="AD146" s="57">
        <v>115</v>
      </c>
    </row>
    <row r="147" spans="1:30" s="38" customFormat="1" x14ac:dyDescent="0.2">
      <c r="A147" s="57" t="s">
        <v>14</v>
      </c>
      <c r="B147" s="57" t="s">
        <v>167</v>
      </c>
      <c r="C147" s="57" t="s">
        <v>42</v>
      </c>
      <c r="D147" s="57" t="s">
        <v>24</v>
      </c>
      <c r="E147" s="57">
        <v>1</v>
      </c>
      <c r="F147" s="57" t="s">
        <v>186</v>
      </c>
      <c r="G147" s="57" t="s">
        <v>19</v>
      </c>
      <c r="H147" s="57" t="s">
        <v>133</v>
      </c>
      <c r="I147" s="57" t="str">
        <f t="shared" si="4"/>
        <v>B1-P5-C3</v>
      </c>
      <c r="J147" s="57" t="str">
        <f t="shared" si="5"/>
        <v>Fagus-B1-P5-C3-B1</v>
      </c>
      <c r="K147" s="57" t="s">
        <v>21</v>
      </c>
      <c r="L147" s="57" t="s">
        <v>22</v>
      </c>
      <c r="M147" s="57" t="s">
        <v>134</v>
      </c>
      <c r="N147" s="37">
        <v>146</v>
      </c>
      <c r="O147" s="57">
        <v>10.6</v>
      </c>
      <c r="P147" s="57">
        <v>77.599999999999994</v>
      </c>
      <c r="Q147" s="57">
        <v>10.65</v>
      </c>
      <c r="R147" s="57">
        <v>85</v>
      </c>
      <c r="S147" s="57">
        <v>12.96</v>
      </c>
      <c r="T147" s="57">
        <v>85</v>
      </c>
      <c r="U147" s="57">
        <v>14.36</v>
      </c>
      <c r="V147" s="57">
        <v>100</v>
      </c>
      <c r="W147" s="57">
        <v>15.3</v>
      </c>
      <c r="X147" s="57">
        <v>115</v>
      </c>
      <c r="Y147" s="57">
        <v>14.95</v>
      </c>
      <c r="Z147" s="57">
        <v>124</v>
      </c>
      <c r="AA147" s="57">
        <v>14.98</v>
      </c>
      <c r="AB147" s="57">
        <v>127</v>
      </c>
      <c r="AC147" s="57"/>
      <c r="AD147" s="57">
        <v>126</v>
      </c>
    </row>
    <row r="148" spans="1:30" s="38" customFormat="1" x14ac:dyDescent="0.2">
      <c r="A148" s="57" t="s">
        <v>14</v>
      </c>
      <c r="B148" s="57" t="s">
        <v>167</v>
      </c>
      <c r="C148" s="57" t="s">
        <v>42</v>
      </c>
      <c r="D148" s="57" t="s">
        <v>17</v>
      </c>
      <c r="E148" s="57">
        <v>2</v>
      </c>
      <c r="F148" s="57" t="s">
        <v>187</v>
      </c>
      <c r="G148" s="57" t="s">
        <v>19</v>
      </c>
      <c r="H148" s="57" t="s">
        <v>133</v>
      </c>
      <c r="I148" s="57" t="str">
        <f t="shared" si="4"/>
        <v>B1-P5-C3</v>
      </c>
      <c r="J148" s="57" t="str">
        <f t="shared" si="5"/>
        <v>Fagus-B1-P5-C3-A2</v>
      </c>
      <c r="K148" s="57" t="s">
        <v>21</v>
      </c>
      <c r="L148" s="57" t="s">
        <v>22</v>
      </c>
      <c r="M148" s="57" t="s">
        <v>134</v>
      </c>
      <c r="N148" s="37">
        <v>147</v>
      </c>
      <c r="O148" s="57">
        <v>10.5</v>
      </c>
      <c r="P148" s="57">
        <v>76</v>
      </c>
      <c r="Q148" s="57">
        <v>10.85</v>
      </c>
      <c r="R148" s="57">
        <v>92</v>
      </c>
      <c r="S148" s="57">
        <v>11.8</v>
      </c>
      <c r="T148" s="57">
        <v>107</v>
      </c>
      <c r="U148" s="57">
        <v>13.04</v>
      </c>
      <c r="V148" s="57">
        <v>118</v>
      </c>
      <c r="W148" s="57">
        <v>14.06</v>
      </c>
      <c r="X148" s="57">
        <v>119.5</v>
      </c>
      <c r="Y148" s="57">
        <v>14.98</v>
      </c>
      <c r="Z148" s="57">
        <v>118</v>
      </c>
      <c r="AA148" s="57">
        <v>14.24</v>
      </c>
      <c r="AB148" s="57">
        <v>119</v>
      </c>
      <c r="AC148" s="57"/>
      <c r="AD148" s="57">
        <v>119</v>
      </c>
    </row>
    <row r="149" spans="1:30" s="38" customFormat="1" x14ac:dyDescent="0.2">
      <c r="A149" s="57" t="s">
        <v>14</v>
      </c>
      <c r="B149" s="57" t="s">
        <v>167</v>
      </c>
      <c r="C149" s="57" t="s">
        <v>42</v>
      </c>
      <c r="D149" s="57" t="s">
        <v>24</v>
      </c>
      <c r="E149" s="57">
        <v>2</v>
      </c>
      <c r="F149" s="57" t="s">
        <v>188</v>
      </c>
      <c r="G149" s="57" t="s">
        <v>19</v>
      </c>
      <c r="H149" s="57" t="s">
        <v>133</v>
      </c>
      <c r="I149" s="57" t="str">
        <f t="shared" si="4"/>
        <v>B1-P5-C3</v>
      </c>
      <c r="J149" s="57" t="str">
        <f t="shared" si="5"/>
        <v>Fagus-B1-P5-C3-B2</v>
      </c>
      <c r="K149" s="57" t="s">
        <v>21</v>
      </c>
      <c r="L149" s="57" t="s">
        <v>22</v>
      </c>
      <c r="M149" s="57" t="s">
        <v>134</v>
      </c>
      <c r="N149" s="37">
        <v>148</v>
      </c>
      <c r="O149" s="57">
        <v>7.3</v>
      </c>
      <c r="P149" s="57">
        <v>71.7</v>
      </c>
      <c r="Q149" s="57">
        <v>8.6999999999999993</v>
      </c>
      <c r="R149" s="57">
        <v>72</v>
      </c>
      <c r="S149" s="57">
        <v>9.64</v>
      </c>
      <c r="T149" s="57">
        <v>72.5</v>
      </c>
      <c r="U149" s="57">
        <v>12.27</v>
      </c>
      <c r="V149" s="57">
        <v>91</v>
      </c>
      <c r="W149" s="57">
        <v>12.6</v>
      </c>
      <c r="X149" s="57">
        <v>105</v>
      </c>
      <c r="Y149" s="57">
        <v>12.09</v>
      </c>
      <c r="Z149" s="57">
        <v>112</v>
      </c>
      <c r="AA149" s="57">
        <v>12.47</v>
      </c>
      <c r="AB149" s="57">
        <v>114</v>
      </c>
      <c r="AC149" s="57"/>
      <c r="AD149" s="57">
        <v>113</v>
      </c>
    </row>
    <row r="150" spans="1:30" s="38" customFormat="1" x14ac:dyDescent="0.2">
      <c r="A150" s="57" t="s">
        <v>14</v>
      </c>
      <c r="B150" s="57" t="s">
        <v>167</v>
      </c>
      <c r="C150" s="57" t="s">
        <v>42</v>
      </c>
      <c r="D150" s="57" t="s">
        <v>17</v>
      </c>
      <c r="E150" s="57">
        <v>3</v>
      </c>
      <c r="F150" s="57" t="s">
        <v>189</v>
      </c>
      <c r="G150" s="57" t="s">
        <v>19</v>
      </c>
      <c r="H150" s="57" t="s">
        <v>133</v>
      </c>
      <c r="I150" s="57" t="str">
        <f t="shared" si="4"/>
        <v>B1-P5-C3</v>
      </c>
      <c r="J150" s="57" t="str">
        <f t="shared" si="5"/>
        <v>Fagus-B1-P5-C3-A3</v>
      </c>
      <c r="K150" s="57" t="s">
        <v>21</v>
      </c>
      <c r="L150" s="57" t="s">
        <v>22</v>
      </c>
      <c r="M150" s="57" t="s">
        <v>134</v>
      </c>
      <c r="N150" s="37">
        <v>149</v>
      </c>
      <c r="O150" s="57">
        <v>10.3</v>
      </c>
      <c r="P150" s="57">
        <v>69.099999999999994</v>
      </c>
      <c r="Q150" s="57">
        <v>10.3</v>
      </c>
      <c r="R150" s="57">
        <v>83</v>
      </c>
      <c r="S150" s="57">
        <v>11.56</v>
      </c>
      <c r="T150" s="57">
        <v>86.5</v>
      </c>
      <c r="U150" s="57">
        <v>13.29</v>
      </c>
      <c r="V150" s="57">
        <v>100</v>
      </c>
      <c r="W150" s="57">
        <v>14.49</v>
      </c>
      <c r="X150" s="57">
        <v>110</v>
      </c>
      <c r="Y150" s="57">
        <v>13.52</v>
      </c>
      <c r="Z150" s="57">
        <v>122</v>
      </c>
      <c r="AA150" s="57">
        <v>13.89</v>
      </c>
      <c r="AB150" s="57">
        <v>130</v>
      </c>
      <c r="AC150" s="57"/>
      <c r="AD150" s="57">
        <v>129</v>
      </c>
    </row>
    <row r="151" spans="1:30" s="38" customFormat="1" x14ac:dyDescent="0.2">
      <c r="A151" s="57" t="s">
        <v>14</v>
      </c>
      <c r="B151" s="57" t="s">
        <v>167</v>
      </c>
      <c r="C151" s="57" t="s">
        <v>42</v>
      </c>
      <c r="D151" s="57" t="s">
        <v>24</v>
      </c>
      <c r="E151" s="57">
        <v>3</v>
      </c>
      <c r="F151" s="57" t="s">
        <v>190</v>
      </c>
      <c r="G151" s="57" t="s">
        <v>19</v>
      </c>
      <c r="H151" s="57" t="s">
        <v>133</v>
      </c>
      <c r="I151" s="57" t="str">
        <f t="shared" si="4"/>
        <v>B1-P5-C3</v>
      </c>
      <c r="J151" s="57" t="str">
        <f t="shared" si="5"/>
        <v>Fagus-B1-P5-C3-B3</v>
      </c>
      <c r="K151" s="57" t="s">
        <v>21</v>
      </c>
      <c r="L151" s="57" t="s">
        <v>22</v>
      </c>
      <c r="M151" s="57" t="s">
        <v>134</v>
      </c>
      <c r="N151" s="37">
        <v>150</v>
      </c>
      <c r="O151" s="57">
        <v>8.6</v>
      </c>
      <c r="P151" s="57">
        <v>39</v>
      </c>
      <c r="Q151" s="57">
        <v>9.2899999999999991</v>
      </c>
      <c r="R151" s="57">
        <v>41</v>
      </c>
      <c r="S151" s="57">
        <v>9.6300000000000008</v>
      </c>
      <c r="T151" s="57">
        <v>42</v>
      </c>
      <c r="U151" s="57">
        <v>10.95</v>
      </c>
      <c r="V151" s="57">
        <v>69</v>
      </c>
      <c r="W151" s="57">
        <v>11.34</v>
      </c>
      <c r="X151" s="57">
        <v>76.5</v>
      </c>
      <c r="Y151" s="57">
        <v>10.32</v>
      </c>
      <c r="Z151" s="57">
        <v>77</v>
      </c>
      <c r="AA151" s="57">
        <v>10.74</v>
      </c>
      <c r="AB151" s="57">
        <v>78</v>
      </c>
      <c r="AC151" s="57"/>
      <c r="AD151" s="57">
        <v>77</v>
      </c>
    </row>
    <row r="152" spans="1:30" s="38" customFormat="1" x14ac:dyDescent="0.2">
      <c r="A152" s="57" t="s">
        <v>14</v>
      </c>
      <c r="B152" s="57" t="s">
        <v>167</v>
      </c>
      <c r="C152" s="57" t="s">
        <v>42</v>
      </c>
      <c r="D152" s="57" t="s">
        <v>17</v>
      </c>
      <c r="E152" s="57">
        <v>4</v>
      </c>
      <c r="F152" s="57" t="s">
        <v>191</v>
      </c>
      <c r="G152" s="57" t="s">
        <v>19</v>
      </c>
      <c r="H152" s="57" t="s">
        <v>133</v>
      </c>
      <c r="I152" s="57" t="str">
        <f t="shared" si="4"/>
        <v>B1-P5-C3</v>
      </c>
      <c r="J152" s="57" t="str">
        <f t="shared" si="5"/>
        <v>Fagus-B1-P5-C3-A4</v>
      </c>
      <c r="K152" s="57" t="s">
        <v>21</v>
      </c>
      <c r="L152" s="57" t="s">
        <v>22</v>
      </c>
      <c r="M152" s="57" t="s">
        <v>134</v>
      </c>
      <c r="N152" s="37">
        <v>151</v>
      </c>
      <c r="O152" s="57">
        <v>8.3000000000000007</v>
      </c>
      <c r="P152" s="57">
        <v>66.3</v>
      </c>
      <c r="Q152" s="57">
        <v>8.3000000000000007</v>
      </c>
      <c r="R152" s="57">
        <v>67</v>
      </c>
      <c r="S152" s="57">
        <v>9.81</v>
      </c>
      <c r="T152" s="57">
        <v>67</v>
      </c>
      <c r="U152" s="57">
        <v>11.74</v>
      </c>
      <c r="V152" s="57">
        <v>84</v>
      </c>
      <c r="W152" s="57">
        <v>12.63</v>
      </c>
      <c r="X152" s="57">
        <v>91.5</v>
      </c>
      <c r="Y152" s="57">
        <v>11.95</v>
      </c>
      <c r="Z152" s="57">
        <v>93</v>
      </c>
      <c r="AA152" s="57">
        <v>12.92</v>
      </c>
      <c r="AB152" s="57">
        <v>97</v>
      </c>
      <c r="AC152" s="57"/>
      <c r="AD152" s="57">
        <v>96</v>
      </c>
    </row>
    <row r="153" spans="1:30" s="38" customFormat="1" x14ac:dyDescent="0.2">
      <c r="A153" s="57" t="s">
        <v>14</v>
      </c>
      <c r="B153" s="57" t="s">
        <v>167</v>
      </c>
      <c r="C153" s="57" t="s">
        <v>42</v>
      </c>
      <c r="D153" s="57" t="s">
        <v>24</v>
      </c>
      <c r="E153" s="57">
        <v>4</v>
      </c>
      <c r="F153" s="57" t="s">
        <v>192</v>
      </c>
      <c r="G153" s="57" t="s">
        <v>19</v>
      </c>
      <c r="H153" s="57" t="s">
        <v>133</v>
      </c>
      <c r="I153" s="57" t="str">
        <f t="shared" si="4"/>
        <v>B1-P5-C3</v>
      </c>
      <c r="J153" s="57" t="str">
        <f t="shared" si="5"/>
        <v>Fagus-B1-P5-C3-B4</v>
      </c>
      <c r="K153" s="57" t="s">
        <v>21</v>
      </c>
      <c r="L153" s="57" t="s">
        <v>22</v>
      </c>
      <c r="M153" s="57" t="s">
        <v>134</v>
      </c>
      <c r="N153" s="37">
        <v>152</v>
      </c>
      <c r="O153" s="57">
        <v>9.6</v>
      </c>
      <c r="P153" s="57">
        <v>62.3</v>
      </c>
      <c r="Q153" s="57">
        <v>9.65</v>
      </c>
      <c r="R153" s="57">
        <v>71</v>
      </c>
      <c r="S153" s="57">
        <v>11.59</v>
      </c>
      <c r="T153" s="57">
        <v>71</v>
      </c>
      <c r="U153" s="57">
        <v>12.55</v>
      </c>
      <c r="V153" s="57">
        <v>82</v>
      </c>
      <c r="W153" s="57">
        <v>13.8</v>
      </c>
      <c r="X153" s="57">
        <v>94</v>
      </c>
      <c r="Y153" s="57">
        <v>13</v>
      </c>
      <c r="Z153" s="57">
        <v>94</v>
      </c>
      <c r="AA153" s="57">
        <v>13.96</v>
      </c>
      <c r="AB153" s="57">
        <v>95</v>
      </c>
      <c r="AC153" s="57"/>
      <c r="AD153" s="57">
        <v>95</v>
      </c>
    </row>
    <row r="154" spans="1:30" x14ac:dyDescent="0.2">
      <c r="A154" s="60" t="s">
        <v>14</v>
      </c>
      <c r="B154" s="60" t="s">
        <v>167</v>
      </c>
      <c r="C154" s="60" t="s">
        <v>53</v>
      </c>
      <c r="D154" s="60" t="s">
        <v>17</v>
      </c>
      <c r="E154" s="60">
        <v>1</v>
      </c>
      <c r="F154" s="60" t="s">
        <v>193</v>
      </c>
      <c r="G154" s="60" t="s">
        <v>35</v>
      </c>
      <c r="H154" s="60" t="s">
        <v>133</v>
      </c>
      <c r="I154" s="60" t="str">
        <f t="shared" si="4"/>
        <v>B1-P5-C4</v>
      </c>
      <c r="J154" s="60" t="str">
        <f t="shared" si="5"/>
        <v>Quercus-B1-P5-C4-A1</v>
      </c>
      <c r="K154" s="60" t="s">
        <v>21</v>
      </c>
      <c r="L154" s="60" t="s">
        <v>22</v>
      </c>
      <c r="M154" s="60" t="s">
        <v>134</v>
      </c>
      <c r="N154" s="15">
        <v>153</v>
      </c>
      <c r="O154" s="60">
        <v>5.3</v>
      </c>
      <c r="P154" s="60">
        <v>51.2</v>
      </c>
      <c r="Q154" s="60">
        <v>6.18</v>
      </c>
      <c r="R154" s="60">
        <v>57</v>
      </c>
      <c r="S154" s="3">
        <v>7.08</v>
      </c>
      <c r="T154" s="3">
        <v>77</v>
      </c>
      <c r="U154" s="3">
        <v>8.8000000000000007</v>
      </c>
      <c r="V154" s="3">
        <v>98</v>
      </c>
      <c r="W154" s="3">
        <v>9.93</v>
      </c>
      <c r="X154" s="3">
        <v>97</v>
      </c>
      <c r="Y154" s="3">
        <v>9.48</v>
      </c>
      <c r="Z154" s="3">
        <v>120</v>
      </c>
      <c r="AA154" s="3">
        <v>12.59</v>
      </c>
      <c r="AB154" s="3">
        <v>121</v>
      </c>
      <c r="AC154" s="3"/>
      <c r="AD154" s="3">
        <v>121</v>
      </c>
    </row>
    <row r="155" spans="1:30" x14ac:dyDescent="0.2">
      <c r="A155" s="60" t="s">
        <v>14</v>
      </c>
      <c r="B155" s="60" t="s">
        <v>167</v>
      </c>
      <c r="C155" s="60" t="s">
        <v>53</v>
      </c>
      <c r="D155" s="60" t="s">
        <v>24</v>
      </c>
      <c r="E155" s="60">
        <v>1</v>
      </c>
      <c r="F155" s="60" t="s">
        <v>194</v>
      </c>
      <c r="G155" s="60" t="s">
        <v>35</v>
      </c>
      <c r="H155" s="60" t="s">
        <v>133</v>
      </c>
      <c r="I155" s="60" t="str">
        <f t="shared" si="4"/>
        <v>B1-P5-C4</v>
      </c>
      <c r="J155" s="60" t="str">
        <f t="shared" si="5"/>
        <v>Quercus-B1-P5-C4-B1</v>
      </c>
      <c r="K155" s="60" t="s">
        <v>21</v>
      </c>
      <c r="L155" s="60" t="s">
        <v>22</v>
      </c>
      <c r="M155" s="60" t="s">
        <v>134</v>
      </c>
      <c r="N155" s="15">
        <v>154</v>
      </c>
      <c r="O155" s="60">
        <v>4.9000000000000004</v>
      </c>
      <c r="P155" s="60">
        <v>47.5</v>
      </c>
      <c r="Q155" s="60">
        <v>6.44</v>
      </c>
      <c r="R155" s="60">
        <v>55</v>
      </c>
      <c r="S155" s="3">
        <v>7.38</v>
      </c>
      <c r="T155" s="3">
        <v>63</v>
      </c>
      <c r="U155" s="3">
        <v>9.1999999999999993</v>
      </c>
      <c r="V155" s="3">
        <v>80.5</v>
      </c>
      <c r="W155" s="3">
        <v>11.06</v>
      </c>
      <c r="X155" s="3">
        <v>81</v>
      </c>
      <c r="Y155" s="3">
        <v>12.39</v>
      </c>
      <c r="Z155" s="3">
        <v>97</v>
      </c>
      <c r="AA155" s="3">
        <v>14.55</v>
      </c>
      <c r="AB155" s="3">
        <v>98</v>
      </c>
      <c r="AC155" s="3"/>
      <c r="AD155" s="3">
        <v>97</v>
      </c>
    </row>
    <row r="156" spans="1:30" x14ac:dyDescent="0.2">
      <c r="A156" s="60" t="s">
        <v>14</v>
      </c>
      <c r="B156" s="60" t="s">
        <v>167</v>
      </c>
      <c r="C156" s="60" t="s">
        <v>53</v>
      </c>
      <c r="D156" s="60" t="s">
        <v>17</v>
      </c>
      <c r="E156" s="60">
        <v>2</v>
      </c>
      <c r="F156" s="60" t="s">
        <v>195</v>
      </c>
      <c r="G156" s="60" t="s">
        <v>35</v>
      </c>
      <c r="H156" s="60" t="s">
        <v>133</v>
      </c>
      <c r="I156" s="60" t="str">
        <f t="shared" si="4"/>
        <v>B1-P5-C4</v>
      </c>
      <c r="J156" s="60" t="str">
        <f t="shared" si="5"/>
        <v>Quercus-B1-P5-C4-A2</v>
      </c>
      <c r="K156" s="60" t="s">
        <v>21</v>
      </c>
      <c r="L156" s="60" t="s">
        <v>22</v>
      </c>
      <c r="M156" s="60" t="s">
        <v>134</v>
      </c>
      <c r="N156" s="15">
        <v>155</v>
      </c>
      <c r="O156" s="60">
        <v>3.8</v>
      </c>
      <c r="P156" s="60">
        <v>31.3</v>
      </c>
      <c r="Q156" s="60">
        <v>4.4800000000000004</v>
      </c>
      <c r="R156" s="60">
        <v>38</v>
      </c>
      <c r="S156" s="3">
        <v>4.95</v>
      </c>
      <c r="T156" s="3">
        <v>39</v>
      </c>
      <c r="U156" s="3">
        <v>5.81</v>
      </c>
      <c r="V156" s="3">
        <v>52</v>
      </c>
      <c r="W156" s="3">
        <v>7.03</v>
      </c>
      <c r="X156" s="3">
        <v>52</v>
      </c>
      <c r="Y156" s="3">
        <v>8.33</v>
      </c>
      <c r="Z156" s="3">
        <v>63</v>
      </c>
      <c r="AA156" s="3">
        <v>9.0500000000000007</v>
      </c>
      <c r="AB156" s="3">
        <v>65</v>
      </c>
      <c r="AC156" s="3"/>
      <c r="AD156" s="3">
        <v>65</v>
      </c>
    </row>
    <row r="157" spans="1:30" x14ac:dyDescent="0.2">
      <c r="A157" s="60" t="s">
        <v>14</v>
      </c>
      <c r="B157" s="60" t="s">
        <v>167</v>
      </c>
      <c r="C157" s="60" t="s">
        <v>53</v>
      </c>
      <c r="D157" s="60" t="s">
        <v>24</v>
      </c>
      <c r="E157" s="60">
        <v>2</v>
      </c>
      <c r="F157" s="60" t="s">
        <v>196</v>
      </c>
      <c r="G157" s="60" t="s">
        <v>35</v>
      </c>
      <c r="H157" s="60" t="s">
        <v>133</v>
      </c>
      <c r="I157" s="60" t="str">
        <f t="shared" si="4"/>
        <v>B1-P5-C4</v>
      </c>
      <c r="J157" s="60" t="str">
        <f t="shared" si="5"/>
        <v>Quercus-B1-P5-C4-B2</v>
      </c>
      <c r="K157" s="60" t="s">
        <v>21</v>
      </c>
      <c r="L157" s="60" t="s">
        <v>22</v>
      </c>
      <c r="M157" s="60" t="s">
        <v>134</v>
      </c>
      <c r="N157" s="15">
        <v>156</v>
      </c>
      <c r="O157" s="60">
        <v>5.6</v>
      </c>
      <c r="P157" s="60">
        <v>43.1</v>
      </c>
      <c r="Q157" s="60">
        <v>6.88</v>
      </c>
      <c r="R157" s="60">
        <v>48</v>
      </c>
      <c r="S157" s="3">
        <v>8.1</v>
      </c>
      <c r="T157" s="3">
        <v>61</v>
      </c>
      <c r="U157" s="3">
        <v>8.9499999999999993</v>
      </c>
      <c r="V157" s="3">
        <v>70</v>
      </c>
      <c r="W157" s="3">
        <v>10.39</v>
      </c>
      <c r="X157" s="3">
        <v>74</v>
      </c>
      <c r="Y157" s="3">
        <v>12.14</v>
      </c>
      <c r="Z157" s="3">
        <v>88</v>
      </c>
      <c r="AA157" s="3">
        <v>15.08</v>
      </c>
      <c r="AB157" s="3">
        <v>92</v>
      </c>
      <c r="AC157" s="3"/>
      <c r="AD157" s="3">
        <v>90</v>
      </c>
    </row>
    <row r="158" spans="1:30" x14ac:dyDescent="0.2">
      <c r="A158" s="60" t="s">
        <v>14</v>
      </c>
      <c r="B158" s="60" t="s">
        <v>167</v>
      </c>
      <c r="C158" s="60" t="s">
        <v>53</v>
      </c>
      <c r="D158" s="60" t="s">
        <v>17</v>
      </c>
      <c r="E158" s="60">
        <v>3</v>
      </c>
      <c r="F158" s="60" t="s">
        <v>197</v>
      </c>
      <c r="G158" s="60" t="s">
        <v>35</v>
      </c>
      <c r="H158" s="60" t="s">
        <v>133</v>
      </c>
      <c r="I158" s="60" t="str">
        <f t="shared" si="4"/>
        <v>B1-P5-C4</v>
      </c>
      <c r="J158" s="60" t="str">
        <f t="shared" si="5"/>
        <v>Quercus-B1-P5-C4-A3</v>
      </c>
      <c r="K158" s="60" t="s">
        <v>21</v>
      </c>
      <c r="L158" s="60" t="s">
        <v>22</v>
      </c>
      <c r="M158" s="60" t="s">
        <v>134</v>
      </c>
      <c r="N158" s="15">
        <v>157</v>
      </c>
      <c r="O158" s="60">
        <v>4.2</v>
      </c>
      <c r="P158" s="60">
        <v>25.3</v>
      </c>
      <c r="Q158" s="60">
        <v>4.4800000000000004</v>
      </c>
      <c r="R158" s="60">
        <v>35</v>
      </c>
      <c r="S158" s="3">
        <v>5.58</v>
      </c>
      <c r="T158" s="3">
        <v>35</v>
      </c>
      <c r="U158" s="3">
        <v>5.9</v>
      </c>
      <c r="V158" s="3">
        <v>50.5</v>
      </c>
      <c r="W158" s="3">
        <v>5.87</v>
      </c>
      <c r="X158" s="3">
        <v>50</v>
      </c>
      <c r="Y158" s="3">
        <v>7.19</v>
      </c>
      <c r="Z158" s="3">
        <v>62</v>
      </c>
      <c r="AA158" s="3">
        <v>8.6999999999999993</v>
      </c>
      <c r="AB158" s="3">
        <v>64</v>
      </c>
      <c r="AC158" s="3"/>
      <c r="AD158" s="3">
        <v>64</v>
      </c>
    </row>
    <row r="159" spans="1:30" x14ac:dyDescent="0.2">
      <c r="A159" s="60" t="s">
        <v>14</v>
      </c>
      <c r="B159" s="60" t="s">
        <v>167</v>
      </c>
      <c r="C159" s="60" t="s">
        <v>53</v>
      </c>
      <c r="D159" s="60" t="s">
        <v>24</v>
      </c>
      <c r="E159" s="60">
        <v>3</v>
      </c>
      <c r="F159" s="60" t="s">
        <v>198</v>
      </c>
      <c r="G159" s="60" t="s">
        <v>35</v>
      </c>
      <c r="H159" s="60" t="s">
        <v>133</v>
      </c>
      <c r="I159" s="60" t="str">
        <f t="shared" si="4"/>
        <v>B1-P5-C4</v>
      </c>
      <c r="J159" s="60" t="str">
        <f t="shared" si="5"/>
        <v>Quercus-B1-P5-C4-B3</v>
      </c>
      <c r="K159" s="60" t="s">
        <v>21</v>
      </c>
      <c r="L159" s="60" t="s">
        <v>22</v>
      </c>
      <c r="M159" s="60" t="s">
        <v>134</v>
      </c>
      <c r="N159" s="15">
        <v>158</v>
      </c>
      <c r="O159" s="60">
        <v>5.2</v>
      </c>
      <c r="P159" s="60">
        <v>48.3</v>
      </c>
      <c r="Q159" s="60">
        <v>6.4</v>
      </c>
      <c r="R159" s="60">
        <v>50</v>
      </c>
      <c r="S159" s="3">
        <v>7.51</v>
      </c>
      <c r="T159" s="3">
        <v>71</v>
      </c>
      <c r="U159" s="3">
        <v>7.96</v>
      </c>
      <c r="V159" s="3">
        <v>72</v>
      </c>
      <c r="W159" s="3">
        <v>9.0399999999999991</v>
      </c>
      <c r="X159" s="3">
        <v>84</v>
      </c>
      <c r="Y159" s="3">
        <v>10.9</v>
      </c>
      <c r="Z159" s="3">
        <v>90</v>
      </c>
      <c r="AA159" s="3">
        <v>13.01</v>
      </c>
      <c r="AB159" s="3">
        <v>101</v>
      </c>
      <c r="AC159" s="3"/>
      <c r="AD159" s="3">
        <v>102</v>
      </c>
    </row>
    <row r="160" spans="1:30" x14ac:dyDescent="0.2">
      <c r="A160" s="60" t="s">
        <v>14</v>
      </c>
      <c r="B160" s="60" t="s">
        <v>167</v>
      </c>
      <c r="C160" s="60" t="s">
        <v>53</v>
      </c>
      <c r="D160" s="60" t="s">
        <v>17</v>
      </c>
      <c r="E160" s="60">
        <v>4</v>
      </c>
      <c r="F160" s="60" t="s">
        <v>199</v>
      </c>
      <c r="G160" s="60" t="s">
        <v>35</v>
      </c>
      <c r="H160" s="60" t="s">
        <v>133</v>
      </c>
      <c r="I160" s="60" t="str">
        <f t="shared" si="4"/>
        <v>B1-P5-C4</v>
      </c>
      <c r="J160" s="60" t="str">
        <f t="shared" si="5"/>
        <v>Quercus-B1-P5-C4-A4</v>
      </c>
      <c r="K160" s="60" t="s">
        <v>21</v>
      </c>
      <c r="L160" s="60" t="s">
        <v>22</v>
      </c>
      <c r="M160" s="60" t="s">
        <v>134</v>
      </c>
      <c r="N160" s="15">
        <v>159</v>
      </c>
      <c r="O160" s="60">
        <v>4.3</v>
      </c>
      <c r="P160" s="60">
        <v>29.5</v>
      </c>
      <c r="Q160" s="60">
        <v>5.47</v>
      </c>
      <c r="R160" s="60">
        <v>37</v>
      </c>
      <c r="S160" s="3">
        <v>6.4</v>
      </c>
      <c r="T160" s="3">
        <v>39</v>
      </c>
      <c r="U160" s="3">
        <v>6.44</v>
      </c>
      <c r="V160" s="3">
        <v>52</v>
      </c>
      <c r="W160" s="3">
        <v>7.45</v>
      </c>
      <c r="X160" s="3">
        <v>61.5</v>
      </c>
      <c r="Y160" s="3">
        <v>8.51</v>
      </c>
      <c r="Z160" s="3">
        <v>64</v>
      </c>
      <c r="AA160" s="3">
        <v>11.1</v>
      </c>
      <c r="AB160" s="3">
        <v>77</v>
      </c>
      <c r="AC160" s="3"/>
      <c r="AD160" s="3">
        <v>77</v>
      </c>
    </row>
    <row r="161" spans="1:30" x14ac:dyDescent="0.2">
      <c r="A161" s="60" t="s">
        <v>14</v>
      </c>
      <c r="B161" s="60" t="s">
        <v>167</v>
      </c>
      <c r="C161" s="60" t="s">
        <v>53</v>
      </c>
      <c r="D161" s="60" t="s">
        <v>24</v>
      </c>
      <c r="E161" s="60">
        <v>4</v>
      </c>
      <c r="F161" s="60" t="s">
        <v>198</v>
      </c>
      <c r="G161" s="60" t="s">
        <v>35</v>
      </c>
      <c r="H161" s="60" t="s">
        <v>133</v>
      </c>
      <c r="I161" s="60" t="str">
        <f t="shared" si="4"/>
        <v>B1-P5-C4</v>
      </c>
      <c r="J161" s="60" t="str">
        <f t="shared" si="5"/>
        <v>Quercus-B1-P5-C4-B4</v>
      </c>
      <c r="K161" s="60" t="s">
        <v>21</v>
      </c>
      <c r="L161" s="60" t="s">
        <v>22</v>
      </c>
      <c r="M161" s="60" t="s">
        <v>134</v>
      </c>
      <c r="N161" s="15">
        <v>160</v>
      </c>
      <c r="O161" s="60">
        <v>3.5</v>
      </c>
      <c r="P161" s="60">
        <v>23.9</v>
      </c>
      <c r="Q161" s="60">
        <v>4.04</v>
      </c>
      <c r="R161" s="60">
        <v>24</v>
      </c>
      <c r="S161" s="3">
        <v>4.17</v>
      </c>
      <c r="T161" s="3">
        <v>30</v>
      </c>
      <c r="U161" s="3">
        <v>4.7</v>
      </c>
      <c r="V161" s="3">
        <v>31.5</v>
      </c>
      <c r="W161" s="3">
        <v>5.73</v>
      </c>
      <c r="X161" s="3">
        <v>31.5</v>
      </c>
      <c r="Y161" s="3">
        <v>6.75</v>
      </c>
      <c r="Z161" s="3">
        <v>40</v>
      </c>
      <c r="AA161" s="3">
        <v>7.3</v>
      </c>
      <c r="AB161" s="3">
        <v>39</v>
      </c>
      <c r="AC161" s="3"/>
      <c r="AD161" s="3">
        <v>39</v>
      </c>
    </row>
    <row r="162" spans="1:30" s="38" customFormat="1" x14ac:dyDescent="0.2">
      <c r="A162" s="57" t="s">
        <v>14</v>
      </c>
      <c r="B162" s="57" t="s">
        <v>200</v>
      </c>
      <c r="C162" s="57" t="s">
        <v>16</v>
      </c>
      <c r="D162" s="57" t="s">
        <v>17</v>
      </c>
      <c r="E162" s="57">
        <v>1</v>
      </c>
      <c r="F162" s="57" t="s">
        <v>201</v>
      </c>
      <c r="G162" s="57" t="s">
        <v>19</v>
      </c>
      <c r="H162" s="57" t="s">
        <v>133</v>
      </c>
      <c r="I162" s="57" t="str">
        <f t="shared" si="4"/>
        <v>B1-P6-C1</v>
      </c>
      <c r="J162" s="57" t="str">
        <f t="shared" si="5"/>
        <v>Fagus-B1-P6-C1-A1</v>
      </c>
      <c r="K162" s="57" t="s">
        <v>64</v>
      </c>
      <c r="L162" s="57" t="s">
        <v>22</v>
      </c>
      <c r="M162" s="57" t="s">
        <v>202</v>
      </c>
      <c r="N162" s="37">
        <v>161</v>
      </c>
      <c r="O162" s="57">
        <v>11.7</v>
      </c>
      <c r="P162" s="57">
        <v>74.400000000000006</v>
      </c>
      <c r="Q162" s="57">
        <v>11.65</v>
      </c>
      <c r="R162" s="57">
        <v>82</v>
      </c>
      <c r="S162" s="57">
        <v>13.29</v>
      </c>
      <c r="T162" s="57">
        <v>94</v>
      </c>
      <c r="U162" s="57">
        <v>14.53</v>
      </c>
      <c r="V162" s="57">
        <v>95</v>
      </c>
      <c r="W162" s="57">
        <v>15.5</v>
      </c>
      <c r="X162" s="57">
        <v>93</v>
      </c>
      <c r="Y162" s="57">
        <v>15.05</v>
      </c>
      <c r="Z162" s="57">
        <v>94</v>
      </c>
      <c r="AA162" s="57">
        <v>15.89</v>
      </c>
      <c r="AB162" s="57">
        <v>95</v>
      </c>
      <c r="AC162" s="57"/>
      <c r="AD162" s="57">
        <v>94</v>
      </c>
    </row>
    <row r="163" spans="1:30" s="38" customFormat="1" x14ac:dyDescent="0.2">
      <c r="A163" s="57" t="s">
        <v>14</v>
      </c>
      <c r="B163" s="57" t="s">
        <v>200</v>
      </c>
      <c r="C163" s="57" t="s">
        <v>16</v>
      </c>
      <c r="D163" s="57" t="s">
        <v>24</v>
      </c>
      <c r="E163" s="57">
        <v>1</v>
      </c>
      <c r="F163" s="57" t="s">
        <v>203</v>
      </c>
      <c r="G163" s="57" t="s">
        <v>19</v>
      </c>
      <c r="H163" s="57" t="s">
        <v>133</v>
      </c>
      <c r="I163" s="57" t="str">
        <f t="shared" si="4"/>
        <v>B1-P6-C1</v>
      </c>
      <c r="J163" s="57" t="str">
        <f t="shared" si="5"/>
        <v>Fagus-B1-P6-C1-B1</v>
      </c>
      <c r="K163" s="57" t="s">
        <v>64</v>
      </c>
      <c r="L163" s="57" t="s">
        <v>22</v>
      </c>
      <c r="M163" s="57" t="s">
        <v>202</v>
      </c>
      <c r="N163" s="37">
        <v>162</v>
      </c>
      <c r="O163" s="57">
        <v>9.9</v>
      </c>
      <c r="P163" s="57">
        <v>56</v>
      </c>
      <c r="Q163" s="57">
        <v>10.199999999999999</v>
      </c>
      <c r="R163" s="57">
        <v>62</v>
      </c>
      <c r="S163" s="57">
        <v>11.61</v>
      </c>
      <c r="T163" s="57">
        <v>53</v>
      </c>
      <c r="U163" s="57">
        <v>12.9</v>
      </c>
      <c r="V163" s="57">
        <v>52</v>
      </c>
      <c r="W163" s="57">
        <v>13.47</v>
      </c>
      <c r="X163" s="57">
        <v>54</v>
      </c>
      <c r="Y163" s="57">
        <v>13.69</v>
      </c>
      <c r="Z163" s="57">
        <v>55</v>
      </c>
      <c r="AA163" s="57">
        <v>13.18</v>
      </c>
      <c r="AB163" s="57">
        <v>54</v>
      </c>
      <c r="AC163" s="57"/>
      <c r="AD163" s="57">
        <v>54</v>
      </c>
    </row>
    <row r="164" spans="1:30" s="38" customFormat="1" x14ac:dyDescent="0.2">
      <c r="A164" s="57" t="s">
        <v>14</v>
      </c>
      <c r="B164" s="57" t="s">
        <v>200</v>
      </c>
      <c r="C164" s="57" t="s">
        <v>16</v>
      </c>
      <c r="D164" s="57" t="s">
        <v>17</v>
      </c>
      <c r="E164" s="57">
        <v>2</v>
      </c>
      <c r="F164" s="57" t="s">
        <v>204</v>
      </c>
      <c r="G164" s="57" t="s">
        <v>19</v>
      </c>
      <c r="H164" s="57" t="s">
        <v>133</v>
      </c>
      <c r="I164" s="57" t="str">
        <f t="shared" si="4"/>
        <v>B1-P6-C1</v>
      </c>
      <c r="J164" s="57" t="str">
        <f t="shared" si="5"/>
        <v>Fagus-B1-P6-C1-A2</v>
      </c>
      <c r="K164" s="57" t="s">
        <v>64</v>
      </c>
      <c r="L164" s="57" t="s">
        <v>22</v>
      </c>
      <c r="M164" s="57" t="s">
        <v>202</v>
      </c>
      <c r="N164" s="37">
        <v>163</v>
      </c>
      <c r="O164" s="57">
        <v>10.3</v>
      </c>
      <c r="P164" s="57">
        <v>94.7</v>
      </c>
      <c r="Q164" s="57">
        <v>10.31</v>
      </c>
      <c r="R164" s="57">
        <v>125</v>
      </c>
      <c r="S164" s="57">
        <v>12.05</v>
      </c>
      <c r="T164" s="57">
        <v>125</v>
      </c>
      <c r="U164" s="57">
        <v>13.2</v>
      </c>
      <c r="V164" s="57">
        <v>124</v>
      </c>
      <c r="W164" s="57">
        <v>13.88</v>
      </c>
      <c r="X164" s="57">
        <v>126</v>
      </c>
      <c r="Y164" s="57">
        <v>13.36</v>
      </c>
      <c r="Z164" s="57">
        <v>124</v>
      </c>
      <c r="AA164" s="57">
        <v>13.71</v>
      </c>
      <c r="AB164" s="57">
        <v>126</v>
      </c>
      <c r="AC164" s="57"/>
      <c r="AD164" s="57">
        <v>125</v>
      </c>
    </row>
    <row r="165" spans="1:30" s="38" customFormat="1" x14ac:dyDescent="0.2">
      <c r="A165" s="57" t="s">
        <v>14</v>
      </c>
      <c r="B165" s="57" t="s">
        <v>200</v>
      </c>
      <c r="C165" s="57" t="s">
        <v>16</v>
      </c>
      <c r="D165" s="57" t="s">
        <v>24</v>
      </c>
      <c r="E165" s="57">
        <v>2</v>
      </c>
      <c r="F165" s="57" t="s">
        <v>205</v>
      </c>
      <c r="G165" s="57" t="s">
        <v>19</v>
      </c>
      <c r="H165" s="57" t="s">
        <v>133</v>
      </c>
      <c r="I165" s="57" t="str">
        <f t="shared" si="4"/>
        <v>B1-P6-C1</v>
      </c>
      <c r="J165" s="57" t="str">
        <f t="shared" si="5"/>
        <v>Fagus-B1-P6-C1-B2</v>
      </c>
      <c r="K165" s="57" t="s">
        <v>64</v>
      </c>
      <c r="L165" s="57" t="s">
        <v>22</v>
      </c>
      <c r="M165" s="57" t="s">
        <v>202</v>
      </c>
      <c r="N165" s="37">
        <v>164</v>
      </c>
      <c r="O165" s="57">
        <v>7</v>
      </c>
      <c r="P165" s="57">
        <v>58.6</v>
      </c>
      <c r="Q165" s="57">
        <v>7.36</v>
      </c>
      <c r="R165" s="57">
        <v>70</v>
      </c>
      <c r="S165" s="57">
        <v>8.15</v>
      </c>
      <c r="T165" s="57">
        <v>76</v>
      </c>
      <c r="U165" s="57">
        <v>8.91</v>
      </c>
      <c r="V165" s="57">
        <v>74</v>
      </c>
      <c r="W165" s="57">
        <v>9.66</v>
      </c>
      <c r="X165" s="57">
        <v>72</v>
      </c>
      <c r="Y165" s="57">
        <v>9.93</v>
      </c>
      <c r="Z165" s="57">
        <v>72</v>
      </c>
      <c r="AA165" s="57">
        <v>10.46</v>
      </c>
      <c r="AB165" s="57">
        <v>71</v>
      </c>
      <c r="AC165" s="57"/>
      <c r="AD165" s="57">
        <v>73</v>
      </c>
    </row>
    <row r="166" spans="1:30" s="38" customFormat="1" x14ac:dyDescent="0.2">
      <c r="A166" s="57" t="s">
        <v>14</v>
      </c>
      <c r="B166" s="57" t="s">
        <v>200</v>
      </c>
      <c r="C166" s="57" t="s">
        <v>16</v>
      </c>
      <c r="D166" s="57" t="s">
        <v>17</v>
      </c>
      <c r="E166" s="57">
        <v>3</v>
      </c>
      <c r="F166" s="57" t="s">
        <v>206</v>
      </c>
      <c r="G166" s="57" t="s">
        <v>19</v>
      </c>
      <c r="H166" s="57" t="s">
        <v>133</v>
      </c>
      <c r="I166" s="57" t="str">
        <f t="shared" si="4"/>
        <v>B1-P6-C1</v>
      </c>
      <c r="J166" s="57" t="str">
        <f t="shared" si="5"/>
        <v>Fagus-B1-P6-C1-A3</v>
      </c>
      <c r="K166" s="57" t="s">
        <v>64</v>
      </c>
      <c r="L166" s="57" t="s">
        <v>22</v>
      </c>
      <c r="M166" s="57" t="s">
        <v>202</v>
      </c>
      <c r="N166" s="37">
        <v>165</v>
      </c>
      <c r="O166" s="57">
        <v>13.2</v>
      </c>
      <c r="P166" s="57">
        <v>112.5</v>
      </c>
      <c r="Q166" s="57">
        <v>13.36</v>
      </c>
      <c r="R166" s="57">
        <v>124</v>
      </c>
      <c r="S166" s="57">
        <v>14.96</v>
      </c>
      <c r="T166" s="57">
        <v>147</v>
      </c>
      <c r="U166" s="57">
        <v>16.28</v>
      </c>
      <c r="V166" s="57">
        <v>149</v>
      </c>
      <c r="W166" s="57">
        <v>17.13</v>
      </c>
      <c r="X166" s="57">
        <v>150.5</v>
      </c>
      <c r="Y166" s="57">
        <v>17.21</v>
      </c>
      <c r="Z166" s="57">
        <v>148</v>
      </c>
      <c r="AA166" s="57">
        <v>17.329999999999998</v>
      </c>
      <c r="AB166" s="57">
        <v>151</v>
      </c>
      <c r="AC166" s="57"/>
      <c r="AD166" s="57">
        <v>149</v>
      </c>
    </row>
    <row r="167" spans="1:30" s="38" customFormat="1" x14ac:dyDescent="0.2">
      <c r="A167" s="57" t="s">
        <v>14</v>
      </c>
      <c r="B167" s="57" t="s">
        <v>200</v>
      </c>
      <c r="C167" s="57" t="s">
        <v>16</v>
      </c>
      <c r="D167" s="57" t="s">
        <v>24</v>
      </c>
      <c r="E167" s="57">
        <v>3</v>
      </c>
      <c r="F167" s="57" t="s">
        <v>207</v>
      </c>
      <c r="G167" s="57" t="s">
        <v>19</v>
      </c>
      <c r="H167" s="57" t="s">
        <v>133</v>
      </c>
      <c r="I167" s="57" t="str">
        <f t="shared" si="4"/>
        <v>B1-P6-C1</v>
      </c>
      <c r="J167" s="57" t="str">
        <f t="shared" si="5"/>
        <v>Fagus-B1-P6-C1-B3</v>
      </c>
      <c r="K167" s="57" t="s">
        <v>64</v>
      </c>
      <c r="L167" s="57" t="s">
        <v>22</v>
      </c>
      <c r="M167" s="57" t="s">
        <v>202</v>
      </c>
      <c r="N167" s="37">
        <v>166</v>
      </c>
      <c r="O167" s="57">
        <v>9.1</v>
      </c>
      <c r="P167" s="57">
        <v>71.3</v>
      </c>
      <c r="Q167" s="57">
        <v>9.1300000000000008</v>
      </c>
      <c r="R167" s="57">
        <v>75</v>
      </c>
      <c r="S167" s="57">
        <v>10.93</v>
      </c>
      <c r="T167" s="57">
        <v>75</v>
      </c>
      <c r="U167" s="57">
        <v>12.11</v>
      </c>
      <c r="V167" s="57">
        <v>76</v>
      </c>
      <c r="W167" s="57">
        <v>12.58</v>
      </c>
      <c r="X167" s="57">
        <v>78</v>
      </c>
      <c r="Y167" s="57">
        <v>13.15</v>
      </c>
      <c r="Z167" s="57">
        <v>77</v>
      </c>
      <c r="AA167" s="57">
        <v>13.12</v>
      </c>
      <c r="AB167" s="57">
        <v>78</v>
      </c>
      <c r="AC167" s="57"/>
      <c r="AD167" s="57">
        <v>78</v>
      </c>
    </row>
    <row r="168" spans="1:30" s="38" customFormat="1" x14ac:dyDescent="0.2">
      <c r="A168" s="57" t="s">
        <v>14</v>
      </c>
      <c r="B168" s="57" t="s">
        <v>200</v>
      </c>
      <c r="C168" s="57" t="s">
        <v>16</v>
      </c>
      <c r="D168" s="57" t="s">
        <v>17</v>
      </c>
      <c r="E168" s="57">
        <v>4</v>
      </c>
      <c r="F168" s="57" t="s">
        <v>208</v>
      </c>
      <c r="G168" s="57" t="s">
        <v>19</v>
      </c>
      <c r="H168" s="57" t="s">
        <v>133</v>
      </c>
      <c r="I168" s="57" t="str">
        <f t="shared" si="4"/>
        <v>B1-P6-C1</v>
      </c>
      <c r="J168" s="57" t="str">
        <f t="shared" si="5"/>
        <v>Fagus-B1-P6-C1-A4</v>
      </c>
      <c r="K168" s="57" t="s">
        <v>64</v>
      </c>
      <c r="L168" s="57" t="s">
        <v>22</v>
      </c>
      <c r="M168" s="57" t="s">
        <v>202</v>
      </c>
      <c r="N168" s="37">
        <v>167</v>
      </c>
      <c r="O168" s="57">
        <v>8.6999999999999993</v>
      </c>
      <c r="P168" s="57">
        <v>61.5</v>
      </c>
      <c r="Q168" s="57">
        <v>9</v>
      </c>
      <c r="R168" s="57">
        <v>70</v>
      </c>
      <c r="S168" s="57">
        <v>10.15</v>
      </c>
      <c r="T168" s="57">
        <v>79</v>
      </c>
      <c r="U168" s="57">
        <v>10.52</v>
      </c>
      <c r="V168" s="57">
        <v>83</v>
      </c>
      <c r="W168" s="57">
        <v>11.54</v>
      </c>
      <c r="X168" s="57">
        <v>85</v>
      </c>
      <c r="Y168" s="57">
        <v>11.26</v>
      </c>
      <c r="Z168" s="57">
        <v>84</v>
      </c>
      <c r="AA168" s="57">
        <v>10.95</v>
      </c>
      <c r="AB168" s="57">
        <v>84</v>
      </c>
      <c r="AC168" s="57"/>
      <c r="AD168" s="57">
        <v>84</v>
      </c>
    </row>
    <row r="169" spans="1:30" s="38" customFormat="1" x14ac:dyDescent="0.2">
      <c r="A169" s="57" t="s">
        <v>14</v>
      </c>
      <c r="B169" s="57" t="s">
        <v>200</v>
      </c>
      <c r="C169" s="57" t="s">
        <v>16</v>
      </c>
      <c r="D169" s="57" t="s">
        <v>24</v>
      </c>
      <c r="E169" s="57">
        <v>4</v>
      </c>
      <c r="F169" s="57" t="s">
        <v>209</v>
      </c>
      <c r="G169" s="57" t="s">
        <v>19</v>
      </c>
      <c r="H169" s="57" t="s">
        <v>133</v>
      </c>
      <c r="I169" s="57" t="str">
        <f t="shared" si="4"/>
        <v>B1-P6-C1</v>
      </c>
      <c r="J169" s="57" t="str">
        <f t="shared" si="5"/>
        <v>Fagus-B1-P6-C1-B4</v>
      </c>
      <c r="K169" s="57" t="s">
        <v>64</v>
      </c>
      <c r="L169" s="57" t="s">
        <v>22</v>
      </c>
      <c r="M169" s="57" t="s">
        <v>202</v>
      </c>
      <c r="N169" s="37">
        <v>168</v>
      </c>
      <c r="O169" s="57">
        <v>8.8000000000000007</v>
      </c>
      <c r="P169" s="57">
        <v>63.2</v>
      </c>
      <c r="Q169" s="57">
        <v>8.99</v>
      </c>
      <c r="R169" s="57">
        <v>63</v>
      </c>
      <c r="S169" s="57">
        <v>10.15</v>
      </c>
      <c r="T169" s="57">
        <v>66</v>
      </c>
      <c r="U169" s="57">
        <v>10.82</v>
      </c>
      <c r="V169" s="57">
        <v>66</v>
      </c>
      <c r="W169" s="57">
        <v>10.57</v>
      </c>
      <c r="X169" s="57">
        <v>63</v>
      </c>
      <c r="Y169" s="57">
        <v>10.77</v>
      </c>
      <c r="Z169" s="57">
        <v>63</v>
      </c>
      <c r="AA169" s="57">
        <v>11.06</v>
      </c>
      <c r="AB169" s="57">
        <v>64</v>
      </c>
      <c r="AC169" s="57"/>
      <c r="AD169" s="57">
        <v>63</v>
      </c>
    </row>
    <row r="170" spans="1:30" x14ac:dyDescent="0.2">
      <c r="A170" s="60" t="s">
        <v>14</v>
      </c>
      <c r="B170" s="60" t="s">
        <v>200</v>
      </c>
      <c r="C170" s="60" t="s">
        <v>32</v>
      </c>
      <c r="D170" s="60" t="s">
        <v>17</v>
      </c>
      <c r="E170" s="60">
        <v>1</v>
      </c>
      <c r="F170" s="60" t="s">
        <v>210</v>
      </c>
      <c r="G170" s="60" t="s">
        <v>35</v>
      </c>
      <c r="H170" s="60" t="s">
        <v>133</v>
      </c>
      <c r="I170" s="60" t="str">
        <f t="shared" si="4"/>
        <v>B1-P6-C2</v>
      </c>
      <c r="J170" s="60" t="str">
        <f t="shared" si="5"/>
        <v>Quercus-B1-P6-C2-A1</v>
      </c>
      <c r="K170" s="60" t="s">
        <v>64</v>
      </c>
      <c r="L170" s="60" t="s">
        <v>22</v>
      </c>
      <c r="M170" s="60" t="s">
        <v>202</v>
      </c>
      <c r="N170" s="15">
        <v>169</v>
      </c>
      <c r="O170" s="60">
        <v>5.9</v>
      </c>
      <c r="P170" s="60">
        <v>43.5</v>
      </c>
      <c r="Q170" s="60">
        <v>7.1</v>
      </c>
      <c r="R170" s="60">
        <v>47</v>
      </c>
      <c r="S170" s="3">
        <v>8</v>
      </c>
      <c r="T170" s="3">
        <v>55.5</v>
      </c>
      <c r="U170" s="3">
        <v>9.19</v>
      </c>
      <c r="V170" s="3">
        <v>71</v>
      </c>
      <c r="W170" s="3">
        <v>9.85</v>
      </c>
      <c r="X170" s="3">
        <v>72</v>
      </c>
      <c r="Y170" s="3">
        <v>12.92</v>
      </c>
      <c r="Z170" s="3">
        <v>83</v>
      </c>
      <c r="AA170" s="3">
        <v>15.43</v>
      </c>
      <c r="AB170" s="3">
        <v>84</v>
      </c>
      <c r="AC170" s="3"/>
      <c r="AD170" s="3">
        <v>84</v>
      </c>
    </row>
    <row r="171" spans="1:30" x14ac:dyDescent="0.2">
      <c r="A171" s="60" t="s">
        <v>14</v>
      </c>
      <c r="B171" s="60" t="s">
        <v>200</v>
      </c>
      <c r="C171" s="60" t="s">
        <v>32</v>
      </c>
      <c r="D171" s="60" t="s">
        <v>24</v>
      </c>
      <c r="E171" s="60">
        <v>1</v>
      </c>
      <c r="F171" s="60" t="s">
        <v>211</v>
      </c>
      <c r="G171" s="60" t="s">
        <v>35</v>
      </c>
      <c r="H171" s="60" t="s">
        <v>133</v>
      </c>
      <c r="I171" s="60" t="str">
        <f t="shared" si="4"/>
        <v>B1-P6-C2</v>
      </c>
      <c r="J171" s="60" t="str">
        <f t="shared" si="5"/>
        <v>Quercus-B1-P6-C2-B1</v>
      </c>
      <c r="K171" s="60" t="s">
        <v>64</v>
      </c>
      <c r="L171" s="60" t="s">
        <v>22</v>
      </c>
      <c r="M171" s="60" t="s">
        <v>202</v>
      </c>
      <c r="N171" s="15">
        <v>170</v>
      </c>
      <c r="O171" s="60">
        <v>5</v>
      </c>
      <c r="P171" s="60">
        <v>49.3</v>
      </c>
      <c r="Q171" s="60">
        <v>6.12</v>
      </c>
      <c r="R171" s="60">
        <v>57.5</v>
      </c>
      <c r="S171" s="3">
        <v>7.53</v>
      </c>
      <c r="T171" s="3">
        <v>59</v>
      </c>
      <c r="U171" s="3">
        <v>8.34</v>
      </c>
      <c r="V171" s="3">
        <v>67.5</v>
      </c>
      <c r="W171" s="3">
        <v>9.3699999999999992</v>
      </c>
      <c r="X171" s="3">
        <v>66</v>
      </c>
      <c r="Y171" s="3">
        <v>9.58</v>
      </c>
      <c r="Z171" s="3">
        <v>77</v>
      </c>
      <c r="AA171" s="3">
        <v>11.31</v>
      </c>
      <c r="AB171" s="3">
        <v>78</v>
      </c>
      <c r="AC171" s="3"/>
      <c r="AD171" s="3">
        <v>78</v>
      </c>
    </row>
    <row r="172" spans="1:30" x14ac:dyDescent="0.2">
      <c r="A172" s="60" t="s">
        <v>14</v>
      </c>
      <c r="B172" s="60" t="s">
        <v>200</v>
      </c>
      <c r="C172" s="60" t="s">
        <v>32</v>
      </c>
      <c r="D172" s="60" t="s">
        <v>17</v>
      </c>
      <c r="E172" s="60">
        <v>2</v>
      </c>
      <c r="F172" s="60" t="s">
        <v>212</v>
      </c>
      <c r="G172" s="60" t="s">
        <v>35</v>
      </c>
      <c r="H172" s="60" t="s">
        <v>133</v>
      </c>
      <c r="I172" s="60" t="str">
        <f t="shared" si="4"/>
        <v>B1-P6-C2</v>
      </c>
      <c r="J172" s="60" t="str">
        <f t="shared" si="5"/>
        <v>Quercus-B1-P6-C2-A2</v>
      </c>
      <c r="K172" s="60" t="s">
        <v>64</v>
      </c>
      <c r="L172" s="60" t="s">
        <v>22</v>
      </c>
      <c r="M172" s="60" t="s">
        <v>202</v>
      </c>
      <c r="N172" s="15">
        <v>171</v>
      </c>
      <c r="O172" s="60">
        <v>5.5</v>
      </c>
      <c r="P172" s="60">
        <v>43.5</v>
      </c>
      <c r="Q172" s="60">
        <v>6.45</v>
      </c>
      <c r="R172" s="60">
        <v>52</v>
      </c>
      <c r="S172" s="3">
        <v>6.72</v>
      </c>
      <c r="T172" s="3">
        <v>55</v>
      </c>
      <c r="U172" s="3">
        <v>7.05</v>
      </c>
      <c r="V172" s="3">
        <v>69</v>
      </c>
      <c r="W172" s="3">
        <v>8.39</v>
      </c>
      <c r="X172" s="3">
        <v>70</v>
      </c>
      <c r="Y172" s="3">
        <v>10.01</v>
      </c>
      <c r="Z172" s="3">
        <v>83</v>
      </c>
      <c r="AA172" s="3">
        <v>11.49</v>
      </c>
      <c r="AB172" s="3">
        <v>83</v>
      </c>
      <c r="AC172" s="3"/>
      <c r="AD172" s="3">
        <v>84</v>
      </c>
    </row>
    <row r="173" spans="1:30" x14ac:dyDescent="0.2">
      <c r="A173" s="60" t="s">
        <v>14</v>
      </c>
      <c r="B173" s="60" t="s">
        <v>200</v>
      </c>
      <c r="C173" s="60" t="s">
        <v>32</v>
      </c>
      <c r="D173" s="60" t="s">
        <v>24</v>
      </c>
      <c r="E173" s="60">
        <v>2</v>
      </c>
      <c r="F173" s="60" t="s">
        <v>213</v>
      </c>
      <c r="G173" s="60" t="s">
        <v>35</v>
      </c>
      <c r="H173" s="60" t="s">
        <v>133</v>
      </c>
      <c r="I173" s="60" t="str">
        <f t="shared" si="4"/>
        <v>B1-P6-C2</v>
      </c>
      <c r="J173" s="60" t="str">
        <f t="shared" si="5"/>
        <v>Quercus-B1-P6-C2-B2</v>
      </c>
      <c r="K173" s="60" t="s">
        <v>64</v>
      </c>
      <c r="L173" s="60" t="s">
        <v>22</v>
      </c>
      <c r="M173" s="60" t="s">
        <v>202</v>
      </c>
      <c r="N173" s="15">
        <v>172</v>
      </c>
      <c r="O173" s="60">
        <v>4.0999999999999996</v>
      </c>
      <c r="P173" s="60">
        <v>31.6</v>
      </c>
      <c r="Q173" s="60">
        <v>4.95</v>
      </c>
      <c r="R173" s="60">
        <v>40</v>
      </c>
      <c r="S173" s="3">
        <v>5.08</v>
      </c>
      <c r="T173" s="3">
        <v>47</v>
      </c>
      <c r="U173" s="3">
        <v>6.36</v>
      </c>
      <c r="V173" s="3">
        <v>60</v>
      </c>
      <c r="W173" s="3">
        <v>6.97</v>
      </c>
      <c r="X173" s="3">
        <v>61</v>
      </c>
      <c r="Y173" s="3">
        <v>8.2899999999999991</v>
      </c>
      <c r="Z173" s="3">
        <v>78</v>
      </c>
      <c r="AA173" s="3">
        <v>9.15</v>
      </c>
      <c r="AB173" s="3">
        <v>79</v>
      </c>
      <c r="AC173" s="3"/>
      <c r="AD173" s="3">
        <v>77</v>
      </c>
    </row>
    <row r="174" spans="1:30" x14ac:dyDescent="0.2">
      <c r="A174" s="60" t="s">
        <v>14</v>
      </c>
      <c r="B174" s="60" t="s">
        <v>200</v>
      </c>
      <c r="C174" s="60" t="s">
        <v>32</v>
      </c>
      <c r="D174" s="60" t="s">
        <v>17</v>
      </c>
      <c r="E174" s="60">
        <v>3</v>
      </c>
      <c r="F174" s="60" t="s">
        <v>214</v>
      </c>
      <c r="G174" s="60" t="s">
        <v>35</v>
      </c>
      <c r="H174" s="60" t="s">
        <v>133</v>
      </c>
      <c r="I174" s="60" t="str">
        <f t="shared" si="4"/>
        <v>B1-P6-C2</v>
      </c>
      <c r="J174" s="60" t="str">
        <f t="shared" si="5"/>
        <v>Quercus-B1-P6-C2-A3</v>
      </c>
      <c r="K174" s="60" t="s">
        <v>64</v>
      </c>
      <c r="L174" s="60" t="s">
        <v>22</v>
      </c>
      <c r="M174" s="60" t="s">
        <v>202</v>
      </c>
      <c r="N174" s="15">
        <v>173</v>
      </c>
      <c r="O174" s="60">
        <v>3.8</v>
      </c>
      <c r="P174" s="60">
        <v>30.5</v>
      </c>
      <c r="Q174" s="60">
        <v>4.28</v>
      </c>
      <c r="R174" s="60">
        <v>35</v>
      </c>
      <c r="S174" s="3">
        <v>4.72</v>
      </c>
      <c r="T174" s="3">
        <v>41</v>
      </c>
      <c r="U174" s="3">
        <v>5.38</v>
      </c>
      <c r="V174" s="3">
        <v>53</v>
      </c>
      <c r="W174" s="3">
        <v>6.4</v>
      </c>
      <c r="X174" s="3">
        <v>55</v>
      </c>
      <c r="Y174" s="3">
        <v>7.28</v>
      </c>
      <c r="Z174" s="3">
        <v>65</v>
      </c>
      <c r="AA174" s="3">
        <v>8.16</v>
      </c>
      <c r="AB174" s="3">
        <v>65</v>
      </c>
      <c r="AC174" s="3"/>
      <c r="AD174" s="3">
        <v>67</v>
      </c>
    </row>
    <row r="175" spans="1:30" x14ac:dyDescent="0.2">
      <c r="A175" s="60" t="s">
        <v>14</v>
      </c>
      <c r="B175" s="60" t="s">
        <v>200</v>
      </c>
      <c r="C175" s="60" t="s">
        <v>32</v>
      </c>
      <c r="D175" s="60" t="s">
        <v>24</v>
      </c>
      <c r="E175" s="60">
        <v>3</v>
      </c>
      <c r="F175" s="60" t="s">
        <v>215</v>
      </c>
      <c r="G175" s="60" t="s">
        <v>35</v>
      </c>
      <c r="H175" s="60" t="s">
        <v>133</v>
      </c>
      <c r="I175" s="60" t="str">
        <f t="shared" si="4"/>
        <v>B1-P6-C2</v>
      </c>
      <c r="J175" s="60" t="str">
        <f t="shared" si="5"/>
        <v>Quercus-B1-P6-C2-B3</v>
      </c>
      <c r="K175" s="60" t="s">
        <v>64</v>
      </c>
      <c r="L175" s="60" t="s">
        <v>22</v>
      </c>
      <c r="M175" s="60" t="s">
        <v>202</v>
      </c>
      <c r="N175" s="15">
        <v>174</v>
      </c>
      <c r="O175" s="60">
        <v>5</v>
      </c>
      <c r="P175" s="60">
        <v>39.299999999999997</v>
      </c>
      <c r="Q175" s="60">
        <v>6.15</v>
      </c>
      <c r="R175" s="60">
        <v>51</v>
      </c>
      <c r="S175" s="3">
        <v>6.83</v>
      </c>
      <c r="T175" s="3">
        <v>57</v>
      </c>
      <c r="U175" s="3">
        <v>8.08</v>
      </c>
      <c r="V175" s="3">
        <v>78</v>
      </c>
      <c r="W175" s="3">
        <v>9.24</v>
      </c>
      <c r="X175" s="3">
        <v>77</v>
      </c>
      <c r="Y175" s="3">
        <v>9.6300000000000008</v>
      </c>
      <c r="Z175" s="3">
        <v>99</v>
      </c>
      <c r="AA175" s="3">
        <v>12.9</v>
      </c>
      <c r="AB175" s="3">
        <v>100</v>
      </c>
      <c r="AC175" s="3"/>
      <c r="AD175" s="3">
        <v>99</v>
      </c>
    </row>
    <row r="176" spans="1:30" x14ac:dyDescent="0.2">
      <c r="A176" s="60" t="s">
        <v>14</v>
      </c>
      <c r="B176" s="60" t="s">
        <v>200</v>
      </c>
      <c r="C176" s="60" t="s">
        <v>32</v>
      </c>
      <c r="D176" s="60" t="s">
        <v>17</v>
      </c>
      <c r="E176" s="60">
        <v>4</v>
      </c>
      <c r="F176" s="60" t="s">
        <v>216</v>
      </c>
      <c r="G176" s="60" t="s">
        <v>35</v>
      </c>
      <c r="H176" s="60" t="s">
        <v>133</v>
      </c>
      <c r="I176" s="60" t="str">
        <f t="shared" si="4"/>
        <v>B1-P6-C2</v>
      </c>
      <c r="J176" s="60" t="str">
        <f t="shared" si="5"/>
        <v>Quercus-B1-P6-C2-A4</v>
      </c>
      <c r="K176" s="60" t="s">
        <v>64</v>
      </c>
      <c r="L176" s="60" t="s">
        <v>22</v>
      </c>
      <c r="M176" s="60" t="s">
        <v>202</v>
      </c>
      <c r="N176" s="15">
        <v>175</v>
      </c>
      <c r="O176" s="60">
        <v>5.5</v>
      </c>
      <c r="P176" s="60">
        <v>46.5</v>
      </c>
      <c r="Q176" s="60">
        <v>6.5</v>
      </c>
      <c r="R176" s="60">
        <v>52</v>
      </c>
      <c r="S176" s="3">
        <v>7.55</v>
      </c>
      <c r="T176" s="3">
        <v>57</v>
      </c>
      <c r="U176" s="3">
        <v>9.6199999999999992</v>
      </c>
      <c r="V176" s="3">
        <v>73</v>
      </c>
      <c r="W176" s="3">
        <v>11.11</v>
      </c>
      <c r="X176" s="3">
        <v>73.5</v>
      </c>
      <c r="Y176" s="3">
        <v>12.05</v>
      </c>
      <c r="Z176" s="3">
        <v>84</v>
      </c>
      <c r="AA176" s="3">
        <v>13.9</v>
      </c>
      <c r="AB176" s="3">
        <v>85</v>
      </c>
      <c r="AC176" s="3"/>
      <c r="AD176" s="3">
        <v>86</v>
      </c>
    </row>
    <row r="177" spans="1:30" x14ac:dyDescent="0.2">
      <c r="A177" s="60" t="s">
        <v>14</v>
      </c>
      <c r="B177" s="60" t="s">
        <v>200</v>
      </c>
      <c r="C177" s="60" t="s">
        <v>32</v>
      </c>
      <c r="D177" s="60" t="s">
        <v>24</v>
      </c>
      <c r="E177" s="60">
        <v>4</v>
      </c>
      <c r="F177" s="60" t="s">
        <v>217</v>
      </c>
      <c r="G177" s="60" t="s">
        <v>35</v>
      </c>
      <c r="H177" s="60" t="s">
        <v>133</v>
      </c>
      <c r="I177" s="60" t="str">
        <f t="shared" si="4"/>
        <v>B1-P6-C2</v>
      </c>
      <c r="J177" s="60" t="str">
        <f t="shared" si="5"/>
        <v>Quercus-B1-P6-C2-B4</v>
      </c>
      <c r="K177" s="60" t="s">
        <v>64</v>
      </c>
      <c r="L177" s="60" t="s">
        <v>22</v>
      </c>
      <c r="M177" s="60" t="s">
        <v>202</v>
      </c>
      <c r="N177" s="15">
        <v>176</v>
      </c>
      <c r="O177" s="60">
        <v>6.2</v>
      </c>
      <c r="P177" s="60">
        <v>47.4</v>
      </c>
      <c r="Q177" s="60">
        <v>7.49</v>
      </c>
      <c r="R177" s="60">
        <v>60</v>
      </c>
      <c r="S177" s="3">
        <v>9.1999999999999993</v>
      </c>
      <c r="T177" s="3">
        <v>67</v>
      </c>
      <c r="U177" s="3">
        <v>10.37</v>
      </c>
      <c r="V177" s="3">
        <v>79</v>
      </c>
      <c r="W177" s="3">
        <v>12.5</v>
      </c>
      <c r="X177" s="3">
        <v>88.5</v>
      </c>
      <c r="Y177" s="3">
        <v>15.16</v>
      </c>
      <c r="Z177" s="3">
        <v>94</v>
      </c>
      <c r="AA177" s="3">
        <v>17.3</v>
      </c>
      <c r="AB177" s="3">
        <v>103</v>
      </c>
      <c r="AC177" s="3"/>
      <c r="AD177" s="3">
        <v>103</v>
      </c>
    </row>
    <row r="178" spans="1:30" s="38" customFormat="1" x14ac:dyDescent="0.2">
      <c r="A178" s="57" t="s">
        <v>14</v>
      </c>
      <c r="B178" s="57" t="s">
        <v>200</v>
      </c>
      <c r="C178" s="57" t="s">
        <v>42</v>
      </c>
      <c r="D178" s="57" t="s">
        <v>17</v>
      </c>
      <c r="E178" s="57">
        <v>1</v>
      </c>
      <c r="F178" s="57" t="s">
        <v>218</v>
      </c>
      <c r="G178" s="57" t="s">
        <v>19</v>
      </c>
      <c r="H178" s="57" t="s">
        <v>133</v>
      </c>
      <c r="I178" s="57" t="str">
        <f t="shared" si="4"/>
        <v>B1-P6-C3</v>
      </c>
      <c r="J178" s="57" t="str">
        <f t="shared" si="5"/>
        <v>Fagus-B1-P6-C3-A1</v>
      </c>
      <c r="K178" s="57" t="s">
        <v>64</v>
      </c>
      <c r="L178" s="57" t="s">
        <v>22</v>
      </c>
      <c r="M178" s="57" t="s">
        <v>202</v>
      </c>
      <c r="N178" s="37">
        <v>177</v>
      </c>
      <c r="O178" s="57">
        <v>9.6</v>
      </c>
      <c r="P178" s="57">
        <v>87.6</v>
      </c>
      <c r="Q178" s="57">
        <v>9.5</v>
      </c>
      <c r="R178" s="57">
        <v>94</v>
      </c>
      <c r="S178" s="57">
        <v>10.74</v>
      </c>
      <c r="T178" s="57">
        <v>94</v>
      </c>
      <c r="U178" s="57">
        <v>11.94</v>
      </c>
      <c r="V178" s="57">
        <v>93.5</v>
      </c>
      <c r="W178" s="57">
        <v>12.8</v>
      </c>
      <c r="X178" s="57">
        <v>92</v>
      </c>
      <c r="Y178" s="57">
        <v>12.47</v>
      </c>
      <c r="Z178" s="57">
        <v>95</v>
      </c>
      <c r="AA178" s="57">
        <v>13.64</v>
      </c>
      <c r="AB178" s="57">
        <v>93</v>
      </c>
      <c r="AC178" s="57"/>
      <c r="AD178" s="57">
        <v>93</v>
      </c>
    </row>
    <row r="179" spans="1:30" s="38" customFormat="1" x14ac:dyDescent="0.2">
      <c r="A179" s="57" t="s">
        <v>14</v>
      </c>
      <c r="B179" s="57" t="s">
        <v>200</v>
      </c>
      <c r="C179" s="57" t="s">
        <v>42</v>
      </c>
      <c r="D179" s="57" t="s">
        <v>24</v>
      </c>
      <c r="E179" s="57">
        <v>1</v>
      </c>
      <c r="F179" s="57" t="s">
        <v>219</v>
      </c>
      <c r="G179" s="57" t="s">
        <v>35</v>
      </c>
      <c r="H179" s="57" t="s">
        <v>133</v>
      </c>
      <c r="I179" s="57" t="str">
        <f t="shared" si="4"/>
        <v>B1-P6-C3</v>
      </c>
      <c r="J179" s="57" t="str">
        <f t="shared" si="5"/>
        <v>Quercus-B1-P6-C3-B1</v>
      </c>
      <c r="K179" s="57" t="s">
        <v>64</v>
      </c>
      <c r="L179" s="57" t="s">
        <v>22</v>
      </c>
      <c r="M179" s="57" t="s">
        <v>202</v>
      </c>
      <c r="N179" s="37">
        <v>178</v>
      </c>
      <c r="O179" s="57">
        <v>8.3000000000000007</v>
      </c>
      <c r="P179" s="57">
        <v>61.8</v>
      </c>
      <c r="Q179" s="57">
        <v>9.8800000000000008</v>
      </c>
      <c r="R179" s="57">
        <v>76</v>
      </c>
      <c r="S179" s="57">
        <v>10.48</v>
      </c>
      <c r="T179" s="57">
        <v>94</v>
      </c>
      <c r="U179" s="57">
        <v>11.85</v>
      </c>
      <c r="V179" s="57">
        <v>105</v>
      </c>
      <c r="W179" s="57">
        <v>12.1</v>
      </c>
      <c r="X179" s="57">
        <v>100</v>
      </c>
      <c r="Y179" s="57">
        <v>12.33</v>
      </c>
      <c r="Z179" s="57">
        <v>100</v>
      </c>
      <c r="AA179" s="57">
        <v>13.35</v>
      </c>
      <c r="AB179" s="57">
        <v>102</v>
      </c>
      <c r="AC179" s="57"/>
      <c r="AD179" s="57">
        <v>103</v>
      </c>
    </row>
    <row r="180" spans="1:30" s="38" customFormat="1" x14ac:dyDescent="0.2">
      <c r="A180" s="57" t="s">
        <v>14</v>
      </c>
      <c r="B180" s="57" t="s">
        <v>200</v>
      </c>
      <c r="C180" s="57" t="s">
        <v>42</v>
      </c>
      <c r="D180" s="57" t="s">
        <v>17</v>
      </c>
      <c r="E180" s="57">
        <v>2</v>
      </c>
      <c r="F180" s="57" t="s">
        <v>220</v>
      </c>
      <c r="G180" s="57" t="s">
        <v>35</v>
      </c>
      <c r="H180" s="57" t="s">
        <v>133</v>
      </c>
      <c r="I180" s="57" t="str">
        <f t="shared" si="4"/>
        <v>B1-P6-C3</v>
      </c>
      <c r="J180" s="57" t="str">
        <f t="shared" si="5"/>
        <v>Quercus-B1-P6-C3-A2</v>
      </c>
      <c r="K180" s="57" t="s">
        <v>64</v>
      </c>
      <c r="L180" s="57" t="s">
        <v>22</v>
      </c>
      <c r="M180" s="57" t="s">
        <v>202</v>
      </c>
      <c r="N180" s="37">
        <v>179</v>
      </c>
      <c r="O180" s="57">
        <v>6.3</v>
      </c>
      <c r="P180" s="57">
        <v>51.3</v>
      </c>
      <c r="Q180" s="57">
        <v>7.41</v>
      </c>
      <c r="R180" s="57">
        <v>66</v>
      </c>
      <c r="S180" s="57">
        <v>7.69</v>
      </c>
      <c r="T180" s="57">
        <v>76.5</v>
      </c>
      <c r="U180" s="57">
        <v>8.8699999999999992</v>
      </c>
      <c r="V180" s="57">
        <v>91</v>
      </c>
      <c r="W180" s="57">
        <v>9.89</v>
      </c>
      <c r="X180" s="57">
        <v>92</v>
      </c>
      <c r="Y180" s="57">
        <v>9.19</v>
      </c>
      <c r="Z180" s="57">
        <v>103</v>
      </c>
      <c r="AA180" s="57">
        <v>11.55</v>
      </c>
      <c r="AB180" s="57">
        <v>107</v>
      </c>
      <c r="AC180" s="57"/>
      <c r="AD180" s="57">
        <v>107</v>
      </c>
    </row>
    <row r="181" spans="1:30" s="38" customFormat="1" x14ac:dyDescent="0.2">
      <c r="A181" s="57" t="s">
        <v>14</v>
      </c>
      <c r="B181" s="57" t="s">
        <v>200</v>
      </c>
      <c r="C181" s="57" t="s">
        <v>42</v>
      </c>
      <c r="D181" s="57" t="s">
        <v>24</v>
      </c>
      <c r="E181" s="57">
        <v>2</v>
      </c>
      <c r="F181" s="57" t="s">
        <v>221</v>
      </c>
      <c r="G181" s="57" t="s">
        <v>19</v>
      </c>
      <c r="H181" s="57" t="s">
        <v>133</v>
      </c>
      <c r="I181" s="57" t="str">
        <f t="shared" si="4"/>
        <v>B1-P6-C3</v>
      </c>
      <c r="J181" s="57" t="str">
        <f t="shared" si="5"/>
        <v>Fagus-B1-P6-C3-B2</v>
      </c>
      <c r="K181" s="57" t="s">
        <v>64</v>
      </c>
      <c r="L181" s="57" t="s">
        <v>22</v>
      </c>
      <c r="M181" s="57" t="s">
        <v>202</v>
      </c>
      <c r="N181" s="37">
        <v>180</v>
      </c>
      <c r="O181" s="57">
        <v>13</v>
      </c>
      <c r="P181" s="57">
        <v>82</v>
      </c>
      <c r="Q181" s="57">
        <v>13.45</v>
      </c>
      <c r="R181" s="57">
        <v>93</v>
      </c>
      <c r="S181" s="57">
        <v>15.3</v>
      </c>
      <c r="T181" s="57">
        <v>104</v>
      </c>
      <c r="U181" s="57">
        <v>16.809999999999999</v>
      </c>
      <c r="V181" s="57">
        <v>102</v>
      </c>
      <c r="W181" s="57">
        <v>17.600000000000001</v>
      </c>
      <c r="X181" s="57">
        <v>102</v>
      </c>
      <c r="Y181" s="57">
        <v>18.11</v>
      </c>
      <c r="Z181" s="57">
        <v>104</v>
      </c>
      <c r="AA181" s="57">
        <v>18.3</v>
      </c>
      <c r="AB181" s="57">
        <v>104</v>
      </c>
      <c r="AC181" s="57"/>
      <c r="AD181" s="57">
        <v>103</v>
      </c>
    </row>
    <row r="182" spans="1:30" s="38" customFormat="1" x14ac:dyDescent="0.2">
      <c r="A182" s="57" t="s">
        <v>14</v>
      </c>
      <c r="B182" s="57" t="s">
        <v>200</v>
      </c>
      <c r="C182" s="57" t="s">
        <v>42</v>
      </c>
      <c r="D182" s="57" t="s">
        <v>17</v>
      </c>
      <c r="E182" s="57">
        <v>3</v>
      </c>
      <c r="F182" s="57" t="s">
        <v>222</v>
      </c>
      <c r="G182" s="57" t="s">
        <v>19</v>
      </c>
      <c r="H182" s="57" t="s">
        <v>133</v>
      </c>
      <c r="I182" s="57" t="str">
        <f t="shared" si="4"/>
        <v>B1-P6-C3</v>
      </c>
      <c r="J182" s="57" t="str">
        <f t="shared" si="5"/>
        <v>Fagus-B1-P6-C3-A3</v>
      </c>
      <c r="K182" s="57" t="s">
        <v>64</v>
      </c>
      <c r="L182" s="57" t="s">
        <v>22</v>
      </c>
      <c r="M182" s="57" t="s">
        <v>202</v>
      </c>
      <c r="N182" s="37">
        <v>181</v>
      </c>
      <c r="O182" s="57">
        <v>11.4</v>
      </c>
      <c r="P182" s="57">
        <v>88.2</v>
      </c>
      <c r="Q182" s="57">
        <v>11.67</v>
      </c>
      <c r="R182" s="57">
        <v>97</v>
      </c>
      <c r="S182" s="57">
        <v>14.2</v>
      </c>
      <c r="T182" s="57">
        <v>98.5</v>
      </c>
      <c r="U182" s="57">
        <v>14.23</v>
      </c>
      <c r="V182" s="57">
        <v>123</v>
      </c>
      <c r="W182" s="57">
        <v>15.1</v>
      </c>
      <c r="X182" s="57">
        <v>124.5</v>
      </c>
      <c r="Y182" s="57">
        <v>15.47</v>
      </c>
      <c r="Z182" s="57">
        <v>122</v>
      </c>
      <c r="AA182" s="57">
        <v>14.8</v>
      </c>
      <c r="AB182" s="57">
        <v>122</v>
      </c>
      <c r="AC182" s="57"/>
      <c r="AD182" s="57">
        <v>122</v>
      </c>
    </row>
    <row r="183" spans="1:30" s="38" customFormat="1" x14ac:dyDescent="0.2">
      <c r="A183" s="57" t="s">
        <v>14</v>
      </c>
      <c r="B183" s="57" t="s">
        <v>200</v>
      </c>
      <c r="C183" s="57" t="s">
        <v>42</v>
      </c>
      <c r="D183" s="57" t="s">
        <v>24</v>
      </c>
      <c r="E183" s="57">
        <v>3</v>
      </c>
      <c r="F183" s="57" t="s">
        <v>223</v>
      </c>
      <c r="G183" s="57" t="s">
        <v>35</v>
      </c>
      <c r="H183" s="57" t="s">
        <v>133</v>
      </c>
      <c r="I183" s="57" t="str">
        <f t="shared" si="4"/>
        <v>B1-P6-C3</v>
      </c>
      <c r="J183" s="57" t="str">
        <f t="shared" si="5"/>
        <v>Quercus-B1-P6-C3-B3</v>
      </c>
      <c r="K183" s="57" t="s">
        <v>64</v>
      </c>
      <c r="L183" s="57" t="s">
        <v>22</v>
      </c>
      <c r="M183" s="57" t="s">
        <v>202</v>
      </c>
      <c r="N183" s="37">
        <v>182</v>
      </c>
      <c r="O183" s="57">
        <v>5.0999999999999996</v>
      </c>
      <c r="P183" s="57">
        <v>40</v>
      </c>
      <c r="Q183" s="57">
        <v>6.25</v>
      </c>
      <c r="R183" s="57">
        <v>50</v>
      </c>
      <c r="S183" s="57">
        <v>6.55</v>
      </c>
      <c r="T183" s="57">
        <v>57.5</v>
      </c>
      <c r="U183" s="57">
        <v>7.18</v>
      </c>
      <c r="V183" s="57">
        <v>66</v>
      </c>
      <c r="W183" s="57">
        <v>8.0500000000000007</v>
      </c>
      <c r="X183" s="57">
        <v>69</v>
      </c>
      <c r="Y183" s="57">
        <v>8.99</v>
      </c>
      <c r="Z183" s="57">
        <v>75</v>
      </c>
      <c r="AA183" s="57">
        <v>10.3</v>
      </c>
      <c r="AB183" s="57">
        <v>76</v>
      </c>
      <c r="AC183" s="57"/>
      <c r="AD183" s="57">
        <v>75</v>
      </c>
    </row>
    <row r="184" spans="1:30" s="38" customFormat="1" x14ac:dyDescent="0.2">
      <c r="A184" s="57" t="s">
        <v>14</v>
      </c>
      <c r="B184" s="57" t="s">
        <v>200</v>
      </c>
      <c r="C184" s="57" t="s">
        <v>42</v>
      </c>
      <c r="D184" s="57" t="s">
        <v>17</v>
      </c>
      <c r="E184" s="57">
        <v>4</v>
      </c>
      <c r="F184" s="57" t="s">
        <v>224</v>
      </c>
      <c r="G184" s="57" t="s">
        <v>35</v>
      </c>
      <c r="H184" s="57" t="s">
        <v>133</v>
      </c>
      <c r="I184" s="57" t="str">
        <f t="shared" si="4"/>
        <v>B1-P6-C3</v>
      </c>
      <c r="J184" s="57" t="str">
        <f t="shared" si="5"/>
        <v>Quercus-B1-P6-C3-A4</v>
      </c>
      <c r="K184" s="57" t="s">
        <v>64</v>
      </c>
      <c r="L184" s="57" t="s">
        <v>22</v>
      </c>
      <c r="M184" s="57" t="s">
        <v>202</v>
      </c>
      <c r="N184" s="37">
        <v>183</v>
      </c>
      <c r="O184" s="57">
        <v>8.6</v>
      </c>
      <c r="P184" s="57">
        <v>55.3</v>
      </c>
      <c r="Q184" s="57">
        <v>9.5</v>
      </c>
      <c r="R184" s="57">
        <v>58</v>
      </c>
      <c r="S184" s="57">
        <v>10.34</v>
      </c>
      <c r="T184" s="57">
        <v>60.6</v>
      </c>
      <c r="U184" s="57">
        <v>11.92</v>
      </c>
      <c r="V184" s="57">
        <v>71</v>
      </c>
      <c r="W184" s="57">
        <v>13.78</v>
      </c>
      <c r="X184" s="57">
        <v>70.5</v>
      </c>
      <c r="Y184" s="57">
        <v>14.74</v>
      </c>
      <c r="Z184" s="57">
        <v>76</v>
      </c>
      <c r="AA184" s="57">
        <v>16.53</v>
      </c>
      <c r="AB184" s="57">
        <v>77</v>
      </c>
      <c r="AC184" s="57"/>
      <c r="AD184" s="57">
        <v>76</v>
      </c>
    </row>
    <row r="185" spans="1:30" s="38" customFormat="1" x14ac:dyDescent="0.2">
      <c r="A185" s="57" t="s">
        <v>14</v>
      </c>
      <c r="B185" s="57" t="s">
        <v>200</v>
      </c>
      <c r="C185" s="57" t="s">
        <v>42</v>
      </c>
      <c r="D185" s="57" t="s">
        <v>24</v>
      </c>
      <c r="E185" s="57">
        <v>4</v>
      </c>
      <c r="F185" s="57" t="s">
        <v>225</v>
      </c>
      <c r="G185" s="57" t="s">
        <v>19</v>
      </c>
      <c r="H185" s="57" t="s">
        <v>133</v>
      </c>
      <c r="I185" s="57" t="str">
        <f t="shared" si="4"/>
        <v>B1-P6-C3</v>
      </c>
      <c r="J185" s="57" t="str">
        <f t="shared" si="5"/>
        <v>Fagus-B1-P6-C3-B4</v>
      </c>
      <c r="K185" s="57" t="s">
        <v>64</v>
      </c>
      <c r="L185" s="57" t="s">
        <v>22</v>
      </c>
      <c r="M185" s="57" t="s">
        <v>202</v>
      </c>
      <c r="N185" s="37">
        <v>184</v>
      </c>
      <c r="O185" s="57">
        <v>10.5</v>
      </c>
      <c r="P185" s="57">
        <v>61.7</v>
      </c>
      <c r="Q185" s="57">
        <v>10.79</v>
      </c>
      <c r="R185" s="57">
        <v>77.5</v>
      </c>
      <c r="S185" s="57">
        <v>12.35</v>
      </c>
      <c r="T185" s="57">
        <v>80.5</v>
      </c>
      <c r="U185" s="57">
        <v>14.48</v>
      </c>
      <c r="V185" s="57">
        <v>96</v>
      </c>
      <c r="W185" s="57">
        <v>14.9</v>
      </c>
      <c r="X185" s="57">
        <v>97.5</v>
      </c>
      <c r="Y185" s="57">
        <v>15.39</v>
      </c>
      <c r="Z185" s="57">
        <v>98</v>
      </c>
      <c r="AA185" s="57">
        <v>14.93</v>
      </c>
      <c r="AB185" s="57">
        <v>98</v>
      </c>
      <c r="AC185" s="57"/>
      <c r="AD185" s="57">
        <v>97</v>
      </c>
    </row>
    <row r="186" spans="1:30" x14ac:dyDescent="0.2">
      <c r="A186" s="60" t="s">
        <v>14</v>
      </c>
      <c r="B186" s="60" t="s">
        <v>200</v>
      </c>
      <c r="C186" s="60" t="s">
        <v>53</v>
      </c>
      <c r="D186" s="60" t="s">
        <v>17</v>
      </c>
      <c r="E186" s="60">
        <v>1</v>
      </c>
      <c r="F186" s="60" t="s">
        <v>226</v>
      </c>
      <c r="G186" s="60" t="s">
        <v>35</v>
      </c>
      <c r="H186" s="60" t="s">
        <v>133</v>
      </c>
      <c r="I186" s="60" t="str">
        <f t="shared" si="4"/>
        <v>B1-P6-C4</v>
      </c>
      <c r="J186" s="60" t="str">
        <f t="shared" si="5"/>
        <v>Quercus-B1-P6-C4-A1</v>
      </c>
      <c r="K186" s="60" t="s">
        <v>64</v>
      </c>
      <c r="L186" s="60" t="s">
        <v>44</v>
      </c>
      <c r="M186" s="60" t="s">
        <v>169</v>
      </c>
      <c r="N186" s="15">
        <v>185</v>
      </c>
      <c r="O186" s="60">
        <v>6.7</v>
      </c>
      <c r="P186" s="60">
        <v>44.5</v>
      </c>
      <c r="Q186" s="60">
        <v>7.68</v>
      </c>
      <c r="R186" s="60">
        <v>53</v>
      </c>
      <c r="S186" s="3">
        <v>8.01</v>
      </c>
      <c r="T186" s="3">
        <v>55.5</v>
      </c>
      <c r="U186" s="3">
        <v>8.15</v>
      </c>
      <c r="V186" s="3">
        <v>55</v>
      </c>
      <c r="W186" s="3">
        <v>7.87</v>
      </c>
      <c r="X186" s="3">
        <v>54</v>
      </c>
      <c r="Y186" s="3">
        <v>8.89</v>
      </c>
      <c r="Z186" s="3">
        <v>55</v>
      </c>
      <c r="AA186" s="3">
        <v>9.7100000000000009</v>
      </c>
      <c r="AB186" s="3">
        <v>54</v>
      </c>
      <c r="AC186" s="3"/>
      <c r="AD186" s="3">
        <v>53</v>
      </c>
    </row>
    <row r="187" spans="1:30" x14ac:dyDescent="0.2">
      <c r="A187" s="60" t="s">
        <v>14</v>
      </c>
      <c r="B187" s="60" t="s">
        <v>200</v>
      </c>
      <c r="C187" s="60" t="s">
        <v>53</v>
      </c>
      <c r="D187" s="60" t="s">
        <v>24</v>
      </c>
      <c r="E187" s="60">
        <v>1</v>
      </c>
      <c r="F187" s="60" t="s">
        <v>227</v>
      </c>
      <c r="G187" s="60" t="s">
        <v>35</v>
      </c>
      <c r="H187" s="60" t="s">
        <v>133</v>
      </c>
      <c r="I187" s="60" t="str">
        <f t="shared" si="4"/>
        <v>B1-P6-C4</v>
      </c>
      <c r="J187" s="60" t="str">
        <f t="shared" si="5"/>
        <v>Quercus-B1-P6-C4-B1</v>
      </c>
      <c r="K187" s="60" t="s">
        <v>64</v>
      </c>
      <c r="L187" s="60" t="s">
        <v>44</v>
      </c>
      <c r="M187" s="60" t="s">
        <v>169</v>
      </c>
      <c r="N187" s="15">
        <v>186</v>
      </c>
      <c r="O187" s="60">
        <v>4.9000000000000004</v>
      </c>
      <c r="P187" s="60">
        <v>38</v>
      </c>
      <c r="Q187" s="60">
        <v>5.35</v>
      </c>
      <c r="R187" s="60">
        <v>39</v>
      </c>
      <c r="S187" s="3">
        <v>5.45</v>
      </c>
      <c r="T187" s="3">
        <v>50</v>
      </c>
      <c r="U187" s="3">
        <v>5.43</v>
      </c>
      <c r="V187" s="3">
        <v>50</v>
      </c>
      <c r="W187" s="3">
        <v>5.52</v>
      </c>
      <c r="X187" s="3">
        <v>48.5</v>
      </c>
      <c r="Y187" s="3">
        <v>5.27</v>
      </c>
      <c r="Z187" s="3">
        <v>50</v>
      </c>
      <c r="AA187" s="3">
        <v>7.58</v>
      </c>
      <c r="AB187" s="3">
        <v>50</v>
      </c>
      <c r="AC187" s="3"/>
      <c r="AD187" s="3">
        <v>49</v>
      </c>
    </row>
    <row r="188" spans="1:30" x14ac:dyDescent="0.2">
      <c r="A188" s="60" t="s">
        <v>14</v>
      </c>
      <c r="B188" s="60" t="s">
        <v>200</v>
      </c>
      <c r="C188" s="60" t="s">
        <v>53</v>
      </c>
      <c r="D188" s="60" t="s">
        <v>17</v>
      </c>
      <c r="E188" s="60">
        <v>2</v>
      </c>
      <c r="F188" s="60" t="s">
        <v>228</v>
      </c>
      <c r="G188" s="60" t="s">
        <v>35</v>
      </c>
      <c r="H188" s="60" t="s">
        <v>133</v>
      </c>
      <c r="I188" s="60" t="str">
        <f t="shared" si="4"/>
        <v>B1-P6-C4</v>
      </c>
      <c r="J188" s="60" t="str">
        <f t="shared" si="5"/>
        <v>Quercus-B1-P6-C4-A2</v>
      </c>
      <c r="K188" s="60" t="s">
        <v>64</v>
      </c>
      <c r="L188" s="60" t="s">
        <v>44</v>
      </c>
      <c r="M188" s="60" t="s">
        <v>169</v>
      </c>
      <c r="N188" s="15">
        <v>187</v>
      </c>
      <c r="O188" s="60">
        <v>7.5</v>
      </c>
      <c r="P188" s="60">
        <v>43.5</v>
      </c>
      <c r="Q188" s="60">
        <v>8.5299999999999994</v>
      </c>
      <c r="R188" s="60">
        <v>44</v>
      </c>
      <c r="S188" s="3">
        <v>9.0299999999999994</v>
      </c>
      <c r="T188" s="3">
        <v>49</v>
      </c>
      <c r="U188" s="3">
        <v>8.86</v>
      </c>
      <c r="V188" s="3">
        <v>49</v>
      </c>
      <c r="W188" s="3">
        <v>8.9600000000000009</v>
      </c>
      <c r="X188" s="3">
        <v>47.5</v>
      </c>
      <c r="Y188" s="3">
        <v>8.9600000000000009</v>
      </c>
      <c r="Z188" s="3">
        <v>51</v>
      </c>
      <c r="AA188" s="3">
        <v>9.9499999999999993</v>
      </c>
      <c r="AB188" s="3">
        <v>48</v>
      </c>
      <c r="AC188" s="3"/>
      <c r="AD188" s="3">
        <v>47</v>
      </c>
    </row>
    <row r="189" spans="1:30" x14ac:dyDescent="0.2">
      <c r="A189" s="60" t="s">
        <v>14</v>
      </c>
      <c r="B189" s="60" t="s">
        <v>200</v>
      </c>
      <c r="C189" s="60" t="s">
        <v>53</v>
      </c>
      <c r="D189" s="60" t="s">
        <v>24</v>
      </c>
      <c r="E189" s="60">
        <v>2</v>
      </c>
      <c r="F189" s="60" t="s">
        <v>229</v>
      </c>
      <c r="G189" s="60" t="s">
        <v>35</v>
      </c>
      <c r="H189" s="60" t="s">
        <v>133</v>
      </c>
      <c r="I189" s="60" t="str">
        <f t="shared" si="4"/>
        <v>B1-P6-C4</v>
      </c>
      <c r="J189" s="60" t="str">
        <f t="shared" si="5"/>
        <v>Quercus-B1-P6-C4-B2</v>
      </c>
      <c r="K189" s="60" t="s">
        <v>64</v>
      </c>
      <c r="L189" s="60" t="s">
        <v>44</v>
      </c>
      <c r="M189" s="60" t="s">
        <v>169</v>
      </c>
      <c r="N189" s="15">
        <v>188</v>
      </c>
      <c r="O189" s="60">
        <v>6.5</v>
      </c>
      <c r="P189" s="60">
        <v>40.5</v>
      </c>
      <c r="Q189" s="60">
        <v>7.05</v>
      </c>
      <c r="R189" s="60">
        <v>47.5</v>
      </c>
      <c r="S189" s="3">
        <v>6.96</v>
      </c>
      <c r="T189" s="3">
        <v>51.5</v>
      </c>
      <c r="U189" s="3">
        <v>7.39</v>
      </c>
      <c r="V189" s="3">
        <v>52</v>
      </c>
      <c r="W189" s="3">
        <v>7.65</v>
      </c>
      <c r="X189" s="3">
        <v>51</v>
      </c>
      <c r="Y189" s="3">
        <v>7.98</v>
      </c>
      <c r="Z189" s="3">
        <v>49</v>
      </c>
      <c r="AA189" s="3">
        <v>8.75</v>
      </c>
      <c r="AB189" s="3">
        <v>56</v>
      </c>
      <c r="AC189" s="3"/>
      <c r="AD189" s="3">
        <v>55</v>
      </c>
    </row>
    <row r="190" spans="1:30" x14ac:dyDescent="0.2">
      <c r="A190" s="60" t="s">
        <v>14</v>
      </c>
      <c r="B190" s="60" t="s">
        <v>200</v>
      </c>
      <c r="C190" s="60" t="s">
        <v>53</v>
      </c>
      <c r="D190" s="60" t="s">
        <v>17</v>
      </c>
      <c r="E190" s="60">
        <v>3</v>
      </c>
      <c r="F190" s="60" t="s">
        <v>230</v>
      </c>
      <c r="G190" s="60" t="s">
        <v>35</v>
      </c>
      <c r="H190" s="60" t="s">
        <v>133</v>
      </c>
      <c r="I190" s="60" t="str">
        <f t="shared" si="4"/>
        <v>B1-P6-C4</v>
      </c>
      <c r="J190" s="60" t="str">
        <f t="shared" si="5"/>
        <v>Quercus-B1-P6-C4-A3</v>
      </c>
      <c r="K190" s="60" t="s">
        <v>64</v>
      </c>
      <c r="L190" s="60" t="s">
        <v>44</v>
      </c>
      <c r="M190" s="60" t="s">
        <v>169</v>
      </c>
      <c r="N190" s="15">
        <v>189</v>
      </c>
      <c r="O190" s="60">
        <v>5.6</v>
      </c>
      <c r="P190" s="60">
        <v>46</v>
      </c>
      <c r="Q190" s="60">
        <v>6.25</v>
      </c>
      <c r="R190" s="60">
        <v>46</v>
      </c>
      <c r="S190" s="3">
        <v>6.65</v>
      </c>
      <c r="T190" s="3">
        <v>49</v>
      </c>
      <c r="U190" s="3">
        <v>7.33</v>
      </c>
      <c r="V190" s="3">
        <v>51</v>
      </c>
      <c r="W190" s="3">
        <v>7.52</v>
      </c>
      <c r="X190" s="3">
        <v>50</v>
      </c>
      <c r="Y190" s="3">
        <v>8.4700000000000006</v>
      </c>
      <c r="Z190" s="3">
        <v>54</v>
      </c>
      <c r="AA190" s="3">
        <v>8.24</v>
      </c>
      <c r="AB190" s="3">
        <v>56</v>
      </c>
      <c r="AC190" s="3"/>
      <c r="AD190" s="3">
        <v>56</v>
      </c>
    </row>
    <row r="191" spans="1:30" x14ac:dyDescent="0.2">
      <c r="A191" s="60" t="s">
        <v>14</v>
      </c>
      <c r="B191" s="60" t="s">
        <v>200</v>
      </c>
      <c r="C191" s="60" t="s">
        <v>53</v>
      </c>
      <c r="D191" s="60" t="s">
        <v>24</v>
      </c>
      <c r="E191" s="60">
        <v>3</v>
      </c>
      <c r="F191" s="60" t="s">
        <v>231</v>
      </c>
      <c r="G191" s="60" t="s">
        <v>35</v>
      </c>
      <c r="H191" s="60" t="s">
        <v>133</v>
      </c>
      <c r="I191" s="60" t="str">
        <f t="shared" si="4"/>
        <v>B1-P6-C4</v>
      </c>
      <c r="J191" s="60" t="str">
        <f t="shared" si="5"/>
        <v>Quercus-B1-P6-C4-B3</v>
      </c>
      <c r="K191" s="60" t="s">
        <v>64</v>
      </c>
      <c r="L191" s="60" t="s">
        <v>44</v>
      </c>
      <c r="M191" s="60" t="s">
        <v>169</v>
      </c>
      <c r="N191" s="15">
        <v>190</v>
      </c>
      <c r="O191" s="60">
        <v>6.3</v>
      </c>
      <c r="P191" s="60">
        <v>43</v>
      </c>
      <c r="Q191" s="60">
        <v>7.34</v>
      </c>
      <c r="R191" s="60">
        <v>48</v>
      </c>
      <c r="S191" s="3">
        <v>7.15</v>
      </c>
      <c r="T191" s="3">
        <v>52.5</v>
      </c>
      <c r="U191" s="3">
        <v>7.75</v>
      </c>
      <c r="V191" s="3">
        <v>52</v>
      </c>
      <c r="W191" s="3">
        <v>7.8</v>
      </c>
      <c r="X191" s="3">
        <v>61</v>
      </c>
      <c r="Y191" s="3">
        <v>8.77</v>
      </c>
      <c r="Z191" s="3">
        <v>61</v>
      </c>
      <c r="AA191" s="3">
        <v>8.76</v>
      </c>
      <c r="AB191" s="3">
        <v>63</v>
      </c>
      <c r="AC191" s="3"/>
      <c r="AD191" s="3">
        <v>63</v>
      </c>
    </row>
    <row r="192" spans="1:30" x14ac:dyDescent="0.2">
      <c r="A192" s="60" t="s">
        <v>14</v>
      </c>
      <c r="B192" s="60" t="s">
        <v>200</v>
      </c>
      <c r="C192" s="60" t="s">
        <v>53</v>
      </c>
      <c r="D192" s="60" t="s">
        <v>17</v>
      </c>
      <c r="E192" s="60">
        <v>4</v>
      </c>
      <c r="F192" s="60" t="s">
        <v>232</v>
      </c>
      <c r="G192" s="60" t="s">
        <v>35</v>
      </c>
      <c r="H192" s="60" t="s">
        <v>133</v>
      </c>
      <c r="I192" s="60" t="str">
        <f t="shared" si="4"/>
        <v>B1-P6-C4</v>
      </c>
      <c r="J192" s="60" t="str">
        <f t="shared" si="5"/>
        <v>Quercus-B1-P6-C4-A4</v>
      </c>
      <c r="K192" s="60" t="s">
        <v>64</v>
      </c>
      <c r="L192" s="60" t="s">
        <v>44</v>
      </c>
      <c r="M192" s="60" t="s">
        <v>169</v>
      </c>
      <c r="N192" s="15">
        <v>191</v>
      </c>
      <c r="O192" s="60">
        <v>6.1</v>
      </c>
      <c r="P192" s="60">
        <v>42.5</v>
      </c>
      <c r="Q192" s="60">
        <v>6.61</v>
      </c>
      <c r="R192" s="60">
        <v>44</v>
      </c>
      <c r="S192" s="3">
        <v>6.9</v>
      </c>
      <c r="T192" s="3">
        <v>45</v>
      </c>
      <c r="U192" s="3">
        <v>6.88</v>
      </c>
      <c r="V192" s="3">
        <v>47</v>
      </c>
      <c r="W192" s="3">
        <v>6.98</v>
      </c>
      <c r="X192" s="3">
        <v>48</v>
      </c>
      <c r="Y192" s="3">
        <v>7.82</v>
      </c>
      <c r="Z192" s="3">
        <v>51</v>
      </c>
      <c r="AA192" s="3">
        <v>9.1300000000000008</v>
      </c>
      <c r="AB192" s="3">
        <v>55</v>
      </c>
      <c r="AC192" s="3"/>
      <c r="AD192" s="3">
        <v>55</v>
      </c>
    </row>
    <row r="193" spans="1:30" x14ac:dyDescent="0.2">
      <c r="A193" s="60" t="s">
        <v>14</v>
      </c>
      <c r="B193" s="60" t="s">
        <v>200</v>
      </c>
      <c r="C193" s="60" t="s">
        <v>53</v>
      </c>
      <c r="D193" s="60" t="s">
        <v>24</v>
      </c>
      <c r="E193" s="60">
        <v>4</v>
      </c>
      <c r="F193" s="60" t="s">
        <v>233</v>
      </c>
      <c r="G193" s="60" t="s">
        <v>35</v>
      </c>
      <c r="H193" s="60" t="s">
        <v>133</v>
      </c>
      <c r="I193" s="60" t="str">
        <f t="shared" si="4"/>
        <v>B1-P6-C4</v>
      </c>
      <c r="J193" s="60" t="str">
        <f t="shared" si="5"/>
        <v>Quercus-B1-P6-C4-B4</v>
      </c>
      <c r="K193" s="60" t="s">
        <v>64</v>
      </c>
      <c r="L193" s="60" t="s">
        <v>44</v>
      </c>
      <c r="M193" s="60" t="s">
        <v>169</v>
      </c>
      <c r="N193" s="15">
        <v>192</v>
      </c>
      <c r="O193" s="60">
        <v>5.3</v>
      </c>
      <c r="P193" s="60">
        <v>35.799999999999997</v>
      </c>
      <c r="Q193" s="60">
        <v>5.75</v>
      </c>
      <c r="R193" s="60">
        <v>42</v>
      </c>
      <c r="S193" s="3">
        <v>6.07</v>
      </c>
      <c r="T193" s="3">
        <v>42</v>
      </c>
      <c r="U193" s="3">
        <v>6.32</v>
      </c>
      <c r="V193" s="3">
        <v>44</v>
      </c>
      <c r="W193" s="3">
        <v>6.61</v>
      </c>
      <c r="X193" s="3">
        <v>59</v>
      </c>
      <c r="Y193" s="3">
        <v>7.81</v>
      </c>
      <c r="Z193" s="3">
        <v>60</v>
      </c>
      <c r="AA193" s="3">
        <v>8.4499999999999993</v>
      </c>
      <c r="AB193" s="3">
        <v>59</v>
      </c>
      <c r="AC193" s="3"/>
      <c r="AD193" s="3">
        <v>59</v>
      </c>
    </row>
    <row r="194" spans="1:30" s="38" customFormat="1" x14ac:dyDescent="0.2">
      <c r="A194" s="57" t="s">
        <v>234</v>
      </c>
      <c r="B194" s="57" t="s">
        <v>15</v>
      </c>
      <c r="C194" s="57" t="s">
        <v>16</v>
      </c>
      <c r="D194" s="57" t="s">
        <v>17</v>
      </c>
      <c r="E194" s="57">
        <v>1</v>
      </c>
      <c r="F194" s="57" t="s">
        <v>235</v>
      </c>
      <c r="G194" s="57" t="s">
        <v>19</v>
      </c>
      <c r="H194" s="57" t="s">
        <v>133</v>
      </c>
      <c r="I194" s="57" t="str">
        <f t="shared" si="4"/>
        <v>B2-P1-C1</v>
      </c>
      <c r="J194" s="57" t="str">
        <f t="shared" si="5"/>
        <v>Fagus-B2-P1-C1-A1</v>
      </c>
      <c r="K194" s="57" t="s">
        <v>64</v>
      </c>
      <c r="L194" s="57" t="s">
        <v>44</v>
      </c>
      <c r="M194" s="57" t="s">
        <v>169</v>
      </c>
      <c r="N194" s="37">
        <v>193</v>
      </c>
      <c r="O194" s="57">
        <v>10.5</v>
      </c>
      <c r="P194" s="57">
        <v>78.099999999999994</v>
      </c>
      <c r="Q194" s="57">
        <v>11.15</v>
      </c>
      <c r="R194" s="57">
        <v>95</v>
      </c>
      <c r="S194" s="57">
        <v>12.58</v>
      </c>
      <c r="T194" s="57">
        <v>95</v>
      </c>
      <c r="U194" s="57">
        <v>12.64</v>
      </c>
      <c r="V194" s="57">
        <v>95</v>
      </c>
      <c r="W194" s="57">
        <v>12.92</v>
      </c>
      <c r="X194" s="57">
        <v>95</v>
      </c>
      <c r="Y194" s="57">
        <v>12.84</v>
      </c>
      <c r="Z194" s="57">
        <v>95</v>
      </c>
      <c r="AA194" s="57">
        <v>13.44</v>
      </c>
      <c r="AB194" s="57">
        <v>96</v>
      </c>
      <c r="AC194" s="57"/>
      <c r="AD194" s="57">
        <v>98</v>
      </c>
    </row>
    <row r="195" spans="1:30" s="38" customFormat="1" x14ac:dyDescent="0.2">
      <c r="A195" s="57" t="s">
        <v>234</v>
      </c>
      <c r="B195" s="57" t="s">
        <v>15</v>
      </c>
      <c r="C195" s="57" t="s">
        <v>16</v>
      </c>
      <c r="D195" s="57" t="s">
        <v>24</v>
      </c>
      <c r="E195" s="57">
        <v>1</v>
      </c>
      <c r="F195" s="57" t="s">
        <v>236</v>
      </c>
      <c r="G195" s="57" t="s">
        <v>19</v>
      </c>
      <c r="H195" s="57" t="s">
        <v>133</v>
      </c>
      <c r="I195" s="57" t="str">
        <f t="shared" ref="I195:I258" si="6">A195&amp;"-"&amp;B195&amp;"-"&amp;C195</f>
        <v>B2-P1-C1</v>
      </c>
      <c r="J195" s="57" t="str">
        <f t="shared" ref="J195:J258" si="7">G195&amp;"-"&amp;A195&amp;"-"&amp;B195&amp;"-"&amp;C195&amp;"-"&amp;D195&amp;E195</f>
        <v>Fagus-B2-P1-C1-B1</v>
      </c>
      <c r="K195" s="57" t="s">
        <v>64</v>
      </c>
      <c r="L195" s="57" t="s">
        <v>44</v>
      </c>
      <c r="M195" s="57" t="s">
        <v>169</v>
      </c>
      <c r="N195" s="37">
        <v>194</v>
      </c>
      <c r="O195" s="57">
        <v>10.3</v>
      </c>
      <c r="P195" s="57">
        <v>72.5</v>
      </c>
      <c r="Q195" s="57">
        <v>10.47</v>
      </c>
      <c r="R195" s="57">
        <v>90</v>
      </c>
      <c r="S195" s="57">
        <v>12.22</v>
      </c>
      <c r="T195" s="57">
        <v>90</v>
      </c>
      <c r="U195" s="57">
        <v>12.5</v>
      </c>
      <c r="V195" s="57">
        <v>90</v>
      </c>
      <c r="W195" s="57">
        <v>13.81</v>
      </c>
      <c r="X195" s="57">
        <v>91</v>
      </c>
      <c r="Y195" s="57">
        <v>13.36</v>
      </c>
      <c r="Z195" s="57">
        <v>91</v>
      </c>
      <c r="AA195" s="57">
        <v>13.66</v>
      </c>
      <c r="AB195" s="57">
        <v>92</v>
      </c>
      <c r="AC195" s="57"/>
      <c r="AD195" s="57">
        <v>92</v>
      </c>
    </row>
    <row r="196" spans="1:30" s="38" customFormat="1" x14ac:dyDescent="0.2">
      <c r="A196" s="57" t="s">
        <v>234</v>
      </c>
      <c r="B196" s="57" t="s">
        <v>15</v>
      </c>
      <c r="C196" s="57" t="s">
        <v>16</v>
      </c>
      <c r="D196" s="57" t="s">
        <v>17</v>
      </c>
      <c r="E196" s="57">
        <v>2</v>
      </c>
      <c r="F196" s="57" t="s">
        <v>237</v>
      </c>
      <c r="G196" s="57" t="s">
        <v>19</v>
      </c>
      <c r="H196" s="57" t="s">
        <v>133</v>
      </c>
      <c r="I196" s="57" t="str">
        <f t="shared" si="6"/>
        <v>B2-P1-C1</v>
      </c>
      <c r="J196" s="57" t="str">
        <f t="shared" si="7"/>
        <v>Fagus-B2-P1-C1-A2</v>
      </c>
      <c r="K196" s="57" t="s">
        <v>64</v>
      </c>
      <c r="L196" s="57" t="s">
        <v>44</v>
      </c>
      <c r="M196" s="57" t="s">
        <v>169</v>
      </c>
      <c r="N196" s="37">
        <v>195</v>
      </c>
      <c r="O196" s="57">
        <v>9.5</v>
      </c>
      <c r="P196" s="57">
        <v>71</v>
      </c>
      <c r="Q196" s="57">
        <v>9.6300000000000008</v>
      </c>
      <c r="R196" s="57">
        <v>74</v>
      </c>
      <c r="S196" s="57">
        <v>10.97</v>
      </c>
      <c r="T196" s="57">
        <v>74</v>
      </c>
      <c r="U196" s="57">
        <v>11.45</v>
      </c>
      <c r="V196" s="57">
        <v>74</v>
      </c>
      <c r="W196" s="57">
        <v>11.18</v>
      </c>
      <c r="X196" s="57">
        <v>73</v>
      </c>
      <c r="Y196" s="57">
        <v>10.81</v>
      </c>
      <c r="Z196" s="57">
        <v>74</v>
      </c>
      <c r="AA196" s="57">
        <v>11.72</v>
      </c>
      <c r="AB196" s="57">
        <v>74</v>
      </c>
      <c r="AC196" s="57"/>
      <c r="AD196" s="57">
        <v>74</v>
      </c>
    </row>
    <row r="197" spans="1:30" s="38" customFormat="1" x14ac:dyDescent="0.2">
      <c r="A197" s="57" t="s">
        <v>234</v>
      </c>
      <c r="B197" s="57" t="s">
        <v>15</v>
      </c>
      <c r="C197" s="57" t="s">
        <v>16</v>
      </c>
      <c r="D197" s="57" t="s">
        <v>24</v>
      </c>
      <c r="E197" s="57">
        <v>2</v>
      </c>
      <c r="F197" s="57" t="s">
        <v>238</v>
      </c>
      <c r="G197" s="57" t="s">
        <v>19</v>
      </c>
      <c r="H197" s="57" t="s">
        <v>133</v>
      </c>
      <c r="I197" s="57" t="str">
        <f t="shared" si="6"/>
        <v>B2-P1-C1</v>
      </c>
      <c r="J197" s="57" t="str">
        <f t="shared" si="7"/>
        <v>Fagus-B2-P1-C1-B2</v>
      </c>
      <c r="K197" s="57" t="s">
        <v>64</v>
      </c>
      <c r="L197" s="57" t="s">
        <v>44</v>
      </c>
      <c r="M197" s="57" t="s">
        <v>169</v>
      </c>
      <c r="N197" s="37">
        <v>196</v>
      </c>
      <c r="O197" s="57">
        <v>8.6</v>
      </c>
      <c r="P197" s="57">
        <v>55.6</v>
      </c>
      <c r="Q197" s="57">
        <v>8.7200000000000006</v>
      </c>
      <c r="R197" s="57">
        <v>55.6</v>
      </c>
      <c r="S197" s="57">
        <v>9.41</v>
      </c>
      <c r="T197" s="57">
        <v>57</v>
      </c>
      <c r="U197" s="57">
        <v>10.88</v>
      </c>
      <c r="V197" s="57">
        <v>57</v>
      </c>
      <c r="W197" s="57">
        <v>9.48</v>
      </c>
      <c r="X197" s="57">
        <v>57</v>
      </c>
      <c r="Y197" s="57">
        <v>9.8800000000000008</v>
      </c>
      <c r="Z197" s="57">
        <v>57</v>
      </c>
      <c r="AA197" s="57">
        <v>10.02</v>
      </c>
      <c r="AB197" s="57">
        <v>57</v>
      </c>
      <c r="AC197" s="57"/>
      <c r="AD197" s="57">
        <v>57</v>
      </c>
    </row>
    <row r="198" spans="1:30" s="38" customFormat="1" x14ac:dyDescent="0.2">
      <c r="A198" s="57" t="s">
        <v>234</v>
      </c>
      <c r="B198" s="57" t="s">
        <v>15</v>
      </c>
      <c r="C198" s="57" t="s">
        <v>16</v>
      </c>
      <c r="D198" s="57" t="s">
        <v>17</v>
      </c>
      <c r="E198" s="57">
        <v>3</v>
      </c>
      <c r="F198" s="57" t="s">
        <v>239</v>
      </c>
      <c r="G198" s="57" t="s">
        <v>19</v>
      </c>
      <c r="H198" s="57" t="s">
        <v>133</v>
      </c>
      <c r="I198" s="57" t="str">
        <f t="shared" si="6"/>
        <v>B2-P1-C1</v>
      </c>
      <c r="J198" s="57" t="str">
        <f t="shared" si="7"/>
        <v>Fagus-B2-P1-C1-A3</v>
      </c>
      <c r="K198" s="57" t="s">
        <v>64</v>
      </c>
      <c r="L198" s="57" t="s">
        <v>44</v>
      </c>
      <c r="M198" s="57" t="s">
        <v>169</v>
      </c>
      <c r="N198" s="37">
        <v>197</v>
      </c>
      <c r="O198" s="57">
        <v>12.1</v>
      </c>
      <c r="P198" s="57">
        <v>87.2</v>
      </c>
      <c r="Q198" s="57">
        <v>12.25</v>
      </c>
      <c r="R198" s="57">
        <v>91</v>
      </c>
      <c r="S198" s="57">
        <v>13.81</v>
      </c>
      <c r="T198" s="57">
        <v>91</v>
      </c>
      <c r="U198" s="57">
        <v>13.99</v>
      </c>
      <c r="V198" s="57">
        <v>90.5</v>
      </c>
      <c r="W198" s="57">
        <v>14.82</v>
      </c>
      <c r="X198" s="57">
        <v>91</v>
      </c>
      <c r="Y198" s="57">
        <v>14.53</v>
      </c>
      <c r="Z198" s="57">
        <v>89</v>
      </c>
      <c r="AA198" s="57">
        <v>15.14</v>
      </c>
      <c r="AB198" s="57">
        <v>91</v>
      </c>
      <c r="AC198" s="57"/>
      <c r="AD198" s="57">
        <v>88</v>
      </c>
    </row>
    <row r="199" spans="1:30" s="38" customFormat="1" x14ac:dyDescent="0.2">
      <c r="A199" s="57" t="s">
        <v>234</v>
      </c>
      <c r="B199" s="57" t="s">
        <v>15</v>
      </c>
      <c r="C199" s="57" t="s">
        <v>16</v>
      </c>
      <c r="D199" s="57" t="s">
        <v>24</v>
      </c>
      <c r="E199" s="57">
        <v>3</v>
      </c>
      <c r="F199" s="57" t="s">
        <v>240</v>
      </c>
      <c r="G199" s="57" t="s">
        <v>19</v>
      </c>
      <c r="H199" s="57" t="s">
        <v>133</v>
      </c>
      <c r="I199" s="57" t="str">
        <f t="shared" si="6"/>
        <v>B2-P1-C1</v>
      </c>
      <c r="J199" s="57" t="str">
        <f t="shared" si="7"/>
        <v>Fagus-B2-P1-C1-B3</v>
      </c>
      <c r="K199" s="57" t="s">
        <v>64</v>
      </c>
      <c r="L199" s="57" t="s">
        <v>44</v>
      </c>
      <c r="M199" s="57" t="s">
        <v>169</v>
      </c>
      <c r="N199" s="37">
        <v>198</v>
      </c>
      <c r="O199" s="57">
        <v>11.1</v>
      </c>
      <c r="P199" s="57">
        <v>68</v>
      </c>
      <c r="Q199" s="57">
        <v>11.16</v>
      </c>
      <c r="R199" s="57">
        <v>86</v>
      </c>
      <c r="S199" s="57">
        <v>12.07</v>
      </c>
      <c r="T199" s="57">
        <v>86.5</v>
      </c>
      <c r="U199" s="57">
        <v>12.33</v>
      </c>
      <c r="V199" s="57">
        <v>85.5</v>
      </c>
      <c r="W199" s="57">
        <v>12.54</v>
      </c>
      <c r="X199" s="57">
        <v>85.5</v>
      </c>
      <c r="Y199" s="57">
        <v>12.62</v>
      </c>
      <c r="Z199" s="57">
        <v>84</v>
      </c>
      <c r="AA199" s="57">
        <v>12.85</v>
      </c>
      <c r="AB199" s="57">
        <v>85</v>
      </c>
      <c r="AC199" s="57"/>
      <c r="AD199" s="57">
        <v>85</v>
      </c>
    </row>
    <row r="200" spans="1:30" s="38" customFormat="1" x14ac:dyDescent="0.2">
      <c r="A200" s="57" t="s">
        <v>234</v>
      </c>
      <c r="B200" s="57" t="s">
        <v>15</v>
      </c>
      <c r="C200" s="57" t="s">
        <v>16</v>
      </c>
      <c r="D200" s="57" t="s">
        <v>17</v>
      </c>
      <c r="E200" s="57">
        <v>4</v>
      </c>
      <c r="F200" s="57" t="s">
        <v>241</v>
      </c>
      <c r="G200" s="57" t="s">
        <v>19</v>
      </c>
      <c r="H200" s="57" t="s">
        <v>133</v>
      </c>
      <c r="I200" s="57" t="str">
        <f t="shared" si="6"/>
        <v>B2-P1-C1</v>
      </c>
      <c r="J200" s="57" t="str">
        <f t="shared" si="7"/>
        <v>Fagus-B2-P1-C1-A4</v>
      </c>
      <c r="K200" s="57" t="s">
        <v>64</v>
      </c>
      <c r="L200" s="57" t="s">
        <v>44</v>
      </c>
      <c r="M200" s="57" t="s">
        <v>169</v>
      </c>
      <c r="N200" s="37">
        <v>199</v>
      </c>
      <c r="O200" s="57">
        <v>9.3000000000000007</v>
      </c>
      <c r="P200" s="57">
        <v>79.5</v>
      </c>
      <c r="Q200" s="57">
        <v>9.59</v>
      </c>
      <c r="R200" s="57">
        <v>92</v>
      </c>
      <c r="S200" s="57">
        <v>11.6</v>
      </c>
      <c r="T200" s="57">
        <v>92</v>
      </c>
      <c r="U200" s="57">
        <v>11.65</v>
      </c>
      <c r="V200" s="57">
        <v>91</v>
      </c>
      <c r="W200" s="57">
        <v>11.99</v>
      </c>
      <c r="X200" s="57">
        <v>91.5</v>
      </c>
      <c r="Y200" s="57">
        <v>13.21</v>
      </c>
      <c r="Z200" s="57">
        <v>89</v>
      </c>
      <c r="AA200" s="57">
        <v>13.67</v>
      </c>
      <c r="AB200" s="57">
        <v>89</v>
      </c>
      <c r="AC200" s="57"/>
      <c r="AD200" s="57">
        <v>89</v>
      </c>
    </row>
    <row r="201" spans="1:30" s="38" customFormat="1" x14ac:dyDescent="0.2">
      <c r="A201" s="57" t="s">
        <v>234</v>
      </c>
      <c r="B201" s="57" t="s">
        <v>15</v>
      </c>
      <c r="C201" s="57" t="s">
        <v>16</v>
      </c>
      <c r="D201" s="57" t="s">
        <v>24</v>
      </c>
      <c r="E201" s="57">
        <v>4</v>
      </c>
      <c r="F201" s="57" t="s">
        <v>242</v>
      </c>
      <c r="G201" s="57" t="s">
        <v>19</v>
      </c>
      <c r="H201" s="57" t="s">
        <v>133</v>
      </c>
      <c r="I201" s="57" t="str">
        <f t="shared" si="6"/>
        <v>B2-P1-C1</v>
      </c>
      <c r="J201" s="57" t="str">
        <f t="shared" si="7"/>
        <v>Fagus-B2-P1-C1-B4</v>
      </c>
      <c r="K201" s="57" t="s">
        <v>64</v>
      </c>
      <c r="L201" s="57" t="s">
        <v>44</v>
      </c>
      <c r="M201" s="57" t="s">
        <v>169</v>
      </c>
      <c r="N201" s="37">
        <v>200</v>
      </c>
      <c r="O201" s="57">
        <v>13.4</v>
      </c>
      <c r="P201" s="57">
        <v>83</v>
      </c>
      <c r="Q201" s="57">
        <v>13.85</v>
      </c>
      <c r="R201" s="57">
        <v>107.5</v>
      </c>
      <c r="S201" s="57">
        <v>15.51</v>
      </c>
      <c r="T201" s="57">
        <v>110</v>
      </c>
      <c r="U201" s="57">
        <v>15.47</v>
      </c>
      <c r="V201" s="57">
        <v>109</v>
      </c>
      <c r="W201" s="57">
        <v>15.99</v>
      </c>
      <c r="X201" s="57">
        <v>109</v>
      </c>
      <c r="Y201" s="57">
        <v>16.29</v>
      </c>
      <c r="Z201" s="57">
        <v>110</v>
      </c>
      <c r="AA201" s="57">
        <v>16.98</v>
      </c>
      <c r="AB201" s="57">
        <v>108</v>
      </c>
      <c r="AC201" s="57"/>
      <c r="AD201" s="57">
        <v>108</v>
      </c>
    </row>
    <row r="202" spans="1:30" x14ac:dyDescent="0.2">
      <c r="A202" s="60" t="s">
        <v>234</v>
      </c>
      <c r="B202" s="60" t="s">
        <v>15</v>
      </c>
      <c r="C202" s="60" t="s">
        <v>32</v>
      </c>
      <c r="D202" s="60" t="s">
        <v>17</v>
      </c>
      <c r="E202" s="60">
        <v>1</v>
      </c>
      <c r="F202" s="60" t="s">
        <v>243</v>
      </c>
      <c r="G202" s="60" t="s">
        <v>19</v>
      </c>
      <c r="H202" s="60" t="s">
        <v>133</v>
      </c>
      <c r="I202" s="60" t="str">
        <f t="shared" si="6"/>
        <v>B2-P1-C2</v>
      </c>
      <c r="J202" s="60" t="str">
        <f t="shared" si="7"/>
        <v>Fagus-B2-P1-C2-A1</v>
      </c>
      <c r="K202" s="60" t="s">
        <v>64</v>
      </c>
      <c r="L202" s="60" t="s">
        <v>22</v>
      </c>
      <c r="M202" s="60" t="s">
        <v>202</v>
      </c>
      <c r="N202" s="15">
        <v>201</v>
      </c>
      <c r="O202" s="60">
        <v>8.9</v>
      </c>
      <c r="P202" s="60">
        <v>70.5</v>
      </c>
      <c r="Q202" s="60">
        <v>8.9499999999999993</v>
      </c>
      <c r="R202" s="60">
        <v>73</v>
      </c>
      <c r="S202" s="3">
        <v>11</v>
      </c>
      <c r="T202" s="3">
        <v>73.5</v>
      </c>
      <c r="U202" s="3">
        <v>10.8</v>
      </c>
      <c r="V202" s="3">
        <v>87</v>
      </c>
      <c r="W202" s="3">
        <v>13.55</v>
      </c>
      <c r="X202" s="3">
        <v>91.5</v>
      </c>
      <c r="Y202" s="3">
        <v>14.22</v>
      </c>
      <c r="Z202" s="3">
        <v>90</v>
      </c>
      <c r="AA202" s="3">
        <v>14.29</v>
      </c>
      <c r="AB202" s="3">
        <v>90</v>
      </c>
      <c r="AC202" s="3"/>
      <c r="AD202" s="3">
        <v>91</v>
      </c>
    </row>
    <row r="203" spans="1:30" x14ac:dyDescent="0.2">
      <c r="A203" s="60" t="s">
        <v>234</v>
      </c>
      <c r="B203" s="60" t="s">
        <v>15</v>
      </c>
      <c r="C203" s="60" t="s">
        <v>32</v>
      </c>
      <c r="D203" s="60" t="s">
        <v>24</v>
      </c>
      <c r="E203" s="60">
        <v>1</v>
      </c>
      <c r="F203" s="60" t="s">
        <v>244</v>
      </c>
      <c r="G203" s="60" t="s">
        <v>19</v>
      </c>
      <c r="H203" s="60" t="s">
        <v>133</v>
      </c>
      <c r="I203" s="60" t="str">
        <f t="shared" si="6"/>
        <v>B2-P1-C2</v>
      </c>
      <c r="J203" s="60" t="str">
        <f t="shared" si="7"/>
        <v>Fagus-B2-P1-C2-B1</v>
      </c>
      <c r="K203" s="60" t="s">
        <v>64</v>
      </c>
      <c r="L203" s="60" t="s">
        <v>22</v>
      </c>
      <c r="M203" s="60" t="s">
        <v>202</v>
      </c>
      <c r="N203" s="15">
        <v>202</v>
      </c>
      <c r="O203" s="60">
        <v>8.4</v>
      </c>
      <c r="P203" s="60">
        <v>70.5</v>
      </c>
      <c r="Q203" s="60">
        <v>8.48</v>
      </c>
      <c r="R203" s="60">
        <v>99</v>
      </c>
      <c r="S203" s="3">
        <v>10.55</v>
      </c>
      <c r="T203" s="3">
        <v>99</v>
      </c>
      <c r="U203" s="3">
        <v>13.55</v>
      </c>
      <c r="V203" s="3">
        <v>118</v>
      </c>
      <c r="W203" s="3">
        <v>11.98</v>
      </c>
      <c r="X203" s="3">
        <v>125</v>
      </c>
      <c r="Y203" s="3">
        <v>13.69</v>
      </c>
      <c r="Z203" s="3">
        <v>126</v>
      </c>
      <c r="AA203" s="3">
        <v>14.41</v>
      </c>
      <c r="AB203" s="3">
        <v>125</v>
      </c>
      <c r="AC203" s="3"/>
      <c r="AD203" s="3">
        <v>124</v>
      </c>
    </row>
    <row r="204" spans="1:30" x14ac:dyDescent="0.2">
      <c r="A204" s="60" t="s">
        <v>234</v>
      </c>
      <c r="B204" s="60" t="s">
        <v>15</v>
      </c>
      <c r="C204" s="60" t="s">
        <v>32</v>
      </c>
      <c r="D204" s="60" t="s">
        <v>17</v>
      </c>
      <c r="E204" s="60">
        <v>2</v>
      </c>
      <c r="F204" s="60" t="s">
        <v>245</v>
      </c>
      <c r="G204" s="60" t="s">
        <v>19</v>
      </c>
      <c r="H204" s="60" t="s">
        <v>133</v>
      </c>
      <c r="I204" s="60" t="str">
        <f t="shared" si="6"/>
        <v>B2-P1-C2</v>
      </c>
      <c r="J204" s="60" t="str">
        <f t="shared" si="7"/>
        <v>Fagus-B2-P1-C2-A2</v>
      </c>
      <c r="K204" s="60" t="s">
        <v>64</v>
      </c>
      <c r="L204" s="60" t="s">
        <v>22</v>
      </c>
      <c r="M204" s="60" t="s">
        <v>202</v>
      </c>
      <c r="N204" s="15">
        <v>203</v>
      </c>
      <c r="O204" s="60">
        <v>9.3000000000000007</v>
      </c>
      <c r="P204" s="60">
        <v>67.599999999999994</v>
      </c>
      <c r="Q204" s="60">
        <v>9.77</v>
      </c>
      <c r="R204" s="60">
        <v>69</v>
      </c>
      <c r="S204" s="3">
        <v>11.28</v>
      </c>
      <c r="T204" s="3">
        <v>69</v>
      </c>
      <c r="U204" s="3">
        <v>11.44</v>
      </c>
      <c r="V204" s="3">
        <v>88</v>
      </c>
      <c r="W204" s="3">
        <v>12.57</v>
      </c>
      <c r="X204" s="3">
        <v>89</v>
      </c>
      <c r="Y204" s="3">
        <v>12.65</v>
      </c>
      <c r="Z204" s="3">
        <v>90</v>
      </c>
      <c r="AA204" s="3">
        <v>13.27</v>
      </c>
      <c r="AB204" s="3">
        <v>90</v>
      </c>
      <c r="AC204" s="3"/>
      <c r="AD204" s="3">
        <v>89</v>
      </c>
    </row>
    <row r="205" spans="1:30" x14ac:dyDescent="0.2">
      <c r="A205" s="60" t="s">
        <v>234</v>
      </c>
      <c r="B205" s="60" t="s">
        <v>15</v>
      </c>
      <c r="C205" s="60" t="s">
        <v>32</v>
      </c>
      <c r="D205" s="60" t="s">
        <v>24</v>
      </c>
      <c r="E205" s="60">
        <v>2</v>
      </c>
      <c r="F205" s="60" t="s">
        <v>246</v>
      </c>
      <c r="G205" s="60" t="s">
        <v>19</v>
      </c>
      <c r="H205" s="60" t="s">
        <v>133</v>
      </c>
      <c r="I205" s="60" t="str">
        <f t="shared" si="6"/>
        <v>B2-P1-C2</v>
      </c>
      <c r="J205" s="60" t="str">
        <f t="shared" si="7"/>
        <v>Fagus-B2-P1-C2-B2</v>
      </c>
      <c r="K205" s="60" t="s">
        <v>64</v>
      </c>
      <c r="L205" s="60" t="s">
        <v>22</v>
      </c>
      <c r="M205" s="60" t="s">
        <v>202</v>
      </c>
      <c r="N205" s="15">
        <v>204</v>
      </c>
      <c r="O205" s="60">
        <v>10</v>
      </c>
      <c r="P205" s="60">
        <v>100.3</v>
      </c>
      <c r="Q205" s="60">
        <v>10.130000000000001</v>
      </c>
      <c r="R205" s="60">
        <v>132.5</v>
      </c>
      <c r="S205" s="3">
        <v>12.08</v>
      </c>
      <c r="T205" s="3">
        <v>147</v>
      </c>
      <c r="U205" s="3">
        <v>12.03</v>
      </c>
      <c r="V205" s="3">
        <v>165</v>
      </c>
      <c r="W205" s="3">
        <v>14.43</v>
      </c>
      <c r="X205" s="3">
        <v>170.5</v>
      </c>
      <c r="Y205" s="3">
        <v>14.82</v>
      </c>
      <c r="Z205" s="3">
        <v>171</v>
      </c>
      <c r="AA205" s="3">
        <v>15.23</v>
      </c>
      <c r="AB205" s="3">
        <v>173</v>
      </c>
      <c r="AC205" s="3"/>
      <c r="AD205" s="3">
        <v>171</v>
      </c>
    </row>
    <row r="206" spans="1:30" x14ac:dyDescent="0.2">
      <c r="A206" s="60" t="s">
        <v>234</v>
      </c>
      <c r="B206" s="60" t="s">
        <v>15</v>
      </c>
      <c r="C206" s="60" t="s">
        <v>32</v>
      </c>
      <c r="D206" s="60" t="s">
        <v>17</v>
      </c>
      <c r="E206" s="60">
        <v>3</v>
      </c>
      <c r="F206" s="60" t="s">
        <v>247</v>
      </c>
      <c r="G206" s="60" t="s">
        <v>19</v>
      </c>
      <c r="H206" s="60" t="s">
        <v>133</v>
      </c>
      <c r="I206" s="60" t="str">
        <f t="shared" si="6"/>
        <v>B2-P1-C2</v>
      </c>
      <c r="J206" s="60" t="str">
        <f t="shared" si="7"/>
        <v>Fagus-B2-P1-C2-A3</v>
      </c>
      <c r="K206" s="60" t="s">
        <v>64</v>
      </c>
      <c r="L206" s="60" t="s">
        <v>22</v>
      </c>
      <c r="M206" s="60" t="s">
        <v>202</v>
      </c>
      <c r="N206" s="15">
        <v>205</v>
      </c>
      <c r="O206" s="60">
        <v>10.7</v>
      </c>
      <c r="P206" s="60">
        <v>73</v>
      </c>
      <c r="Q206" s="60">
        <v>11.14</v>
      </c>
      <c r="R206" s="60">
        <v>91</v>
      </c>
      <c r="S206" s="3">
        <v>12.27</v>
      </c>
      <c r="T206" s="3">
        <v>91</v>
      </c>
      <c r="U206" s="3">
        <v>13.26</v>
      </c>
      <c r="V206" s="3">
        <v>112</v>
      </c>
      <c r="W206" s="3">
        <v>14.07</v>
      </c>
      <c r="X206" s="3">
        <v>112</v>
      </c>
      <c r="Y206" s="3">
        <v>14.28</v>
      </c>
      <c r="Z206" s="3">
        <v>118</v>
      </c>
      <c r="AA206" s="3">
        <v>15.3</v>
      </c>
      <c r="AB206" s="3">
        <v>118</v>
      </c>
      <c r="AC206" s="3"/>
      <c r="AD206" s="3">
        <v>117</v>
      </c>
    </row>
    <row r="207" spans="1:30" x14ac:dyDescent="0.2">
      <c r="A207" s="60" t="s">
        <v>234</v>
      </c>
      <c r="B207" s="60" t="s">
        <v>15</v>
      </c>
      <c r="C207" s="60" t="s">
        <v>32</v>
      </c>
      <c r="D207" s="60" t="s">
        <v>24</v>
      </c>
      <c r="E207" s="60">
        <v>3</v>
      </c>
      <c r="F207" s="60" t="s">
        <v>248</v>
      </c>
      <c r="G207" s="60" t="s">
        <v>19</v>
      </c>
      <c r="H207" s="60" t="s">
        <v>133</v>
      </c>
      <c r="I207" s="60" t="str">
        <f t="shared" si="6"/>
        <v>B2-P1-C2</v>
      </c>
      <c r="J207" s="60" t="str">
        <f t="shared" si="7"/>
        <v>Fagus-B2-P1-C2-B3</v>
      </c>
      <c r="K207" s="60" t="s">
        <v>64</v>
      </c>
      <c r="L207" s="60" t="s">
        <v>22</v>
      </c>
      <c r="M207" s="60" t="s">
        <v>202</v>
      </c>
      <c r="N207" s="15">
        <v>206</v>
      </c>
      <c r="O207" s="60">
        <v>9.6</v>
      </c>
      <c r="P207" s="60">
        <v>81</v>
      </c>
      <c r="Q207" s="60">
        <v>9.6300000000000008</v>
      </c>
      <c r="R207" s="60">
        <v>105</v>
      </c>
      <c r="S207" s="3">
        <v>10.86</v>
      </c>
      <c r="T207" s="3">
        <v>105</v>
      </c>
      <c r="U207" s="3">
        <v>12.18</v>
      </c>
      <c r="V207" s="3">
        <v>130</v>
      </c>
      <c r="W207" s="3">
        <v>12.77</v>
      </c>
      <c r="X207" s="3">
        <v>132.5</v>
      </c>
      <c r="Y207" s="3">
        <v>13.78</v>
      </c>
      <c r="Z207" s="3">
        <v>131</v>
      </c>
      <c r="AA207" s="3">
        <v>13.75</v>
      </c>
      <c r="AB207" s="3">
        <v>133</v>
      </c>
      <c r="AC207" s="3"/>
      <c r="AD207" s="3">
        <v>133</v>
      </c>
    </row>
    <row r="208" spans="1:30" x14ac:dyDescent="0.2">
      <c r="A208" s="60" t="s">
        <v>234</v>
      </c>
      <c r="B208" s="60" t="s">
        <v>15</v>
      </c>
      <c r="C208" s="60" t="s">
        <v>32</v>
      </c>
      <c r="D208" s="60" t="s">
        <v>17</v>
      </c>
      <c r="E208" s="60">
        <v>4</v>
      </c>
      <c r="F208" s="60" t="s">
        <v>249</v>
      </c>
      <c r="G208" s="60" t="s">
        <v>19</v>
      </c>
      <c r="H208" s="60" t="s">
        <v>133</v>
      </c>
      <c r="I208" s="60" t="str">
        <f t="shared" si="6"/>
        <v>B2-P1-C2</v>
      </c>
      <c r="J208" s="60" t="str">
        <f t="shared" si="7"/>
        <v>Fagus-B2-P1-C2-A4</v>
      </c>
      <c r="K208" s="60" t="s">
        <v>64</v>
      </c>
      <c r="L208" s="60" t="s">
        <v>22</v>
      </c>
      <c r="M208" s="60" t="s">
        <v>202</v>
      </c>
      <c r="N208" s="15">
        <v>207</v>
      </c>
      <c r="O208" s="60">
        <v>10.6</v>
      </c>
      <c r="P208" s="60">
        <v>87.2</v>
      </c>
      <c r="Q208" s="60">
        <v>10.6</v>
      </c>
      <c r="R208" s="60">
        <v>117</v>
      </c>
      <c r="S208" s="3">
        <v>12.88</v>
      </c>
      <c r="T208" s="3">
        <v>117</v>
      </c>
      <c r="U208" s="3">
        <v>14.97</v>
      </c>
      <c r="V208" s="3">
        <v>128.5</v>
      </c>
      <c r="W208" s="3">
        <v>15.91</v>
      </c>
      <c r="X208" s="3">
        <v>138.5</v>
      </c>
      <c r="Y208" s="3">
        <v>15.56</v>
      </c>
      <c r="Z208" s="3">
        <v>140</v>
      </c>
      <c r="AA208" s="3">
        <v>15.77</v>
      </c>
      <c r="AB208" s="3">
        <v>139</v>
      </c>
      <c r="AC208" s="3"/>
      <c r="AD208" s="3">
        <v>139</v>
      </c>
    </row>
    <row r="209" spans="1:30" x14ac:dyDescent="0.2">
      <c r="A209" s="60" t="s">
        <v>234</v>
      </c>
      <c r="B209" s="60" t="s">
        <v>15</v>
      </c>
      <c r="C209" s="60" t="s">
        <v>32</v>
      </c>
      <c r="D209" s="60" t="s">
        <v>24</v>
      </c>
      <c r="E209" s="60">
        <v>4</v>
      </c>
      <c r="F209" s="60" t="s">
        <v>250</v>
      </c>
      <c r="G209" s="60" t="s">
        <v>19</v>
      </c>
      <c r="H209" s="60" t="s">
        <v>133</v>
      </c>
      <c r="I209" s="60" t="str">
        <f t="shared" si="6"/>
        <v>B2-P1-C2</v>
      </c>
      <c r="J209" s="60" t="str">
        <f t="shared" si="7"/>
        <v>Fagus-B2-P1-C2-B4</v>
      </c>
      <c r="K209" s="60" t="s">
        <v>64</v>
      </c>
      <c r="L209" s="60" t="s">
        <v>22</v>
      </c>
      <c r="M209" s="60" t="s">
        <v>202</v>
      </c>
      <c r="N209" s="15">
        <v>208</v>
      </c>
      <c r="O209" s="60">
        <v>9</v>
      </c>
      <c r="P209" s="60">
        <v>85</v>
      </c>
      <c r="Q209" s="60">
        <v>9.26</v>
      </c>
      <c r="R209" s="60">
        <v>85</v>
      </c>
      <c r="S209" s="3">
        <v>11.51</v>
      </c>
      <c r="T209" s="3">
        <v>85</v>
      </c>
      <c r="U209" s="3">
        <v>12.98</v>
      </c>
      <c r="V209" s="3">
        <v>95</v>
      </c>
      <c r="W209" s="3">
        <v>13.52</v>
      </c>
      <c r="X209" s="3">
        <v>95</v>
      </c>
      <c r="Y209" s="3">
        <v>13.93</v>
      </c>
      <c r="Z209" s="3">
        <v>95</v>
      </c>
      <c r="AA209" s="3">
        <v>13.92</v>
      </c>
      <c r="AB209" s="3">
        <v>98</v>
      </c>
      <c r="AC209" s="3"/>
      <c r="AD209" s="3">
        <v>96</v>
      </c>
    </row>
    <row r="210" spans="1:30" s="38" customFormat="1" x14ac:dyDescent="0.2">
      <c r="A210" s="57" t="s">
        <v>234</v>
      </c>
      <c r="B210" s="57" t="s">
        <v>15</v>
      </c>
      <c r="C210" s="57" t="s">
        <v>42</v>
      </c>
      <c r="D210" s="57" t="s">
        <v>17</v>
      </c>
      <c r="E210" s="57">
        <v>1</v>
      </c>
      <c r="F210" s="57" t="s">
        <v>251</v>
      </c>
      <c r="G210" s="57" t="s">
        <v>19</v>
      </c>
      <c r="H210" s="57" t="s">
        <v>133</v>
      </c>
      <c r="I210" s="57" t="str">
        <f t="shared" si="6"/>
        <v>B2-P1-C3</v>
      </c>
      <c r="J210" s="57" t="str">
        <f t="shared" si="7"/>
        <v>Fagus-B2-P1-C3-A1</v>
      </c>
      <c r="K210" s="57" t="s">
        <v>64</v>
      </c>
      <c r="L210" s="57" t="s">
        <v>44</v>
      </c>
      <c r="M210" s="57" t="s">
        <v>169</v>
      </c>
      <c r="N210" s="37">
        <v>209</v>
      </c>
      <c r="O210" s="57">
        <v>10.4</v>
      </c>
      <c r="P210" s="57">
        <v>86</v>
      </c>
      <c r="Q210" s="57">
        <v>10.43</v>
      </c>
      <c r="R210" s="57">
        <v>104</v>
      </c>
      <c r="S210" s="57">
        <v>11.82</v>
      </c>
      <c r="T210" s="57">
        <v>104</v>
      </c>
      <c r="U210" s="57">
        <v>11.78</v>
      </c>
      <c r="V210" s="57">
        <v>104</v>
      </c>
      <c r="W210" s="57">
        <v>11.76</v>
      </c>
      <c r="X210" s="57">
        <v>103</v>
      </c>
      <c r="Y210" s="57">
        <v>11.77</v>
      </c>
      <c r="Z210" s="57">
        <v>102</v>
      </c>
      <c r="AA210" s="57">
        <v>11.72</v>
      </c>
      <c r="AB210" s="57">
        <v>104</v>
      </c>
      <c r="AC210" s="57"/>
      <c r="AD210" s="57">
        <v>103</v>
      </c>
    </row>
    <row r="211" spans="1:30" s="38" customFormat="1" x14ac:dyDescent="0.2">
      <c r="A211" s="57" t="s">
        <v>234</v>
      </c>
      <c r="B211" s="57" t="s">
        <v>15</v>
      </c>
      <c r="C211" s="57" t="s">
        <v>42</v>
      </c>
      <c r="D211" s="57" t="s">
        <v>24</v>
      </c>
      <c r="E211" s="57">
        <v>1</v>
      </c>
      <c r="F211" s="57" t="s">
        <v>252</v>
      </c>
      <c r="G211" s="57" t="s">
        <v>35</v>
      </c>
      <c r="H211" s="57" t="s">
        <v>133</v>
      </c>
      <c r="I211" s="57" t="str">
        <f t="shared" si="6"/>
        <v>B2-P1-C3</v>
      </c>
      <c r="J211" s="57" t="str">
        <f t="shared" si="7"/>
        <v>Quercus-B2-P1-C3-B1</v>
      </c>
      <c r="K211" s="57" t="s">
        <v>64</v>
      </c>
      <c r="L211" s="57" t="s">
        <v>44</v>
      </c>
      <c r="M211" s="57" t="s">
        <v>169</v>
      </c>
      <c r="N211" s="37">
        <v>210</v>
      </c>
      <c r="O211" s="57">
        <v>4.3</v>
      </c>
      <c r="P211" s="57">
        <v>33.200000000000003</v>
      </c>
      <c r="Q211" s="57">
        <v>5.4</v>
      </c>
      <c r="R211" s="57">
        <v>46</v>
      </c>
      <c r="S211" s="57">
        <v>6.08</v>
      </c>
      <c r="T211" s="57">
        <v>62</v>
      </c>
      <c r="U211" s="57">
        <v>6.5</v>
      </c>
      <c r="V211" s="57">
        <v>63</v>
      </c>
      <c r="W211" s="57">
        <v>7.69</v>
      </c>
      <c r="X211" s="57">
        <v>67.5</v>
      </c>
      <c r="Y211" s="57">
        <v>7.81</v>
      </c>
      <c r="Z211" s="57">
        <v>75</v>
      </c>
      <c r="AA211" s="57">
        <v>8.6</v>
      </c>
      <c r="AB211" s="57">
        <v>75</v>
      </c>
      <c r="AC211" s="57"/>
      <c r="AD211" s="57">
        <v>75</v>
      </c>
    </row>
    <row r="212" spans="1:30" s="38" customFormat="1" x14ac:dyDescent="0.2">
      <c r="A212" s="57" t="s">
        <v>234</v>
      </c>
      <c r="B212" s="57" t="s">
        <v>15</v>
      </c>
      <c r="C212" s="57" t="s">
        <v>42</v>
      </c>
      <c r="D212" s="57" t="s">
        <v>17</v>
      </c>
      <c r="E212" s="57">
        <v>2</v>
      </c>
      <c r="F212" s="57" t="s">
        <v>253</v>
      </c>
      <c r="G212" s="57" t="s">
        <v>35</v>
      </c>
      <c r="H212" s="57" t="s">
        <v>133</v>
      </c>
      <c r="I212" s="57" t="str">
        <f t="shared" si="6"/>
        <v>B2-P1-C3</v>
      </c>
      <c r="J212" s="57" t="str">
        <f t="shared" si="7"/>
        <v>Quercus-B2-P1-C3-A2</v>
      </c>
      <c r="K212" s="57" t="s">
        <v>64</v>
      </c>
      <c r="L212" s="57" t="s">
        <v>44</v>
      </c>
      <c r="M212" s="57" t="s">
        <v>169</v>
      </c>
      <c r="N212" s="37">
        <v>211</v>
      </c>
      <c r="O212" s="57">
        <v>6.1</v>
      </c>
      <c r="P212" s="57">
        <v>46.5</v>
      </c>
      <c r="Q212" s="57">
        <v>7.65</v>
      </c>
      <c r="R212" s="57">
        <v>58</v>
      </c>
      <c r="S212" s="57">
        <v>7.78</v>
      </c>
      <c r="T212" s="57">
        <v>62.5</v>
      </c>
      <c r="U212" s="57">
        <v>7.83</v>
      </c>
      <c r="V212" s="57">
        <v>62</v>
      </c>
      <c r="W212" s="57">
        <v>9.9499999999999993</v>
      </c>
      <c r="X212" s="57">
        <v>63</v>
      </c>
      <c r="Y212" s="57">
        <v>9.93</v>
      </c>
      <c r="Z212" s="57">
        <v>68</v>
      </c>
      <c r="AA212" s="57">
        <v>11.83</v>
      </c>
      <c r="AB212" s="57">
        <v>72</v>
      </c>
      <c r="AC212" s="57"/>
      <c r="AD212" s="57">
        <v>71</v>
      </c>
    </row>
    <row r="213" spans="1:30" s="38" customFormat="1" x14ac:dyDescent="0.2">
      <c r="A213" s="57" t="s">
        <v>234</v>
      </c>
      <c r="B213" s="57" t="s">
        <v>15</v>
      </c>
      <c r="C213" s="57" t="s">
        <v>42</v>
      </c>
      <c r="D213" s="57" t="s">
        <v>24</v>
      </c>
      <c r="E213" s="57">
        <v>2</v>
      </c>
      <c r="F213" s="57" t="s">
        <v>254</v>
      </c>
      <c r="G213" s="57" t="s">
        <v>19</v>
      </c>
      <c r="H213" s="57" t="s">
        <v>133</v>
      </c>
      <c r="I213" s="57" t="str">
        <f t="shared" si="6"/>
        <v>B2-P1-C3</v>
      </c>
      <c r="J213" s="57" t="str">
        <f t="shared" si="7"/>
        <v>Fagus-B2-P1-C3-B2</v>
      </c>
      <c r="K213" s="57" t="s">
        <v>64</v>
      </c>
      <c r="L213" s="57" t="s">
        <v>44</v>
      </c>
      <c r="M213" s="57" t="s">
        <v>169</v>
      </c>
      <c r="N213" s="37">
        <v>212</v>
      </c>
      <c r="O213" s="57">
        <v>8.5</v>
      </c>
      <c r="P213" s="57">
        <v>82.3</v>
      </c>
      <c r="Q213" s="57">
        <v>8.8800000000000008</v>
      </c>
      <c r="R213" s="57">
        <v>105</v>
      </c>
      <c r="S213" s="57">
        <v>9.8699999999999992</v>
      </c>
      <c r="T213" s="57">
        <v>107.5</v>
      </c>
      <c r="U213" s="57">
        <v>9.5500000000000007</v>
      </c>
      <c r="V213" s="57">
        <v>107</v>
      </c>
      <c r="W213" s="57">
        <v>9.6</v>
      </c>
      <c r="X213" s="57">
        <v>109</v>
      </c>
      <c r="Y213" s="57">
        <v>9.31</v>
      </c>
      <c r="Z213" s="57">
        <v>107</v>
      </c>
      <c r="AA213" s="57">
        <v>9.77</v>
      </c>
      <c r="AB213" s="57">
        <v>107</v>
      </c>
      <c r="AC213" s="57"/>
      <c r="AD213" s="57">
        <v>108</v>
      </c>
    </row>
    <row r="214" spans="1:30" s="38" customFormat="1" x14ac:dyDescent="0.2">
      <c r="A214" s="57" t="s">
        <v>234</v>
      </c>
      <c r="B214" s="57" t="s">
        <v>15</v>
      </c>
      <c r="C214" s="57" t="s">
        <v>42</v>
      </c>
      <c r="D214" s="57" t="s">
        <v>17</v>
      </c>
      <c r="E214" s="57">
        <v>3</v>
      </c>
      <c r="F214" s="57" t="s">
        <v>255</v>
      </c>
      <c r="G214" s="57" t="s">
        <v>19</v>
      </c>
      <c r="H214" s="57" t="s">
        <v>133</v>
      </c>
      <c r="I214" s="57" t="str">
        <f t="shared" si="6"/>
        <v>B2-P1-C3</v>
      </c>
      <c r="J214" s="57" t="str">
        <f t="shared" si="7"/>
        <v>Fagus-B2-P1-C3-A3</v>
      </c>
      <c r="K214" s="57" t="s">
        <v>64</v>
      </c>
      <c r="L214" s="57" t="s">
        <v>44</v>
      </c>
      <c r="M214" s="57" t="s">
        <v>169</v>
      </c>
      <c r="N214" s="37">
        <v>213</v>
      </c>
      <c r="O214" s="57">
        <v>11</v>
      </c>
      <c r="P214" s="57">
        <v>95.5</v>
      </c>
      <c r="Q214" s="57">
        <v>11.4</v>
      </c>
      <c r="R214" s="57">
        <v>101</v>
      </c>
      <c r="S214" s="57">
        <v>11.48</v>
      </c>
      <c r="T214" s="57">
        <v>102.5</v>
      </c>
      <c r="U214" s="57">
        <v>11.88</v>
      </c>
      <c r="V214" s="57">
        <v>102</v>
      </c>
      <c r="W214" s="57">
        <v>11.78</v>
      </c>
      <c r="X214" s="57">
        <v>99</v>
      </c>
      <c r="Y214" s="57">
        <v>12.41</v>
      </c>
      <c r="Z214" s="57">
        <v>100</v>
      </c>
      <c r="AA214" s="57">
        <v>12.35</v>
      </c>
      <c r="AB214" s="57">
        <v>101</v>
      </c>
      <c r="AC214" s="57"/>
      <c r="AD214" s="57">
        <v>101</v>
      </c>
    </row>
    <row r="215" spans="1:30" s="38" customFormat="1" x14ac:dyDescent="0.2">
      <c r="A215" s="57" t="s">
        <v>234</v>
      </c>
      <c r="B215" s="57" t="s">
        <v>15</v>
      </c>
      <c r="C215" s="57" t="s">
        <v>42</v>
      </c>
      <c r="D215" s="57" t="s">
        <v>24</v>
      </c>
      <c r="E215" s="57">
        <v>3</v>
      </c>
      <c r="F215" s="57" t="s">
        <v>256</v>
      </c>
      <c r="G215" s="57" t="s">
        <v>35</v>
      </c>
      <c r="H215" s="57" t="s">
        <v>133</v>
      </c>
      <c r="I215" s="57" t="str">
        <f t="shared" si="6"/>
        <v>B2-P1-C3</v>
      </c>
      <c r="J215" s="57" t="str">
        <f t="shared" si="7"/>
        <v>Quercus-B2-P1-C3-B3</v>
      </c>
      <c r="K215" s="57" t="s">
        <v>64</v>
      </c>
      <c r="L215" s="57" t="s">
        <v>44</v>
      </c>
      <c r="M215" s="57" t="s">
        <v>169</v>
      </c>
      <c r="N215" s="37">
        <v>214</v>
      </c>
      <c r="O215" s="57">
        <v>6.7</v>
      </c>
      <c r="P215" s="57">
        <v>48</v>
      </c>
      <c r="Q215" s="57">
        <v>8.3000000000000007</v>
      </c>
      <c r="R215" s="57">
        <v>60.5</v>
      </c>
      <c r="S215" s="57">
        <v>8.3000000000000007</v>
      </c>
      <c r="T215" s="57">
        <v>71</v>
      </c>
      <c r="U215" s="57">
        <v>8.68</v>
      </c>
      <c r="V215" s="57">
        <v>71.5</v>
      </c>
      <c r="W215" s="57">
        <v>8.93</v>
      </c>
      <c r="X215" s="57">
        <v>79</v>
      </c>
      <c r="Y215" s="57">
        <v>9.59</v>
      </c>
      <c r="Z215" s="57">
        <v>85</v>
      </c>
      <c r="AA215" s="57">
        <v>11.45</v>
      </c>
      <c r="AB215" s="57">
        <v>87</v>
      </c>
      <c r="AC215" s="57"/>
      <c r="AD215" s="57">
        <v>87</v>
      </c>
    </row>
    <row r="216" spans="1:30" s="38" customFormat="1" x14ac:dyDescent="0.2">
      <c r="A216" s="57" t="s">
        <v>234</v>
      </c>
      <c r="B216" s="57" t="s">
        <v>15</v>
      </c>
      <c r="C216" s="57" t="s">
        <v>42</v>
      </c>
      <c r="D216" s="57" t="s">
        <v>17</v>
      </c>
      <c r="E216" s="57">
        <v>4</v>
      </c>
      <c r="F216" s="57" t="s">
        <v>257</v>
      </c>
      <c r="G216" s="57" t="s">
        <v>35</v>
      </c>
      <c r="H216" s="57" t="s">
        <v>133</v>
      </c>
      <c r="I216" s="57" t="str">
        <f t="shared" si="6"/>
        <v>B2-P1-C3</v>
      </c>
      <c r="J216" s="57" t="str">
        <f t="shared" si="7"/>
        <v>Quercus-B2-P1-C3-A4</v>
      </c>
      <c r="K216" s="57" t="s">
        <v>64</v>
      </c>
      <c r="L216" s="57" t="s">
        <v>44</v>
      </c>
      <c r="M216" s="57" t="s">
        <v>169</v>
      </c>
      <c r="N216" s="37">
        <v>215</v>
      </c>
      <c r="O216" s="57">
        <v>4.5</v>
      </c>
      <c r="P216" s="57">
        <v>32</v>
      </c>
      <c r="Q216" s="57">
        <v>5.22</v>
      </c>
      <c r="R216" s="57">
        <v>45</v>
      </c>
      <c r="S216" s="57">
        <v>5.79</v>
      </c>
      <c r="T216" s="57">
        <v>45.5</v>
      </c>
      <c r="U216" s="57">
        <v>5.78</v>
      </c>
      <c r="V216" s="57">
        <v>61</v>
      </c>
      <c r="W216" s="57">
        <v>6.55</v>
      </c>
      <c r="X216" s="57">
        <v>59</v>
      </c>
      <c r="Y216" s="57">
        <v>6.33</v>
      </c>
      <c r="Z216" s="57">
        <v>61</v>
      </c>
      <c r="AA216" s="57">
        <v>7.23</v>
      </c>
      <c r="AB216" s="57">
        <v>62</v>
      </c>
      <c r="AC216" s="57"/>
      <c r="AD216" s="57">
        <v>61</v>
      </c>
    </row>
    <row r="217" spans="1:30" s="38" customFormat="1" x14ac:dyDescent="0.2">
      <c r="A217" s="57" t="s">
        <v>234</v>
      </c>
      <c r="B217" s="57" t="s">
        <v>15</v>
      </c>
      <c r="C217" s="57" t="s">
        <v>42</v>
      </c>
      <c r="D217" s="57" t="s">
        <v>24</v>
      </c>
      <c r="E217" s="57">
        <v>4</v>
      </c>
      <c r="F217" s="57" t="s">
        <v>258</v>
      </c>
      <c r="G217" s="57" t="s">
        <v>19</v>
      </c>
      <c r="H217" s="57" t="s">
        <v>133</v>
      </c>
      <c r="I217" s="57" t="str">
        <f t="shared" si="6"/>
        <v>B2-P1-C3</v>
      </c>
      <c r="J217" s="57" t="str">
        <f t="shared" si="7"/>
        <v>Fagus-B2-P1-C3-B4</v>
      </c>
      <c r="K217" s="57" t="s">
        <v>64</v>
      </c>
      <c r="L217" s="57" t="s">
        <v>44</v>
      </c>
      <c r="M217" s="57" t="s">
        <v>169</v>
      </c>
      <c r="N217" s="37">
        <v>216</v>
      </c>
      <c r="O217" s="57">
        <v>10</v>
      </c>
      <c r="P217" s="57">
        <v>75</v>
      </c>
      <c r="Q217" s="57">
        <v>10.119999999999999</v>
      </c>
      <c r="R217" s="57">
        <v>102</v>
      </c>
      <c r="S217" s="57">
        <v>11.94</v>
      </c>
      <c r="T217" s="57">
        <v>102</v>
      </c>
      <c r="U217" s="57">
        <v>11.65</v>
      </c>
      <c r="V217" s="57">
        <v>102</v>
      </c>
      <c r="W217" s="57">
        <v>12</v>
      </c>
      <c r="X217" s="57">
        <v>102.5</v>
      </c>
      <c r="Y217" s="57">
        <v>11.68</v>
      </c>
      <c r="Z217" s="57">
        <v>99</v>
      </c>
      <c r="AA217" s="57">
        <v>12.18</v>
      </c>
      <c r="AB217" s="57">
        <v>99</v>
      </c>
      <c r="AC217" s="57"/>
      <c r="AD217" s="57">
        <v>101</v>
      </c>
    </row>
    <row r="218" spans="1:30" x14ac:dyDescent="0.2">
      <c r="A218" s="60" t="s">
        <v>234</v>
      </c>
      <c r="B218" s="60" t="s">
        <v>15</v>
      </c>
      <c r="C218" s="60" t="s">
        <v>53</v>
      </c>
      <c r="D218" s="60" t="s">
        <v>17</v>
      </c>
      <c r="E218" s="60">
        <v>1</v>
      </c>
      <c r="F218" s="60" t="s">
        <v>259</v>
      </c>
      <c r="G218" s="60" t="s">
        <v>19</v>
      </c>
      <c r="H218" s="60" t="s">
        <v>133</v>
      </c>
      <c r="I218" s="60" t="str">
        <f t="shared" si="6"/>
        <v>B2-P1-C4</v>
      </c>
      <c r="J218" s="60" t="str">
        <f t="shared" si="7"/>
        <v>Fagus-B2-P1-C4-A1</v>
      </c>
      <c r="K218" s="60" t="s">
        <v>64</v>
      </c>
      <c r="L218" s="60" t="s">
        <v>22</v>
      </c>
      <c r="M218" s="60" t="s">
        <v>202</v>
      </c>
      <c r="N218" s="15">
        <v>217</v>
      </c>
      <c r="O218" s="60">
        <v>10.6</v>
      </c>
      <c r="P218" s="60">
        <v>75.599999999999994</v>
      </c>
      <c r="Q218" s="60">
        <v>11.68</v>
      </c>
      <c r="R218" s="60">
        <v>85</v>
      </c>
      <c r="S218" s="3">
        <v>14.03</v>
      </c>
      <c r="T218" s="3">
        <v>87</v>
      </c>
      <c r="U218" s="3">
        <v>15.5</v>
      </c>
      <c r="V218" s="3">
        <v>105</v>
      </c>
      <c r="W218" s="3">
        <v>16.63</v>
      </c>
      <c r="X218" s="3">
        <v>107</v>
      </c>
      <c r="Y218" s="3">
        <v>16.579999999999998</v>
      </c>
      <c r="Z218" s="3">
        <v>113</v>
      </c>
      <c r="AA218" s="3">
        <v>17.02</v>
      </c>
      <c r="AB218" s="3">
        <v>118</v>
      </c>
      <c r="AC218" s="3"/>
      <c r="AD218" s="3">
        <v>117</v>
      </c>
    </row>
    <row r="219" spans="1:30" x14ac:dyDescent="0.2">
      <c r="A219" s="60" t="s">
        <v>234</v>
      </c>
      <c r="B219" s="60" t="s">
        <v>15</v>
      </c>
      <c r="C219" s="60" t="s">
        <v>53</v>
      </c>
      <c r="D219" s="60" t="s">
        <v>24</v>
      </c>
      <c r="E219" s="60">
        <v>1</v>
      </c>
      <c r="F219" s="60" t="s">
        <v>260</v>
      </c>
      <c r="G219" s="60" t="s">
        <v>35</v>
      </c>
      <c r="H219" s="60" t="s">
        <v>133</v>
      </c>
      <c r="I219" s="60" t="str">
        <f t="shared" si="6"/>
        <v>B2-P1-C4</v>
      </c>
      <c r="J219" s="60" t="str">
        <f t="shared" si="7"/>
        <v>Quercus-B2-P1-C4-B1</v>
      </c>
      <c r="K219" s="60" t="s">
        <v>64</v>
      </c>
      <c r="L219" s="60" t="s">
        <v>22</v>
      </c>
      <c r="M219" s="60" t="s">
        <v>202</v>
      </c>
      <c r="N219" s="15">
        <v>218</v>
      </c>
      <c r="O219" s="60">
        <v>4.7</v>
      </c>
      <c r="P219" s="60">
        <v>31</v>
      </c>
      <c r="Q219" s="60">
        <v>5.63</v>
      </c>
      <c r="R219" s="60">
        <v>39.5</v>
      </c>
      <c r="S219" s="3">
        <v>7.01</v>
      </c>
      <c r="T219" s="3">
        <v>43.5</v>
      </c>
      <c r="U219" s="3">
        <v>6.94</v>
      </c>
      <c r="V219" s="3">
        <v>52</v>
      </c>
      <c r="W219" s="3">
        <v>7.47</v>
      </c>
      <c r="X219" s="3">
        <v>52.5</v>
      </c>
      <c r="Y219" s="3">
        <v>8.49</v>
      </c>
      <c r="Z219" s="3">
        <v>58</v>
      </c>
      <c r="AA219" s="3">
        <v>9.64</v>
      </c>
      <c r="AB219" s="3">
        <v>58</v>
      </c>
      <c r="AC219" s="3"/>
      <c r="AD219" s="3">
        <v>58</v>
      </c>
    </row>
    <row r="220" spans="1:30" x14ac:dyDescent="0.2">
      <c r="A220" s="60" t="s">
        <v>234</v>
      </c>
      <c r="B220" s="60" t="s">
        <v>15</v>
      </c>
      <c r="C220" s="60" t="s">
        <v>53</v>
      </c>
      <c r="D220" s="60" t="s">
        <v>17</v>
      </c>
      <c r="E220" s="60">
        <v>2</v>
      </c>
      <c r="F220" s="60" t="s">
        <v>261</v>
      </c>
      <c r="G220" s="60" t="s">
        <v>35</v>
      </c>
      <c r="H220" s="60" t="s">
        <v>133</v>
      </c>
      <c r="I220" s="60" t="str">
        <f t="shared" si="6"/>
        <v>B2-P1-C4</v>
      </c>
      <c r="J220" s="60" t="str">
        <f t="shared" si="7"/>
        <v>Quercus-B2-P1-C4-A2</v>
      </c>
      <c r="K220" s="60" t="s">
        <v>64</v>
      </c>
      <c r="L220" s="60" t="s">
        <v>22</v>
      </c>
      <c r="M220" s="60" t="s">
        <v>202</v>
      </c>
      <c r="N220" s="15">
        <v>219</v>
      </c>
      <c r="O220" s="60">
        <v>5.8</v>
      </c>
      <c r="P220" s="60">
        <v>42.2</v>
      </c>
      <c r="Q220" s="60">
        <v>7.16</v>
      </c>
      <c r="R220" s="60">
        <v>43</v>
      </c>
      <c r="S220" s="3">
        <v>7.32</v>
      </c>
      <c r="T220" s="3">
        <v>47</v>
      </c>
      <c r="U220" s="3">
        <v>7.7</v>
      </c>
      <c r="V220" s="3">
        <v>52</v>
      </c>
      <c r="W220" s="3">
        <v>8.2799999999999994</v>
      </c>
      <c r="X220" s="3">
        <v>53</v>
      </c>
      <c r="Y220" s="3">
        <v>8.86</v>
      </c>
      <c r="Z220" s="3">
        <v>56</v>
      </c>
      <c r="AA220" s="3">
        <v>9.41</v>
      </c>
      <c r="AB220" s="3">
        <v>61</v>
      </c>
      <c r="AC220" s="3"/>
      <c r="AD220" s="3">
        <v>59</v>
      </c>
    </row>
    <row r="221" spans="1:30" x14ac:dyDescent="0.2">
      <c r="A221" s="60" t="s">
        <v>234</v>
      </c>
      <c r="B221" s="60" t="s">
        <v>15</v>
      </c>
      <c r="C221" s="60" t="s">
        <v>53</v>
      </c>
      <c r="D221" s="60" t="s">
        <v>24</v>
      </c>
      <c r="E221" s="60">
        <v>2</v>
      </c>
      <c r="F221" s="60" t="s">
        <v>262</v>
      </c>
      <c r="G221" s="60" t="s">
        <v>19</v>
      </c>
      <c r="H221" s="60" t="s">
        <v>133</v>
      </c>
      <c r="I221" s="60" t="str">
        <f t="shared" si="6"/>
        <v>B2-P1-C4</v>
      </c>
      <c r="J221" s="60" t="str">
        <f t="shared" si="7"/>
        <v>Fagus-B2-P1-C4-B2</v>
      </c>
      <c r="K221" s="60" t="s">
        <v>64</v>
      </c>
      <c r="L221" s="60" t="s">
        <v>22</v>
      </c>
      <c r="M221" s="60" t="s">
        <v>202</v>
      </c>
      <c r="N221" s="15">
        <v>220</v>
      </c>
      <c r="O221" s="60">
        <v>11.1</v>
      </c>
      <c r="P221" s="60">
        <v>79.7</v>
      </c>
      <c r="Q221" s="60">
        <v>11.23</v>
      </c>
      <c r="R221" s="60">
        <v>105</v>
      </c>
      <c r="S221" s="3">
        <v>12.6</v>
      </c>
      <c r="T221" s="3">
        <v>112.5</v>
      </c>
      <c r="U221" s="3">
        <v>13.48</v>
      </c>
      <c r="V221" s="3">
        <v>131</v>
      </c>
      <c r="W221" s="3">
        <v>14.74</v>
      </c>
      <c r="X221" s="3">
        <v>139</v>
      </c>
      <c r="Y221" s="3">
        <v>15.85</v>
      </c>
      <c r="Z221" s="3">
        <v>137</v>
      </c>
      <c r="AA221" s="3">
        <v>15.83</v>
      </c>
      <c r="AB221" s="3">
        <v>139</v>
      </c>
      <c r="AC221" s="3"/>
      <c r="AD221" s="3">
        <v>138</v>
      </c>
    </row>
    <row r="222" spans="1:30" x14ac:dyDescent="0.2">
      <c r="A222" s="60" t="s">
        <v>234</v>
      </c>
      <c r="B222" s="60" t="s">
        <v>15</v>
      </c>
      <c r="C222" s="60" t="s">
        <v>53</v>
      </c>
      <c r="D222" s="60" t="s">
        <v>17</v>
      </c>
      <c r="E222" s="60">
        <v>3</v>
      </c>
      <c r="F222" s="60" t="s">
        <v>263</v>
      </c>
      <c r="G222" s="60" t="s">
        <v>19</v>
      </c>
      <c r="H222" s="60" t="s">
        <v>133</v>
      </c>
      <c r="I222" s="60" t="str">
        <f t="shared" si="6"/>
        <v>B2-P1-C4</v>
      </c>
      <c r="J222" s="60" t="str">
        <f t="shared" si="7"/>
        <v>Fagus-B2-P1-C4-A3</v>
      </c>
      <c r="K222" s="60" t="s">
        <v>64</v>
      </c>
      <c r="L222" s="60" t="s">
        <v>22</v>
      </c>
      <c r="M222" s="60" t="s">
        <v>202</v>
      </c>
      <c r="N222" s="15">
        <v>221</v>
      </c>
      <c r="O222" s="60">
        <v>9.3000000000000007</v>
      </c>
      <c r="P222" s="60">
        <v>90.6</v>
      </c>
      <c r="Q222" s="60">
        <v>9.25</v>
      </c>
      <c r="R222" s="60">
        <v>114</v>
      </c>
      <c r="S222" s="3">
        <v>10.85</v>
      </c>
      <c r="T222" s="3">
        <v>114</v>
      </c>
      <c r="U222" s="3">
        <v>12</v>
      </c>
      <c r="V222" s="3">
        <v>136</v>
      </c>
      <c r="W222" s="3">
        <v>13.24</v>
      </c>
      <c r="X222" s="3">
        <v>143</v>
      </c>
      <c r="Y222" s="3">
        <v>13.64</v>
      </c>
      <c r="Z222" s="3">
        <v>141</v>
      </c>
      <c r="AA222" s="3">
        <v>13.89</v>
      </c>
      <c r="AB222" s="3">
        <v>143</v>
      </c>
      <c r="AC222" s="3"/>
      <c r="AD222" s="3">
        <v>143</v>
      </c>
    </row>
    <row r="223" spans="1:30" x14ac:dyDescent="0.2">
      <c r="A223" s="60" t="s">
        <v>234</v>
      </c>
      <c r="B223" s="60" t="s">
        <v>15</v>
      </c>
      <c r="C223" s="60" t="s">
        <v>53</v>
      </c>
      <c r="D223" s="60" t="s">
        <v>24</v>
      </c>
      <c r="E223" s="60">
        <v>3</v>
      </c>
      <c r="F223" s="60" t="s">
        <v>264</v>
      </c>
      <c r="G223" s="60" t="s">
        <v>35</v>
      </c>
      <c r="H223" s="60" t="s">
        <v>133</v>
      </c>
      <c r="I223" s="60" t="str">
        <f t="shared" si="6"/>
        <v>B2-P1-C4</v>
      </c>
      <c r="J223" s="60" t="str">
        <f t="shared" si="7"/>
        <v>Quercus-B2-P1-C4-B3</v>
      </c>
      <c r="K223" s="60" t="s">
        <v>64</v>
      </c>
      <c r="L223" s="60" t="s">
        <v>22</v>
      </c>
      <c r="M223" s="60" t="s">
        <v>202</v>
      </c>
      <c r="N223" s="15">
        <v>222</v>
      </c>
      <c r="O223" s="60">
        <v>5.9</v>
      </c>
      <c r="P223" s="60">
        <v>54.4</v>
      </c>
      <c r="Q223" s="60">
        <v>7.33</v>
      </c>
      <c r="R223" s="60">
        <v>66</v>
      </c>
      <c r="S223" s="3">
        <v>8.08</v>
      </c>
      <c r="T223" s="3">
        <v>70</v>
      </c>
      <c r="U223" s="3">
        <v>9.92</v>
      </c>
      <c r="V223" s="3">
        <v>89.5</v>
      </c>
      <c r="W223" s="3">
        <v>10.74</v>
      </c>
      <c r="X223" s="3">
        <v>91</v>
      </c>
      <c r="Y223" s="3">
        <v>11.24</v>
      </c>
      <c r="Z223" s="3">
        <v>95</v>
      </c>
      <c r="AA223" s="3">
        <v>13.53</v>
      </c>
      <c r="AB223" s="3">
        <v>95</v>
      </c>
      <c r="AC223" s="3"/>
      <c r="AD223" s="3">
        <v>95</v>
      </c>
    </row>
    <row r="224" spans="1:30" x14ac:dyDescent="0.2">
      <c r="A224" s="60" t="s">
        <v>234</v>
      </c>
      <c r="B224" s="60" t="s">
        <v>15</v>
      </c>
      <c r="C224" s="60" t="s">
        <v>53</v>
      </c>
      <c r="D224" s="60" t="s">
        <v>17</v>
      </c>
      <c r="E224" s="60">
        <v>4</v>
      </c>
      <c r="F224" s="60" t="s">
        <v>265</v>
      </c>
      <c r="G224" s="60" t="s">
        <v>35</v>
      </c>
      <c r="H224" s="60" t="s">
        <v>133</v>
      </c>
      <c r="I224" s="60" t="str">
        <f t="shared" si="6"/>
        <v>B2-P1-C4</v>
      </c>
      <c r="J224" s="60" t="str">
        <f t="shared" si="7"/>
        <v>Quercus-B2-P1-C4-A4</v>
      </c>
      <c r="K224" s="60" t="s">
        <v>64</v>
      </c>
      <c r="L224" s="60" t="s">
        <v>22</v>
      </c>
      <c r="M224" s="60" t="s">
        <v>202</v>
      </c>
      <c r="N224" s="15">
        <v>223</v>
      </c>
      <c r="O224" s="60">
        <v>5.0999999999999996</v>
      </c>
      <c r="P224" s="60">
        <v>37.200000000000003</v>
      </c>
      <c r="Q224" s="60">
        <v>6</v>
      </c>
      <c r="R224" s="60">
        <v>54</v>
      </c>
      <c r="S224" s="3">
        <v>6.65</v>
      </c>
      <c r="T224" s="3">
        <v>57.5</v>
      </c>
      <c r="U224" s="3">
        <v>8.65</v>
      </c>
      <c r="V224" s="3">
        <v>77</v>
      </c>
      <c r="W224" s="3">
        <v>9.32</v>
      </c>
      <c r="X224" s="3">
        <v>77</v>
      </c>
      <c r="Y224" s="3">
        <v>9.6199999999999992</v>
      </c>
      <c r="Z224" s="3">
        <v>79</v>
      </c>
      <c r="AA224" s="3">
        <v>11.1</v>
      </c>
      <c r="AB224" s="3">
        <v>82</v>
      </c>
      <c r="AC224" s="3"/>
      <c r="AD224" s="3">
        <v>82</v>
      </c>
    </row>
    <row r="225" spans="1:30" x14ac:dyDescent="0.2">
      <c r="A225" s="60" t="s">
        <v>234</v>
      </c>
      <c r="B225" s="60" t="s">
        <v>15</v>
      </c>
      <c r="C225" s="60" t="s">
        <v>53</v>
      </c>
      <c r="D225" s="60" t="s">
        <v>24</v>
      </c>
      <c r="E225" s="60">
        <v>4</v>
      </c>
      <c r="F225" s="60" t="s">
        <v>266</v>
      </c>
      <c r="G225" s="60" t="s">
        <v>19</v>
      </c>
      <c r="H225" s="60" t="s">
        <v>133</v>
      </c>
      <c r="I225" s="60" t="str">
        <f t="shared" si="6"/>
        <v>B2-P1-C4</v>
      </c>
      <c r="J225" s="60" t="str">
        <f t="shared" si="7"/>
        <v>Fagus-B2-P1-C4-B4</v>
      </c>
      <c r="K225" s="60" t="s">
        <v>64</v>
      </c>
      <c r="L225" s="60" t="s">
        <v>22</v>
      </c>
      <c r="M225" s="60" t="s">
        <v>202</v>
      </c>
      <c r="N225" s="15">
        <v>224</v>
      </c>
      <c r="O225" s="60">
        <v>9.1</v>
      </c>
      <c r="P225" s="60">
        <v>81.3</v>
      </c>
      <c r="Q225" s="60">
        <v>9.16</v>
      </c>
      <c r="R225" s="60">
        <v>102</v>
      </c>
      <c r="S225" s="3">
        <v>11.6</v>
      </c>
      <c r="T225" s="3">
        <v>102</v>
      </c>
      <c r="U225" s="3">
        <v>13.78</v>
      </c>
      <c r="V225" s="3">
        <v>117</v>
      </c>
      <c r="W225" s="3">
        <v>15.01</v>
      </c>
      <c r="X225" s="3">
        <v>127</v>
      </c>
      <c r="Y225" s="3">
        <v>15.43</v>
      </c>
      <c r="Z225" s="3">
        <v>126</v>
      </c>
      <c r="AA225" s="3">
        <v>15.51</v>
      </c>
      <c r="AB225" s="3">
        <v>128</v>
      </c>
      <c r="AC225" s="3"/>
      <c r="AD225" s="3">
        <v>128</v>
      </c>
    </row>
    <row r="226" spans="1:30" s="38" customFormat="1" x14ac:dyDescent="0.2">
      <c r="A226" s="57" t="s">
        <v>234</v>
      </c>
      <c r="B226" s="57" t="s">
        <v>62</v>
      </c>
      <c r="C226" s="57" t="s">
        <v>16</v>
      </c>
      <c r="D226" s="57" t="s">
        <v>17</v>
      </c>
      <c r="E226" s="57">
        <v>1</v>
      </c>
      <c r="F226" s="57" t="s">
        <v>267</v>
      </c>
      <c r="G226" s="57" t="s">
        <v>19</v>
      </c>
      <c r="H226" s="57" t="s">
        <v>133</v>
      </c>
      <c r="I226" s="57" t="str">
        <f t="shared" si="6"/>
        <v>B2-P2-C1</v>
      </c>
      <c r="J226" s="57" t="str">
        <f t="shared" si="7"/>
        <v>Fagus-B2-P2-C1-A1</v>
      </c>
      <c r="K226" s="57" t="s">
        <v>21</v>
      </c>
      <c r="L226" s="57" t="s">
        <v>44</v>
      </c>
      <c r="M226" s="57" t="s">
        <v>143</v>
      </c>
      <c r="N226" s="37">
        <v>225</v>
      </c>
      <c r="O226" s="57">
        <v>7.5</v>
      </c>
      <c r="P226" s="57">
        <v>41.5</v>
      </c>
      <c r="Q226" s="57">
        <v>7.61</v>
      </c>
      <c r="R226" s="57">
        <v>49.5</v>
      </c>
      <c r="S226" s="57">
        <v>8.99</v>
      </c>
      <c r="T226" s="57">
        <v>52</v>
      </c>
      <c r="U226" s="57">
        <v>9.15</v>
      </c>
      <c r="V226" s="57">
        <v>53</v>
      </c>
      <c r="W226" s="57">
        <v>9.64</v>
      </c>
      <c r="X226" s="57">
        <v>53</v>
      </c>
      <c r="Y226" s="57">
        <v>9.76</v>
      </c>
      <c r="Z226" s="57">
        <v>51</v>
      </c>
      <c r="AA226" s="57">
        <v>10.36</v>
      </c>
      <c r="AB226" s="57">
        <v>53</v>
      </c>
      <c r="AC226" s="57"/>
      <c r="AD226" s="57">
        <v>52</v>
      </c>
    </row>
    <row r="227" spans="1:30" s="38" customFormat="1" x14ac:dyDescent="0.2">
      <c r="A227" s="57" t="s">
        <v>234</v>
      </c>
      <c r="B227" s="57" t="s">
        <v>62</v>
      </c>
      <c r="C227" s="57" t="s">
        <v>16</v>
      </c>
      <c r="D227" s="57" t="s">
        <v>24</v>
      </c>
      <c r="E227" s="57">
        <v>1</v>
      </c>
      <c r="F227" s="57" t="s">
        <v>268</v>
      </c>
      <c r="G227" s="57" t="s">
        <v>19</v>
      </c>
      <c r="H227" s="57" t="s">
        <v>133</v>
      </c>
      <c r="I227" s="57" t="str">
        <f t="shared" si="6"/>
        <v>B2-P2-C1</v>
      </c>
      <c r="J227" s="57" t="str">
        <f t="shared" si="7"/>
        <v>Fagus-B2-P2-C1-B1</v>
      </c>
      <c r="K227" s="57" t="s">
        <v>21</v>
      </c>
      <c r="L227" s="57" t="s">
        <v>44</v>
      </c>
      <c r="M227" s="57" t="s">
        <v>143</v>
      </c>
      <c r="N227" s="37">
        <v>226</v>
      </c>
      <c r="O227" s="57">
        <v>11.3</v>
      </c>
      <c r="P227" s="57">
        <v>106.5</v>
      </c>
      <c r="Q227" s="57">
        <v>11.33</v>
      </c>
      <c r="R227" s="57">
        <v>135</v>
      </c>
      <c r="S227" s="57">
        <v>12.98</v>
      </c>
      <c r="T227" s="57">
        <v>145</v>
      </c>
      <c r="U227" s="57">
        <v>13.18</v>
      </c>
      <c r="V227" s="57">
        <v>146</v>
      </c>
      <c r="W227" s="57">
        <v>13.45</v>
      </c>
      <c r="X227" s="57">
        <v>147</v>
      </c>
      <c r="Y227" s="57">
        <v>13.48</v>
      </c>
      <c r="Z227" s="57">
        <v>146</v>
      </c>
      <c r="AA227" s="57">
        <v>13.57</v>
      </c>
      <c r="AB227" s="57">
        <v>146</v>
      </c>
      <c r="AC227" s="57"/>
      <c r="AD227" s="57">
        <v>146</v>
      </c>
    </row>
    <row r="228" spans="1:30" s="38" customFormat="1" x14ac:dyDescent="0.2">
      <c r="A228" s="57" t="s">
        <v>234</v>
      </c>
      <c r="B228" s="57" t="s">
        <v>62</v>
      </c>
      <c r="C228" s="57" t="s">
        <v>16</v>
      </c>
      <c r="D228" s="57" t="s">
        <v>17</v>
      </c>
      <c r="E228" s="57">
        <v>2</v>
      </c>
      <c r="F228" s="57" t="s">
        <v>269</v>
      </c>
      <c r="G228" s="57" t="s">
        <v>19</v>
      </c>
      <c r="H228" s="57" t="s">
        <v>133</v>
      </c>
      <c r="I228" s="57" t="str">
        <f t="shared" si="6"/>
        <v>B2-P2-C1</v>
      </c>
      <c r="J228" s="57" t="str">
        <f t="shared" si="7"/>
        <v>Fagus-B2-P2-C1-A2</v>
      </c>
      <c r="K228" s="57" t="s">
        <v>21</v>
      </c>
      <c r="L228" s="57" t="s">
        <v>44</v>
      </c>
      <c r="M228" s="57" t="s">
        <v>143</v>
      </c>
      <c r="N228" s="37">
        <v>227</v>
      </c>
      <c r="O228" s="57">
        <v>9.4</v>
      </c>
      <c r="P228" s="57">
        <v>85.2</v>
      </c>
      <c r="Q228" s="57">
        <v>10.1</v>
      </c>
      <c r="R228" s="57">
        <v>99</v>
      </c>
      <c r="S228" s="57">
        <v>11.29</v>
      </c>
      <c r="T228" s="57">
        <v>99</v>
      </c>
      <c r="U228" s="57">
        <v>11.32</v>
      </c>
      <c r="V228" s="57">
        <v>98.5</v>
      </c>
      <c r="W228" s="57">
        <v>11.56</v>
      </c>
      <c r="X228" s="57">
        <v>98</v>
      </c>
      <c r="Y228" s="57">
        <v>12.01</v>
      </c>
      <c r="Z228" s="57">
        <v>98</v>
      </c>
      <c r="AA228" s="57">
        <v>12.22</v>
      </c>
      <c r="AB228" s="57">
        <v>99</v>
      </c>
      <c r="AC228" s="57"/>
      <c r="AD228" s="57">
        <v>98</v>
      </c>
    </row>
    <row r="229" spans="1:30" s="38" customFormat="1" x14ac:dyDescent="0.2">
      <c r="A229" s="57" t="s">
        <v>234</v>
      </c>
      <c r="B229" s="57" t="s">
        <v>62</v>
      </c>
      <c r="C229" s="57" t="s">
        <v>16</v>
      </c>
      <c r="D229" s="57" t="s">
        <v>24</v>
      </c>
      <c r="E229" s="57">
        <v>2</v>
      </c>
      <c r="F229" s="57" t="s">
        <v>270</v>
      </c>
      <c r="G229" s="57" t="s">
        <v>19</v>
      </c>
      <c r="H229" s="57" t="s">
        <v>133</v>
      </c>
      <c r="I229" s="57" t="str">
        <f t="shared" si="6"/>
        <v>B2-P2-C1</v>
      </c>
      <c r="J229" s="57" t="str">
        <f t="shared" si="7"/>
        <v>Fagus-B2-P2-C1-B2</v>
      </c>
      <c r="K229" s="57" t="s">
        <v>21</v>
      </c>
      <c r="L229" s="57" t="s">
        <v>44</v>
      </c>
      <c r="M229" s="57" t="s">
        <v>143</v>
      </c>
      <c r="N229" s="37">
        <v>228</v>
      </c>
      <c r="O229" s="57">
        <v>8.9</v>
      </c>
      <c r="P229" s="57">
        <v>86</v>
      </c>
      <c r="Q229" s="57">
        <v>9</v>
      </c>
      <c r="R229" s="57">
        <v>109</v>
      </c>
      <c r="S229" s="57">
        <v>10.199999999999999</v>
      </c>
      <c r="T229" s="57">
        <v>128</v>
      </c>
      <c r="U229" s="57">
        <v>10.210000000000001</v>
      </c>
      <c r="V229" s="57">
        <v>128</v>
      </c>
      <c r="W229" s="57">
        <v>10.56</v>
      </c>
      <c r="X229" s="57">
        <v>128</v>
      </c>
      <c r="Y229" s="57">
        <v>10.51</v>
      </c>
      <c r="Z229" s="57">
        <v>127</v>
      </c>
      <c r="AA229" s="57">
        <v>10.77</v>
      </c>
      <c r="AB229" s="57">
        <v>129</v>
      </c>
      <c r="AC229" s="57"/>
      <c r="AD229" s="57">
        <v>128</v>
      </c>
    </row>
    <row r="230" spans="1:30" s="38" customFormat="1" x14ac:dyDescent="0.2">
      <c r="A230" s="57" t="s">
        <v>234</v>
      </c>
      <c r="B230" s="57" t="s">
        <v>62</v>
      </c>
      <c r="C230" s="57" t="s">
        <v>16</v>
      </c>
      <c r="D230" s="57" t="s">
        <v>17</v>
      </c>
      <c r="E230" s="57">
        <v>3</v>
      </c>
      <c r="F230" s="57" t="s">
        <v>271</v>
      </c>
      <c r="G230" s="57" t="s">
        <v>19</v>
      </c>
      <c r="H230" s="57" t="s">
        <v>133</v>
      </c>
      <c r="I230" s="57" t="str">
        <f t="shared" si="6"/>
        <v>B2-P2-C1</v>
      </c>
      <c r="J230" s="57" t="str">
        <f t="shared" si="7"/>
        <v>Fagus-B2-P2-C1-A3</v>
      </c>
      <c r="K230" s="57" t="s">
        <v>21</v>
      </c>
      <c r="L230" s="57" t="s">
        <v>44</v>
      </c>
      <c r="M230" s="57" t="s">
        <v>143</v>
      </c>
      <c r="N230" s="37">
        <v>229</v>
      </c>
      <c r="O230" s="57">
        <v>10.5</v>
      </c>
      <c r="P230" s="57">
        <v>89.6</v>
      </c>
      <c r="Q230" s="57">
        <v>10.73</v>
      </c>
      <c r="R230" s="57">
        <v>105</v>
      </c>
      <c r="S230" s="57">
        <v>13.24</v>
      </c>
      <c r="T230" s="57">
        <v>105</v>
      </c>
      <c r="U230" s="57">
        <v>13.49</v>
      </c>
      <c r="V230" s="57">
        <v>105.5</v>
      </c>
      <c r="W230" s="57">
        <v>13.91</v>
      </c>
      <c r="X230" s="57">
        <v>105</v>
      </c>
      <c r="Y230" s="57">
        <v>13.94</v>
      </c>
      <c r="Z230" s="57">
        <v>104</v>
      </c>
      <c r="AA230" s="57">
        <v>14.13</v>
      </c>
      <c r="AB230" s="57">
        <v>106</v>
      </c>
      <c r="AC230" s="57"/>
      <c r="AD230" s="57">
        <v>106</v>
      </c>
    </row>
    <row r="231" spans="1:30" s="38" customFormat="1" x14ac:dyDescent="0.2">
      <c r="A231" s="57" t="s">
        <v>234</v>
      </c>
      <c r="B231" s="57" t="s">
        <v>62</v>
      </c>
      <c r="C231" s="57" t="s">
        <v>16</v>
      </c>
      <c r="D231" s="57" t="s">
        <v>24</v>
      </c>
      <c r="E231" s="57">
        <v>3</v>
      </c>
      <c r="F231" s="57" t="s">
        <v>272</v>
      </c>
      <c r="G231" s="57" t="s">
        <v>19</v>
      </c>
      <c r="H231" s="57" t="s">
        <v>133</v>
      </c>
      <c r="I231" s="57" t="str">
        <f t="shared" si="6"/>
        <v>B2-P2-C1</v>
      </c>
      <c r="J231" s="57" t="str">
        <f t="shared" si="7"/>
        <v>Fagus-B2-P2-C1-B3</v>
      </c>
      <c r="K231" s="57" t="s">
        <v>21</v>
      </c>
      <c r="L231" s="57" t="s">
        <v>44</v>
      </c>
      <c r="M231" s="57" t="s">
        <v>143</v>
      </c>
      <c r="N231" s="37">
        <v>230</v>
      </c>
      <c r="O231" s="57">
        <v>9.1999999999999993</v>
      </c>
      <c r="P231" s="57">
        <v>82.5</v>
      </c>
      <c r="Q231" s="57">
        <v>9.23</v>
      </c>
      <c r="R231" s="57">
        <v>84</v>
      </c>
      <c r="S231" s="57">
        <v>9.98</v>
      </c>
      <c r="T231" s="57">
        <v>84</v>
      </c>
      <c r="U231" s="57">
        <v>9.81</v>
      </c>
      <c r="V231" s="57">
        <v>87</v>
      </c>
      <c r="W231" s="57">
        <v>10.23</v>
      </c>
      <c r="X231" s="57">
        <v>86</v>
      </c>
      <c r="Y231" s="57">
        <v>10.61</v>
      </c>
      <c r="Z231" s="57">
        <v>88</v>
      </c>
      <c r="AA231" s="57">
        <v>11.24</v>
      </c>
      <c r="AB231" s="57">
        <v>88</v>
      </c>
      <c r="AC231" s="57"/>
      <c r="AD231" s="57">
        <v>87</v>
      </c>
    </row>
    <row r="232" spans="1:30" s="38" customFormat="1" x14ac:dyDescent="0.2">
      <c r="A232" s="57" t="s">
        <v>234</v>
      </c>
      <c r="B232" s="57" t="s">
        <v>62</v>
      </c>
      <c r="C232" s="57" t="s">
        <v>16</v>
      </c>
      <c r="D232" s="57" t="s">
        <v>17</v>
      </c>
      <c r="E232" s="57">
        <v>4</v>
      </c>
      <c r="F232" s="57" t="s">
        <v>273</v>
      </c>
      <c r="G232" s="57" t="s">
        <v>19</v>
      </c>
      <c r="H232" s="57" t="s">
        <v>133</v>
      </c>
      <c r="I232" s="57" t="str">
        <f t="shared" si="6"/>
        <v>B2-P2-C1</v>
      </c>
      <c r="J232" s="57" t="str">
        <f t="shared" si="7"/>
        <v>Fagus-B2-P2-C1-A4</v>
      </c>
      <c r="K232" s="57" t="s">
        <v>21</v>
      </c>
      <c r="L232" s="57" t="s">
        <v>44</v>
      </c>
      <c r="M232" s="57" t="s">
        <v>143</v>
      </c>
      <c r="N232" s="37">
        <v>231</v>
      </c>
      <c r="O232" s="57">
        <v>10.4</v>
      </c>
      <c r="P232" s="57">
        <v>87.3</v>
      </c>
      <c r="Q232" s="57">
        <v>10.82</v>
      </c>
      <c r="R232" s="57">
        <v>98</v>
      </c>
      <c r="S232" s="57">
        <v>13.03</v>
      </c>
      <c r="T232" s="57">
        <v>98</v>
      </c>
      <c r="U232" s="57">
        <v>13.76</v>
      </c>
      <c r="V232" s="57">
        <v>97</v>
      </c>
      <c r="W232" s="57">
        <v>14.15</v>
      </c>
      <c r="X232" s="57">
        <v>97</v>
      </c>
      <c r="Y232" s="57">
        <v>14.9</v>
      </c>
      <c r="Z232" s="57">
        <v>98</v>
      </c>
      <c r="AA232" s="57">
        <v>14.43</v>
      </c>
      <c r="AB232" s="57">
        <v>98</v>
      </c>
      <c r="AC232" s="57"/>
      <c r="AD232" s="57">
        <v>98</v>
      </c>
    </row>
    <row r="233" spans="1:30" s="38" customFormat="1" x14ac:dyDescent="0.2">
      <c r="A233" s="57" t="s">
        <v>234</v>
      </c>
      <c r="B233" s="57" t="s">
        <v>62</v>
      </c>
      <c r="C233" s="57" t="s">
        <v>16</v>
      </c>
      <c r="D233" s="57" t="s">
        <v>24</v>
      </c>
      <c r="E233" s="57">
        <v>4</v>
      </c>
      <c r="F233" s="57" t="s">
        <v>274</v>
      </c>
      <c r="G233" s="57" t="s">
        <v>19</v>
      </c>
      <c r="H233" s="57" t="s">
        <v>133</v>
      </c>
      <c r="I233" s="57" t="str">
        <f t="shared" si="6"/>
        <v>B2-P2-C1</v>
      </c>
      <c r="J233" s="57" t="str">
        <f t="shared" si="7"/>
        <v>Fagus-B2-P2-C1-B4</v>
      </c>
      <c r="K233" s="57" t="s">
        <v>21</v>
      </c>
      <c r="L233" s="57" t="s">
        <v>44</v>
      </c>
      <c r="M233" s="57" t="s">
        <v>143</v>
      </c>
      <c r="N233" s="37">
        <v>232</v>
      </c>
      <c r="O233" s="57">
        <v>9.6999999999999993</v>
      </c>
      <c r="P233" s="57">
        <v>59</v>
      </c>
      <c r="Q233" s="57">
        <v>9.82</v>
      </c>
      <c r="R233" s="57">
        <v>78</v>
      </c>
      <c r="S233" s="57">
        <v>11.3</v>
      </c>
      <c r="T233" s="57">
        <v>82</v>
      </c>
      <c r="U233" s="57">
        <v>11.3</v>
      </c>
      <c r="V233" s="57">
        <v>83</v>
      </c>
      <c r="W233" s="57">
        <v>12.12</v>
      </c>
      <c r="X233" s="57">
        <v>84</v>
      </c>
      <c r="Y233" s="57">
        <v>12.44</v>
      </c>
      <c r="Z233" s="57">
        <v>84</v>
      </c>
      <c r="AA233" s="57">
        <v>12.81</v>
      </c>
      <c r="AB233" s="57">
        <v>84</v>
      </c>
      <c r="AC233" s="57"/>
      <c r="AD233" s="57">
        <v>84</v>
      </c>
    </row>
    <row r="234" spans="1:30" x14ac:dyDescent="0.2">
      <c r="A234" s="60" t="s">
        <v>234</v>
      </c>
      <c r="B234" s="60" t="s">
        <v>62</v>
      </c>
      <c r="C234" s="60" t="s">
        <v>32</v>
      </c>
      <c r="D234" s="60" t="s">
        <v>17</v>
      </c>
      <c r="E234" s="60">
        <v>1</v>
      </c>
      <c r="F234" s="60" t="s">
        <v>275</v>
      </c>
      <c r="G234" s="60" t="s">
        <v>19</v>
      </c>
      <c r="H234" s="60" t="s">
        <v>133</v>
      </c>
      <c r="I234" s="60" t="str">
        <f t="shared" si="6"/>
        <v>B2-P2-C2</v>
      </c>
      <c r="J234" s="60" t="str">
        <f t="shared" si="7"/>
        <v>Fagus-B2-P2-C2-A1</v>
      </c>
      <c r="K234" s="60" t="s">
        <v>21</v>
      </c>
      <c r="L234" s="60" t="s">
        <v>44</v>
      </c>
      <c r="M234" s="60" t="s">
        <v>143</v>
      </c>
      <c r="N234" s="15">
        <v>233</v>
      </c>
      <c r="O234" s="60">
        <v>8.6</v>
      </c>
      <c r="P234" s="60">
        <v>49.8</v>
      </c>
      <c r="Q234" s="60">
        <v>8.84</v>
      </c>
      <c r="R234" s="60">
        <v>59</v>
      </c>
      <c r="S234" s="3">
        <v>9.9499999999999993</v>
      </c>
      <c r="T234" s="3">
        <v>62</v>
      </c>
      <c r="U234" s="3">
        <v>10.14</v>
      </c>
      <c r="V234" s="3">
        <v>67</v>
      </c>
      <c r="W234" s="3">
        <v>10.57</v>
      </c>
      <c r="X234" s="3">
        <v>68</v>
      </c>
      <c r="Y234" s="3">
        <v>10.88</v>
      </c>
      <c r="Z234" s="3">
        <v>65</v>
      </c>
      <c r="AA234" s="3">
        <v>10.9</v>
      </c>
      <c r="AB234" s="3">
        <v>66</v>
      </c>
      <c r="AC234" s="3"/>
      <c r="AD234" s="3">
        <v>65</v>
      </c>
    </row>
    <row r="235" spans="1:30" x14ac:dyDescent="0.2">
      <c r="A235" s="60" t="s">
        <v>234</v>
      </c>
      <c r="B235" s="60" t="s">
        <v>62</v>
      </c>
      <c r="C235" s="60" t="s">
        <v>32</v>
      </c>
      <c r="D235" s="60" t="s">
        <v>24</v>
      </c>
      <c r="E235" s="60">
        <v>1</v>
      </c>
      <c r="F235" s="60" t="s">
        <v>276</v>
      </c>
      <c r="G235" s="60" t="s">
        <v>35</v>
      </c>
      <c r="H235" s="60" t="s">
        <v>133</v>
      </c>
      <c r="I235" s="60" t="str">
        <f t="shared" si="6"/>
        <v>B2-P2-C2</v>
      </c>
      <c r="J235" s="60" t="str">
        <f t="shared" si="7"/>
        <v>Quercus-B2-P2-C2-B1</v>
      </c>
      <c r="K235" s="60" t="s">
        <v>21</v>
      </c>
      <c r="L235" s="60" t="s">
        <v>44</v>
      </c>
      <c r="M235" s="60" t="s">
        <v>143</v>
      </c>
      <c r="N235" s="15">
        <v>234</v>
      </c>
      <c r="O235" s="60">
        <v>5.5</v>
      </c>
      <c r="P235" s="60">
        <v>49.5</v>
      </c>
      <c r="Q235" s="60">
        <v>6.87</v>
      </c>
      <c r="R235" s="60">
        <v>57</v>
      </c>
      <c r="S235" s="3">
        <v>7.66</v>
      </c>
      <c r="T235" s="3">
        <v>63</v>
      </c>
      <c r="U235" s="3">
        <v>8.2899999999999991</v>
      </c>
      <c r="V235" s="3">
        <v>61</v>
      </c>
      <c r="W235" s="3">
        <v>8.75</v>
      </c>
      <c r="X235" s="3">
        <v>60</v>
      </c>
      <c r="Y235" s="3">
        <v>8.91</v>
      </c>
      <c r="Z235" s="3">
        <v>67</v>
      </c>
      <c r="AA235" s="3">
        <v>10.51</v>
      </c>
      <c r="AB235" s="3">
        <v>69</v>
      </c>
      <c r="AC235" s="3"/>
      <c r="AD235" s="3">
        <v>68</v>
      </c>
    </row>
    <row r="236" spans="1:30" x14ac:dyDescent="0.2">
      <c r="A236" s="60" t="s">
        <v>234</v>
      </c>
      <c r="B236" s="60" t="s">
        <v>62</v>
      </c>
      <c r="C236" s="60" t="s">
        <v>32</v>
      </c>
      <c r="D236" s="60" t="s">
        <v>17</v>
      </c>
      <c r="E236" s="60">
        <v>2</v>
      </c>
      <c r="F236" s="60" t="s">
        <v>277</v>
      </c>
      <c r="G236" s="60" t="s">
        <v>35</v>
      </c>
      <c r="H236" s="60" t="s">
        <v>133</v>
      </c>
      <c r="I236" s="60" t="str">
        <f t="shared" si="6"/>
        <v>B2-P2-C2</v>
      </c>
      <c r="J236" s="60" t="str">
        <f t="shared" si="7"/>
        <v>Quercus-B2-P2-C2-A2</v>
      </c>
      <c r="K236" s="60" t="s">
        <v>21</v>
      </c>
      <c r="L236" s="60" t="s">
        <v>44</v>
      </c>
      <c r="M236" s="60" t="s">
        <v>143</v>
      </c>
      <c r="N236" s="15">
        <v>235</v>
      </c>
      <c r="O236" s="60">
        <v>6.3</v>
      </c>
      <c r="P236" s="60">
        <v>57</v>
      </c>
      <c r="Q236" s="60">
        <v>7.16</v>
      </c>
      <c r="R236" s="60">
        <v>62</v>
      </c>
      <c r="S236" s="3">
        <v>7.84</v>
      </c>
      <c r="T236" s="3">
        <v>73.5</v>
      </c>
      <c r="U236" s="3">
        <v>7.52</v>
      </c>
      <c r="V236" s="3">
        <v>75</v>
      </c>
      <c r="W236" s="3">
        <v>8.0299999999999994</v>
      </c>
      <c r="X236" s="3">
        <v>77</v>
      </c>
      <c r="Y236" s="3">
        <v>8.5500000000000007</v>
      </c>
      <c r="Z236" s="3">
        <v>80</v>
      </c>
      <c r="AA236" s="3">
        <v>9.57</v>
      </c>
      <c r="AB236" s="3">
        <v>80</v>
      </c>
      <c r="AC236" s="3"/>
      <c r="AD236" s="3">
        <v>79</v>
      </c>
    </row>
    <row r="237" spans="1:30" x14ac:dyDescent="0.2">
      <c r="A237" s="60" t="s">
        <v>234</v>
      </c>
      <c r="B237" s="60" t="s">
        <v>62</v>
      </c>
      <c r="C237" s="60" t="s">
        <v>32</v>
      </c>
      <c r="D237" s="60" t="s">
        <v>24</v>
      </c>
      <c r="E237" s="60">
        <v>2</v>
      </c>
      <c r="F237" s="60" t="s">
        <v>278</v>
      </c>
      <c r="G237" s="60" t="s">
        <v>19</v>
      </c>
      <c r="H237" s="60" t="s">
        <v>133</v>
      </c>
      <c r="I237" s="60" t="str">
        <f t="shared" si="6"/>
        <v>B2-P2-C2</v>
      </c>
      <c r="J237" s="60" t="str">
        <f t="shared" si="7"/>
        <v>Fagus-B2-P2-C2-B2</v>
      </c>
      <c r="K237" s="60" t="s">
        <v>21</v>
      </c>
      <c r="L237" s="60" t="s">
        <v>44</v>
      </c>
      <c r="M237" s="60" t="s">
        <v>143</v>
      </c>
      <c r="N237" s="15">
        <v>236</v>
      </c>
      <c r="O237" s="60">
        <v>12.7</v>
      </c>
      <c r="P237" s="60">
        <v>99</v>
      </c>
      <c r="Q237" s="60">
        <v>12.93</v>
      </c>
      <c r="R237" s="60">
        <v>127</v>
      </c>
      <c r="S237" s="3">
        <v>14.14</v>
      </c>
      <c r="T237" s="3">
        <v>149</v>
      </c>
      <c r="U237" s="3">
        <v>14.39</v>
      </c>
      <c r="V237" s="3">
        <v>158</v>
      </c>
      <c r="W237" s="3">
        <v>14.42</v>
      </c>
      <c r="X237" s="3">
        <v>158</v>
      </c>
      <c r="Y237" s="3">
        <v>14.86</v>
      </c>
      <c r="Z237" s="3">
        <v>158</v>
      </c>
      <c r="AA237" s="3">
        <v>15.19</v>
      </c>
      <c r="AB237" s="3">
        <v>158</v>
      </c>
      <c r="AC237" s="3"/>
      <c r="AD237" s="3">
        <v>159</v>
      </c>
    </row>
    <row r="238" spans="1:30" x14ac:dyDescent="0.2">
      <c r="A238" s="60" t="s">
        <v>234</v>
      </c>
      <c r="B238" s="60" t="s">
        <v>62</v>
      </c>
      <c r="C238" s="60" t="s">
        <v>32</v>
      </c>
      <c r="D238" s="60" t="s">
        <v>17</v>
      </c>
      <c r="E238" s="60">
        <v>3</v>
      </c>
      <c r="F238" s="60" t="s">
        <v>279</v>
      </c>
      <c r="G238" s="60" t="s">
        <v>19</v>
      </c>
      <c r="H238" s="60" t="s">
        <v>133</v>
      </c>
      <c r="I238" s="60" t="str">
        <f t="shared" si="6"/>
        <v>B2-P2-C2</v>
      </c>
      <c r="J238" s="60" t="str">
        <f t="shared" si="7"/>
        <v>Fagus-B2-P2-C2-A3</v>
      </c>
      <c r="K238" s="60" t="s">
        <v>21</v>
      </c>
      <c r="L238" s="60" t="s">
        <v>44</v>
      </c>
      <c r="M238" s="60" t="s">
        <v>143</v>
      </c>
      <c r="N238" s="15">
        <v>237</v>
      </c>
      <c r="O238" s="60">
        <v>14.1</v>
      </c>
      <c r="P238" s="60">
        <v>88.5</v>
      </c>
      <c r="Q238" s="60">
        <v>14.1</v>
      </c>
      <c r="R238" s="60">
        <v>95</v>
      </c>
      <c r="S238" s="3">
        <v>15.43</v>
      </c>
      <c r="T238" s="3">
        <v>105</v>
      </c>
      <c r="U238" s="3">
        <v>15.6</v>
      </c>
      <c r="V238" s="3">
        <v>109</v>
      </c>
      <c r="W238" s="3">
        <v>15.99</v>
      </c>
      <c r="X238" s="3">
        <v>106.5</v>
      </c>
      <c r="Y238" s="3">
        <v>15.9</v>
      </c>
      <c r="Z238" s="3">
        <v>106</v>
      </c>
      <c r="AA238" s="3">
        <v>16.73</v>
      </c>
      <c r="AB238" s="3">
        <v>108</v>
      </c>
      <c r="AC238" s="3"/>
      <c r="AD238" s="3">
        <v>107</v>
      </c>
    </row>
    <row r="239" spans="1:30" x14ac:dyDescent="0.2">
      <c r="A239" s="60" t="s">
        <v>234</v>
      </c>
      <c r="B239" s="60" t="s">
        <v>62</v>
      </c>
      <c r="C239" s="60" t="s">
        <v>32</v>
      </c>
      <c r="D239" s="60" t="s">
        <v>24</v>
      </c>
      <c r="E239" s="60">
        <v>3</v>
      </c>
      <c r="F239" s="60" t="s">
        <v>280</v>
      </c>
      <c r="G239" s="60" t="s">
        <v>35</v>
      </c>
      <c r="H239" s="60" t="s">
        <v>133</v>
      </c>
      <c r="I239" s="60" t="str">
        <f t="shared" si="6"/>
        <v>B2-P2-C2</v>
      </c>
      <c r="J239" s="60" t="str">
        <f t="shared" si="7"/>
        <v>Quercus-B2-P2-C2-B3</v>
      </c>
      <c r="K239" s="60" t="s">
        <v>21</v>
      </c>
      <c r="L239" s="60" t="s">
        <v>44</v>
      </c>
      <c r="M239" s="60" t="s">
        <v>143</v>
      </c>
      <c r="N239" s="15">
        <v>238</v>
      </c>
      <c r="O239" s="60">
        <v>5.9</v>
      </c>
      <c r="P239" s="60">
        <v>40</v>
      </c>
      <c r="Q239" s="60">
        <v>6.56</v>
      </c>
      <c r="R239" s="60">
        <v>50</v>
      </c>
      <c r="S239" s="3">
        <v>6.67</v>
      </c>
      <c r="T239" s="3">
        <v>52</v>
      </c>
      <c r="U239" s="3">
        <v>7.4</v>
      </c>
      <c r="V239" s="3">
        <v>50</v>
      </c>
      <c r="W239" s="3">
        <v>7.14</v>
      </c>
      <c r="X239" s="3">
        <v>52</v>
      </c>
      <c r="Y239" s="3">
        <v>7.88</v>
      </c>
      <c r="Z239" s="3">
        <v>59</v>
      </c>
      <c r="AA239" s="3">
        <v>9.67</v>
      </c>
      <c r="AB239" s="3">
        <v>62</v>
      </c>
      <c r="AC239" s="3"/>
      <c r="AD239" s="3">
        <v>64</v>
      </c>
    </row>
    <row r="240" spans="1:30" x14ac:dyDescent="0.2">
      <c r="A240" s="60" t="s">
        <v>234</v>
      </c>
      <c r="B240" s="60" t="s">
        <v>62</v>
      </c>
      <c r="C240" s="60" t="s">
        <v>32</v>
      </c>
      <c r="D240" s="60" t="s">
        <v>17</v>
      </c>
      <c r="E240" s="60">
        <v>4</v>
      </c>
      <c r="F240" s="60" t="s">
        <v>281</v>
      </c>
      <c r="G240" s="60" t="s">
        <v>35</v>
      </c>
      <c r="H240" s="60" t="s">
        <v>133</v>
      </c>
      <c r="I240" s="60" t="str">
        <f t="shared" si="6"/>
        <v>B2-P2-C2</v>
      </c>
      <c r="J240" s="60" t="str">
        <f t="shared" si="7"/>
        <v>Quercus-B2-P2-C2-A4</v>
      </c>
      <c r="K240" s="60" t="s">
        <v>21</v>
      </c>
      <c r="L240" s="60" t="s">
        <v>44</v>
      </c>
      <c r="M240" s="60" t="s">
        <v>143</v>
      </c>
      <c r="N240" s="15">
        <v>239</v>
      </c>
      <c r="O240" s="60">
        <v>6</v>
      </c>
      <c r="P240" s="60">
        <v>51.8</v>
      </c>
      <c r="Q240" s="60">
        <v>7.13</v>
      </c>
      <c r="R240" s="60">
        <v>56</v>
      </c>
      <c r="S240" s="3">
        <v>7.78</v>
      </c>
      <c r="T240" s="3">
        <v>64</v>
      </c>
      <c r="U240" s="3">
        <v>7.7</v>
      </c>
      <c r="V240" s="3">
        <v>63</v>
      </c>
      <c r="W240" s="3">
        <v>8</v>
      </c>
      <c r="X240" s="3">
        <v>62</v>
      </c>
      <c r="Y240" s="3">
        <v>8.36</v>
      </c>
      <c r="Z240" s="3">
        <v>62</v>
      </c>
      <c r="AA240" s="3">
        <v>10.38</v>
      </c>
      <c r="AB240" s="3">
        <v>65.5</v>
      </c>
      <c r="AC240" s="3"/>
      <c r="AD240" s="3">
        <v>64</v>
      </c>
    </row>
    <row r="241" spans="1:30" x14ac:dyDescent="0.2">
      <c r="A241" s="60" t="s">
        <v>234</v>
      </c>
      <c r="B241" s="60" t="s">
        <v>62</v>
      </c>
      <c r="C241" s="60" t="s">
        <v>32</v>
      </c>
      <c r="D241" s="60" t="s">
        <v>24</v>
      </c>
      <c r="E241" s="60">
        <v>4</v>
      </c>
      <c r="F241" s="60" t="s">
        <v>282</v>
      </c>
      <c r="G241" s="60" t="s">
        <v>19</v>
      </c>
      <c r="H241" s="60" t="s">
        <v>133</v>
      </c>
      <c r="I241" s="60" t="str">
        <f t="shared" si="6"/>
        <v>B2-P2-C2</v>
      </c>
      <c r="J241" s="60" t="str">
        <f t="shared" si="7"/>
        <v>Fagus-B2-P2-C2-B4</v>
      </c>
      <c r="K241" s="60" t="s">
        <v>21</v>
      </c>
      <c r="L241" s="60" t="s">
        <v>44</v>
      </c>
      <c r="M241" s="60" t="s">
        <v>143</v>
      </c>
      <c r="N241" s="15">
        <v>240</v>
      </c>
      <c r="O241" s="60">
        <v>9.9</v>
      </c>
      <c r="P241" s="60">
        <v>92.1</v>
      </c>
      <c r="Q241" s="60">
        <v>9.84</v>
      </c>
      <c r="R241" s="60">
        <v>94</v>
      </c>
      <c r="S241" s="3">
        <v>11.84</v>
      </c>
      <c r="T241" s="3">
        <v>95</v>
      </c>
      <c r="U241" s="3">
        <v>11.5</v>
      </c>
      <c r="V241" s="3">
        <v>104</v>
      </c>
      <c r="W241" s="3">
        <v>11.29</v>
      </c>
      <c r="X241" s="3">
        <v>104.5</v>
      </c>
      <c r="Y241" s="3">
        <v>12.39</v>
      </c>
      <c r="Z241" s="3">
        <v>104</v>
      </c>
      <c r="AA241" s="3">
        <v>12.57</v>
      </c>
      <c r="AB241" s="3">
        <v>104</v>
      </c>
      <c r="AC241" s="3"/>
      <c r="AD241" s="3">
        <v>103</v>
      </c>
    </row>
    <row r="242" spans="1:30" s="38" customFormat="1" x14ac:dyDescent="0.2">
      <c r="A242" s="57" t="s">
        <v>234</v>
      </c>
      <c r="B242" s="57" t="s">
        <v>62</v>
      </c>
      <c r="C242" s="57" t="s">
        <v>42</v>
      </c>
      <c r="D242" s="57" t="s">
        <v>17</v>
      </c>
      <c r="E242" s="57">
        <v>1</v>
      </c>
      <c r="F242" s="57" t="s">
        <v>283</v>
      </c>
      <c r="G242" s="57" t="s">
        <v>19</v>
      </c>
      <c r="H242" s="57" t="s">
        <v>133</v>
      </c>
      <c r="I242" s="57" t="str">
        <f t="shared" si="6"/>
        <v>B2-P2-C3</v>
      </c>
      <c r="J242" s="57" t="str">
        <f t="shared" si="7"/>
        <v>Fagus-B2-P2-C3-A1</v>
      </c>
      <c r="K242" s="57" t="s">
        <v>21</v>
      </c>
      <c r="L242" s="57" t="s">
        <v>22</v>
      </c>
      <c r="M242" s="57" t="s">
        <v>134</v>
      </c>
      <c r="N242" s="37">
        <v>241</v>
      </c>
      <c r="O242" s="57">
        <v>11.2</v>
      </c>
      <c r="P242" s="57">
        <v>91.5</v>
      </c>
      <c r="Q242" s="57">
        <v>11.28</v>
      </c>
      <c r="R242" s="57">
        <v>117</v>
      </c>
      <c r="S242" s="57">
        <v>13.43</v>
      </c>
      <c r="T242" s="57">
        <v>117</v>
      </c>
      <c r="U242" s="57">
        <v>15.97</v>
      </c>
      <c r="V242" s="57">
        <v>128</v>
      </c>
      <c r="W242" s="57">
        <v>16.940000000000001</v>
      </c>
      <c r="X242" s="57">
        <v>145</v>
      </c>
      <c r="Y242" s="57">
        <v>17.36</v>
      </c>
      <c r="Z242" s="57">
        <v>143</v>
      </c>
      <c r="AA242" s="57">
        <v>17.32</v>
      </c>
      <c r="AB242" s="57">
        <v>148</v>
      </c>
      <c r="AC242" s="57"/>
      <c r="AD242" s="57">
        <v>146</v>
      </c>
    </row>
    <row r="243" spans="1:30" s="38" customFormat="1" x14ac:dyDescent="0.2">
      <c r="A243" s="57" t="s">
        <v>234</v>
      </c>
      <c r="B243" s="57" t="s">
        <v>62</v>
      </c>
      <c r="C243" s="57" t="s">
        <v>42</v>
      </c>
      <c r="D243" s="57" t="s">
        <v>24</v>
      </c>
      <c r="E243" s="57">
        <v>1</v>
      </c>
      <c r="F243" s="57" t="s">
        <v>284</v>
      </c>
      <c r="G243" s="57" t="s">
        <v>35</v>
      </c>
      <c r="H243" s="57" t="s">
        <v>133</v>
      </c>
      <c r="I243" s="57" t="str">
        <f t="shared" si="6"/>
        <v>B2-P2-C3</v>
      </c>
      <c r="J243" s="57" t="str">
        <f t="shared" si="7"/>
        <v>Quercus-B2-P2-C3-B1</v>
      </c>
      <c r="K243" s="57" t="s">
        <v>21</v>
      </c>
      <c r="L243" s="57" t="s">
        <v>22</v>
      </c>
      <c r="M243" s="57" t="s">
        <v>134</v>
      </c>
      <c r="N243" s="37">
        <v>242</v>
      </c>
      <c r="O243" s="57">
        <v>5.4</v>
      </c>
      <c r="P243" s="57">
        <v>44.5</v>
      </c>
      <c r="Q243" s="57">
        <v>6.35</v>
      </c>
      <c r="R243" s="57">
        <v>58</v>
      </c>
      <c r="S243" s="57">
        <v>7.66</v>
      </c>
      <c r="T243" s="57">
        <v>60</v>
      </c>
      <c r="U243" s="57">
        <v>8.3000000000000007</v>
      </c>
      <c r="V243" s="57">
        <v>80</v>
      </c>
      <c r="W243" s="57">
        <v>9.9600000000000009</v>
      </c>
      <c r="X243" s="57">
        <v>80</v>
      </c>
      <c r="Y243" s="57">
        <v>10.95</v>
      </c>
      <c r="Z243" s="57">
        <v>80</v>
      </c>
      <c r="AA243" s="57">
        <v>13.92</v>
      </c>
      <c r="AB243" s="57">
        <v>89</v>
      </c>
      <c r="AC243" s="57"/>
      <c r="AD243" s="57">
        <v>88</v>
      </c>
    </row>
    <row r="244" spans="1:30" s="38" customFormat="1" x14ac:dyDescent="0.2">
      <c r="A244" s="57" t="s">
        <v>234</v>
      </c>
      <c r="B244" s="57" t="s">
        <v>62</v>
      </c>
      <c r="C244" s="57" t="s">
        <v>42</v>
      </c>
      <c r="D244" s="57" t="s">
        <v>17</v>
      </c>
      <c r="E244" s="57">
        <v>2</v>
      </c>
      <c r="F244" s="57" t="s">
        <v>285</v>
      </c>
      <c r="G244" s="57" t="s">
        <v>35</v>
      </c>
      <c r="H244" s="57" t="s">
        <v>133</v>
      </c>
      <c r="I244" s="57" t="str">
        <f t="shared" si="6"/>
        <v>B2-P2-C3</v>
      </c>
      <c r="J244" s="57" t="str">
        <f t="shared" si="7"/>
        <v>Quercus-B2-P2-C3-A2</v>
      </c>
      <c r="K244" s="57" t="s">
        <v>21</v>
      </c>
      <c r="L244" s="57" t="s">
        <v>22</v>
      </c>
      <c r="M244" s="57" t="s">
        <v>134</v>
      </c>
      <c r="N244" s="37">
        <v>243</v>
      </c>
      <c r="O244" s="57">
        <v>6.1</v>
      </c>
      <c r="P244" s="57">
        <v>47.3</v>
      </c>
      <c r="Q244" s="57">
        <v>7.08</v>
      </c>
      <c r="R244" s="57">
        <v>60</v>
      </c>
      <c r="S244" s="57">
        <v>7.81</v>
      </c>
      <c r="T244" s="57">
        <v>65</v>
      </c>
      <c r="U244" s="57">
        <v>8.66</v>
      </c>
      <c r="V244" s="57">
        <v>90</v>
      </c>
      <c r="W244" s="57">
        <v>8.73</v>
      </c>
      <c r="X244" s="57">
        <v>89</v>
      </c>
      <c r="Y244" s="57">
        <v>9.92</v>
      </c>
      <c r="Z244" s="57">
        <v>102</v>
      </c>
      <c r="AA244" s="57">
        <v>10.73</v>
      </c>
      <c r="AB244" s="57">
        <v>101</v>
      </c>
      <c r="AC244" s="57"/>
      <c r="AD244" s="57">
        <v>101</v>
      </c>
    </row>
    <row r="245" spans="1:30" s="38" customFormat="1" x14ac:dyDescent="0.2">
      <c r="A245" s="57" t="s">
        <v>234</v>
      </c>
      <c r="B245" s="57" t="s">
        <v>62</v>
      </c>
      <c r="C245" s="57" t="s">
        <v>42</v>
      </c>
      <c r="D245" s="57" t="s">
        <v>24</v>
      </c>
      <c r="E245" s="57">
        <v>2</v>
      </c>
      <c r="F245" s="57" t="s">
        <v>286</v>
      </c>
      <c r="G245" s="57" t="s">
        <v>19</v>
      </c>
      <c r="H245" s="57" t="s">
        <v>133</v>
      </c>
      <c r="I245" s="57" t="str">
        <f t="shared" si="6"/>
        <v>B2-P2-C3</v>
      </c>
      <c r="J245" s="57" t="str">
        <f t="shared" si="7"/>
        <v>Fagus-B2-P2-C3-B2</v>
      </c>
      <c r="K245" s="57" t="s">
        <v>21</v>
      </c>
      <c r="L245" s="57" t="s">
        <v>22</v>
      </c>
      <c r="M245" s="57" t="s">
        <v>134</v>
      </c>
      <c r="N245" s="37">
        <v>244</v>
      </c>
      <c r="O245" s="57">
        <v>7.3</v>
      </c>
      <c r="P245" s="57">
        <v>39.5</v>
      </c>
      <c r="Q245" s="57">
        <v>7.3</v>
      </c>
      <c r="R245" s="57">
        <v>47</v>
      </c>
      <c r="S245" s="57">
        <v>7.59</v>
      </c>
      <c r="T245" s="57">
        <v>48</v>
      </c>
      <c r="U245" s="57">
        <v>9.77</v>
      </c>
      <c r="V245" s="57">
        <v>73</v>
      </c>
      <c r="W245" s="57">
        <v>10.37</v>
      </c>
      <c r="X245" s="57">
        <v>80</v>
      </c>
      <c r="Y245" s="57">
        <v>11.05</v>
      </c>
      <c r="Z245" s="57">
        <v>80</v>
      </c>
      <c r="AA245" s="57">
        <v>10.72</v>
      </c>
      <c r="AB245" s="57">
        <v>82</v>
      </c>
      <c r="AC245" s="57"/>
      <c r="AD245" s="57">
        <v>80</v>
      </c>
    </row>
    <row r="246" spans="1:30" s="38" customFormat="1" x14ac:dyDescent="0.2">
      <c r="A246" s="57" t="s">
        <v>234</v>
      </c>
      <c r="B246" s="57" t="s">
        <v>62</v>
      </c>
      <c r="C246" s="57" t="s">
        <v>42</v>
      </c>
      <c r="D246" s="57" t="s">
        <v>17</v>
      </c>
      <c r="E246" s="57">
        <v>3</v>
      </c>
      <c r="F246" s="57" t="s">
        <v>287</v>
      </c>
      <c r="G246" s="57" t="s">
        <v>19</v>
      </c>
      <c r="H246" s="57" t="s">
        <v>133</v>
      </c>
      <c r="I246" s="57" t="str">
        <f t="shared" si="6"/>
        <v>B2-P2-C3</v>
      </c>
      <c r="J246" s="57" t="str">
        <f t="shared" si="7"/>
        <v>Fagus-B2-P2-C3-A3</v>
      </c>
      <c r="K246" s="57" t="s">
        <v>21</v>
      </c>
      <c r="L246" s="57" t="s">
        <v>22</v>
      </c>
      <c r="M246" s="57" t="s">
        <v>134</v>
      </c>
      <c r="N246" s="37">
        <v>245</v>
      </c>
      <c r="O246" s="57">
        <v>8.1999999999999993</v>
      </c>
      <c r="P246" s="57">
        <v>76.8</v>
      </c>
      <c r="Q246" s="57">
        <v>8.5</v>
      </c>
      <c r="R246" s="57">
        <v>77.5</v>
      </c>
      <c r="S246" s="57">
        <v>11.26</v>
      </c>
      <c r="T246" s="57">
        <v>78</v>
      </c>
      <c r="U246" s="57">
        <v>13.1</v>
      </c>
      <c r="V246" s="57">
        <v>108</v>
      </c>
      <c r="W246" s="57">
        <v>13.36</v>
      </c>
      <c r="X246" s="57">
        <v>109.5</v>
      </c>
      <c r="Y246" s="57">
        <v>13.07</v>
      </c>
      <c r="Z246" s="57">
        <v>111</v>
      </c>
      <c r="AA246" s="57">
        <v>13.66</v>
      </c>
      <c r="AB246" s="57">
        <v>109</v>
      </c>
      <c r="AC246" s="57"/>
      <c r="AD246" s="57">
        <v>109</v>
      </c>
    </row>
    <row r="247" spans="1:30" s="38" customFormat="1" x14ac:dyDescent="0.2">
      <c r="A247" s="57" t="s">
        <v>234</v>
      </c>
      <c r="B247" s="57" t="s">
        <v>62</v>
      </c>
      <c r="C247" s="57" t="s">
        <v>42</v>
      </c>
      <c r="D247" s="57" t="s">
        <v>24</v>
      </c>
      <c r="E247" s="57">
        <v>3</v>
      </c>
      <c r="F247" s="57" t="s">
        <v>288</v>
      </c>
      <c r="G247" s="57" t="s">
        <v>35</v>
      </c>
      <c r="H247" s="57" t="s">
        <v>133</v>
      </c>
      <c r="I247" s="57" t="str">
        <f t="shared" si="6"/>
        <v>B2-P2-C3</v>
      </c>
      <c r="J247" s="57" t="str">
        <f t="shared" si="7"/>
        <v>Quercus-B2-P2-C3-B3</v>
      </c>
      <c r="K247" s="57" t="s">
        <v>21</v>
      </c>
      <c r="L247" s="57" t="s">
        <v>22</v>
      </c>
      <c r="M247" s="57" t="s">
        <v>134</v>
      </c>
      <c r="N247" s="37">
        <v>246</v>
      </c>
      <c r="O247" s="57">
        <v>5.3</v>
      </c>
      <c r="P247" s="57">
        <v>33.4</v>
      </c>
      <c r="Q247" s="57">
        <v>5.73</v>
      </c>
      <c r="R247" s="57">
        <v>39</v>
      </c>
      <c r="S247" s="57">
        <v>6.13</v>
      </c>
      <c r="T247" s="57">
        <v>43.5</v>
      </c>
      <c r="U247" s="57">
        <v>6.76</v>
      </c>
      <c r="V247" s="57">
        <v>50</v>
      </c>
      <c r="W247" s="57">
        <v>7.2</v>
      </c>
      <c r="X247" s="57">
        <v>51</v>
      </c>
      <c r="Y247" s="57">
        <v>7.69</v>
      </c>
      <c r="Z247" s="57">
        <v>62</v>
      </c>
      <c r="AA247" s="57">
        <v>8.9700000000000006</v>
      </c>
      <c r="AB247" s="57">
        <v>62</v>
      </c>
      <c r="AC247" s="57"/>
      <c r="AD247" s="57">
        <v>61</v>
      </c>
    </row>
    <row r="248" spans="1:30" s="38" customFormat="1" x14ac:dyDescent="0.2">
      <c r="A248" s="57" t="s">
        <v>234</v>
      </c>
      <c r="B248" s="57" t="s">
        <v>62</v>
      </c>
      <c r="C248" s="57" t="s">
        <v>42</v>
      </c>
      <c r="D248" s="57" t="s">
        <v>17</v>
      </c>
      <c r="E248" s="57">
        <v>4</v>
      </c>
      <c r="F248" s="57" t="s">
        <v>289</v>
      </c>
      <c r="G248" s="57" t="s">
        <v>35</v>
      </c>
      <c r="H248" s="57" t="s">
        <v>133</v>
      </c>
      <c r="I248" s="57" t="str">
        <f t="shared" si="6"/>
        <v>B2-P2-C3</v>
      </c>
      <c r="J248" s="57" t="str">
        <f t="shared" si="7"/>
        <v>Quercus-B2-P2-C3-A4</v>
      </c>
      <c r="K248" s="57" t="s">
        <v>21</v>
      </c>
      <c r="L248" s="57" t="s">
        <v>22</v>
      </c>
      <c r="M248" s="57" t="s">
        <v>134</v>
      </c>
      <c r="N248" s="37">
        <v>247</v>
      </c>
      <c r="O248" s="57">
        <v>4.9000000000000004</v>
      </c>
      <c r="P248" s="57">
        <v>34.5</v>
      </c>
      <c r="Q248" s="57">
        <v>5.51</v>
      </c>
      <c r="R248" s="57">
        <v>42</v>
      </c>
      <c r="S248" s="57">
        <v>6.3</v>
      </c>
      <c r="T248" s="57">
        <v>42.5</v>
      </c>
      <c r="U248" s="57">
        <v>7.54</v>
      </c>
      <c r="V248" s="57">
        <v>56</v>
      </c>
      <c r="W248" s="57">
        <v>8.42</v>
      </c>
      <c r="X248" s="57">
        <v>56</v>
      </c>
      <c r="Y248" s="57">
        <v>9.7100000000000009</v>
      </c>
      <c r="Z248" s="57">
        <v>56</v>
      </c>
      <c r="AA248" s="57">
        <v>10.23</v>
      </c>
      <c r="AB248" s="57">
        <v>61.5</v>
      </c>
      <c r="AC248" s="57"/>
      <c r="AD248" s="57">
        <v>62</v>
      </c>
    </row>
    <row r="249" spans="1:30" s="38" customFormat="1" x14ac:dyDescent="0.2">
      <c r="A249" s="57" t="s">
        <v>234</v>
      </c>
      <c r="B249" s="57" t="s">
        <v>62</v>
      </c>
      <c r="C249" s="57" t="s">
        <v>42</v>
      </c>
      <c r="D249" s="57" t="s">
        <v>24</v>
      </c>
      <c r="E249" s="57">
        <v>4</v>
      </c>
      <c r="F249" s="57" t="s">
        <v>290</v>
      </c>
      <c r="G249" s="57" t="s">
        <v>19</v>
      </c>
      <c r="H249" s="57" t="s">
        <v>133</v>
      </c>
      <c r="I249" s="57" t="str">
        <f t="shared" si="6"/>
        <v>B2-P2-C3</v>
      </c>
      <c r="J249" s="57" t="str">
        <f t="shared" si="7"/>
        <v>Fagus-B2-P2-C3-B4</v>
      </c>
      <c r="K249" s="57" t="s">
        <v>21</v>
      </c>
      <c r="L249" s="57" t="s">
        <v>22</v>
      </c>
      <c r="M249" s="57" t="s">
        <v>134</v>
      </c>
      <c r="N249" s="37">
        <v>248</v>
      </c>
      <c r="O249" s="57">
        <v>9.4</v>
      </c>
      <c r="P249" s="57">
        <v>74.5</v>
      </c>
      <c r="Q249" s="57">
        <v>9.4</v>
      </c>
      <c r="R249" s="57">
        <v>78</v>
      </c>
      <c r="S249" s="57">
        <v>11.93</v>
      </c>
      <c r="T249" s="57">
        <v>77</v>
      </c>
      <c r="U249" s="57">
        <v>13.71</v>
      </c>
      <c r="V249" s="57">
        <v>91.5</v>
      </c>
      <c r="W249" s="57">
        <v>14.59</v>
      </c>
      <c r="X249" s="57">
        <v>96.5</v>
      </c>
      <c r="Y249" s="57">
        <v>14.81</v>
      </c>
      <c r="Z249" s="57">
        <v>102</v>
      </c>
      <c r="AA249" s="57">
        <v>15.2</v>
      </c>
      <c r="AB249" s="57">
        <v>105</v>
      </c>
      <c r="AC249" s="57"/>
      <c r="AD249" s="57">
        <v>105</v>
      </c>
    </row>
    <row r="250" spans="1:30" x14ac:dyDescent="0.2">
      <c r="A250" s="60" t="s">
        <v>234</v>
      </c>
      <c r="B250" s="60" t="s">
        <v>62</v>
      </c>
      <c r="C250" s="60" t="s">
        <v>53</v>
      </c>
      <c r="D250" s="60" t="s">
        <v>17</v>
      </c>
      <c r="E250" s="60">
        <v>1</v>
      </c>
      <c r="F250" s="60" t="s">
        <v>291</v>
      </c>
      <c r="G250" s="60" t="s">
        <v>35</v>
      </c>
      <c r="H250" s="60" t="s">
        <v>133</v>
      </c>
      <c r="I250" s="60" t="str">
        <f t="shared" si="6"/>
        <v>B2-P2-C4</v>
      </c>
      <c r="J250" s="60" t="str">
        <f t="shared" si="7"/>
        <v>Quercus-B2-P2-C4-A1</v>
      </c>
      <c r="K250" s="60" t="s">
        <v>21</v>
      </c>
      <c r="L250" s="60" t="s">
        <v>44</v>
      </c>
      <c r="M250" s="60" t="s">
        <v>143</v>
      </c>
      <c r="N250" s="15">
        <v>249</v>
      </c>
      <c r="O250" s="60">
        <v>5.7</v>
      </c>
      <c r="P250" s="60">
        <v>48.6</v>
      </c>
      <c r="Q250" s="60">
        <v>6.39</v>
      </c>
      <c r="R250" s="60">
        <v>48.6</v>
      </c>
      <c r="S250" s="3">
        <v>7.18</v>
      </c>
      <c r="T250" s="3">
        <v>56</v>
      </c>
      <c r="U250" s="3">
        <v>7.15</v>
      </c>
      <c r="V250" s="3">
        <v>56</v>
      </c>
      <c r="W250" s="3">
        <v>7.59</v>
      </c>
      <c r="X250" s="3">
        <v>56</v>
      </c>
      <c r="Y250" s="3">
        <v>8.01</v>
      </c>
      <c r="Z250" s="3">
        <v>57</v>
      </c>
      <c r="AA250" s="3">
        <v>9.51</v>
      </c>
      <c r="AB250" s="3">
        <v>57</v>
      </c>
      <c r="AC250" s="3"/>
      <c r="AD250" s="3">
        <v>56</v>
      </c>
    </row>
    <row r="251" spans="1:30" x14ac:dyDescent="0.2">
      <c r="A251" s="60" t="s">
        <v>234</v>
      </c>
      <c r="B251" s="60" t="s">
        <v>62</v>
      </c>
      <c r="C251" s="60" t="s">
        <v>53</v>
      </c>
      <c r="D251" s="60" t="s">
        <v>24</v>
      </c>
      <c r="E251" s="60">
        <v>1</v>
      </c>
      <c r="F251" s="60" t="s">
        <v>292</v>
      </c>
      <c r="G251" s="60" t="s">
        <v>35</v>
      </c>
      <c r="H251" s="60" t="s">
        <v>133</v>
      </c>
      <c r="I251" s="60" t="str">
        <f t="shared" si="6"/>
        <v>B2-P2-C4</v>
      </c>
      <c r="J251" s="60" t="str">
        <f t="shared" si="7"/>
        <v>Quercus-B2-P2-C4-B1</v>
      </c>
      <c r="K251" s="60" t="s">
        <v>21</v>
      </c>
      <c r="L251" s="60" t="s">
        <v>44</v>
      </c>
      <c r="M251" s="60" t="s">
        <v>143</v>
      </c>
      <c r="N251" s="15">
        <v>250</v>
      </c>
      <c r="O251" s="60">
        <v>5</v>
      </c>
      <c r="P251" s="60">
        <v>48</v>
      </c>
      <c r="Q251" s="60">
        <v>5.67</v>
      </c>
      <c r="R251" s="60">
        <v>48</v>
      </c>
      <c r="S251" s="3">
        <v>6.67</v>
      </c>
      <c r="T251" s="3">
        <v>59.5</v>
      </c>
      <c r="U251" s="3">
        <v>7.06</v>
      </c>
      <c r="V251" s="3">
        <v>61</v>
      </c>
      <c r="W251" s="3">
        <v>7.7</v>
      </c>
      <c r="X251" s="3">
        <v>60</v>
      </c>
      <c r="Y251" s="3">
        <v>8.15</v>
      </c>
      <c r="Z251" s="3">
        <v>62</v>
      </c>
      <c r="AA251" s="3">
        <v>10.45</v>
      </c>
      <c r="AB251" s="3">
        <v>73</v>
      </c>
      <c r="AC251" s="3"/>
      <c r="AD251" s="3">
        <v>73</v>
      </c>
    </row>
    <row r="252" spans="1:30" x14ac:dyDescent="0.2">
      <c r="A252" s="60" t="s">
        <v>234</v>
      </c>
      <c r="B252" s="60" t="s">
        <v>62</v>
      </c>
      <c r="C252" s="60" t="s">
        <v>53</v>
      </c>
      <c r="D252" s="60" t="s">
        <v>17</v>
      </c>
      <c r="E252" s="60">
        <v>2</v>
      </c>
      <c r="F252" s="60" t="s">
        <v>293</v>
      </c>
      <c r="G252" s="60" t="s">
        <v>35</v>
      </c>
      <c r="H252" s="60" t="s">
        <v>133</v>
      </c>
      <c r="I252" s="60" t="str">
        <f t="shared" si="6"/>
        <v>B2-P2-C4</v>
      </c>
      <c r="J252" s="60" t="str">
        <f t="shared" si="7"/>
        <v>Quercus-B2-P2-C4-A2</v>
      </c>
      <c r="K252" s="60" t="s">
        <v>21</v>
      </c>
      <c r="L252" s="60" t="s">
        <v>44</v>
      </c>
      <c r="M252" s="60" t="s">
        <v>143</v>
      </c>
      <c r="N252" s="15">
        <v>251</v>
      </c>
      <c r="O252" s="60">
        <v>5.4</v>
      </c>
      <c r="P252" s="60">
        <v>41.5</v>
      </c>
      <c r="Q252" s="60">
        <v>6.23</v>
      </c>
      <c r="R252" s="60">
        <v>47.5</v>
      </c>
      <c r="S252" s="3">
        <v>6.82</v>
      </c>
      <c r="T252" s="3">
        <v>59</v>
      </c>
      <c r="U252" s="3">
        <v>7.01</v>
      </c>
      <c r="V252" s="3">
        <v>59</v>
      </c>
      <c r="W252" s="3">
        <v>7.85</v>
      </c>
      <c r="X252" s="3">
        <v>59</v>
      </c>
      <c r="Y252" s="3">
        <v>8.39</v>
      </c>
      <c r="Z252" s="3">
        <v>69</v>
      </c>
      <c r="AA252" s="3">
        <v>10</v>
      </c>
      <c r="AB252" s="3">
        <v>75</v>
      </c>
      <c r="AC252" s="3"/>
      <c r="AD252" s="3">
        <v>75</v>
      </c>
    </row>
    <row r="253" spans="1:30" x14ac:dyDescent="0.2">
      <c r="A253" s="60" t="s">
        <v>234</v>
      </c>
      <c r="B253" s="60" t="s">
        <v>62</v>
      </c>
      <c r="C253" s="60" t="s">
        <v>53</v>
      </c>
      <c r="D253" s="60" t="s">
        <v>24</v>
      </c>
      <c r="E253" s="60">
        <v>2</v>
      </c>
      <c r="F253" s="60" t="s">
        <v>294</v>
      </c>
      <c r="G253" s="60" t="s">
        <v>35</v>
      </c>
      <c r="H253" s="60" t="s">
        <v>133</v>
      </c>
      <c r="I253" s="60" t="str">
        <f t="shared" si="6"/>
        <v>B2-P2-C4</v>
      </c>
      <c r="J253" s="60" t="str">
        <f t="shared" si="7"/>
        <v>Quercus-B2-P2-C4-B2</v>
      </c>
      <c r="K253" s="60" t="s">
        <v>21</v>
      </c>
      <c r="L253" s="60" t="s">
        <v>44</v>
      </c>
      <c r="M253" s="60" t="s">
        <v>143</v>
      </c>
      <c r="N253" s="15">
        <v>252</v>
      </c>
      <c r="O253" s="60">
        <v>4.7</v>
      </c>
      <c r="P253" s="60">
        <v>31.2</v>
      </c>
      <c r="Q253" s="60">
        <v>5.3</v>
      </c>
      <c r="R253" s="60">
        <v>41</v>
      </c>
      <c r="S253" s="3">
        <v>5.74</v>
      </c>
      <c r="T253" s="3">
        <v>43</v>
      </c>
      <c r="U253" s="3">
        <v>6.63</v>
      </c>
      <c r="V253" s="3">
        <v>43</v>
      </c>
      <c r="W253" s="3">
        <v>6.77</v>
      </c>
      <c r="X253" s="3">
        <v>43</v>
      </c>
      <c r="Y253" s="3">
        <v>7.4</v>
      </c>
      <c r="Z253" s="3">
        <v>43</v>
      </c>
      <c r="AA253" s="3">
        <v>8.84</v>
      </c>
      <c r="AB253" s="3">
        <v>50</v>
      </c>
      <c r="AC253" s="3"/>
      <c r="AD253" s="3">
        <v>49</v>
      </c>
    </row>
    <row r="254" spans="1:30" x14ac:dyDescent="0.2">
      <c r="A254" s="60" t="s">
        <v>234</v>
      </c>
      <c r="B254" s="60" t="s">
        <v>62</v>
      </c>
      <c r="C254" s="60" t="s">
        <v>53</v>
      </c>
      <c r="D254" s="60" t="s">
        <v>17</v>
      </c>
      <c r="E254" s="60">
        <v>3</v>
      </c>
      <c r="F254" s="60" t="s">
        <v>295</v>
      </c>
      <c r="G254" s="60" t="s">
        <v>35</v>
      </c>
      <c r="H254" s="60" t="s">
        <v>133</v>
      </c>
      <c r="I254" s="60" t="str">
        <f t="shared" si="6"/>
        <v>B2-P2-C4</v>
      </c>
      <c r="J254" s="60" t="str">
        <f t="shared" si="7"/>
        <v>Quercus-B2-P2-C4-A3</v>
      </c>
      <c r="K254" s="60" t="s">
        <v>21</v>
      </c>
      <c r="L254" s="60" t="s">
        <v>44</v>
      </c>
      <c r="M254" s="60" t="s">
        <v>143</v>
      </c>
      <c r="N254" s="15">
        <v>253</v>
      </c>
      <c r="O254" s="60">
        <v>5.3</v>
      </c>
      <c r="P254" s="60">
        <v>47</v>
      </c>
      <c r="Q254" s="60">
        <v>6.09</v>
      </c>
      <c r="R254" s="60">
        <v>59</v>
      </c>
      <c r="S254" s="3">
        <v>6.67</v>
      </c>
      <c r="T254" s="3">
        <v>62</v>
      </c>
      <c r="U254" s="3">
        <v>6.77</v>
      </c>
      <c r="V254" s="3">
        <v>64</v>
      </c>
      <c r="W254" s="3">
        <v>7.23</v>
      </c>
      <c r="X254" s="3">
        <v>64</v>
      </c>
      <c r="Y254" s="3">
        <v>7.71</v>
      </c>
      <c r="Z254" s="3">
        <v>66</v>
      </c>
      <c r="AA254" s="3">
        <v>9.0500000000000007</v>
      </c>
      <c r="AB254" s="3">
        <v>74</v>
      </c>
      <c r="AC254" s="3"/>
      <c r="AD254" s="3">
        <v>73</v>
      </c>
    </row>
    <row r="255" spans="1:30" x14ac:dyDescent="0.2">
      <c r="A255" s="60" t="s">
        <v>234</v>
      </c>
      <c r="B255" s="60" t="s">
        <v>62</v>
      </c>
      <c r="C255" s="60" t="s">
        <v>53</v>
      </c>
      <c r="D255" s="60" t="s">
        <v>24</v>
      </c>
      <c r="E255" s="60">
        <v>3</v>
      </c>
      <c r="F255" s="60" t="s">
        <v>296</v>
      </c>
      <c r="G255" s="60" t="s">
        <v>35</v>
      </c>
      <c r="H255" s="60" t="s">
        <v>133</v>
      </c>
      <c r="I255" s="60" t="str">
        <f t="shared" si="6"/>
        <v>B2-P2-C4</v>
      </c>
      <c r="J255" s="60" t="str">
        <f t="shared" si="7"/>
        <v>Quercus-B2-P2-C4-B3</v>
      </c>
      <c r="K255" s="60" t="s">
        <v>21</v>
      </c>
      <c r="L255" s="60" t="s">
        <v>44</v>
      </c>
      <c r="M255" s="60" t="s">
        <v>143</v>
      </c>
      <c r="N255" s="15">
        <v>254</v>
      </c>
      <c r="O255" s="60">
        <v>4.9000000000000004</v>
      </c>
      <c r="P255" s="60">
        <v>43</v>
      </c>
      <c r="Q255" s="60">
        <v>5.74</v>
      </c>
      <c r="R255" s="60">
        <v>54</v>
      </c>
      <c r="S255" s="3">
        <v>6.3</v>
      </c>
      <c r="T255" s="3">
        <v>57</v>
      </c>
      <c r="U255" s="3">
        <v>6.43</v>
      </c>
      <c r="V255" s="3">
        <v>57</v>
      </c>
      <c r="W255" s="3">
        <v>7.56</v>
      </c>
      <c r="X255" s="3">
        <v>61</v>
      </c>
      <c r="Y255" s="3">
        <v>7.53</v>
      </c>
      <c r="Z255" s="3">
        <v>72</v>
      </c>
      <c r="AA255" s="3">
        <v>9.36</v>
      </c>
      <c r="AB255" s="3">
        <v>71</v>
      </c>
      <c r="AC255" s="3"/>
      <c r="AD255" s="3">
        <v>72</v>
      </c>
    </row>
    <row r="256" spans="1:30" x14ac:dyDescent="0.2">
      <c r="A256" s="60" t="s">
        <v>234</v>
      </c>
      <c r="B256" s="60" t="s">
        <v>62</v>
      </c>
      <c r="C256" s="60" t="s">
        <v>53</v>
      </c>
      <c r="D256" s="60" t="s">
        <v>17</v>
      </c>
      <c r="E256" s="60">
        <v>4</v>
      </c>
      <c r="F256" s="60" t="s">
        <v>297</v>
      </c>
      <c r="G256" s="60" t="s">
        <v>35</v>
      </c>
      <c r="H256" s="60" t="s">
        <v>133</v>
      </c>
      <c r="I256" s="60" t="str">
        <f t="shared" si="6"/>
        <v>B2-P2-C4</v>
      </c>
      <c r="J256" s="60" t="str">
        <f t="shared" si="7"/>
        <v>Quercus-B2-P2-C4-A4</v>
      </c>
      <c r="K256" s="60" t="s">
        <v>21</v>
      </c>
      <c r="L256" s="60" t="s">
        <v>44</v>
      </c>
      <c r="M256" s="60" t="s">
        <v>143</v>
      </c>
      <c r="N256" s="15">
        <v>255</v>
      </c>
      <c r="O256" s="60">
        <v>5</v>
      </c>
      <c r="P256" s="60">
        <v>45.2</v>
      </c>
      <c r="Q256" s="60">
        <v>6.09</v>
      </c>
      <c r="R256" s="60">
        <v>53</v>
      </c>
      <c r="S256" s="3">
        <v>6.99</v>
      </c>
      <c r="T256" s="3">
        <v>60</v>
      </c>
      <c r="U256" s="3">
        <v>7.7</v>
      </c>
      <c r="V256" s="3">
        <v>60</v>
      </c>
      <c r="W256" s="3">
        <v>7.37</v>
      </c>
      <c r="X256" s="3">
        <v>60</v>
      </c>
      <c r="Y256" s="3">
        <v>8.27</v>
      </c>
      <c r="Z256" s="3">
        <v>70</v>
      </c>
      <c r="AA256" s="3">
        <v>9.6</v>
      </c>
      <c r="AB256" s="3">
        <v>72</v>
      </c>
      <c r="AC256" s="3"/>
      <c r="AD256" s="3">
        <v>72</v>
      </c>
    </row>
    <row r="257" spans="1:30" x14ac:dyDescent="0.2">
      <c r="A257" s="60" t="s">
        <v>234</v>
      </c>
      <c r="B257" s="60" t="s">
        <v>62</v>
      </c>
      <c r="C257" s="60" t="s">
        <v>53</v>
      </c>
      <c r="D257" s="60" t="s">
        <v>24</v>
      </c>
      <c r="E257" s="60">
        <v>4</v>
      </c>
      <c r="F257" s="60" t="s">
        <v>298</v>
      </c>
      <c r="G257" s="60" t="s">
        <v>35</v>
      </c>
      <c r="H257" s="60" t="s">
        <v>133</v>
      </c>
      <c r="I257" s="60" t="str">
        <f t="shared" si="6"/>
        <v>B2-P2-C4</v>
      </c>
      <c r="J257" s="60" t="str">
        <f t="shared" si="7"/>
        <v>Quercus-B2-P2-C4-B4</v>
      </c>
      <c r="K257" s="60" t="s">
        <v>21</v>
      </c>
      <c r="L257" s="60" t="s">
        <v>44</v>
      </c>
      <c r="M257" s="60" t="s">
        <v>143</v>
      </c>
      <c r="N257" s="15">
        <v>256</v>
      </c>
      <c r="O257" s="60">
        <v>6.5</v>
      </c>
      <c r="P257" s="60">
        <v>43.5</v>
      </c>
      <c r="Q257" s="60">
        <v>7.39</v>
      </c>
      <c r="R257" s="60">
        <v>53</v>
      </c>
      <c r="S257" s="3">
        <v>8.33</v>
      </c>
      <c r="T257" s="3">
        <v>55</v>
      </c>
      <c r="U257" s="3">
        <v>8.3699999999999992</v>
      </c>
      <c r="V257" s="3">
        <v>56</v>
      </c>
      <c r="W257" s="3">
        <v>9.44</v>
      </c>
      <c r="X257" s="3">
        <v>56</v>
      </c>
      <c r="Y257" s="3">
        <v>9.9</v>
      </c>
      <c r="Z257" s="3">
        <v>57</v>
      </c>
      <c r="AA257" s="3">
        <v>11.76</v>
      </c>
      <c r="AB257" s="3">
        <v>62</v>
      </c>
      <c r="AC257" s="3"/>
      <c r="AD257" s="3">
        <v>61</v>
      </c>
    </row>
    <row r="258" spans="1:30" s="38" customFormat="1" x14ac:dyDescent="0.2">
      <c r="A258" s="57" t="s">
        <v>234</v>
      </c>
      <c r="B258" s="57" t="s">
        <v>98</v>
      </c>
      <c r="C258" s="57" t="s">
        <v>16</v>
      </c>
      <c r="D258" s="57" t="s">
        <v>17</v>
      </c>
      <c r="E258" s="57">
        <v>1</v>
      </c>
      <c r="F258" s="57" t="s">
        <v>299</v>
      </c>
      <c r="G258" s="57" t="s">
        <v>35</v>
      </c>
      <c r="H258" s="57" t="s">
        <v>133</v>
      </c>
      <c r="I258" s="57" t="str">
        <f t="shared" si="6"/>
        <v>B2-P3-C1</v>
      </c>
      <c r="J258" s="57" t="str">
        <f t="shared" si="7"/>
        <v>Quercus-B2-P3-C1-A1</v>
      </c>
      <c r="K258" s="57" t="s">
        <v>64</v>
      </c>
      <c r="L258" s="57" t="s">
        <v>22</v>
      </c>
      <c r="M258" s="57" t="s">
        <v>202</v>
      </c>
      <c r="N258" s="37">
        <v>257</v>
      </c>
      <c r="O258" s="57">
        <v>3.5</v>
      </c>
      <c r="P258" s="57">
        <v>44</v>
      </c>
      <c r="Q258" s="57">
        <v>3.79</v>
      </c>
      <c r="R258" s="57">
        <v>45</v>
      </c>
      <c r="S258" s="57">
        <v>3.88</v>
      </c>
      <c r="T258" s="57">
        <v>47.5</v>
      </c>
      <c r="U258" s="57">
        <v>4</v>
      </c>
      <c r="V258" s="57">
        <v>50</v>
      </c>
      <c r="W258" s="57">
        <v>3.99</v>
      </c>
      <c r="X258" s="57">
        <v>51</v>
      </c>
      <c r="Y258" s="57">
        <v>3.99</v>
      </c>
      <c r="Z258" s="57">
        <v>52</v>
      </c>
      <c r="AA258" s="57">
        <v>4.4800000000000004</v>
      </c>
      <c r="AB258" s="57">
        <v>53</v>
      </c>
      <c r="AC258" s="57"/>
      <c r="AD258" s="57">
        <v>54</v>
      </c>
    </row>
    <row r="259" spans="1:30" s="38" customFormat="1" x14ac:dyDescent="0.2">
      <c r="A259" s="57" t="s">
        <v>234</v>
      </c>
      <c r="B259" s="57" t="s">
        <v>98</v>
      </c>
      <c r="C259" s="57" t="s">
        <v>16</v>
      </c>
      <c r="D259" s="57" t="s">
        <v>24</v>
      </c>
      <c r="E259" s="57">
        <v>1</v>
      </c>
      <c r="F259" s="57" t="s">
        <v>300</v>
      </c>
      <c r="G259" s="57" t="s">
        <v>35</v>
      </c>
      <c r="H259" s="57" t="s">
        <v>133</v>
      </c>
      <c r="I259" s="57" t="str">
        <f t="shared" ref="I259:I322" si="8">A259&amp;"-"&amp;B259&amp;"-"&amp;C259</f>
        <v>B2-P3-C1</v>
      </c>
      <c r="J259" s="57" t="str">
        <f t="shared" ref="J259:J322" si="9">G259&amp;"-"&amp;A259&amp;"-"&amp;B259&amp;"-"&amp;C259&amp;"-"&amp;D259&amp;E259</f>
        <v>Quercus-B2-P3-C1-B1</v>
      </c>
      <c r="K259" s="57" t="s">
        <v>64</v>
      </c>
      <c r="L259" s="57" t="s">
        <v>22</v>
      </c>
      <c r="M259" s="57" t="s">
        <v>202</v>
      </c>
      <c r="N259" s="37">
        <v>258</v>
      </c>
      <c r="O259" s="57">
        <v>3.7</v>
      </c>
      <c r="P259" s="57">
        <v>23.5</v>
      </c>
      <c r="Q259" s="57">
        <v>3.86</v>
      </c>
      <c r="R259" s="57">
        <v>27</v>
      </c>
      <c r="S259" s="57">
        <v>4.1900000000000004</v>
      </c>
      <c r="T259" s="57">
        <v>27</v>
      </c>
      <c r="U259" s="57">
        <v>4.7300000000000004</v>
      </c>
      <c r="V259" s="57">
        <v>34</v>
      </c>
      <c r="W259" s="57">
        <v>5.2</v>
      </c>
      <c r="X259" s="57">
        <v>33</v>
      </c>
      <c r="Y259" s="57">
        <v>6.17</v>
      </c>
      <c r="Z259" s="57">
        <v>40</v>
      </c>
      <c r="AA259" s="57">
        <v>7.05</v>
      </c>
      <c r="AB259" s="57">
        <v>38</v>
      </c>
      <c r="AC259" s="57"/>
      <c r="AD259" s="57">
        <v>37</v>
      </c>
    </row>
    <row r="260" spans="1:30" s="38" customFormat="1" x14ac:dyDescent="0.2">
      <c r="A260" s="57" t="s">
        <v>234</v>
      </c>
      <c r="B260" s="57" t="s">
        <v>98</v>
      </c>
      <c r="C260" s="57" t="s">
        <v>16</v>
      </c>
      <c r="D260" s="57" t="s">
        <v>17</v>
      </c>
      <c r="E260" s="57">
        <v>2</v>
      </c>
      <c r="F260" s="57" t="s">
        <v>301</v>
      </c>
      <c r="G260" s="57" t="s">
        <v>35</v>
      </c>
      <c r="H260" s="57" t="s">
        <v>133</v>
      </c>
      <c r="I260" s="57" t="str">
        <f t="shared" si="8"/>
        <v>B2-P3-C1</v>
      </c>
      <c r="J260" s="57" t="str">
        <f t="shared" si="9"/>
        <v>Quercus-B2-P3-C1-A2</v>
      </c>
      <c r="K260" s="57" t="s">
        <v>64</v>
      </c>
      <c r="L260" s="57" t="s">
        <v>22</v>
      </c>
      <c r="M260" s="57" t="s">
        <v>202</v>
      </c>
      <c r="N260" s="37">
        <v>259</v>
      </c>
      <c r="O260" s="57">
        <v>5.8</v>
      </c>
      <c r="P260" s="57">
        <v>45</v>
      </c>
      <c r="Q260" s="57">
        <v>6.17</v>
      </c>
      <c r="R260" s="57">
        <v>47</v>
      </c>
      <c r="S260" s="57">
        <v>7.42</v>
      </c>
      <c r="T260" s="57">
        <v>58</v>
      </c>
      <c r="U260" s="57">
        <v>8.89</v>
      </c>
      <c r="V260" s="57">
        <v>71</v>
      </c>
      <c r="W260" s="57">
        <v>10.19</v>
      </c>
      <c r="X260" s="57">
        <v>73</v>
      </c>
      <c r="Y260" s="57">
        <v>12.33</v>
      </c>
      <c r="Z260" s="57">
        <v>84</v>
      </c>
      <c r="AA260" s="57">
        <v>13.06</v>
      </c>
      <c r="AB260" s="57">
        <v>83</v>
      </c>
      <c r="AC260" s="57"/>
      <c r="AD260" s="57">
        <v>83</v>
      </c>
    </row>
    <row r="261" spans="1:30" s="38" customFormat="1" x14ac:dyDescent="0.2">
      <c r="A261" s="57" t="s">
        <v>234</v>
      </c>
      <c r="B261" s="57" t="s">
        <v>98</v>
      </c>
      <c r="C261" s="57" t="s">
        <v>16</v>
      </c>
      <c r="D261" s="57" t="s">
        <v>24</v>
      </c>
      <c r="E261" s="57">
        <v>2</v>
      </c>
      <c r="F261" s="57" t="s">
        <v>302</v>
      </c>
      <c r="G261" s="57" t="s">
        <v>35</v>
      </c>
      <c r="H261" s="57" t="s">
        <v>133</v>
      </c>
      <c r="I261" s="57" t="str">
        <f t="shared" si="8"/>
        <v>B2-P3-C1</v>
      </c>
      <c r="J261" s="57" t="str">
        <f t="shared" si="9"/>
        <v>Quercus-B2-P3-C1-B2</v>
      </c>
      <c r="K261" s="57" t="s">
        <v>64</v>
      </c>
      <c r="L261" s="57" t="s">
        <v>22</v>
      </c>
      <c r="M261" s="57" t="s">
        <v>202</v>
      </c>
      <c r="N261" s="37">
        <v>260</v>
      </c>
      <c r="O261" s="57">
        <v>6.5</v>
      </c>
      <c r="P261" s="57">
        <v>53.7</v>
      </c>
      <c r="Q261" s="57">
        <v>7.7</v>
      </c>
      <c r="R261" s="57">
        <v>65</v>
      </c>
      <c r="S261" s="57">
        <v>8.7899999999999991</v>
      </c>
      <c r="T261" s="57">
        <v>70</v>
      </c>
      <c r="U261" s="57">
        <v>10.23</v>
      </c>
      <c r="V261" s="57">
        <v>88</v>
      </c>
      <c r="W261" s="57">
        <v>12.23</v>
      </c>
      <c r="X261" s="57">
        <v>92</v>
      </c>
      <c r="Y261" s="57">
        <v>14.09</v>
      </c>
      <c r="Z261" s="57">
        <v>95</v>
      </c>
      <c r="AA261" s="57">
        <v>16.38</v>
      </c>
      <c r="AB261" s="57">
        <v>109</v>
      </c>
      <c r="AC261" s="57"/>
      <c r="AD261" s="57">
        <v>110</v>
      </c>
    </row>
    <row r="262" spans="1:30" s="38" customFormat="1" x14ac:dyDescent="0.2">
      <c r="A262" s="57" t="s">
        <v>234</v>
      </c>
      <c r="B262" s="57" t="s">
        <v>98</v>
      </c>
      <c r="C262" s="57" t="s">
        <v>16</v>
      </c>
      <c r="D262" s="57" t="s">
        <v>17</v>
      </c>
      <c r="E262" s="57">
        <v>3</v>
      </c>
      <c r="F262" s="57" t="s">
        <v>303</v>
      </c>
      <c r="G262" s="57" t="s">
        <v>35</v>
      </c>
      <c r="H262" s="57" t="s">
        <v>133</v>
      </c>
      <c r="I262" s="57" t="str">
        <f t="shared" si="8"/>
        <v>B2-P3-C1</v>
      </c>
      <c r="J262" s="57" t="str">
        <f t="shared" si="9"/>
        <v>Quercus-B2-P3-C1-A3</v>
      </c>
      <c r="K262" s="57" t="s">
        <v>64</v>
      </c>
      <c r="L262" s="57" t="s">
        <v>22</v>
      </c>
      <c r="M262" s="57" t="s">
        <v>202</v>
      </c>
      <c r="N262" s="37">
        <v>261</v>
      </c>
      <c r="O262" s="57">
        <v>6.5</v>
      </c>
      <c r="P262" s="57">
        <v>40</v>
      </c>
      <c r="Q262" s="57">
        <v>7.24</v>
      </c>
      <c r="R262" s="57">
        <v>50</v>
      </c>
      <c r="S262" s="57">
        <v>7.94</v>
      </c>
      <c r="T262" s="57">
        <v>54</v>
      </c>
      <c r="U262" s="57">
        <v>9.35</v>
      </c>
      <c r="V262" s="57">
        <v>66</v>
      </c>
      <c r="W262" s="57">
        <v>11.05</v>
      </c>
      <c r="X262" s="57">
        <v>65.5</v>
      </c>
      <c r="Y262" s="57">
        <v>12.39</v>
      </c>
      <c r="Z262" s="57">
        <v>82</v>
      </c>
      <c r="AA262" s="57">
        <v>14.01</v>
      </c>
      <c r="AB262" s="57">
        <v>82</v>
      </c>
      <c r="AC262" s="57"/>
      <c r="AD262" s="57">
        <v>83</v>
      </c>
    </row>
    <row r="263" spans="1:30" s="38" customFormat="1" x14ac:dyDescent="0.2">
      <c r="A263" s="57" t="s">
        <v>234</v>
      </c>
      <c r="B263" s="57" t="s">
        <v>98</v>
      </c>
      <c r="C263" s="57" t="s">
        <v>16</v>
      </c>
      <c r="D263" s="57" t="s">
        <v>24</v>
      </c>
      <c r="E263" s="57">
        <v>3</v>
      </c>
      <c r="F263" s="57" t="s">
        <v>304</v>
      </c>
      <c r="G263" s="57" t="s">
        <v>35</v>
      </c>
      <c r="H263" s="57" t="s">
        <v>133</v>
      </c>
      <c r="I263" s="57" t="str">
        <f t="shared" si="8"/>
        <v>B2-P3-C1</v>
      </c>
      <c r="J263" s="57" t="str">
        <f t="shared" si="9"/>
        <v>Quercus-B2-P3-C1-B3</v>
      </c>
      <c r="K263" s="57" t="s">
        <v>64</v>
      </c>
      <c r="L263" s="57" t="s">
        <v>22</v>
      </c>
      <c r="M263" s="57" t="s">
        <v>202</v>
      </c>
      <c r="N263" s="37">
        <v>262</v>
      </c>
      <c r="O263" s="57">
        <v>4.8</v>
      </c>
      <c r="P263" s="57">
        <v>28</v>
      </c>
      <c r="Q263" s="57">
        <v>4.8899999999999997</v>
      </c>
      <c r="R263" s="57">
        <v>28</v>
      </c>
      <c r="S263" s="57">
        <v>5.07</v>
      </c>
      <c r="T263" s="57">
        <v>29.5</v>
      </c>
      <c r="U263" s="57">
        <v>5.87</v>
      </c>
      <c r="V263" s="57">
        <v>38</v>
      </c>
      <c r="W263" s="57">
        <v>6.25</v>
      </c>
      <c r="X263" s="57">
        <v>38</v>
      </c>
      <c r="Y263" s="57">
        <v>6.24</v>
      </c>
      <c r="Z263" s="57">
        <v>39</v>
      </c>
      <c r="AA263" s="57">
        <v>6.9</v>
      </c>
      <c r="AB263" s="57">
        <v>38</v>
      </c>
      <c r="AC263" s="57"/>
      <c r="AD263" s="57">
        <v>39</v>
      </c>
    </row>
    <row r="264" spans="1:30" s="38" customFormat="1" x14ac:dyDescent="0.2">
      <c r="A264" s="57" t="s">
        <v>234</v>
      </c>
      <c r="B264" s="57" t="s">
        <v>98</v>
      </c>
      <c r="C264" s="57" t="s">
        <v>16</v>
      </c>
      <c r="D264" s="57" t="s">
        <v>17</v>
      </c>
      <c r="E264" s="57">
        <v>4</v>
      </c>
      <c r="F264" s="57" t="s">
        <v>305</v>
      </c>
      <c r="G264" s="57" t="s">
        <v>35</v>
      </c>
      <c r="H264" s="57" t="s">
        <v>133</v>
      </c>
      <c r="I264" s="57" t="str">
        <f t="shared" si="8"/>
        <v>B2-P3-C1</v>
      </c>
      <c r="J264" s="57" t="str">
        <f t="shared" si="9"/>
        <v>Quercus-B2-P3-C1-A4</v>
      </c>
      <c r="K264" s="57" t="s">
        <v>64</v>
      </c>
      <c r="L264" s="57" t="s">
        <v>22</v>
      </c>
      <c r="M264" s="57" t="s">
        <v>202</v>
      </c>
      <c r="N264" s="37">
        <v>263</v>
      </c>
      <c r="O264" s="57">
        <v>6.6</v>
      </c>
      <c r="P264" s="57">
        <v>40.5</v>
      </c>
      <c r="Q264" s="57">
        <v>6.86</v>
      </c>
      <c r="R264" s="57">
        <v>51.5</v>
      </c>
      <c r="S264" s="57">
        <v>7.57</v>
      </c>
      <c r="T264" s="57">
        <v>51.5</v>
      </c>
      <c r="U264" s="57">
        <v>9.1199999999999992</v>
      </c>
      <c r="V264" s="57">
        <v>67</v>
      </c>
      <c r="W264" s="57">
        <v>10.23</v>
      </c>
      <c r="X264" s="57">
        <v>67</v>
      </c>
      <c r="Y264" s="57">
        <v>11.45</v>
      </c>
      <c r="Z264" s="57">
        <v>69</v>
      </c>
      <c r="AA264" s="57">
        <v>12.17</v>
      </c>
      <c r="AB264" s="57">
        <v>70</v>
      </c>
      <c r="AC264" s="57"/>
      <c r="AD264" s="57">
        <v>71</v>
      </c>
    </row>
    <row r="265" spans="1:30" s="38" customFormat="1" x14ac:dyDescent="0.2">
      <c r="A265" s="57" t="s">
        <v>234</v>
      </c>
      <c r="B265" s="57" t="s">
        <v>98</v>
      </c>
      <c r="C265" s="57" t="s">
        <v>16</v>
      </c>
      <c r="D265" s="57" t="s">
        <v>24</v>
      </c>
      <c r="E265" s="57">
        <v>4</v>
      </c>
      <c r="F265" s="57" t="s">
        <v>306</v>
      </c>
      <c r="G265" s="57" t="s">
        <v>35</v>
      </c>
      <c r="H265" s="57" t="s">
        <v>133</v>
      </c>
      <c r="I265" s="57" t="str">
        <f t="shared" si="8"/>
        <v>B2-P3-C1</v>
      </c>
      <c r="J265" s="57" t="str">
        <f t="shared" si="9"/>
        <v>Quercus-B2-P3-C1-B4</v>
      </c>
      <c r="K265" s="57" t="s">
        <v>64</v>
      </c>
      <c r="L265" s="57" t="s">
        <v>22</v>
      </c>
      <c r="M265" s="57" t="s">
        <v>202</v>
      </c>
      <c r="N265" s="37">
        <v>264</v>
      </c>
      <c r="O265" s="57">
        <v>6.5</v>
      </c>
      <c r="P265" s="57">
        <v>60</v>
      </c>
      <c r="Q265" s="57">
        <v>7.38</v>
      </c>
      <c r="R265" s="57">
        <v>60.5</v>
      </c>
      <c r="S265" s="57">
        <v>8.23</v>
      </c>
      <c r="T265" s="57">
        <v>71</v>
      </c>
      <c r="U265" s="57">
        <v>10.029999999999999</v>
      </c>
      <c r="V265" s="57">
        <v>87</v>
      </c>
      <c r="W265" s="57">
        <v>11.03</v>
      </c>
      <c r="X265" s="57">
        <v>86</v>
      </c>
      <c r="Y265" s="57">
        <v>12.56</v>
      </c>
      <c r="Z265" s="57">
        <v>109</v>
      </c>
      <c r="AA265" s="57">
        <v>14.71</v>
      </c>
      <c r="AB265" s="57">
        <v>108</v>
      </c>
      <c r="AC265" s="57"/>
      <c r="AD265" s="57">
        <v>107</v>
      </c>
    </row>
    <row r="266" spans="1:30" x14ac:dyDescent="0.2">
      <c r="A266" s="60" t="s">
        <v>234</v>
      </c>
      <c r="B266" s="60" t="s">
        <v>98</v>
      </c>
      <c r="C266" s="60" t="s">
        <v>32</v>
      </c>
      <c r="D266" s="60" t="s">
        <v>17</v>
      </c>
      <c r="E266" s="60">
        <v>1</v>
      </c>
      <c r="F266" s="60" t="s">
        <v>307</v>
      </c>
      <c r="G266" s="60" t="s">
        <v>35</v>
      </c>
      <c r="H266" s="60" t="s">
        <v>133</v>
      </c>
      <c r="I266" s="60" t="str">
        <f t="shared" si="8"/>
        <v>B2-P3-C2</v>
      </c>
      <c r="J266" s="60" t="str">
        <f t="shared" si="9"/>
        <v>Quercus-B2-P3-C2-A1</v>
      </c>
      <c r="K266" s="60" t="s">
        <v>64</v>
      </c>
      <c r="L266" s="60" t="s">
        <v>44</v>
      </c>
      <c r="M266" s="60" t="s">
        <v>169</v>
      </c>
      <c r="N266" s="15">
        <v>265</v>
      </c>
      <c r="O266" s="60">
        <v>6.7</v>
      </c>
      <c r="P266" s="60">
        <v>50</v>
      </c>
      <c r="Q266" s="60">
        <v>7.29</v>
      </c>
      <c r="R266" s="60">
        <v>53.5</v>
      </c>
      <c r="S266" s="60">
        <v>7.74</v>
      </c>
      <c r="T266" s="3">
        <v>58.5</v>
      </c>
      <c r="U266" s="3">
        <v>7.75</v>
      </c>
      <c r="V266" s="3">
        <v>59</v>
      </c>
      <c r="W266" s="3">
        <v>8</v>
      </c>
      <c r="X266" s="3">
        <v>58</v>
      </c>
      <c r="Y266" s="3">
        <v>8.11</v>
      </c>
      <c r="Z266" s="3">
        <v>61</v>
      </c>
      <c r="AA266" s="3">
        <v>9.41</v>
      </c>
      <c r="AB266" s="3">
        <v>60</v>
      </c>
      <c r="AC266" s="3"/>
      <c r="AD266" s="3">
        <v>58</v>
      </c>
    </row>
    <row r="267" spans="1:30" x14ac:dyDescent="0.2">
      <c r="A267" s="60" t="s">
        <v>234</v>
      </c>
      <c r="B267" s="60" t="s">
        <v>98</v>
      </c>
      <c r="C267" s="60" t="s">
        <v>32</v>
      </c>
      <c r="D267" s="60" t="s">
        <v>24</v>
      </c>
      <c r="E267" s="60">
        <v>1</v>
      </c>
      <c r="F267" s="60" t="s">
        <v>308</v>
      </c>
      <c r="G267" s="60" t="s">
        <v>35</v>
      </c>
      <c r="H267" s="60" t="s">
        <v>133</v>
      </c>
      <c r="I267" s="60" t="str">
        <f t="shared" si="8"/>
        <v>B2-P3-C2</v>
      </c>
      <c r="J267" s="60" t="str">
        <f t="shared" si="9"/>
        <v>Quercus-B2-P3-C2-B1</v>
      </c>
      <c r="K267" s="60" t="s">
        <v>64</v>
      </c>
      <c r="L267" s="60" t="s">
        <v>44</v>
      </c>
      <c r="M267" s="60" t="s">
        <v>169</v>
      </c>
      <c r="N267" s="15">
        <v>266</v>
      </c>
      <c r="O267" s="60">
        <v>5</v>
      </c>
      <c r="P267" s="60">
        <v>34</v>
      </c>
      <c r="Q267" s="60">
        <v>5.08</v>
      </c>
      <c r="R267" s="60">
        <v>36</v>
      </c>
      <c r="S267" s="60">
        <v>5.08</v>
      </c>
      <c r="T267" s="3">
        <v>37</v>
      </c>
      <c r="U267" s="3">
        <v>5.36</v>
      </c>
      <c r="V267" s="3">
        <v>37</v>
      </c>
      <c r="W267" s="3">
        <v>5.44</v>
      </c>
      <c r="X267" s="3">
        <v>36</v>
      </c>
      <c r="Y267" s="3">
        <v>5.28</v>
      </c>
      <c r="Z267" s="3">
        <v>37</v>
      </c>
      <c r="AA267" s="3">
        <v>5.77</v>
      </c>
      <c r="AB267" s="3">
        <v>38</v>
      </c>
      <c r="AC267" s="3"/>
      <c r="AD267" s="3">
        <v>40</v>
      </c>
    </row>
    <row r="268" spans="1:30" x14ac:dyDescent="0.2">
      <c r="A268" s="60" t="s">
        <v>234</v>
      </c>
      <c r="B268" s="60" t="s">
        <v>98</v>
      </c>
      <c r="C268" s="60" t="s">
        <v>32</v>
      </c>
      <c r="D268" s="60" t="s">
        <v>17</v>
      </c>
      <c r="E268" s="60">
        <v>2</v>
      </c>
      <c r="F268" s="60" t="s">
        <v>309</v>
      </c>
      <c r="G268" s="60" t="s">
        <v>35</v>
      </c>
      <c r="H268" s="60" t="s">
        <v>133</v>
      </c>
      <c r="I268" s="60" t="str">
        <f t="shared" si="8"/>
        <v>B2-P3-C2</v>
      </c>
      <c r="J268" s="60" t="str">
        <f t="shared" si="9"/>
        <v>Quercus-B2-P3-C2-A2</v>
      </c>
      <c r="K268" s="60" t="s">
        <v>64</v>
      </c>
      <c r="L268" s="60" t="s">
        <v>44</v>
      </c>
      <c r="M268" s="60" t="s">
        <v>169</v>
      </c>
      <c r="N268" s="15">
        <v>267</v>
      </c>
      <c r="O268" s="60">
        <v>3.9</v>
      </c>
      <c r="P268" s="60">
        <v>28.4</v>
      </c>
      <c r="Q268" s="60">
        <v>4.46</v>
      </c>
      <c r="R268" s="60">
        <v>34.5</v>
      </c>
      <c r="S268" s="3">
        <v>4.72</v>
      </c>
      <c r="T268" s="3">
        <v>35</v>
      </c>
      <c r="U268" s="3">
        <v>5</v>
      </c>
      <c r="V268" s="3">
        <v>34.5</v>
      </c>
      <c r="W268" s="3">
        <v>5.7</v>
      </c>
      <c r="X268" s="3">
        <v>38.5</v>
      </c>
      <c r="Y268" s="3">
        <v>5.52</v>
      </c>
      <c r="Z268" s="3">
        <v>45</v>
      </c>
      <c r="AA268" s="3">
        <v>5.64</v>
      </c>
      <c r="AB268" s="3">
        <v>42</v>
      </c>
      <c r="AC268" s="3"/>
      <c r="AD268" s="3">
        <v>45</v>
      </c>
    </row>
    <row r="269" spans="1:30" x14ac:dyDescent="0.2">
      <c r="A269" s="60" t="s">
        <v>234</v>
      </c>
      <c r="B269" s="60" t="s">
        <v>98</v>
      </c>
      <c r="C269" s="60" t="s">
        <v>32</v>
      </c>
      <c r="D269" s="60" t="s">
        <v>24</v>
      </c>
      <c r="E269" s="60">
        <v>2</v>
      </c>
      <c r="F269" s="60" t="s">
        <v>310</v>
      </c>
      <c r="G269" s="60" t="s">
        <v>35</v>
      </c>
      <c r="H269" s="60" t="s">
        <v>133</v>
      </c>
      <c r="I269" s="60" t="str">
        <f t="shared" si="8"/>
        <v>B2-P3-C2</v>
      </c>
      <c r="J269" s="60" t="str">
        <f t="shared" si="9"/>
        <v>Quercus-B2-P3-C2-B2</v>
      </c>
      <c r="K269" s="60" t="s">
        <v>64</v>
      </c>
      <c r="L269" s="60" t="s">
        <v>44</v>
      </c>
      <c r="M269" s="60" t="s">
        <v>169</v>
      </c>
      <c r="N269" s="15">
        <v>268</v>
      </c>
      <c r="O269" s="60">
        <v>4.4000000000000004</v>
      </c>
      <c r="P269" s="60">
        <v>25.7</v>
      </c>
      <c r="Q269" s="60">
        <v>4.75</v>
      </c>
      <c r="R269" s="60">
        <v>32.5</v>
      </c>
      <c r="S269" s="3">
        <v>4.72</v>
      </c>
      <c r="T269" s="3">
        <v>33</v>
      </c>
      <c r="U269" s="3">
        <v>4.96</v>
      </c>
      <c r="V269" s="3">
        <v>33</v>
      </c>
      <c r="W269" s="3">
        <v>5.42</v>
      </c>
      <c r="X269" s="3">
        <v>33</v>
      </c>
      <c r="Y269" s="3">
        <v>5.71</v>
      </c>
      <c r="Z269" s="3">
        <v>34</v>
      </c>
      <c r="AA269" s="3">
        <v>7.11</v>
      </c>
      <c r="AB269" s="3">
        <v>40</v>
      </c>
      <c r="AC269" s="3"/>
      <c r="AD269" s="3">
        <v>40</v>
      </c>
    </row>
    <row r="270" spans="1:30" x14ac:dyDescent="0.2">
      <c r="A270" s="60" t="s">
        <v>234</v>
      </c>
      <c r="B270" s="60" t="s">
        <v>98</v>
      </c>
      <c r="C270" s="60" t="s">
        <v>32</v>
      </c>
      <c r="D270" s="60" t="s">
        <v>17</v>
      </c>
      <c r="E270" s="60">
        <v>3</v>
      </c>
      <c r="F270" s="60" t="s">
        <v>311</v>
      </c>
      <c r="G270" s="60" t="s">
        <v>35</v>
      </c>
      <c r="H270" s="60" t="s">
        <v>133</v>
      </c>
      <c r="I270" s="60" t="str">
        <f t="shared" si="8"/>
        <v>B2-P3-C2</v>
      </c>
      <c r="J270" s="60" t="str">
        <f t="shared" si="9"/>
        <v>Quercus-B2-P3-C2-A3</v>
      </c>
      <c r="K270" s="60" t="s">
        <v>64</v>
      </c>
      <c r="L270" s="60" t="s">
        <v>44</v>
      </c>
      <c r="M270" s="60" t="s">
        <v>169</v>
      </c>
      <c r="N270" s="15">
        <v>269</v>
      </c>
      <c r="O270" s="60">
        <v>3.8</v>
      </c>
      <c r="P270" s="60">
        <v>30.5</v>
      </c>
      <c r="Q270" s="60">
        <v>4.32</v>
      </c>
      <c r="R270" s="60">
        <v>34.5</v>
      </c>
      <c r="S270" s="3">
        <v>4.32</v>
      </c>
      <c r="T270" s="3">
        <v>34</v>
      </c>
      <c r="U270" s="3">
        <v>4.5</v>
      </c>
      <c r="V270" s="3">
        <v>34</v>
      </c>
      <c r="W270" s="3">
        <v>5.09</v>
      </c>
      <c r="X270" s="3">
        <v>47</v>
      </c>
      <c r="Y270" s="3">
        <v>5.31</v>
      </c>
      <c r="Z270" s="3">
        <v>43</v>
      </c>
      <c r="AA270" s="3">
        <v>6.09</v>
      </c>
      <c r="AB270" s="3">
        <v>40</v>
      </c>
      <c r="AC270" s="3"/>
      <c r="AD270" s="3">
        <v>40</v>
      </c>
    </row>
    <row r="271" spans="1:30" x14ac:dyDescent="0.2">
      <c r="A271" s="60" t="s">
        <v>234</v>
      </c>
      <c r="B271" s="60" t="s">
        <v>98</v>
      </c>
      <c r="C271" s="60" t="s">
        <v>32</v>
      </c>
      <c r="D271" s="60" t="s">
        <v>24</v>
      </c>
      <c r="E271" s="60">
        <v>3</v>
      </c>
      <c r="F271" s="60" t="s">
        <v>312</v>
      </c>
      <c r="G271" s="60" t="s">
        <v>35</v>
      </c>
      <c r="H271" s="60" t="s">
        <v>133</v>
      </c>
      <c r="I271" s="60" t="str">
        <f t="shared" si="8"/>
        <v>B2-P3-C2</v>
      </c>
      <c r="J271" s="60" t="str">
        <f t="shared" si="9"/>
        <v>Quercus-B2-P3-C2-B3</v>
      </c>
      <c r="K271" s="60" t="s">
        <v>64</v>
      </c>
      <c r="L271" s="60" t="s">
        <v>44</v>
      </c>
      <c r="M271" s="60" t="s">
        <v>169</v>
      </c>
      <c r="N271" s="15">
        <v>270</v>
      </c>
      <c r="O271" s="60">
        <v>4</v>
      </c>
      <c r="P271" s="60">
        <v>32</v>
      </c>
      <c r="Q271" s="60">
        <v>4.1900000000000004</v>
      </c>
      <c r="R271" s="60">
        <v>41</v>
      </c>
      <c r="S271" s="3">
        <v>4.1900000000000004</v>
      </c>
      <c r="T271" s="3">
        <v>42</v>
      </c>
      <c r="U271" s="3">
        <v>4.6900000000000004</v>
      </c>
      <c r="V271" s="3">
        <v>42</v>
      </c>
      <c r="W271" s="3">
        <v>4.4000000000000004</v>
      </c>
      <c r="X271" s="3">
        <v>49</v>
      </c>
      <c r="Y271" s="3">
        <v>4.87</v>
      </c>
      <c r="Z271" s="3">
        <v>50</v>
      </c>
      <c r="AA271" s="3">
        <v>5.53</v>
      </c>
      <c r="AB271" s="3">
        <v>49</v>
      </c>
      <c r="AC271" s="3"/>
      <c r="AD271" s="3">
        <v>53</v>
      </c>
    </row>
    <row r="272" spans="1:30" x14ac:dyDescent="0.2">
      <c r="A272" s="60" t="s">
        <v>234</v>
      </c>
      <c r="B272" s="60" t="s">
        <v>98</v>
      </c>
      <c r="C272" s="60" t="s">
        <v>32</v>
      </c>
      <c r="D272" s="60" t="s">
        <v>17</v>
      </c>
      <c r="E272" s="60">
        <v>4</v>
      </c>
      <c r="F272" s="60" t="s">
        <v>313</v>
      </c>
      <c r="G272" s="60" t="s">
        <v>35</v>
      </c>
      <c r="H272" s="60" t="s">
        <v>133</v>
      </c>
      <c r="I272" s="60" t="str">
        <f t="shared" si="8"/>
        <v>B2-P3-C2</v>
      </c>
      <c r="J272" s="60" t="str">
        <f t="shared" si="9"/>
        <v>Quercus-B2-P3-C2-A4</v>
      </c>
      <c r="K272" s="60" t="s">
        <v>64</v>
      </c>
      <c r="L272" s="60" t="s">
        <v>44</v>
      </c>
      <c r="M272" s="60" t="s">
        <v>169</v>
      </c>
      <c r="N272" s="15">
        <v>271</v>
      </c>
      <c r="O272" s="60">
        <v>4.4000000000000004</v>
      </c>
      <c r="P272" s="60">
        <v>31.2</v>
      </c>
      <c r="Q272" s="60">
        <v>4.79</v>
      </c>
      <c r="R272" s="60">
        <v>37</v>
      </c>
      <c r="S272" s="3">
        <v>4.75</v>
      </c>
      <c r="T272" s="3">
        <v>37</v>
      </c>
      <c r="U272" s="3">
        <v>4.8499999999999996</v>
      </c>
      <c r="V272" s="3">
        <v>36</v>
      </c>
      <c r="W272" s="3">
        <v>5.63</v>
      </c>
      <c r="X272" s="3">
        <v>41</v>
      </c>
      <c r="Y272" s="3">
        <v>5.4</v>
      </c>
      <c r="Z272" s="3">
        <v>40</v>
      </c>
      <c r="AA272" s="3">
        <v>6.4</v>
      </c>
      <c r="AB272" s="3">
        <v>40</v>
      </c>
      <c r="AC272" s="3"/>
      <c r="AD272" s="3">
        <v>42</v>
      </c>
    </row>
    <row r="273" spans="1:30" x14ac:dyDescent="0.2">
      <c r="A273" s="60" t="s">
        <v>234</v>
      </c>
      <c r="B273" s="60" t="s">
        <v>98</v>
      </c>
      <c r="C273" s="60" t="s">
        <v>32</v>
      </c>
      <c r="D273" s="60" t="s">
        <v>24</v>
      </c>
      <c r="E273" s="60">
        <v>4</v>
      </c>
      <c r="F273" s="60" t="s">
        <v>314</v>
      </c>
      <c r="G273" s="60" t="s">
        <v>35</v>
      </c>
      <c r="H273" s="60" t="s">
        <v>133</v>
      </c>
      <c r="I273" s="60" t="str">
        <f t="shared" si="8"/>
        <v>B2-P3-C2</v>
      </c>
      <c r="J273" s="60" t="str">
        <f t="shared" si="9"/>
        <v>Quercus-B2-P3-C2-B4</v>
      </c>
      <c r="K273" s="60" t="s">
        <v>64</v>
      </c>
      <c r="L273" s="60" t="s">
        <v>44</v>
      </c>
      <c r="M273" s="60" t="s">
        <v>169</v>
      </c>
      <c r="N273" s="15">
        <v>272</v>
      </c>
      <c r="O273" s="60">
        <v>5.5</v>
      </c>
      <c r="P273" s="60">
        <v>34.5</v>
      </c>
      <c r="Q273" s="60">
        <v>5.73</v>
      </c>
      <c r="R273" s="60">
        <v>43</v>
      </c>
      <c r="S273" s="3">
        <v>5.91</v>
      </c>
      <c r="T273" s="3">
        <v>45</v>
      </c>
      <c r="U273" s="3">
        <v>5.84</v>
      </c>
      <c r="V273" s="3">
        <v>45</v>
      </c>
      <c r="W273" s="3">
        <v>6.83</v>
      </c>
      <c r="X273" s="3">
        <v>44</v>
      </c>
      <c r="Y273" s="3">
        <v>6.65</v>
      </c>
      <c r="Z273" s="3">
        <v>45</v>
      </c>
      <c r="AA273" s="3">
        <v>7.62</v>
      </c>
      <c r="AB273" s="3">
        <v>47</v>
      </c>
      <c r="AC273" s="3"/>
      <c r="AD273" s="3">
        <v>47</v>
      </c>
    </row>
    <row r="274" spans="1:30" s="38" customFormat="1" x14ac:dyDescent="0.2">
      <c r="A274" s="57" t="s">
        <v>234</v>
      </c>
      <c r="B274" s="57" t="s">
        <v>98</v>
      </c>
      <c r="C274" s="57" t="s">
        <v>42</v>
      </c>
      <c r="D274" s="57" t="s">
        <v>17</v>
      </c>
      <c r="E274" s="57">
        <v>1</v>
      </c>
      <c r="F274" s="57" t="s">
        <v>315</v>
      </c>
      <c r="G274" s="57" t="s">
        <v>19</v>
      </c>
      <c r="H274" s="57" t="s">
        <v>133</v>
      </c>
      <c r="I274" s="57" t="str">
        <f t="shared" si="8"/>
        <v>B2-P3-C3</v>
      </c>
      <c r="J274" s="57" t="str">
        <f t="shared" si="9"/>
        <v>Fagus-B2-P3-C3-A1</v>
      </c>
      <c r="K274" s="57" t="s">
        <v>21</v>
      </c>
      <c r="L274" s="57" t="s">
        <v>22</v>
      </c>
      <c r="M274" s="57" t="s">
        <v>134</v>
      </c>
      <c r="N274" s="37">
        <v>273</v>
      </c>
      <c r="O274" s="57">
        <v>11</v>
      </c>
      <c r="P274" s="57">
        <v>106.3</v>
      </c>
      <c r="Q274" s="57">
        <v>11.03</v>
      </c>
      <c r="R274" s="57">
        <v>132.5</v>
      </c>
      <c r="S274" s="57">
        <v>12.6</v>
      </c>
      <c r="T274" s="57">
        <v>144</v>
      </c>
      <c r="U274" s="57">
        <v>13.34</v>
      </c>
      <c r="V274" s="57">
        <v>151</v>
      </c>
      <c r="W274" s="57">
        <v>13.78</v>
      </c>
      <c r="X274" s="57">
        <v>152</v>
      </c>
      <c r="Y274" s="57">
        <v>13.62</v>
      </c>
      <c r="Z274" s="57">
        <v>150</v>
      </c>
      <c r="AA274" s="57">
        <v>14.05</v>
      </c>
      <c r="AB274" s="57">
        <v>150</v>
      </c>
      <c r="AC274" s="57"/>
      <c r="AD274" s="57">
        <v>151</v>
      </c>
    </row>
    <row r="275" spans="1:30" s="38" customFormat="1" x14ac:dyDescent="0.2">
      <c r="A275" s="57" t="s">
        <v>234</v>
      </c>
      <c r="B275" s="57" t="s">
        <v>98</v>
      </c>
      <c r="C275" s="57" t="s">
        <v>42</v>
      </c>
      <c r="D275" s="57" t="s">
        <v>24</v>
      </c>
      <c r="E275" s="57">
        <v>1</v>
      </c>
      <c r="F275" s="57" t="s">
        <v>316</v>
      </c>
      <c r="G275" s="57" t="s">
        <v>19</v>
      </c>
      <c r="H275" s="57" t="s">
        <v>133</v>
      </c>
      <c r="I275" s="57" t="str">
        <f t="shared" si="8"/>
        <v>B2-P3-C3</v>
      </c>
      <c r="J275" s="57" t="str">
        <f t="shared" si="9"/>
        <v>Fagus-B2-P3-C3-B1</v>
      </c>
      <c r="K275" s="57" t="s">
        <v>21</v>
      </c>
      <c r="L275" s="57" t="s">
        <v>22</v>
      </c>
      <c r="M275" s="57" t="s">
        <v>134</v>
      </c>
      <c r="N275" s="37">
        <v>274</v>
      </c>
      <c r="O275" s="57">
        <v>9.9</v>
      </c>
      <c r="P275" s="57">
        <v>74</v>
      </c>
      <c r="Q275" s="57">
        <v>10.050000000000001</v>
      </c>
      <c r="R275" s="57">
        <v>96</v>
      </c>
      <c r="S275" s="57">
        <v>12.39</v>
      </c>
      <c r="T275" s="57">
        <v>97</v>
      </c>
      <c r="U275" s="57">
        <v>13.33</v>
      </c>
      <c r="V275" s="57">
        <v>100</v>
      </c>
      <c r="W275" s="57">
        <v>13.66</v>
      </c>
      <c r="X275" s="57">
        <v>97</v>
      </c>
      <c r="Y275" s="57">
        <v>14.33</v>
      </c>
      <c r="Z275" s="57">
        <v>97</v>
      </c>
      <c r="AA275" s="57">
        <v>14.51</v>
      </c>
      <c r="AB275" s="57">
        <v>98</v>
      </c>
      <c r="AC275" s="57"/>
      <c r="AD275" s="57">
        <v>97</v>
      </c>
    </row>
    <row r="276" spans="1:30" s="38" customFormat="1" x14ac:dyDescent="0.2">
      <c r="A276" s="57" t="s">
        <v>234</v>
      </c>
      <c r="B276" s="57" t="s">
        <v>98</v>
      </c>
      <c r="C276" s="57" t="s">
        <v>42</v>
      </c>
      <c r="D276" s="57" t="s">
        <v>17</v>
      </c>
      <c r="E276" s="57">
        <v>2</v>
      </c>
      <c r="F276" s="57" t="s">
        <v>317</v>
      </c>
      <c r="G276" s="57" t="s">
        <v>19</v>
      </c>
      <c r="H276" s="57" t="s">
        <v>133</v>
      </c>
      <c r="I276" s="57" t="str">
        <f t="shared" si="8"/>
        <v>B2-P3-C3</v>
      </c>
      <c r="J276" s="57" t="str">
        <f t="shared" si="9"/>
        <v>Fagus-B2-P3-C3-A2</v>
      </c>
      <c r="K276" s="57" t="s">
        <v>21</v>
      </c>
      <c r="L276" s="57" t="s">
        <v>22</v>
      </c>
      <c r="M276" s="57" t="s">
        <v>134</v>
      </c>
      <c r="N276" s="37">
        <v>275</v>
      </c>
      <c r="O276" s="57">
        <v>9.6999999999999993</v>
      </c>
      <c r="P276" s="57">
        <v>60</v>
      </c>
      <c r="Q276" s="57">
        <v>9.85</v>
      </c>
      <c r="R276" s="57">
        <v>90</v>
      </c>
      <c r="S276" s="57">
        <v>11.35</v>
      </c>
      <c r="T276" s="57">
        <v>93</v>
      </c>
      <c r="U276" s="57">
        <v>12.02</v>
      </c>
      <c r="V276" s="57">
        <v>101</v>
      </c>
      <c r="W276" s="57">
        <v>12.58</v>
      </c>
      <c r="X276" s="57">
        <v>101</v>
      </c>
      <c r="Y276" s="57">
        <v>12.96</v>
      </c>
      <c r="Z276" s="57">
        <v>104</v>
      </c>
      <c r="AA276" s="57">
        <v>12.64</v>
      </c>
      <c r="AB276" s="57">
        <v>102</v>
      </c>
      <c r="AC276" s="57"/>
      <c r="AD276" s="57">
        <v>102</v>
      </c>
    </row>
    <row r="277" spans="1:30" s="38" customFormat="1" x14ac:dyDescent="0.2">
      <c r="A277" s="57" t="s">
        <v>234</v>
      </c>
      <c r="B277" s="57" t="s">
        <v>98</v>
      </c>
      <c r="C277" s="57" t="s">
        <v>42</v>
      </c>
      <c r="D277" s="57" t="s">
        <v>24</v>
      </c>
      <c r="E277" s="57">
        <v>2</v>
      </c>
      <c r="F277" s="57" t="s">
        <v>318</v>
      </c>
      <c r="G277" s="57" t="s">
        <v>19</v>
      </c>
      <c r="H277" s="57" t="s">
        <v>133</v>
      </c>
      <c r="I277" s="57" t="str">
        <f t="shared" si="8"/>
        <v>B2-P3-C3</v>
      </c>
      <c r="J277" s="57" t="str">
        <f t="shared" si="9"/>
        <v>Fagus-B2-P3-C3-B2</v>
      </c>
      <c r="K277" s="57" t="s">
        <v>21</v>
      </c>
      <c r="L277" s="57" t="s">
        <v>22</v>
      </c>
      <c r="M277" s="57" t="s">
        <v>134</v>
      </c>
      <c r="N277" s="37">
        <v>276</v>
      </c>
      <c r="O277" s="57">
        <v>10.199999999999999</v>
      </c>
      <c r="P277" s="57">
        <v>69.5</v>
      </c>
      <c r="Q277" s="57">
        <v>10.54</v>
      </c>
      <c r="R277" s="57">
        <v>72</v>
      </c>
      <c r="S277" s="57">
        <v>11.65</v>
      </c>
      <c r="T277" s="57">
        <v>59</v>
      </c>
      <c r="U277" s="57">
        <v>12.14</v>
      </c>
      <c r="V277" s="57">
        <v>83</v>
      </c>
      <c r="W277" s="57">
        <v>12.2</v>
      </c>
      <c r="X277" s="57">
        <v>84</v>
      </c>
      <c r="Y277" s="57">
        <v>12.41</v>
      </c>
      <c r="Z277" s="57">
        <v>87</v>
      </c>
      <c r="AA277" s="57">
        <v>12.36</v>
      </c>
      <c r="AB277" s="57">
        <v>85</v>
      </c>
      <c r="AC277" s="57"/>
      <c r="AD277" s="57">
        <v>84</v>
      </c>
    </row>
    <row r="278" spans="1:30" s="38" customFormat="1" x14ac:dyDescent="0.2">
      <c r="A278" s="57" t="s">
        <v>234</v>
      </c>
      <c r="B278" s="57" t="s">
        <v>98</v>
      </c>
      <c r="C278" s="57" t="s">
        <v>42</v>
      </c>
      <c r="D278" s="57" t="s">
        <v>17</v>
      </c>
      <c r="E278" s="57">
        <v>3</v>
      </c>
      <c r="F278" s="57" t="s">
        <v>319</v>
      </c>
      <c r="G278" s="57" t="s">
        <v>19</v>
      </c>
      <c r="H278" s="57" t="s">
        <v>133</v>
      </c>
      <c r="I278" s="57" t="str">
        <f t="shared" si="8"/>
        <v>B2-P3-C3</v>
      </c>
      <c r="J278" s="57" t="str">
        <f t="shared" si="9"/>
        <v>Fagus-B2-P3-C3-A3</v>
      </c>
      <c r="K278" s="57" t="s">
        <v>21</v>
      </c>
      <c r="L278" s="57" t="s">
        <v>22</v>
      </c>
      <c r="M278" s="57" t="s">
        <v>134</v>
      </c>
      <c r="N278" s="37">
        <v>277</v>
      </c>
      <c r="O278" s="57">
        <v>10.3</v>
      </c>
      <c r="P278" s="57">
        <v>82</v>
      </c>
      <c r="Q278" s="57">
        <v>10.4</v>
      </c>
      <c r="R278" s="57">
        <v>96</v>
      </c>
      <c r="S278" s="57">
        <v>12.06</v>
      </c>
      <c r="T278" s="57">
        <v>98</v>
      </c>
      <c r="U278" s="57">
        <v>12.99</v>
      </c>
      <c r="V278" s="57">
        <v>119</v>
      </c>
      <c r="W278" s="57">
        <v>13.85</v>
      </c>
      <c r="X278" s="57">
        <v>119</v>
      </c>
      <c r="Y278" s="57">
        <v>14.16</v>
      </c>
      <c r="Z278" s="57">
        <v>118</v>
      </c>
      <c r="AA278" s="57">
        <v>14.16</v>
      </c>
      <c r="AB278" s="57">
        <v>119</v>
      </c>
      <c r="AC278" s="57"/>
      <c r="AD278" s="57">
        <v>119</v>
      </c>
    </row>
    <row r="279" spans="1:30" s="38" customFormat="1" x14ac:dyDescent="0.2">
      <c r="A279" s="57" t="s">
        <v>234</v>
      </c>
      <c r="B279" s="57" t="s">
        <v>98</v>
      </c>
      <c r="C279" s="57" t="s">
        <v>42</v>
      </c>
      <c r="D279" s="57" t="s">
        <v>24</v>
      </c>
      <c r="E279" s="57">
        <v>3</v>
      </c>
      <c r="F279" s="57" t="s">
        <v>320</v>
      </c>
      <c r="G279" s="57" t="s">
        <v>19</v>
      </c>
      <c r="H279" s="57" t="s">
        <v>133</v>
      </c>
      <c r="I279" s="57" t="str">
        <f t="shared" si="8"/>
        <v>B2-P3-C3</v>
      </c>
      <c r="J279" s="57" t="str">
        <f t="shared" si="9"/>
        <v>Fagus-B2-P3-C3-B3</v>
      </c>
      <c r="K279" s="57" t="s">
        <v>21</v>
      </c>
      <c r="L279" s="57" t="s">
        <v>22</v>
      </c>
      <c r="M279" s="57" t="s">
        <v>134</v>
      </c>
      <c r="N279" s="37">
        <v>278</v>
      </c>
      <c r="O279" s="57">
        <v>11</v>
      </c>
      <c r="P279" s="57">
        <v>89.3</v>
      </c>
      <c r="Q279" s="57">
        <v>11</v>
      </c>
      <c r="R279" s="57">
        <v>99.5</v>
      </c>
      <c r="S279" s="57">
        <v>13.24</v>
      </c>
      <c r="T279" s="57">
        <v>112</v>
      </c>
      <c r="U279" s="57">
        <v>14.41</v>
      </c>
      <c r="V279" s="57">
        <v>129</v>
      </c>
      <c r="W279" s="57">
        <v>15.45</v>
      </c>
      <c r="X279" s="57">
        <v>132</v>
      </c>
      <c r="Y279" s="57">
        <v>15.9</v>
      </c>
      <c r="Z279" s="57">
        <v>129</v>
      </c>
      <c r="AA279" s="57">
        <v>15.83</v>
      </c>
      <c r="AB279" s="57">
        <v>131</v>
      </c>
      <c r="AC279" s="57"/>
      <c r="AD279" s="57">
        <v>130</v>
      </c>
    </row>
    <row r="280" spans="1:30" s="38" customFormat="1" x14ac:dyDescent="0.2">
      <c r="A280" s="57" t="s">
        <v>234</v>
      </c>
      <c r="B280" s="57" t="s">
        <v>98</v>
      </c>
      <c r="C280" s="57" t="s">
        <v>42</v>
      </c>
      <c r="D280" s="57" t="s">
        <v>17</v>
      </c>
      <c r="E280" s="57">
        <v>4</v>
      </c>
      <c r="F280" s="57" t="s">
        <v>321</v>
      </c>
      <c r="G280" s="57" t="s">
        <v>19</v>
      </c>
      <c r="H280" s="57" t="s">
        <v>133</v>
      </c>
      <c r="I280" s="57" t="str">
        <f t="shared" si="8"/>
        <v>B2-P3-C3</v>
      </c>
      <c r="J280" s="57" t="str">
        <f t="shared" si="9"/>
        <v>Fagus-B2-P3-C3-A4</v>
      </c>
      <c r="K280" s="57" t="s">
        <v>21</v>
      </c>
      <c r="L280" s="57" t="s">
        <v>22</v>
      </c>
      <c r="M280" s="57" t="s">
        <v>134</v>
      </c>
      <c r="N280" s="37">
        <v>279</v>
      </c>
      <c r="O280" s="57">
        <v>10</v>
      </c>
      <c r="P280" s="57">
        <v>58.5</v>
      </c>
      <c r="Q280" s="57">
        <v>10.3</v>
      </c>
      <c r="R280" s="57">
        <v>93</v>
      </c>
      <c r="S280" s="57">
        <v>11.52</v>
      </c>
      <c r="T280" s="57">
        <v>93</v>
      </c>
      <c r="U280" s="57">
        <v>13.3</v>
      </c>
      <c r="V280" s="57">
        <v>96</v>
      </c>
      <c r="W280" s="57">
        <v>14.1</v>
      </c>
      <c r="X280" s="57">
        <v>95</v>
      </c>
      <c r="Y280" s="57">
        <v>13.96</v>
      </c>
      <c r="Z280" s="57">
        <v>95</v>
      </c>
      <c r="AA280" s="57">
        <v>14.44</v>
      </c>
      <c r="AB280" s="57">
        <v>97</v>
      </c>
      <c r="AC280" s="57"/>
      <c r="AD280" s="57">
        <v>96</v>
      </c>
    </row>
    <row r="281" spans="1:30" s="38" customFormat="1" x14ac:dyDescent="0.2">
      <c r="A281" s="57" t="s">
        <v>234</v>
      </c>
      <c r="B281" s="57" t="s">
        <v>98</v>
      </c>
      <c r="C281" s="57" t="s">
        <v>42</v>
      </c>
      <c r="D281" s="57" t="s">
        <v>24</v>
      </c>
      <c r="E281" s="57">
        <v>4</v>
      </c>
      <c r="F281" s="57" t="s">
        <v>322</v>
      </c>
      <c r="G281" s="57" t="s">
        <v>19</v>
      </c>
      <c r="H281" s="57" t="s">
        <v>133</v>
      </c>
      <c r="I281" s="57" t="str">
        <f t="shared" si="8"/>
        <v>B2-P3-C3</v>
      </c>
      <c r="J281" s="57" t="str">
        <f t="shared" si="9"/>
        <v>Fagus-B2-P3-C3-B4</v>
      </c>
      <c r="K281" s="57" t="s">
        <v>21</v>
      </c>
      <c r="L281" s="57" t="s">
        <v>22</v>
      </c>
      <c r="M281" s="57" t="s">
        <v>134</v>
      </c>
      <c r="N281" s="37">
        <v>280</v>
      </c>
      <c r="O281" s="57">
        <v>12.1</v>
      </c>
      <c r="P281" s="57">
        <v>122.5</v>
      </c>
      <c r="Q281" s="57">
        <v>12.26</v>
      </c>
      <c r="R281" s="57">
        <v>142</v>
      </c>
      <c r="S281" s="57">
        <v>14.44</v>
      </c>
      <c r="T281" s="57">
        <v>141</v>
      </c>
      <c r="U281" s="57">
        <v>15.93</v>
      </c>
      <c r="V281" s="57">
        <v>139</v>
      </c>
      <c r="W281" s="57">
        <v>17.239999999999998</v>
      </c>
      <c r="X281" s="57">
        <v>139</v>
      </c>
      <c r="Y281" s="57">
        <v>17.47</v>
      </c>
      <c r="Z281" s="57">
        <v>140</v>
      </c>
      <c r="AA281" s="57">
        <v>17.510000000000002</v>
      </c>
      <c r="AB281" s="57">
        <v>142</v>
      </c>
      <c r="AC281" s="57"/>
      <c r="AD281" s="57">
        <v>139</v>
      </c>
    </row>
    <row r="282" spans="1:30" x14ac:dyDescent="0.2">
      <c r="A282" s="60" t="s">
        <v>234</v>
      </c>
      <c r="B282" s="60" t="s">
        <v>98</v>
      </c>
      <c r="C282" s="60" t="s">
        <v>53</v>
      </c>
      <c r="D282" s="60" t="s">
        <v>17</v>
      </c>
      <c r="E282" s="60">
        <v>1</v>
      </c>
      <c r="F282" s="60" t="s">
        <v>323</v>
      </c>
      <c r="G282" s="60" t="s">
        <v>35</v>
      </c>
      <c r="H282" s="60" t="s">
        <v>133</v>
      </c>
      <c r="I282" s="60" t="str">
        <f t="shared" si="8"/>
        <v>B2-P3-C4</v>
      </c>
      <c r="J282" s="60" t="str">
        <f t="shared" si="9"/>
        <v>Quercus-B2-P3-C4-A1</v>
      </c>
      <c r="K282" s="60" t="s">
        <v>21</v>
      </c>
      <c r="L282" s="60" t="s">
        <v>22</v>
      </c>
      <c r="M282" s="60" t="s">
        <v>134</v>
      </c>
      <c r="N282" s="15">
        <v>281</v>
      </c>
      <c r="O282" s="60">
        <v>4.9000000000000004</v>
      </c>
      <c r="P282" s="60">
        <v>36</v>
      </c>
      <c r="Q282" s="60">
        <v>5.66</v>
      </c>
      <c r="R282" s="60">
        <v>42</v>
      </c>
      <c r="S282" s="3">
        <v>6.06</v>
      </c>
      <c r="T282" s="3">
        <v>42.5</v>
      </c>
      <c r="U282" s="3">
        <v>7.03</v>
      </c>
      <c r="V282" s="3">
        <v>55</v>
      </c>
      <c r="W282" s="3">
        <v>7.71</v>
      </c>
      <c r="X282" s="3">
        <v>55.5</v>
      </c>
      <c r="Y282" s="3">
        <v>8.33</v>
      </c>
      <c r="Z282" s="3">
        <v>65</v>
      </c>
      <c r="AA282" s="3">
        <v>9.17</v>
      </c>
      <c r="AB282" s="3">
        <v>66</v>
      </c>
      <c r="AC282" s="3"/>
      <c r="AD282" s="3">
        <v>65</v>
      </c>
    </row>
    <row r="283" spans="1:30" x14ac:dyDescent="0.2">
      <c r="A283" s="60" t="s">
        <v>234</v>
      </c>
      <c r="B283" s="60" t="s">
        <v>98</v>
      </c>
      <c r="C283" s="60" t="s">
        <v>53</v>
      </c>
      <c r="D283" s="60" t="s">
        <v>24</v>
      </c>
      <c r="E283" s="60">
        <v>1</v>
      </c>
      <c r="F283" s="60" t="s">
        <v>324</v>
      </c>
      <c r="G283" s="60" t="s">
        <v>35</v>
      </c>
      <c r="H283" s="60" t="s">
        <v>133</v>
      </c>
      <c r="I283" s="60" t="str">
        <f t="shared" si="8"/>
        <v>B2-P3-C4</v>
      </c>
      <c r="J283" s="60" t="str">
        <f t="shared" si="9"/>
        <v>Quercus-B2-P3-C4-B1</v>
      </c>
      <c r="K283" s="60" t="s">
        <v>21</v>
      </c>
      <c r="L283" s="60" t="s">
        <v>22</v>
      </c>
      <c r="M283" s="60" t="s">
        <v>134</v>
      </c>
      <c r="N283" s="15">
        <v>282</v>
      </c>
      <c r="O283" s="60">
        <v>5.4</v>
      </c>
      <c r="P283" s="60">
        <v>43.5</v>
      </c>
      <c r="Q283" s="60">
        <v>6.05</v>
      </c>
      <c r="R283" s="60">
        <v>48</v>
      </c>
      <c r="S283" s="3">
        <v>6.72</v>
      </c>
      <c r="T283" s="3">
        <v>49</v>
      </c>
      <c r="U283" s="3">
        <v>7.93</v>
      </c>
      <c r="V283" s="3">
        <v>62</v>
      </c>
      <c r="W283" s="3">
        <v>9.15</v>
      </c>
      <c r="X283" s="3">
        <v>62.5</v>
      </c>
      <c r="Y283" s="3">
        <v>10.09</v>
      </c>
      <c r="Z283" s="3">
        <v>69</v>
      </c>
      <c r="AA283" s="3">
        <v>11.67</v>
      </c>
      <c r="AB283" s="3">
        <v>72</v>
      </c>
      <c r="AC283" s="3"/>
      <c r="AD283" s="3">
        <v>71</v>
      </c>
    </row>
    <row r="284" spans="1:30" x14ac:dyDescent="0.2">
      <c r="A284" s="60" t="s">
        <v>234</v>
      </c>
      <c r="B284" s="60" t="s">
        <v>98</v>
      </c>
      <c r="C284" s="60" t="s">
        <v>53</v>
      </c>
      <c r="D284" s="60" t="s">
        <v>17</v>
      </c>
      <c r="E284" s="60">
        <v>2</v>
      </c>
      <c r="F284" s="60" t="s">
        <v>325</v>
      </c>
      <c r="G284" s="60" t="s">
        <v>35</v>
      </c>
      <c r="H284" s="60" t="s">
        <v>133</v>
      </c>
      <c r="I284" s="60" t="str">
        <f t="shared" si="8"/>
        <v>B2-P3-C4</v>
      </c>
      <c r="J284" s="60" t="str">
        <f t="shared" si="9"/>
        <v>Quercus-B2-P3-C4-A2</v>
      </c>
      <c r="K284" s="60" t="s">
        <v>21</v>
      </c>
      <c r="L284" s="60" t="s">
        <v>22</v>
      </c>
      <c r="M284" s="60" t="s">
        <v>134</v>
      </c>
      <c r="N284" s="15">
        <v>283</v>
      </c>
      <c r="O284" s="60">
        <v>4.8</v>
      </c>
      <c r="P284" s="60">
        <v>46</v>
      </c>
      <c r="Q284" s="60">
        <v>5.7</v>
      </c>
      <c r="R284" s="60">
        <v>52</v>
      </c>
      <c r="S284" s="3">
        <v>6.47</v>
      </c>
      <c r="T284" s="3">
        <v>53.5</v>
      </c>
      <c r="U284" s="3">
        <v>6.59</v>
      </c>
      <c r="V284" s="3">
        <v>69</v>
      </c>
      <c r="W284" s="3">
        <v>7.73</v>
      </c>
      <c r="X284" s="3">
        <v>67.5</v>
      </c>
      <c r="Y284" s="3">
        <v>8.64</v>
      </c>
      <c r="Z284" s="3">
        <v>77</v>
      </c>
      <c r="AA284" s="3">
        <v>9.58</v>
      </c>
      <c r="AB284" s="3">
        <v>77</v>
      </c>
      <c r="AC284" s="3"/>
      <c r="AD284" s="3">
        <v>77</v>
      </c>
    </row>
    <row r="285" spans="1:30" x14ac:dyDescent="0.2">
      <c r="A285" s="60" t="s">
        <v>234</v>
      </c>
      <c r="B285" s="60" t="s">
        <v>98</v>
      </c>
      <c r="C285" s="60" t="s">
        <v>53</v>
      </c>
      <c r="D285" s="60" t="s">
        <v>24</v>
      </c>
      <c r="E285" s="60">
        <v>2</v>
      </c>
      <c r="F285" s="60" t="s">
        <v>326</v>
      </c>
      <c r="G285" s="60" t="s">
        <v>35</v>
      </c>
      <c r="H285" s="60" t="s">
        <v>133</v>
      </c>
      <c r="I285" s="60" t="str">
        <f t="shared" si="8"/>
        <v>B2-P3-C4</v>
      </c>
      <c r="J285" s="60" t="str">
        <f t="shared" si="9"/>
        <v>Quercus-B2-P3-C4-B2</v>
      </c>
      <c r="K285" s="60" t="s">
        <v>21</v>
      </c>
      <c r="L285" s="60" t="s">
        <v>22</v>
      </c>
      <c r="M285" s="60" t="s">
        <v>134</v>
      </c>
      <c r="N285" s="15">
        <v>284</v>
      </c>
      <c r="O285" s="60">
        <v>7.3</v>
      </c>
      <c r="P285" s="60">
        <v>49.6</v>
      </c>
      <c r="Q285" s="60">
        <v>8.5</v>
      </c>
      <c r="R285" s="60">
        <v>53.5</v>
      </c>
      <c r="S285" s="3">
        <v>8.77</v>
      </c>
      <c r="T285" s="3">
        <v>58</v>
      </c>
      <c r="U285" s="3">
        <v>10.26</v>
      </c>
      <c r="V285" s="3">
        <v>80</v>
      </c>
      <c r="W285" s="3">
        <v>11.48</v>
      </c>
      <c r="X285" s="3">
        <v>79.5</v>
      </c>
      <c r="Y285" s="3">
        <v>12.45</v>
      </c>
      <c r="Z285" s="3">
        <v>91</v>
      </c>
      <c r="AA285" s="3">
        <v>14.17</v>
      </c>
      <c r="AB285" s="3">
        <v>93</v>
      </c>
      <c r="AC285" s="3"/>
      <c r="AD285" s="3">
        <v>92</v>
      </c>
    </row>
    <row r="286" spans="1:30" x14ac:dyDescent="0.2">
      <c r="A286" s="60" t="s">
        <v>234</v>
      </c>
      <c r="B286" s="60" t="s">
        <v>98</v>
      </c>
      <c r="C286" s="60" t="s">
        <v>53</v>
      </c>
      <c r="D286" s="60" t="s">
        <v>17</v>
      </c>
      <c r="E286" s="60">
        <v>3</v>
      </c>
      <c r="F286" s="60" t="s">
        <v>327</v>
      </c>
      <c r="G286" s="60" t="s">
        <v>35</v>
      </c>
      <c r="H286" s="60" t="s">
        <v>133</v>
      </c>
      <c r="I286" s="60" t="str">
        <f t="shared" si="8"/>
        <v>B2-P3-C4</v>
      </c>
      <c r="J286" s="60" t="str">
        <f t="shared" si="9"/>
        <v>Quercus-B2-P3-C4-A3</v>
      </c>
      <c r="K286" s="60" t="s">
        <v>21</v>
      </c>
      <c r="L286" s="60" t="s">
        <v>22</v>
      </c>
      <c r="M286" s="60" t="s">
        <v>134</v>
      </c>
      <c r="N286" s="15">
        <v>285</v>
      </c>
      <c r="O286" s="60">
        <v>4.7</v>
      </c>
      <c r="P286" s="60">
        <v>46.2</v>
      </c>
      <c r="Q286" s="60">
        <v>5.56</v>
      </c>
      <c r="R286" s="60">
        <v>51.5</v>
      </c>
      <c r="S286" s="3">
        <v>6.7</v>
      </c>
      <c r="T286" s="3">
        <v>56</v>
      </c>
      <c r="U286" s="3">
        <v>7.76</v>
      </c>
      <c r="V286" s="3">
        <v>71</v>
      </c>
      <c r="W286" s="3">
        <v>8.49</v>
      </c>
      <c r="X286" s="3">
        <v>74</v>
      </c>
      <c r="Y286" s="3">
        <v>9.77</v>
      </c>
      <c r="Z286" s="3">
        <v>102</v>
      </c>
      <c r="AA286" s="3">
        <v>11.57</v>
      </c>
      <c r="AB286" s="3">
        <v>108</v>
      </c>
      <c r="AC286" s="3"/>
      <c r="AD286" s="3">
        <v>110</v>
      </c>
    </row>
    <row r="287" spans="1:30" x14ac:dyDescent="0.2">
      <c r="A287" s="60" t="s">
        <v>234</v>
      </c>
      <c r="B287" s="60" t="s">
        <v>98</v>
      </c>
      <c r="C287" s="60" t="s">
        <v>53</v>
      </c>
      <c r="D287" s="60" t="s">
        <v>24</v>
      </c>
      <c r="E287" s="60">
        <v>3</v>
      </c>
      <c r="F287" s="60" t="s">
        <v>328</v>
      </c>
      <c r="G287" s="60" t="s">
        <v>35</v>
      </c>
      <c r="H287" s="60" t="s">
        <v>133</v>
      </c>
      <c r="I287" s="60" t="str">
        <f t="shared" si="8"/>
        <v>B2-P3-C4</v>
      </c>
      <c r="J287" s="60" t="str">
        <f t="shared" si="9"/>
        <v>Quercus-B2-P3-C4-B3</v>
      </c>
      <c r="K287" s="60" t="s">
        <v>21</v>
      </c>
      <c r="L287" s="60" t="s">
        <v>22</v>
      </c>
      <c r="M287" s="60" t="s">
        <v>134</v>
      </c>
      <c r="N287" s="15">
        <v>286</v>
      </c>
      <c r="O287" s="60">
        <v>6</v>
      </c>
      <c r="P287" s="60">
        <v>47.7</v>
      </c>
      <c r="Q287" s="60">
        <v>6.33</v>
      </c>
      <c r="R287" s="60">
        <v>59.5</v>
      </c>
      <c r="S287" s="3">
        <v>7.56</v>
      </c>
      <c r="T287" s="3">
        <v>59.5</v>
      </c>
      <c r="U287" s="3">
        <v>8.52</v>
      </c>
      <c r="V287" s="3">
        <v>76</v>
      </c>
      <c r="W287" s="3">
        <v>11.53</v>
      </c>
      <c r="X287" s="3">
        <v>88</v>
      </c>
      <c r="Y287" s="3">
        <v>11.37</v>
      </c>
      <c r="Z287" s="3">
        <v>93</v>
      </c>
      <c r="AA287" s="3">
        <v>15.74</v>
      </c>
      <c r="AB287" s="3">
        <v>108</v>
      </c>
      <c r="AC287" s="3"/>
      <c r="AD287" s="3">
        <v>110</v>
      </c>
    </row>
    <row r="288" spans="1:30" x14ac:dyDescent="0.2">
      <c r="A288" s="60" t="s">
        <v>234</v>
      </c>
      <c r="B288" s="60" t="s">
        <v>98</v>
      </c>
      <c r="C288" s="60" t="s">
        <v>53</v>
      </c>
      <c r="D288" s="60" t="s">
        <v>17</v>
      </c>
      <c r="E288" s="60">
        <v>4</v>
      </c>
      <c r="F288" s="60" t="s">
        <v>329</v>
      </c>
      <c r="G288" s="60" t="s">
        <v>35</v>
      </c>
      <c r="H288" s="60" t="s">
        <v>133</v>
      </c>
      <c r="I288" s="60" t="str">
        <f t="shared" si="8"/>
        <v>B2-P3-C4</v>
      </c>
      <c r="J288" s="60" t="str">
        <f t="shared" si="9"/>
        <v>Quercus-B2-P3-C4-A4</v>
      </c>
      <c r="K288" s="60" t="s">
        <v>21</v>
      </c>
      <c r="L288" s="60" t="s">
        <v>22</v>
      </c>
      <c r="M288" s="60" t="s">
        <v>134</v>
      </c>
      <c r="N288" s="15">
        <v>287</v>
      </c>
      <c r="O288" s="60">
        <v>7.2</v>
      </c>
      <c r="P288" s="60">
        <v>56.6</v>
      </c>
      <c r="Q288" s="60">
        <v>8.17</v>
      </c>
      <c r="R288" s="60">
        <v>60</v>
      </c>
      <c r="S288" s="3">
        <v>8.7100000000000009</v>
      </c>
      <c r="T288" s="3">
        <v>65</v>
      </c>
      <c r="U288" s="3">
        <v>10.25</v>
      </c>
      <c r="V288" s="3">
        <v>81</v>
      </c>
      <c r="W288" s="3">
        <v>11.45</v>
      </c>
      <c r="X288" s="3">
        <v>82</v>
      </c>
      <c r="Y288" s="3">
        <v>12.58</v>
      </c>
      <c r="Z288" s="3">
        <v>87</v>
      </c>
      <c r="AA288" s="3">
        <v>14.4</v>
      </c>
      <c r="AB288" s="3">
        <v>93</v>
      </c>
      <c r="AC288" s="3"/>
      <c r="AD288" s="3">
        <v>93</v>
      </c>
    </row>
    <row r="289" spans="1:30" x14ac:dyDescent="0.2">
      <c r="A289" s="60" t="s">
        <v>234</v>
      </c>
      <c r="B289" s="60" t="s">
        <v>98</v>
      </c>
      <c r="C289" s="60" t="s">
        <v>53</v>
      </c>
      <c r="D289" s="60" t="s">
        <v>24</v>
      </c>
      <c r="E289" s="60">
        <v>4</v>
      </c>
      <c r="F289" s="60" t="s">
        <v>330</v>
      </c>
      <c r="G289" s="60" t="s">
        <v>35</v>
      </c>
      <c r="H289" s="60" t="s">
        <v>133</v>
      </c>
      <c r="I289" s="60" t="str">
        <f t="shared" si="8"/>
        <v>B2-P3-C4</v>
      </c>
      <c r="J289" s="60" t="str">
        <f t="shared" si="9"/>
        <v>Quercus-B2-P3-C4-B4</v>
      </c>
      <c r="K289" s="60" t="s">
        <v>21</v>
      </c>
      <c r="L289" s="60" t="s">
        <v>22</v>
      </c>
      <c r="M289" s="60" t="s">
        <v>134</v>
      </c>
      <c r="N289" s="15">
        <v>288</v>
      </c>
      <c r="O289" s="60">
        <v>8.4</v>
      </c>
      <c r="P289" s="60">
        <v>48.5</v>
      </c>
      <c r="Q289" s="60">
        <v>9.5</v>
      </c>
      <c r="R289" s="60">
        <v>54</v>
      </c>
      <c r="S289" s="3">
        <v>9.5500000000000007</v>
      </c>
      <c r="T289" s="3">
        <v>54.5</v>
      </c>
      <c r="U289" s="3">
        <v>11.98</v>
      </c>
      <c r="V289" s="3">
        <v>69</v>
      </c>
      <c r="W289" s="3">
        <v>14.87</v>
      </c>
      <c r="X289" s="3">
        <v>69.5</v>
      </c>
      <c r="Y289" s="3">
        <v>15.56</v>
      </c>
      <c r="Z289" s="3">
        <v>89</v>
      </c>
      <c r="AA289" s="3">
        <v>15.42</v>
      </c>
      <c r="AB289" s="3">
        <v>89</v>
      </c>
      <c r="AC289" s="3"/>
      <c r="AD289" s="3">
        <v>89</v>
      </c>
    </row>
    <row r="290" spans="1:30" s="38" customFormat="1" x14ac:dyDescent="0.2">
      <c r="A290" s="57" t="s">
        <v>234</v>
      </c>
      <c r="B290" s="57" t="s">
        <v>131</v>
      </c>
      <c r="C290" s="57" t="s">
        <v>16</v>
      </c>
      <c r="D290" s="57" t="s">
        <v>17</v>
      </c>
      <c r="E290" s="57">
        <v>1</v>
      </c>
      <c r="F290" s="57" t="s">
        <v>331</v>
      </c>
      <c r="G290" s="57" t="s">
        <v>35</v>
      </c>
      <c r="H290" s="57" t="s">
        <v>20</v>
      </c>
      <c r="I290" s="57" t="str">
        <f t="shared" si="8"/>
        <v>B2-P4-C1</v>
      </c>
      <c r="J290" s="57" t="str">
        <f t="shared" si="9"/>
        <v>Quercus-B2-P4-C1-A1</v>
      </c>
      <c r="K290" s="57" t="s">
        <v>64</v>
      </c>
      <c r="L290" s="57" t="s">
        <v>44</v>
      </c>
      <c r="M290" s="57" t="s">
        <v>65</v>
      </c>
      <c r="N290" s="37">
        <v>289</v>
      </c>
      <c r="O290" s="57">
        <v>4.8</v>
      </c>
      <c r="P290" s="57">
        <v>27</v>
      </c>
      <c r="Q290" s="57">
        <v>5.27</v>
      </c>
      <c r="R290" s="57">
        <v>36</v>
      </c>
      <c r="S290" s="57">
        <v>5.24</v>
      </c>
      <c r="T290" s="57">
        <v>36</v>
      </c>
      <c r="U290" s="57">
        <v>5.22</v>
      </c>
      <c r="V290" s="57">
        <v>34</v>
      </c>
      <c r="W290" s="57">
        <v>5.92</v>
      </c>
      <c r="X290" s="57">
        <v>35.5</v>
      </c>
      <c r="Y290" s="57">
        <v>6.5</v>
      </c>
      <c r="Z290" s="57">
        <v>37</v>
      </c>
      <c r="AA290" s="57">
        <v>7.08</v>
      </c>
      <c r="AB290" s="57">
        <v>37</v>
      </c>
      <c r="AC290" s="57"/>
      <c r="AD290" s="57">
        <v>36</v>
      </c>
    </row>
    <row r="291" spans="1:30" s="38" customFormat="1" x14ac:dyDescent="0.2">
      <c r="A291" s="57" t="s">
        <v>234</v>
      </c>
      <c r="B291" s="57" t="s">
        <v>131</v>
      </c>
      <c r="C291" s="57" t="s">
        <v>16</v>
      </c>
      <c r="D291" s="57" t="s">
        <v>24</v>
      </c>
      <c r="E291" s="57">
        <v>1</v>
      </c>
      <c r="F291" s="57" t="s">
        <v>332</v>
      </c>
      <c r="G291" s="57" t="s">
        <v>35</v>
      </c>
      <c r="H291" s="57" t="s">
        <v>20</v>
      </c>
      <c r="I291" s="57" t="str">
        <f t="shared" si="8"/>
        <v>B2-P4-C1</v>
      </c>
      <c r="J291" s="57" t="str">
        <f t="shared" si="9"/>
        <v>Quercus-B2-P4-C1-B1</v>
      </c>
      <c r="K291" s="57" t="s">
        <v>64</v>
      </c>
      <c r="L291" s="57" t="s">
        <v>44</v>
      </c>
      <c r="M291" s="57" t="s">
        <v>65</v>
      </c>
      <c r="N291" s="37">
        <v>290</v>
      </c>
      <c r="O291" s="57">
        <v>5.8</v>
      </c>
      <c r="P291" s="57">
        <v>42.5</v>
      </c>
      <c r="Q291" s="57">
        <v>6.8</v>
      </c>
      <c r="R291" s="57">
        <v>53</v>
      </c>
      <c r="S291" s="57">
        <v>6.7</v>
      </c>
      <c r="T291" s="57">
        <v>53</v>
      </c>
      <c r="U291" s="57">
        <v>6.36</v>
      </c>
      <c r="V291" s="57">
        <v>53</v>
      </c>
      <c r="W291" s="57">
        <v>7.28</v>
      </c>
      <c r="X291" s="57">
        <v>51</v>
      </c>
      <c r="Y291" s="57">
        <v>7.83</v>
      </c>
      <c r="Z291" s="57">
        <v>55</v>
      </c>
      <c r="AA291" s="57">
        <v>8.74</v>
      </c>
      <c r="AB291" s="57">
        <v>56</v>
      </c>
      <c r="AC291" s="57"/>
      <c r="AD291" s="57">
        <v>55</v>
      </c>
    </row>
    <row r="292" spans="1:30" s="38" customFormat="1" x14ac:dyDescent="0.2">
      <c r="A292" s="57" t="s">
        <v>234</v>
      </c>
      <c r="B292" s="57" t="s">
        <v>131</v>
      </c>
      <c r="C292" s="57" t="s">
        <v>16</v>
      </c>
      <c r="D292" s="57" t="s">
        <v>17</v>
      </c>
      <c r="E292" s="57">
        <v>2</v>
      </c>
      <c r="F292" s="57" t="s">
        <v>333</v>
      </c>
      <c r="G292" s="57" t="s">
        <v>35</v>
      </c>
      <c r="H292" s="57" t="s">
        <v>20</v>
      </c>
      <c r="I292" s="57" t="str">
        <f t="shared" si="8"/>
        <v>B2-P4-C1</v>
      </c>
      <c r="J292" s="57" t="str">
        <f t="shared" si="9"/>
        <v>Quercus-B2-P4-C1-A2</v>
      </c>
      <c r="K292" s="57" t="s">
        <v>64</v>
      </c>
      <c r="L292" s="57" t="s">
        <v>44</v>
      </c>
      <c r="M292" s="57" t="s">
        <v>65</v>
      </c>
      <c r="N292" s="37">
        <v>291</v>
      </c>
      <c r="O292" s="57">
        <v>3.5</v>
      </c>
      <c r="P292" s="57">
        <v>25</v>
      </c>
      <c r="Q292" s="57">
        <v>4.08</v>
      </c>
      <c r="R292" s="57">
        <v>32.5</v>
      </c>
      <c r="S292" s="57">
        <v>4.05</v>
      </c>
      <c r="T292" s="57">
        <v>32.5</v>
      </c>
      <c r="U292" s="57">
        <v>4</v>
      </c>
      <c r="V292" s="57">
        <v>32</v>
      </c>
      <c r="W292" s="57">
        <v>4.6900000000000004</v>
      </c>
      <c r="X292" s="57">
        <v>32</v>
      </c>
      <c r="Y292" s="57">
        <v>5.74</v>
      </c>
      <c r="Z292" s="57">
        <v>36</v>
      </c>
      <c r="AA292" s="57">
        <v>6.48</v>
      </c>
      <c r="AB292" s="57">
        <v>36</v>
      </c>
      <c r="AC292" s="57"/>
      <c r="AD292" s="57">
        <v>37</v>
      </c>
    </row>
    <row r="293" spans="1:30" s="38" customFormat="1" x14ac:dyDescent="0.2">
      <c r="A293" s="57" t="s">
        <v>234</v>
      </c>
      <c r="B293" s="57" t="s">
        <v>131</v>
      </c>
      <c r="C293" s="57" t="s">
        <v>16</v>
      </c>
      <c r="D293" s="57" t="s">
        <v>24</v>
      </c>
      <c r="E293" s="57">
        <v>2</v>
      </c>
      <c r="F293" s="57" t="s">
        <v>334</v>
      </c>
      <c r="G293" s="57" t="s">
        <v>35</v>
      </c>
      <c r="H293" s="57" t="s">
        <v>20</v>
      </c>
      <c r="I293" s="57" t="str">
        <f t="shared" si="8"/>
        <v>B2-P4-C1</v>
      </c>
      <c r="J293" s="57" t="str">
        <f t="shared" si="9"/>
        <v>Quercus-B2-P4-C1-B2</v>
      </c>
      <c r="K293" s="57" t="s">
        <v>64</v>
      </c>
      <c r="L293" s="57" t="s">
        <v>44</v>
      </c>
      <c r="M293" s="57" t="s">
        <v>65</v>
      </c>
      <c r="N293" s="37">
        <v>292</v>
      </c>
      <c r="O293" s="57">
        <v>3.7</v>
      </c>
      <c r="P293" s="57">
        <v>30</v>
      </c>
      <c r="Q293" s="57">
        <v>3.84</v>
      </c>
      <c r="R293" s="57">
        <v>35</v>
      </c>
      <c r="S293" s="57">
        <v>4.03</v>
      </c>
      <c r="T293" s="57">
        <v>37</v>
      </c>
      <c r="U293" s="57">
        <v>3.74</v>
      </c>
      <c r="V293" s="57">
        <v>38</v>
      </c>
      <c r="W293" s="57">
        <v>3.93</v>
      </c>
      <c r="X293" s="57">
        <v>36</v>
      </c>
      <c r="Y293" s="57">
        <v>3.74</v>
      </c>
      <c r="Z293" s="57">
        <v>35</v>
      </c>
      <c r="AA293" s="57">
        <v>5.04</v>
      </c>
      <c r="AB293" s="57">
        <v>35</v>
      </c>
      <c r="AC293" s="57"/>
      <c r="AD293" s="57">
        <v>35</v>
      </c>
    </row>
    <row r="294" spans="1:30" s="38" customFormat="1" x14ac:dyDescent="0.2">
      <c r="A294" s="57" t="s">
        <v>234</v>
      </c>
      <c r="B294" s="57" t="s">
        <v>131</v>
      </c>
      <c r="C294" s="57" t="s">
        <v>16</v>
      </c>
      <c r="D294" s="57" t="s">
        <v>17</v>
      </c>
      <c r="E294" s="57">
        <v>3</v>
      </c>
      <c r="F294" s="57" t="s">
        <v>335</v>
      </c>
      <c r="G294" s="57" t="s">
        <v>35</v>
      </c>
      <c r="H294" s="57" t="s">
        <v>20</v>
      </c>
      <c r="I294" s="57" t="str">
        <f t="shared" si="8"/>
        <v>B2-P4-C1</v>
      </c>
      <c r="J294" s="57" t="str">
        <f t="shared" si="9"/>
        <v>Quercus-B2-P4-C1-A3</v>
      </c>
      <c r="K294" s="57" t="s">
        <v>64</v>
      </c>
      <c r="L294" s="57" t="s">
        <v>44</v>
      </c>
      <c r="M294" s="57" t="s">
        <v>65</v>
      </c>
      <c r="N294" s="37">
        <v>293</v>
      </c>
      <c r="O294" s="57">
        <v>4.4000000000000004</v>
      </c>
      <c r="P294" s="57">
        <v>31</v>
      </c>
      <c r="Q294" s="57">
        <v>5.0999999999999996</v>
      </c>
      <c r="R294" s="57">
        <v>40</v>
      </c>
      <c r="S294" s="57">
        <v>5.04</v>
      </c>
      <c r="T294" s="57">
        <v>39</v>
      </c>
      <c r="U294" s="57">
        <v>4.8499999999999996</v>
      </c>
      <c r="V294" s="57">
        <v>40</v>
      </c>
      <c r="W294" s="57">
        <v>5.78</v>
      </c>
      <c r="X294" s="57">
        <v>40</v>
      </c>
      <c r="Y294" s="57">
        <v>5.61</v>
      </c>
      <c r="Z294" s="57">
        <v>41</v>
      </c>
      <c r="AA294" s="57">
        <v>6.97</v>
      </c>
      <c r="AB294" s="57">
        <v>40.5</v>
      </c>
      <c r="AC294" s="57"/>
      <c r="AD294" s="83">
        <v>44</v>
      </c>
    </row>
    <row r="295" spans="1:30" s="38" customFormat="1" x14ac:dyDescent="0.2">
      <c r="A295" s="57" t="s">
        <v>234</v>
      </c>
      <c r="B295" s="57" t="s">
        <v>131</v>
      </c>
      <c r="C295" s="57" t="s">
        <v>16</v>
      </c>
      <c r="D295" s="57" t="s">
        <v>24</v>
      </c>
      <c r="E295" s="57">
        <v>3</v>
      </c>
      <c r="F295" s="57" t="s">
        <v>336</v>
      </c>
      <c r="G295" s="57" t="s">
        <v>35</v>
      </c>
      <c r="H295" s="57" t="s">
        <v>20</v>
      </c>
      <c r="I295" s="57" t="str">
        <f t="shared" si="8"/>
        <v>B2-P4-C1</v>
      </c>
      <c r="J295" s="57" t="str">
        <f t="shared" si="9"/>
        <v>Quercus-B2-P4-C1-B3</v>
      </c>
      <c r="K295" s="57" t="s">
        <v>64</v>
      </c>
      <c r="L295" s="57" t="s">
        <v>44</v>
      </c>
      <c r="M295" s="57" t="s">
        <v>65</v>
      </c>
      <c r="N295" s="37">
        <v>294</v>
      </c>
      <c r="O295" s="57">
        <v>4.0999999999999996</v>
      </c>
      <c r="P295" s="57">
        <v>35</v>
      </c>
      <c r="Q295" s="57">
        <v>4.46</v>
      </c>
      <c r="R295" s="57">
        <v>45.5</v>
      </c>
      <c r="S295" s="57">
        <v>4.5</v>
      </c>
      <c r="T295" s="57">
        <v>50.5</v>
      </c>
      <c r="U295" s="57">
        <v>4.82</v>
      </c>
      <c r="V295" s="57">
        <v>47</v>
      </c>
      <c r="W295" s="57">
        <v>5.43</v>
      </c>
      <c r="X295" s="57">
        <v>49.5</v>
      </c>
      <c r="Y295" s="57">
        <v>6.04</v>
      </c>
      <c r="Z295" s="57">
        <v>54</v>
      </c>
      <c r="AA295" s="57">
        <v>6.88</v>
      </c>
      <c r="AB295" s="57">
        <v>51</v>
      </c>
      <c r="AC295" s="57"/>
      <c r="AD295" s="57">
        <v>53</v>
      </c>
    </row>
    <row r="296" spans="1:30" s="38" customFormat="1" x14ac:dyDescent="0.2">
      <c r="A296" s="57" t="s">
        <v>234</v>
      </c>
      <c r="B296" s="57" t="s">
        <v>131</v>
      </c>
      <c r="C296" s="57" t="s">
        <v>16</v>
      </c>
      <c r="D296" s="57" t="s">
        <v>17</v>
      </c>
      <c r="E296" s="57">
        <v>4</v>
      </c>
      <c r="F296" s="57" t="s">
        <v>337</v>
      </c>
      <c r="G296" s="57" t="s">
        <v>35</v>
      </c>
      <c r="H296" s="57" t="s">
        <v>20</v>
      </c>
      <c r="I296" s="57" t="str">
        <f t="shared" si="8"/>
        <v>B2-P4-C1</v>
      </c>
      <c r="J296" s="57" t="str">
        <f t="shared" si="9"/>
        <v>Quercus-B2-P4-C1-A4</v>
      </c>
      <c r="K296" s="57" t="s">
        <v>64</v>
      </c>
      <c r="L296" s="57" t="s">
        <v>44</v>
      </c>
      <c r="M296" s="57" t="s">
        <v>65</v>
      </c>
      <c r="N296" s="37">
        <v>295</v>
      </c>
      <c r="O296" s="57">
        <v>4.4000000000000004</v>
      </c>
      <c r="P296" s="57">
        <v>28</v>
      </c>
      <c r="Q296" s="57">
        <v>5.0999999999999996</v>
      </c>
      <c r="R296" s="57">
        <v>39</v>
      </c>
      <c r="S296" s="57">
        <v>5.25</v>
      </c>
      <c r="T296" s="57">
        <v>43</v>
      </c>
      <c r="U296" s="57">
        <v>5.03</v>
      </c>
      <c r="V296" s="57">
        <v>43</v>
      </c>
      <c r="W296" s="57">
        <v>5.55</v>
      </c>
      <c r="X296" s="57">
        <v>40</v>
      </c>
      <c r="Y296" s="57">
        <v>4.9400000000000004</v>
      </c>
      <c r="Z296" s="57">
        <v>43</v>
      </c>
      <c r="AA296" s="57">
        <v>6.32</v>
      </c>
      <c r="AB296" s="57">
        <v>43</v>
      </c>
      <c r="AC296" s="57"/>
      <c r="AD296" s="57">
        <v>43</v>
      </c>
    </row>
    <row r="297" spans="1:30" s="38" customFormat="1" x14ac:dyDescent="0.2">
      <c r="A297" s="57" t="s">
        <v>234</v>
      </c>
      <c r="B297" s="57" t="s">
        <v>131</v>
      </c>
      <c r="C297" s="57" t="s">
        <v>16</v>
      </c>
      <c r="D297" s="57" t="s">
        <v>24</v>
      </c>
      <c r="E297" s="57">
        <v>4</v>
      </c>
      <c r="F297" s="57" t="s">
        <v>338</v>
      </c>
      <c r="G297" s="57" t="s">
        <v>35</v>
      </c>
      <c r="H297" s="57" t="s">
        <v>20</v>
      </c>
      <c r="I297" s="57" t="str">
        <f t="shared" si="8"/>
        <v>B2-P4-C1</v>
      </c>
      <c r="J297" s="57" t="str">
        <f t="shared" si="9"/>
        <v>Quercus-B2-P4-C1-B4</v>
      </c>
      <c r="K297" s="57" t="s">
        <v>64</v>
      </c>
      <c r="L297" s="57" t="s">
        <v>44</v>
      </c>
      <c r="M297" s="57" t="s">
        <v>65</v>
      </c>
      <c r="N297" s="37">
        <v>296</v>
      </c>
      <c r="O297" s="57">
        <v>3.6</v>
      </c>
      <c r="P297" s="57">
        <v>25.5</v>
      </c>
      <c r="Q297" s="57">
        <v>4.05</v>
      </c>
      <c r="R297" s="57">
        <v>29</v>
      </c>
      <c r="S297" s="57">
        <v>4.05</v>
      </c>
      <c r="T297" s="57">
        <v>29.5</v>
      </c>
      <c r="U297" s="57">
        <v>4.2</v>
      </c>
      <c r="V297" s="57">
        <v>29</v>
      </c>
      <c r="W297" s="57">
        <v>4.6900000000000004</v>
      </c>
      <c r="X297" s="57">
        <v>28</v>
      </c>
      <c r="Y297" s="57">
        <v>5.97</v>
      </c>
      <c r="Z297" s="57">
        <v>32</v>
      </c>
      <c r="AA297" s="57">
        <v>6.64</v>
      </c>
      <c r="AB297" s="57">
        <v>32</v>
      </c>
      <c r="AC297" s="57"/>
      <c r="AD297" s="57">
        <v>34</v>
      </c>
    </row>
    <row r="298" spans="1:30" x14ac:dyDescent="0.2">
      <c r="A298" s="60" t="s">
        <v>234</v>
      </c>
      <c r="B298" s="60" t="s">
        <v>131</v>
      </c>
      <c r="C298" s="60" t="s">
        <v>32</v>
      </c>
      <c r="D298" s="60" t="s">
        <v>17</v>
      </c>
      <c r="E298" s="60">
        <v>1</v>
      </c>
      <c r="F298" s="60" t="s">
        <v>339</v>
      </c>
      <c r="G298" s="60" t="s">
        <v>19</v>
      </c>
      <c r="H298" s="60" t="s">
        <v>20</v>
      </c>
      <c r="I298" s="60" t="str">
        <f t="shared" si="8"/>
        <v>B2-P4-C2</v>
      </c>
      <c r="J298" s="60" t="str">
        <f t="shared" si="9"/>
        <v>Fagus-B2-P4-C2-A1</v>
      </c>
      <c r="K298" s="60" t="s">
        <v>64</v>
      </c>
      <c r="L298" s="60" t="s">
        <v>44</v>
      </c>
      <c r="M298" s="60" t="s">
        <v>65</v>
      </c>
      <c r="N298" s="15">
        <v>297</v>
      </c>
      <c r="O298" s="60">
        <v>11</v>
      </c>
      <c r="P298" s="60">
        <v>71.7</v>
      </c>
      <c r="Q298" s="3">
        <v>11.04</v>
      </c>
      <c r="R298" s="60">
        <v>93.5</v>
      </c>
      <c r="S298" s="3">
        <v>11.38</v>
      </c>
      <c r="T298" s="3">
        <v>93.5</v>
      </c>
      <c r="U298" s="3">
        <v>11.54</v>
      </c>
      <c r="V298" s="3">
        <v>95</v>
      </c>
      <c r="W298" s="3">
        <v>11.37</v>
      </c>
      <c r="X298" s="3">
        <v>94.5</v>
      </c>
      <c r="Y298" s="3">
        <v>11.69</v>
      </c>
      <c r="Z298" s="3">
        <v>95</v>
      </c>
      <c r="AA298" s="3">
        <v>11.71</v>
      </c>
      <c r="AB298" s="3">
        <v>93</v>
      </c>
      <c r="AC298" s="3"/>
      <c r="AD298" s="3">
        <v>94</v>
      </c>
    </row>
    <row r="299" spans="1:30" x14ac:dyDescent="0.2">
      <c r="A299" s="60" t="s">
        <v>234</v>
      </c>
      <c r="B299" s="60" t="s">
        <v>131</v>
      </c>
      <c r="C299" s="60" t="s">
        <v>32</v>
      </c>
      <c r="D299" s="60" t="s">
        <v>24</v>
      </c>
      <c r="E299" s="60">
        <v>1</v>
      </c>
      <c r="F299" s="60" t="s">
        <v>340</v>
      </c>
      <c r="G299" s="60" t="s">
        <v>35</v>
      </c>
      <c r="H299" s="60" t="s">
        <v>20</v>
      </c>
      <c r="I299" s="60" t="str">
        <f t="shared" si="8"/>
        <v>B2-P4-C2</v>
      </c>
      <c r="J299" s="60" t="str">
        <f t="shared" si="9"/>
        <v>Quercus-B2-P4-C2-B1</v>
      </c>
      <c r="K299" s="60" t="s">
        <v>64</v>
      </c>
      <c r="L299" s="60" t="s">
        <v>44</v>
      </c>
      <c r="M299" s="60" t="s">
        <v>65</v>
      </c>
      <c r="N299" s="15">
        <v>298</v>
      </c>
      <c r="O299" s="60">
        <v>4</v>
      </c>
      <c r="P299" s="60">
        <v>33.5</v>
      </c>
      <c r="Q299" s="60">
        <v>4.4000000000000004</v>
      </c>
      <c r="R299" s="60">
        <v>40</v>
      </c>
      <c r="S299" s="3">
        <v>4.43</v>
      </c>
      <c r="T299" s="3">
        <v>41</v>
      </c>
      <c r="U299" s="3">
        <v>4.7300000000000004</v>
      </c>
      <c r="V299" s="3">
        <v>40</v>
      </c>
      <c r="W299" s="3">
        <v>4.8</v>
      </c>
      <c r="X299" s="3">
        <v>41.5</v>
      </c>
      <c r="Y299" s="3">
        <v>5.52</v>
      </c>
      <c r="Z299" s="3">
        <v>42</v>
      </c>
      <c r="AA299" s="3">
        <v>7.8</v>
      </c>
      <c r="AB299" s="3">
        <v>43</v>
      </c>
      <c r="AC299" s="3"/>
      <c r="AD299" s="3">
        <v>43</v>
      </c>
    </row>
    <row r="300" spans="1:30" x14ac:dyDescent="0.2">
      <c r="A300" s="60" t="s">
        <v>234</v>
      </c>
      <c r="B300" s="60" t="s">
        <v>131</v>
      </c>
      <c r="C300" s="60" t="s">
        <v>32</v>
      </c>
      <c r="D300" s="60" t="s">
        <v>17</v>
      </c>
      <c r="E300" s="60">
        <v>2</v>
      </c>
      <c r="F300" s="60" t="s">
        <v>341</v>
      </c>
      <c r="G300" s="60" t="s">
        <v>35</v>
      </c>
      <c r="H300" s="60" t="s">
        <v>20</v>
      </c>
      <c r="I300" s="60" t="str">
        <f t="shared" si="8"/>
        <v>B2-P4-C2</v>
      </c>
      <c r="J300" s="60" t="str">
        <f t="shared" si="9"/>
        <v>Quercus-B2-P4-C2-A2</v>
      </c>
      <c r="K300" s="60" t="s">
        <v>64</v>
      </c>
      <c r="L300" s="60" t="s">
        <v>44</v>
      </c>
      <c r="M300" s="60" t="s">
        <v>65</v>
      </c>
      <c r="N300" s="15">
        <v>299</v>
      </c>
      <c r="O300" s="60">
        <v>5.5</v>
      </c>
      <c r="P300" s="60">
        <v>34</v>
      </c>
      <c r="Q300" s="60">
        <v>6.32</v>
      </c>
      <c r="R300" s="60">
        <v>42.5</v>
      </c>
      <c r="S300" s="3">
        <v>6.34</v>
      </c>
      <c r="T300" s="3">
        <v>44</v>
      </c>
      <c r="U300" s="3">
        <v>6.34</v>
      </c>
      <c r="V300" s="3">
        <v>44</v>
      </c>
      <c r="W300" s="3">
        <v>6.83</v>
      </c>
      <c r="X300" s="3">
        <v>43</v>
      </c>
      <c r="Y300" s="3">
        <v>7.23</v>
      </c>
      <c r="Z300" s="3">
        <v>47</v>
      </c>
      <c r="AA300" s="3">
        <v>7.56</v>
      </c>
      <c r="AB300" s="3">
        <v>46</v>
      </c>
      <c r="AC300" s="3"/>
      <c r="AD300" s="3">
        <v>46</v>
      </c>
    </row>
    <row r="301" spans="1:30" x14ac:dyDescent="0.2">
      <c r="A301" s="60" t="s">
        <v>234</v>
      </c>
      <c r="B301" s="60" t="s">
        <v>131</v>
      </c>
      <c r="C301" s="60" t="s">
        <v>32</v>
      </c>
      <c r="D301" s="60" t="s">
        <v>24</v>
      </c>
      <c r="E301" s="60">
        <v>2</v>
      </c>
      <c r="F301" s="60" t="s">
        <v>342</v>
      </c>
      <c r="G301" s="60" t="s">
        <v>19</v>
      </c>
      <c r="H301" s="60" t="s">
        <v>20</v>
      </c>
      <c r="I301" s="60" t="str">
        <f t="shared" si="8"/>
        <v>B2-P4-C2</v>
      </c>
      <c r="J301" s="60" t="str">
        <f t="shared" si="9"/>
        <v>Fagus-B2-P4-C2-B2</v>
      </c>
      <c r="K301" s="60" t="s">
        <v>64</v>
      </c>
      <c r="L301" s="60" t="s">
        <v>44</v>
      </c>
      <c r="M301" s="60" t="s">
        <v>65</v>
      </c>
      <c r="N301" s="15">
        <v>300</v>
      </c>
      <c r="O301" s="60">
        <v>8.1</v>
      </c>
      <c r="P301" s="60">
        <v>79</v>
      </c>
      <c r="Q301" s="60">
        <v>8.1</v>
      </c>
      <c r="R301" s="60">
        <v>80</v>
      </c>
      <c r="S301" s="3">
        <v>8.17</v>
      </c>
      <c r="T301" s="3">
        <v>80.5</v>
      </c>
      <c r="U301" s="3">
        <v>8.2899999999999991</v>
      </c>
      <c r="V301" s="3">
        <v>77</v>
      </c>
      <c r="W301" s="3">
        <v>8.32</v>
      </c>
      <c r="X301" s="3">
        <v>80</v>
      </c>
      <c r="Y301" s="3">
        <v>7.26</v>
      </c>
      <c r="Z301" s="3">
        <v>76</v>
      </c>
      <c r="AA301" s="3">
        <v>8.07</v>
      </c>
      <c r="AB301" s="3">
        <v>77</v>
      </c>
      <c r="AC301" s="3"/>
      <c r="AD301" s="3">
        <v>79</v>
      </c>
    </row>
    <row r="302" spans="1:30" x14ac:dyDescent="0.2">
      <c r="A302" s="60" t="s">
        <v>234</v>
      </c>
      <c r="B302" s="60" t="s">
        <v>131</v>
      </c>
      <c r="C302" s="60" t="s">
        <v>32</v>
      </c>
      <c r="D302" s="60" t="s">
        <v>17</v>
      </c>
      <c r="E302" s="60">
        <v>3</v>
      </c>
      <c r="F302" s="60" t="s">
        <v>343</v>
      </c>
      <c r="G302" s="60" t="s">
        <v>19</v>
      </c>
      <c r="H302" s="60" t="s">
        <v>20</v>
      </c>
      <c r="I302" s="60" t="str">
        <f t="shared" si="8"/>
        <v>B2-P4-C2</v>
      </c>
      <c r="J302" s="60" t="str">
        <f t="shared" si="9"/>
        <v>Fagus-B2-P4-C2-A3</v>
      </c>
      <c r="K302" s="60" t="s">
        <v>64</v>
      </c>
      <c r="L302" s="60" t="s">
        <v>44</v>
      </c>
      <c r="M302" s="60" t="s">
        <v>65</v>
      </c>
      <c r="N302" s="15">
        <v>301</v>
      </c>
      <c r="O302" s="60">
        <v>8</v>
      </c>
      <c r="P302" s="60">
        <v>79</v>
      </c>
      <c r="Q302" s="60">
        <v>9.92</v>
      </c>
      <c r="R302" s="60">
        <v>98</v>
      </c>
      <c r="S302" s="3">
        <v>9.9700000000000006</v>
      </c>
      <c r="T302" s="3">
        <v>97</v>
      </c>
      <c r="U302" s="3">
        <v>9.8800000000000008</v>
      </c>
      <c r="V302" s="3">
        <v>98</v>
      </c>
      <c r="W302" s="3">
        <v>9.7899999999999991</v>
      </c>
      <c r="X302" s="3">
        <v>100</v>
      </c>
      <c r="Y302" s="3">
        <v>9.57</v>
      </c>
      <c r="Z302" s="3">
        <v>102</v>
      </c>
      <c r="AA302" s="3">
        <v>9.23</v>
      </c>
      <c r="AB302" s="3">
        <v>98</v>
      </c>
      <c r="AC302" s="3"/>
      <c r="AD302" s="3">
        <v>99</v>
      </c>
    </row>
    <row r="303" spans="1:30" x14ac:dyDescent="0.2">
      <c r="A303" s="60" t="s">
        <v>234</v>
      </c>
      <c r="B303" s="60" t="s">
        <v>131</v>
      </c>
      <c r="C303" s="60" t="s">
        <v>32</v>
      </c>
      <c r="D303" s="60" t="s">
        <v>24</v>
      </c>
      <c r="E303" s="60">
        <v>3</v>
      </c>
      <c r="F303" s="60" t="s">
        <v>344</v>
      </c>
      <c r="G303" s="60" t="s">
        <v>35</v>
      </c>
      <c r="H303" s="60" t="s">
        <v>20</v>
      </c>
      <c r="I303" s="60" t="str">
        <f t="shared" si="8"/>
        <v>B2-P4-C2</v>
      </c>
      <c r="J303" s="60" t="str">
        <f t="shared" si="9"/>
        <v>Quercus-B2-P4-C2-B3</v>
      </c>
      <c r="K303" s="60" t="s">
        <v>64</v>
      </c>
      <c r="L303" s="60" t="s">
        <v>44</v>
      </c>
      <c r="M303" s="60" t="s">
        <v>65</v>
      </c>
      <c r="N303" s="15">
        <v>302</v>
      </c>
      <c r="O303" s="60">
        <v>4.9000000000000004</v>
      </c>
      <c r="P303" s="60">
        <v>36</v>
      </c>
      <c r="Q303" s="60">
        <v>5.39</v>
      </c>
      <c r="R303" s="60">
        <v>50</v>
      </c>
      <c r="S303" s="3">
        <v>5.59</v>
      </c>
      <c r="T303" s="3">
        <v>50.5</v>
      </c>
      <c r="U303" s="3">
        <v>5.5</v>
      </c>
      <c r="V303" s="3">
        <v>52</v>
      </c>
      <c r="W303" s="3">
        <v>6.1</v>
      </c>
      <c r="X303" s="3">
        <v>54</v>
      </c>
      <c r="Y303" s="3">
        <v>7.01</v>
      </c>
      <c r="Z303" s="3">
        <v>60</v>
      </c>
      <c r="AA303" s="3">
        <v>6.93</v>
      </c>
      <c r="AB303" s="3">
        <v>59</v>
      </c>
      <c r="AC303" s="3"/>
      <c r="AD303" s="3">
        <v>59</v>
      </c>
    </row>
    <row r="304" spans="1:30" x14ac:dyDescent="0.2">
      <c r="A304" s="60" t="s">
        <v>234</v>
      </c>
      <c r="B304" s="60" t="s">
        <v>131</v>
      </c>
      <c r="C304" s="60" t="s">
        <v>32</v>
      </c>
      <c r="D304" s="60" t="s">
        <v>17</v>
      </c>
      <c r="E304" s="60">
        <v>4</v>
      </c>
      <c r="F304" s="60" t="s">
        <v>345</v>
      </c>
      <c r="G304" s="60" t="s">
        <v>35</v>
      </c>
      <c r="H304" s="60" t="s">
        <v>20</v>
      </c>
      <c r="I304" s="60" t="str">
        <f t="shared" si="8"/>
        <v>B2-P4-C2</v>
      </c>
      <c r="J304" s="60" t="str">
        <f t="shared" si="9"/>
        <v>Quercus-B2-P4-C2-A4</v>
      </c>
      <c r="K304" s="60" t="s">
        <v>64</v>
      </c>
      <c r="L304" s="60" t="s">
        <v>44</v>
      </c>
      <c r="M304" s="60" t="s">
        <v>65</v>
      </c>
      <c r="N304" s="15">
        <v>303</v>
      </c>
      <c r="O304" s="60">
        <v>6.4</v>
      </c>
      <c r="P304" s="60">
        <v>54</v>
      </c>
      <c r="Q304" s="60">
        <v>7.31</v>
      </c>
      <c r="R304" s="60">
        <v>62.5</v>
      </c>
      <c r="S304" s="3">
        <v>7.34</v>
      </c>
      <c r="T304" s="3">
        <v>66</v>
      </c>
      <c r="U304" s="3">
        <v>7.55</v>
      </c>
      <c r="V304" s="3">
        <v>68</v>
      </c>
      <c r="W304" s="3">
        <v>7.61</v>
      </c>
      <c r="X304" s="3">
        <v>67</v>
      </c>
      <c r="Y304" s="3">
        <v>8.8000000000000007</v>
      </c>
      <c r="Z304" s="3">
        <v>70</v>
      </c>
      <c r="AA304" s="3">
        <v>9.84</v>
      </c>
      <c r="AB304" s="3">
        <v>79</v>
      </c>
      <c r="AC304" s="3"/>
      <c r="AD304" s="82">
        <v>83</v>
      </c>
    </row>
    <row r="305" spans="1:30" x14ac:dyDescent="0.2">
      <c r="A305" s="60" t="s">
        <v>234</v>
      </c>
      <c r="B305" s="60" t="s">
        <v>131</v>
      </c>
      <c r="C305" s="60" t="s">
        <v>32</v>
      </c>
      <c r="D305" s="60" t="s">
        <v>24</v>
      </c>
      <c r="E305" s="60">
        <v>4</v>
      </c>
      <c r="F305" s="60" t="s">
        <v>346</v>
      </c>
      <c r="G305" s="60" t="s">
        <v>19</v>
      </c>
      <c r="H305" s="60" t="s">
        <v>20</v>
      </c>
      <c r="I305" s="60" t="str">
        <f t="shared" si="8"/>
        <v>B2-P4-C2</v>
      </c>
      <c r="J305" s="60" t="str">
        <f t="shared" si="9"/>
        <v>Fagus-B2-P4-C2-B4</v>
      </c>
      <c r="K305" s="60" t="s">
        <v>64</v>
      </c>
      <c r="L305" s="60" t="s">
        <v>44</v>
      </c>
      <c r="M305" s="60" t="s">
        <v>65</v>
      </c>
      <c r="N305" s="15">
        <v>304</v>
      </c>
      <c r="O305" s="60">
        <v>10.199999999999999</v>
      </c>
      <c r="P305" s="60">
        <v>86.5</v>
      </c>
      <c r="Q305" s="60">
        <v>10.32</v>
      </c>
      <c r="R305" s="60">
        <v>108</v>
      </c>
      <c r="S305" s="3">
        <v>11.44</v>
      </c>
      <c r="T305" s="3">
        <v>108</v>
      </c>
      <c r="U305" s="3">
        <v>11.68</v>
      </c>
      <c r="V305" s="3">
        <v>107</v>
      </c>
      <c r="W305" s="3">
        <v>11.53</v>
      </c>
      <c r="X305" s="3">
        <v>107</v>
      </c>
      <c r="Y305" s="3">
        <v>11.85</v>
      </c>
      <c r="Z305" s="3">
        <v>106</v>
      </c>
      <c r="AA305" s="3">
        <v>12.12</v>
      </c>
      <c r="AB305" s="3">
        <v>106</v>
      </c>
      <c r="AC305" s="3"/>
      <c r="AD305" s="3">
        <v>106</v>
      </c>
    </row>
    <row r="306" spans="1:30" s="38" customFormat="1" x14ac:dyDescent="0.2">
      <c r="A306" s="57" t="s">
        <v>234</v>
      </c>
      <c r="B306" s="57" t="s">
        <v>131</v>
      </c>
      <c r="C306" s="57" t="s">
        <v>42</v>
      </c>
      <c r="D306" s="57" t="s">
        <v>17</v>
      </c>
      <c r="E306" s="57">
        <v>1</v>
      </c>
      <c r="F306" s="57" t="s">
        <v>347</v>
      </c>
      <c r="G306" s="57" t="s">
        <v>19</v>
      </c>
      <c r="H306" s="57" t="s">
        <v>20</v>
      </c>
      <c r="I306" s="57" t="str">
        <f t="shared" si="8"/>
        <v>B2-P4-C3</v>
      </c>
      <c r="J306" s="57" t="str">
        <f t="shared" si="9"/>
        <v>Fagus-B2-P4-C3-A1</v>
      </c>
      <c r="K306" s="57" t="s">
        <v>21</v>
      </c>
      <c r="L306" s="57" t="s">
        <v>22</v>
      </c>
      <c r="M306" s="57" t="s">
        <v>23</v>
      </c>
      <c r="N306" s="37">
        <v>305</v>
      </c>
      <c r="O306" s="57">
        <v>9.1999999999999993</v>
      </c>
      <c r="P306" s="57">
        <v>57.2</v>
      </c>
      <c r="Q306" s="57">
        <v>9.34</v>
      </c>
      <c r="R306" s="57">
        <v>86</v>
      </c>
      <c r="S306" s="57">
        <v>9.9700000000000006</v>
      </c>
      <c r="T306" s="57">
        <v>87</v>
      </c>
      <c r="U306" s="57">
        <v>10.02</v>
      </c>
      <c r="V306" s="57">
        <v>97</v>
      </c>
      <c r="W306" s="57">
        <v>10.84</v>
      </c>
      <c r="X306" s="57">
        <v>97</v>
      </c>
      <c r="Y306" s="57">
        <v>12.15</v>
      </c>
      <c r="Z306" s="57">
        <v>97</v>
      </c>
      <c r="AA306" s="57">
        <v>12.05</v>
      </c>
      <c r="AB306" s="57">
        <v>96.5</v>
      </c>
      <c r="AC306" s="57"/>
      <c r="AD306" s="57">
        <v>96</v>
      </c>
    </row>
    <row r="307" spans="1:30" s="38" customFormat="1" x14ac:dyDescent="0.2">
      <c r="A307" s="57" t="s">
        <v>234</v>
      </c>
      <c r="B307" s="57" t="s">
        <v>131</v>
      </c>
      <c r="C307" s="57" t="s">
        <v>42</v>
      </c>
      <c r="D307" s="57" t="s">
        <v>24</v>
      </c>
      <c r="E307" s="57">
        <v>1</v>
      </c>
      <c r="F307" s="57" t="s">
        <v>348</v>
      </c>
      <c r="G307" s="57" t="s">
        <v>19</v>
      </c>
      <c r="H307" s="57" t="s">
        <v>20</v>
      </c>
      <c r="I307" s="57" t="str">
        <f t="shared" si="8"/>
        <v>B2-P4-C3</v>
      </c>
      <c r="J307" s="57" t="str">
        <f t="shared" si="9"/>
        <v>Fagus-B2-P4-C3-B1</v>
      </c>
      <c r="K307" s="57" t="s">
        <v>21</v>
      </c>
      <c r="L307" s="57" t="s">
        <v>22</v>
      </c>
      <c r="M307" s="57" t="s">
        <v>23</v>
      </c>
      <c r="N307" s="37">
        <v>306</v>
      </c>
      <c r="O307" s="57">
        <v>11</v>
      </c>
      <c r="P307" s="57">
        <v>95</v>
      </c>
      <c r="Q307" s="57">
        <v>11</v>
      </c>
      <c r="R307" s="57">
        <v>127.5</v>
      </c>
      <c r="S307" s="57">
        <v>12.99</v>
      </c>
      <c r="T307" s="57">
        <v>137</v>
      </c>
      <c r="U307" s="57">
        <v>14.22</v>
      </c>
      <c r="V307" s="57">
        <v>136</v>
      </c>
      <c r="W307" s="57">
        <v>15.02</v>
      </c>
      <c r="X307" s="57">
        <v>137</v>
      </c>
      <c r="Y307" s="57">
        <v>15.21</v>
      </c>
      <c r="Z307" s="57">
        <v>137</v>
      </c>
      <c r="AA307" s="57">
        <v>15.14</v>
      </c>
      <c r="AB307" s="57">
        <v>136.5</v>
      </c>
      <c r="AC307" s="57"/>
      <c r="AD307" s="57">
        <v>136</v>
      </c>
    </row>
    <row r="308" spans="1:30" s="38" customFormat="1" x14ac:dyDescent="0.2">
      <c r="A308" s="57" t="s">
        <v>234</v>
      </c>
      <c r="B308" s="57" t="s">
        <v>131</v>
      </c>
      <c r="C308" s="57" t="s">
        <v>42</v>
      </c>
      <c r="D308" s="57" t="s">
        <v>17</v>
      </c>
      <c r="E308" s="57">
        <v>2</v>
      </c>
      <c r="F308" s="57" t="s">
        <v>349</v>
      </c>
      <c r="G308" s="57" t="s">
        <v>19</v>
      </c>
      <c r="H308" s="57" t="s">
        <v>20</v>
      </c>
      <c r="I308" s="57" t="str">
        <f t="shared" si="8"/>
        <v>B2-P4-C3</v>
      </c>
      <c r="J308" s="57" t="str">
        <f t="shared" si="9"/>
        <v>Fagus-B2-P4-C3-A2</v>
      </c>
      <c r="K308" s="57" t="s">
        <v>21</v>
      </c>
      <c r="L308" s="57" t="s">
        <v>22</v>
      </c>
      <c r="M308" s="57" t="s">
        <v>23</v>
      </c>
      <c r="N308" s="37">
        <v>307</v>
      </c>
      <c r="O308" s="57">
        <v>10.9</v>
      </c>
      <c r="P308" s="57">
        <v>67.5</v>
      </c>
      <c r="Q308" s="57">
        <v>11.35</v>
      </c>
      <c r="R308" s="57">
        <v>85</v>
      </c>
      <c r="S308" s="57">
        <v>12.17</v>
      </c>
      <c r="T308" s="57">
        <v>84</v>
      </c>
      <c r="U308" s="57">
        <v>12.29</v>
      </c>
      <c r="V308" s="57">
        <v>93</v>
      </c>
      <c r="W308" s="57">
        <v>12.79</v>
      </c>
      <c r="X308" s="57">
        <v>92.5</v>
      </c>
      <c r="Y308" s="57">
        <v>12.61</v>
      </c>
      <c r="Z308" s="57">
        <v>95</v>
      </c>
      <c r="AA308" s="57">
        <v>12.74</v>
      </c>
      <c r="AB308" s="57">
        <v>95</v>
      </c>
      <c r="AC308" s="57"/>
      <c r="AD308" s="57">
        <v>96</v>
      </c>
    </row>
    <row r="309" spans="1:30" s="38" customFormat="1" x14ac:dyDescent="0.2">
      <c r="A309" s="57" t="s">
        <v>234</v>
      </c>
      <c r="B309" s="57" t="s">
        <v>131</v>
      </c>
      <c r="C309" s="57" t="s">
        <v>42</v>
      </c>
      <c r="D309" s="57" t="s">
        <v>24</v>
      </c>
      <c r="E309" s="57">
        <v>2</v>
      </c>
      <c r="F309" s="57" t="s">
        <v>350</v>
      </c>
      <c r="G309" s="57" t="s">
        <v>19</v>
      </c>
      <c r="H309" s="57" t="s">
        <v>20</v>
      </c>
      <c r="I309" s="57" t="str">
        <f t="shared" si="8"/>
        <v>B2-P4-C3</v>
      </c>
      <c r="J309" s="57" t="str">
        <f t="shared" si="9"/>
        <v>Fagus-B2-P4-C3-B2</v>
      </c>
      <c r="K309" s="57" t="s">
        <v>21</v>
      </c>
      <c r="L309" s="57" t="s">
        <v>22</v>
      </c>
      <c r="M309" s="57" t="s">
        <v>23</v>
      </c>
      <c r="N309" s="37">
        <v>308</v>
      </c>
      <c r="O309" s="57">
        <v>10.1</v>
      </c>
      <c r="P309" s="57">
        <v>75.2</v>
      </c>
      <c r="Q309" s="57">
        <v>11.1</v>
      </c>
      <c r="R309" s="57">
        <v>92</v>
      </c>
      <c r="S309" s="57">
        <v>12.12</v>
      </c>
      <c r="T309" s="57">
        <v>101</v>
      </c>
      <c r="U309" s="57">
        <v>13.04</v>
      </c>
      <c r="V309" s="57">
        <v>110</v>
      </c>
      <c r="W309" s="57">
        <v>13.44</v>
      </c>
      <c r="X309" s="57">
        <v>110.5</v>
      </c>
      <c r="Y309" s="57">
        <v>12.88</v>
      </c>
      <c r="Z309" s="57">
        <v>110</v>
      </c>
      <c r="AA309" s="57">
        <v>13.45</v>
      </c>
      <c r="AB309" s="57">
        <v>108</v>
      </c>
      <c r="AC309" s="57"/>
      <c r="AD309" s="57">
        <v>108</v>
      </c>
    </row>
    <row r="310" spans="1:30" s="38" customFormat="1" x14ac:dyDescent="0.2">
      <c r="A310" s="57" t="s">
        <v>234</v>
      </c>
      <c r="B310" s="57" t="s">
        <v>131</v>
      </c>
      <c r="C310" s="57" t="s">
        <v>42</v>
      </c>
      <c r="D310" s="57" t="s">
        <v>17</v>
      </c>
      <c r="E310" s="57">
        <v>3</v>
      </c>
      <c r="F310" s="57" t="s">
        <v>351</v>
      </c>
      <c r="G310" s="57" t="s">
        <v>19</v>
      </c>
      <c r="H310" s="57" t="s">
        <v>20</v>
      </c>
      <c r="I310" s="57" t="str">
        <f t="shared" si="8"/>
        <v>B2-P4-C3</v>
      </c>
      <c r="J310" s="57" t="str">
        <f t="shared" si="9"/>
        <v>Fagus-B2-P4-C3-A3</v>
      </c>
      <c r="K310" s="57" t="s">
        <v>21</v>
      </c>
      <c r="L310" s="57" t="s">
        <v>22</v>
      </c>
      <c r="M310" s="57" t="s">
        <v>23</v>
      </c>
      <c r="N310" s="37">
        <v>309</v>
      </c>
      <c r="O310" s="57">
        <v>9.5</v>
      </c>
      <c r="P310" s="57">
        <v>45.5</v>
      </c>
      <c r="Q310" s="57">
        <v>9.5</v>
      </c>
      <c r="R310" s="57">
        <v>66.5</v>
      </c>
      <c r="S310" s="57">
        <v>10.17</v>
      </c>
      <c r="T310" s="57">
        <v>67</v>
      </c>
      <c r="U310" s="57">
        <v>11.06</v>
      </c>
      <c r="V310" s="57">
        <v>75</v>
      </c>
      <c r="W310" s="57">
        <v>11.54</v>
      </c>
      <c r="X310" s="57">
        <v>75</v>
      </c>
      <c r="Y310" s="57">
        <v>10.97</v>
      </c>
      <c r="Z310" s="57">
        <v>76</v>
      </c>
      <c r="AA310" s="57">
        <v>11.71</v>
      </c>
      <c r="AB310" s="57">
        <v>75</v>
      </c>
      <c r="AC310" s="57"/>
      <c r="AD310" s="57">
        <v>76</v>
      </c>
    </row>
    <row r="311" spans="1:30" s="38" customFormat="1" x14ac:dyDescent="0.2">
      <c r="A311" s="57" t="s">
        <v>234</v>
      </c>
      <c r="B311" s="57" t="s">
        <v>131</v>
      </c>
      <c r="C311" s="57" t="s">
        <v>42</v>
      </c>
      <c r="D311" s="57" t="s">
        <v>24</v>
      </c>
      <c r="E311" s="57">
        <v>3</v>
      </c>
      <c r="F311" s="57" t="s">
        <v>352</v>
      </c>
      <c r="G311" s="57" t="s">
        <v>19</v>
      </c>
      <c r="H311" s="57" t="s">
        <v>20</v>
      </c>
      <c r="I311" s="57" t="str">
        <f t="shared" si="8"/>
        <v>B2-P4-C3</v>
      </c>
      <c r="J311" s="57" t="str">
        <f t="shared" si="9"/>
        <v>Fagus-B2-P4-C3-B3</v>
      </c>
      <c r="K311" s="57" t="s">
        <v>21</v>
      </c>
      <c r="L311" s="57" t="s">
        <v>22</v>
      </c>
      <c r="M311" s="57" t="s">
        <v>23</v>
      </c>
      <c r="N311" s="37">
        <v>310</v>
      </c>
      <c r="O311" s="57">
        <v>9.8000000000000007</v>
      </c>
      <c r="P311" s="57">
        <v>69</v>
      </c>
      <c r="Q311" s="57">
        <v>9.86</v>
      </c>
      <c r="R311" s="57">
        <v>93</v>
      </c>
      <c r="S311" s="57">
        <v>10.210000000000001</v>
      </c>
      <c r="T311" s="57">
        <v>94</v>
      </c>
      <c r="U311" s="57">
        <v>10.8</v>
      </c>
      <c r="V311" s="57">
        <v>107</v>
      </c>
      <c r="W311" s="57">
        <v>11.52</v>
      </c>
      <c r="X311" s="57">
        <v>106.5</v>
      </c>
      <c r="Y311" s="57">
        <v>11.33</v>
      </c>
      <c r="Z311" s="57">
        <v>104</v>
      </c>
      <c r="AA311" s="57">
        <v>11.66</v>
      </c>
      <c r="AB311" s="57">
        <v>104</v>
      </c>
      <c r="AC311" s="57"/>
      <c r="AD311" s="57">
        <v>105</v>
      </c>
    </row>
    <row r="312" spans="1:30" s="38" customFormat="1" x14ac:dyDescent="0.2">
      <c r="A312" s="57" t="s">
        <v>234</v>
      </c>
      <c r="B312" s="57" t="s">
        <v>131</v>
      </c>
      <c r="C312" s="57" t="s">
        <v>42</v>
      </c>
      <c r="D312" s="57" t="s">
        <v>17</v>
      </c>
      <c r="E312" s="57">
        <v>4</v>
      </c>
      <c r="F312" s="57" t="s">
        <v>353</v>
      </c>
      <c r="G312" s="57" t="s">
        <v>19</v>
      </c>
      <c r="H312" s="57" t="s">
        <v>20</v>
      </c>
      <c r="I312" s="57" t="str">
        <f t="shared" si="8"/>
        <v>B2-P4-C3</v>
      </c>
      <c r="J312" s="57" t="str">
        <f t="shared" si="9"/>
        <v>Fagus-B2-P4-C3-A4</v>
      </c>
      <c r="K312" s="57" t="s">
        <v>21</v>
      </c>
      <c r="L312" s="57" t="s">
        <v>22</v>
      </c>
      <c r="M312" s="57" t="s">
        <v>23</v>
      </c>
      <c r="N312" s="37">
        <v>311</v>
      </c>
      <c r="O312" s="57">
        <v>8</v>
      </c>
      <c r="P312" s="57">
        <v>66.5</v>
      </c>
      <c r="Q312" s="57">
        <v>8.1</v>
      </c>
      <c r="R312" s="57">
        <v>67</v>
      </c>
      <c r="S312" s="57">
        <v>9.31</v>
      </c>
      <c r="T312" s="57">
        <v>67</v>
      </c>
      <c r="U312" s="57">
        <v>10.55</v>
      </c>
      <c r="V312" s="57">
        <v>73</v>
      </c>
      <c r="W312" s="57">
        <v>10.72</v>
      </c>
      <c r="X312" s="57">
        <v>78</v>
      </c>
      <c r="Y312" s="57">
        <v>10.58</v>
      </c>
      <c r="Z312" s="57">
        <v>79</v>
      </c>
      <c r="AA312" s="57">
        <v>10.93</v>
      </c>
      <c r="AB312" s="57">
        <v>78</v>
      </c>
      <c r="AC312" s="57"/>
      <c r="AD312" s="57">
        <v>78</v>
      </c>
    </row>
    <row r="313" spans="1:30" s="38" customFormat="1" x14ac:dyDescent="0.2">
      <c r="A313" s="57" t="s">
        <v>234</v>
      </c>
      <c r="B313" s="57" t="s">
        <v>131</v>
      </c>
      <c r="C313" s="57" t="s">
        <v>42</v>
      </c>
      <c r="D313" s="57" t="s">
        <v>24</v>
      </c>
      <c r="E313" s="57">
        <v>4</v>
      </c>
      <c r="F313" s="57" t="s">
        <v>354</v>
      </c>
      <c r="G313" s="57" t="s">
        <v>19</v>
      </c>
      <c r="H313" s="57" t="s">
        <v>20</v>
      </c>
      <c r="I313" s="57" t="str">
        <f t="shared" si="8"/>
        <v>B2-P4-C3</v>
      </c>
      <c r="J313" s="57" t="str">
        <f t="shared" si="9"/>
        <v>Fagus-B2-P4-C3-B4</v>
      </c>
      <c r="K313" s="57" t="s">
        <v>21</v>
      </c>
      <c r="L313" s="57" t="s">
        <v>22</v>
      </c>
      <c r="M313" s="57" t="s">
        <v>23</v>
      </c>
      <c r="N313" s="37">
        <v>312</v>
      </c>
      <c r="O313" s="57">
        <v>11.7</v>
      </c>
      <c r="P313" s="57">
        <v>61.2</v>
      </c>
      <c r="Q313" s="57">
        <v>11.82</v>
      </c>
      <c r="R313" s="57">
        <v>80</v>
      </c>
      <c r="S313" s="57">
        <v>13.18</v>
      </c>
      <c r="T313" s="57">
        <v>80</v>
      </c>
      <c r="U313" s="57">
        <v>13.54</v>
      </c>
      <c r="V313" s="57">
        <v>87</v>
      </c>
      <c r="W313" s="57">
        <v>13.3</v>
      </c>
      <c r="X313" s="57">
        <v>86.5</v>
      </c>
      <c r="Y313" s="57">
        <v>14.35</v>
      </c>
      <c r="Z313" s="57">
        <v>86</v>
      </c>
      <c r="AA313" s="57">
        <v>15.08</v>
      </c>
      <c r="AB313" s="57">
        <v>85</v>
      </c>
      <c r="AC313" s="57"/>
      <c r="AD313" s="57">
        <v>84</v>
      </c>
    </row>
    <row r="314" spans="1:30" x14ac:dyDescent="0.2">
      <c r="A314" s="60" t="s">
        <v>234</v>
      </c>
      <c r="B314" s="60" t="s">
        <v>131</v>
      </c>
      <c r="C314" s="60" t="s">
        <v>53</v>
      </c>
      <c r="D314" s="60" t="s">
        <v>17</v>
      </c>
      <c r="E314" s="60">
        <v>1</v>
      </c>
      <c r="F314" s="60" t="s">
        <v>355</v>
      </c>
      <c r="G314" s="60" t="s">
        <v>35</v>
      </c>
      <c r="H314" s="60" t="s">
        <v>20</v>
      </c>
      <c r="I314" s="60" t="str">
        <f t="shared" si="8"/>
        <v>B2-P4-C4</v>
      </c>
      <c r="J314" s="60" t="str">
        <f t="shared" si="9"/>
        <v>Quercus-B2-P4-C4-A1</v>
      </c>
      <c r="K314" s="60" t="s">
        <v>21</v>
      </c>
      <c r="L314" s="60" t="s">
        <v>44</v>
      </c>
      <c r="M314" s="60" t="s">
        <v>45</v>
      </c>
      <c r="N314" s="15">
        <v>313</v>
      </c>
      <c r="O314" s="60">
        <v>4.9000000000000004</v>
      </c>
      <c r="P314" s="60">
        <v>24</v>
      </c>
      <c r="Q314" s="60">
        <v>5.3</v>
      </c>
      <c r="R314" s="60">
        <v>32.5</v>
      </c>
      <c r="S314" s="3">
        <v>5.35</v>
      </c>
      <c r="T314" s="3">
        <v>32</v>
      </c>
      <c r="U314" s="3">
        <v>5.12</v>
      </c>
      <c r="V314" s="3">
        <v>32</v>
      </c>
      <c r="W314" s="3">
        <v>5.96</v>
      </c>
      <c r="X314" s="3">
        <v>33</v>
      </c>
      <c r="Y314" s="3">
        <v>6.56</v>
      </c>
      <c r="Z314" s="3">
        <v>35</v>
      </c>
      <c r="AA314" s="3">
        <v>7.29</v>
      </c>
      <c r="AB314" s="3">
        <v>37</v>
      </c>
      <c r="AC314" s="3"/>
      <c r="AD314" s="3">
        <v>36</v>
      </c>
    </row>
    <row r="315" spans="1:30" x14ac:dyDescent="0.2">
      <c r="A315" s="60" t="s">
        <v>234</v>
      </c>
      <c r="B315" s="60" t="s">
        <v>131</v>
      </c>
      <c r="C315" s="60" t="s">
        <v>53</v>
      </c>
      <c r="D315" s="60" t="s">
        <v>24</v>
      </c>
      <c r="E315" s="60">
        <v>1</v>
      </c>
      <c r="F315" s="60" t="s">
        <v>356</v>
      </c>
      <c r="G315" s="60" t="s">
        <v>35</v>
      </c>
      <c r="H315" s="60" t="s">
        <v>20</v>
      </c>
      <c r="I315" s="60" t="str">
        <f t="shared" si="8"/>
        <v>B2-P4-C4</v>
      </c>
      <c r="J315" s="60" t="str">
        <f t="shared" si="9"/>
        <v>Quercus-B2-P4-C4-B1</v>
      </c>
      <c r="K315" s="60" t="s">
        <v>21</v>
      </c>
      <c r="L315" s="60" t="s">
        <v>44</v>
      </c>
      <c r="M315" s="60" t="s">
        <v>45</v>
      </c>
      <c r="N315" s="15">
        <v>314</v>
      </c>
      <c r="O315" s="60">
        <v>5.2</v>
      </c>
      <c r="P315" s="60">
        <v>46</v>
      </c>
      <c r="Q315" s="60">
        <v>5.94</v>
      </c>
      <c r="R315" s="60">
        <v>50</v>
      </c>
      <c r="S315" s="3">
        <v>6.48</v>
      </c>
      <c r="T315" s="3">
        <v>67</v>
      </c>
      <c r="U315" s="3">
        <v>6.95</v>
      </c>
      <c r="V315" s="3">
        <v>67</v>
      </c>
      <c r="W315" s="3">
        <v>8.39</v>
      </c>
      <c r="X315" s="3">
        <v>67</v>
      </c>
      <c r="Y315" s="3">
        <v>7.83</v>
      </c>
      <c r="Z315" s="3">
        <v>78</v>
      </c>
      <c r="AA315" s="3">
        <v>9.75</v>
      </c>
      <c r="AB315" s="3">
        <v>79</v>
      </c>
      <c r="AC315" s="3"/>
      <c r="AD315" s="3">
        <v>79</v>
      </c>
    </row>
    <row r="316" spans="1:30" x14ac:dyDescent="0.2">
      <c r="A316" s="60" t="s">
        <v>234</v>
      </c>
      <c r="B316" s="60" t="s">
        <v>131</v>
      </c>
      <c r="C316" s="60" t="s">
        <v>53</v>
      </c>
      <c r="D316" s="60" t="s">
        <v>17</v>
      </c>
      <c r="E316" s="60">
        <v>2</v>
      </c>
      <c r="F316" s="60" t="s">
        <v>357</v>
      </c>
      <c r="G316" s="60" t="s">
        <v>35</v>
      </c>
      <c r="H316" s="60" t="s">
        <v>20</v>
      </c>
      <c r="I316" s="60" t="str">
        <f t="shared" si="8"/>
        <v>B2-P4-C4</v>
      </c>
      <c r="J316" s="60" t="str">
        <f t="shared" si="9"/>
        <v>Quercus-B2-P4-C4-A2</v>
      </c>
      <c r="K316" s="60" t="s">
        <v>21</v>
      </c>
      <c r="L316" s="60" t="s">
        <v>44</v>
      </c>
      <c r="M316" s="60" t="s">
        <v>45</v>
      </c>
      <c r="N316" s="15">
        <v>315</v>
      </c>
      <c r="O316" s="60">
        <v>3.7</v>
      </c>
      <c r="P316" s="60">
        <v>24.2</v>
      </c>
      <c r="Q316" s="60">
        <v>3.72</v>
      </c>
      <c r="R316" s="60">
        <v>27</v>
      </c>
      <c r="S316" s="3">
        <v>3.7</v>
      </c>
      <c r="T316" s="3">
        <v>25.5</v>
      </c>
      <c r="U316" s="3">
        <v>3.72</v>
      </c>
      <c r="V316" s="3">
        <v>26</v>
      </c>
      <c r="W316" s="3">
        <v>3.95</v>
      </c>
      <c r="X316" s="3">
        <v>26</v>
      </c>
      <c r="Y316" s="3">
        <v>4.17</v>
      </c>
      <c r="Z316" s="3">
        <v>28</v>
      </c>
      <c r="AA316" s="3">
        <v>4.33</v>
      </c>
      <c r="AB316" s="3">
        <v>27</v>
      </c>
      <c r="AC316" s="3"/>
      <c r="AD316" s="3">
        <v>27</v>
      </c>
    </row>
    <row r="317" spans="1:30" x14ac:dyDescent="0.2">
      <c r="A317" s="60" t="s">
        <v>234</v>
      </c>
      <c r="B317" s="60" t="s">
        <v>131</v>
      </c>
      <c r="C317" s="60" t="s">
        <v>53</v>
      </c>
      <c r="D317" s="60" t="s">
        <v>24</v>
      </c>
      <c r="E317" s="60">
        <v>2</v>
      </c>
      <c r="F317" s="60" t="s">
        <v>358</v>
      </c>
      <c r="G317" s="60" t="s">
        <v>35</v>
      </c>
      <c r="H317" s="60" t="s">
        <v>20</v>
      </c>
      <c r="I317" s="60" t="str">
        <f t="shared" si="8"/>
        <v>B2-P4-C4</v>
      </c>
      <c r="J317" s="60" t="str">
        <f t="shared" si="9"/>
        <v>Quercus-B2-P4-C4-B2</v>
      </c>
      <c r="K317" s="60" t="s">
        <v>21</v>
      </c>
      <c r="L317" s="60" t="s">
        <v>44</v>
      </c>
      <c r="M317" s="60" t="s">
        <v>45</v>
      </c>
      <c r="N317" s="15">
        <v>316</v>
      </c>
      <c r="O317" s="60">
        <v>4.3</v>
      </c>
      <c r="P317" s="60">
        <v>32.5</v>
      </c>
      <c r="Q317" s="60">
        <v>5.13</v>
      </c>
      <c r="R317" s="60">
        <v>33</v>
      </c>
      <c r="S317" s="3">
        <v>5.0999999999999996</v>
      </c>
      <c r="T317" s="3">
        <v>39.5</v>
      </c>
      <c r="U317" s="3">
        <v>5.48</v>
      </c>
      <c r="V317" s="3">
        <v>40</v>
      </c>
      <c r="W317" s="3">
        <v>4.76</v>
      </c>
      <c r="X317" s="3">
        <v>40</v>
      </c>
      <c r="Y317" s="3">
        <v>4.3899999999999997</v>
      </c>
      <c r="Z317" s="3">
        <v>42</v>
      </c>
      <c r="AA317" s="3">
        <v>5.72</v>
      </c>
      <c r="AB317" s="3">
        <v>44.5</v>
      </c>
      <c r="AC317" s="3"/>
      <c r="AD317" s="3">
        <v>45</v>
      </c>
    </row>
    <row r="318" spans="1:30" x14ac:dyDescent="0.2">
      <c r="A318" s="60" t="s">
        <v>234</v>
      </c>
      <c r="B318" s="60" t="s">
        <v>131</v>
      </c>
      <c r="C318" s="60" t="s">
        <v>53</v>
      </c>
      <c r="D318" s="60" t="s">
        <v>17</v>
      </c>
      <c r="E318" s="60">
        <v>3</v>
      </c>
      <c r="F318" s="60" t="s">
        <v>359</v>
      </c>
      <c r="G318" s="60" t="s">
        <v>35</v>
      </c>
      <c r="H318" s="60" t="s">
        <v>20</v>
      </c>
      <c r="I318" s="60" t="str">
        <f t="shared" si="8"/>
        <v>B2-P4-C4</v>
      </c>
      <c r="J318" s="60" t="str">
        <f t="shared" si="9"/>
        <v>Quercus-B2-P4-C4-A3</v>
      </c>
      <c r="K318" s="60" t="s">
        <v>21</v>
      </c>
      <c r="L318" s="60" t="s">
        <v>44</v>
      </c>
      <c r="M318" s="60" t="s">
        <v>45</v>
      </c>
      <c r="N318" s="15">
        <v>317</v>
      </c>
      <c r="O318" s="60">
        <v>6.4</v>
      </c>
      <c r="P318" s="60">
        <v>43.5</v>
      </c>
      <c r="Q318" s="60">
        <v>6.69</v>
      </c>
      <c r="R318" s="60">
        <v>52.5</v>
      </c>
      <c r="S318" s="3">
        <v>6.95</v>
      </c>
      <c r="T318" s="3">
        <v>54</v>
      </c>
      <c r="U318" s="3">
        <v>7.78</v>
      </c>
      <c r="V318" s="3">
        <v>56</v>
      </c>
      <c r="W318" s="3">
        <v>8.35</v>
      </c>
      <c r="X318" s="3">
        <v>56</v>
      </c>
      <c r="Y318" s="3">
        <v>9.09</v>
      </c>
      <c r="Z318" s="3">
        <v>62</v>
      </c>
      <c r="AA318" s="3">
        <v>9.6999999999999993</v>
      </c>
      <c r="AB318" s="3">
        <v>62</v>
      </c>
      <c r="AC318" s="3"/>
      <c r="AD318" s="3">
        <v>62</v>
      </c>
    </row>
    <row r="319" spans="1:30" x14ac:dyDescent="0.2">
      <c r="A319" s="60" t="s">
        <v>234</v>
      </c>
      <c r="B319" s="60" t="s">
        <v>131</v>
      </c>
      <c r="C319" s="60" t="s">
        <v>53</v>
      </c>
      <c r="D319" s="60" t="s">
        <v>24</v>
      </c>
      <c r="E319" s="60">
        <v>3</v>
      </c>
      <c r="F319" s="60" t="s">
        <v>360</v>
      </c>
      <c r="G319" s="60" t="s">
        <v>35</v>
      </c>
      <c r="H319" s="60" t="s">
        <v>20</v>
      </c>
      <c r="I319" s="60" t="str">
        <f t="shared" si="8"/>
        <v>B2-P4-C4</v>
      </c>
      <c r="J319" s="60" t="str">
        <f t="shared" si="9"/>
        <v>Quercus-B2-P4-C4-B3</v>
      </c>
      <c r="K319" s="60" t="s">
        <v>21</v>
      </c>
      <c r="L319" s="60" t="s">
        <v>44</v>
      </c>
      <c r="M319" s="60" t="s">
        <v>45</v>
      </c>
      <c r="N319" s="15">
        <v>318</v>
      </c>
      <c r="O319" s="60">
        <v>4.5999999999999996</v>
      </c>
      <c r="P319" s="60">
        <v>33</v>
      </c>
      <c r="Q319" s="60">
        <v>5.14</v>
      </c>
      <c r="R319" s="60">
        <v>42</v>
      </c>
      <c r="S319" s="3">
        <v>5.64</v>
      </c>
      <c r="T319" s="3">
        <v>43</v>
      </c>
      <c r="U319" s="3">
        <v>5.84</v>
      </c>
      <c r="V319" s="3">
        <v>49</v>
      </c>
      <c r="W319" s="3">
        <v>6.75</v>
      </c>
      <c r="X319" s="3">
        <v>50</v>
      </c>
      <c r="Y319" s="3">
        <v>7.56</v>
      </c>
      <c r="Z319" s="3">
        <v>51</v>
      </c>
      <c r="AA319" s="3">
        <v>7.65</v>
      </c>
      <c r="AB319" s="3">
        <v>53.5</v>
      </c>
      <c r="AC319" s="3"/>
      <c r="AD319" s="3">
        <v>53</v>
      </c>
    </row>
    <row r="320" spans="1:30" x14ac:dyDescent="0.2">
      <c r="A320" s="60" t="s">
        <v>234</v>
      </c>
      <c r="B320" s="60" t="s">
        <v>131</v>
      </c>
      <c r="C320" s="60" t="s">
        <v>53</v>
      </c>
      <c r="D320" s="60" t="s">
        <v>17</v>
      </c>
      <c r="E320" s="60">
        <v>4</v>
      </c>
      <c r="F320" s="60" t="s">
        <v>361</v>
      </c>
      <c r="G320" s="60" t="s">
        <v>35</v>
      </c>
      <c r="H320" s="60" t="s">
        <v>20</v>
      </c>
      <c r="I320" s="60" t="str">
        <f t="shared" si="8"/>
        <v>B2-P4-C4</v>
      </c>
      <c r="J320" s="60" t="str">
        <f t="shared" si="9"/>
        <v>Quercus-B2-P4-C4-A4</v>
      </c>
      <c r="K320" s="60" t="s">
        <v>21</v>
      </c>
      <c r="L320" s="60" t="s">
        <v>44</v>
      </c>
      <c r="M320" s="60" t="s">
        <v>45</v>
      </c>
      <c r="N320" s="15">
        <v>319</v>
      </c>
      <c r="O320" s="60">
        <v>5.2</v>
      </c>
      <c r="P320" s="60">
        <v>40.5</v>
      </c>
      <c r="Q320" s="60">
        <v>6</v>
      </c>
      <c r="R320" s="60">
        <v>45</v>
      </c>
      <c r="S320" s="3">
        <v>6.67</v>
      </c>
      <c r="T320" s="3">
        <v>49</v>
      </c>
      <c r="U320" s="3">
        <v>6.65</v>
      </c>
      <c r="V320" s="3">
        <v>50</v>
      </c>
      <c r="W320" s="3">
        <v>7.38</v>
      </c>
      <c r="X320" s="3">
        <v>49.5</v>
      </c>
      <c r="Y320" s="3">
        <v>8.51</v>
      </c>
      <c r="Z320" s="3">
        <v>51</v>
      </c>
      <c r="AA320" s="3">
        <v>9.02</v>
      </c>
      <c r="AB320" s="3">
        <v>52</v>
      </c>
      <c r="AC320" s="3"/>
      <c r="AD320" s="3">
        <v>53</v>
      </c>
    </row>
    <row r="321" spans="1:30" x14ac:dyDescent="0.2">
      <c r="A321" s="60" t="s">
        <v>234</v>
      </c>
      <c r="B321" s="60" t="s">
        <v>131</v>
      </c>
      <c r="C321" s="60" t="s">
        <v>53</v>
      </c>
      <c r="D321" s="60" t="s">
        <v>24</v>
      </c>
      <c r="E321" s="60">
        <v>4</v>
      </c>
      <c r="F321" s="60" t="s">
        <v>362</v>
      </c>
      <c r="G321" s="60" t="s">
        <v>35</v>
      </c>
      <c r="H321" s="60" t="s">
        <v>20</v>
      </c>
      <c r="I321" s="60" t="str">
        <f t="shared" si="8"/>
        <v>B2-P4-C4</v>
      </c>
      <c r="J321" s="60" t="str">
        <f t="shared" si="9"/>
        <v>Quercus-B2-P4-C4-B4</v>
      </c>
      <c r="K321" s="60" t="s">
        <v>21</v>
      </c>
      <c r="L321" s="60" t="s">
        <v>44</v>
      </c>
      <c r="M321" s="60" t="s">
        <v>45</v>
      </c>
      <c r="N321" s="15">
        <v>320</v>
      </c>
      <c r="O321" s="60">
        <v>6.2</v>
      </c>
      <c r="P321" s="60">
        <v>49</v>
      </c>
      <c r="Q321" s="60">
        <v>7.04</v>
      </c>
      <c r="R321" s="60">
        <v>53</v>
      </c>
      <c r="S321" s="3">
        <v>8.09</v>
      </c>
      <c r="T321" s="3">
        <v>56.5</v>
      </c>
      <c r="U321" s="3">
        <v>8.49</v>
      </c>
      <c r="V321" s="3">
        <v>57</v>
      </c>
      <c r="W321" s="3">
        <v>9.16</v>
      </c>
      <c r="X321" s="3">
        <v>57</v>
      </c>
      <c r="Y321" s="3">
        <v>9.3000000000000007</v>
      </c>
      <c r="Z321" s="3">
        <v>63</v>
      </c>
      <c r="AA321" s="3">
        <v>10.62</v>
      </c>
      <c r="AB321" s="3">
        <v>64.5</v>
      </c>
      <c r="AC321" s="3"/>
      <c r="AD321" s="3">
        <v>64</v>
      </c>
    </row>
    <row r="322" spans="1:30" s="38" customFormat="1" x14ac:dyDescent="0.2">
      <c r="A322" s="57" t="s">
        <v>234</v>
      </c>
      <c r="B322" s="57" t="s">
        <v>167</v>
      </c>
      <c r="C322" s="57" t="s">
        <v>16</v>
      </c>
      <c r="D322" s="57" t="s">
        <v>17</v>
      </c>
      <c r="E322" s="57">
        <v>1</v>
      </c>
      <c r="F322" s="57" t="s">
        <v>363</v>
      </c>
      <c r="G322" s="57" t="s">
        <v>19</v>
      </c>
      <c r="H322" s="57" t="s">
        <v>20</v>
      </c>
      <c r="I322" s="57" t="str">
        <f t="shared" si="8"/>
        <v>B2-P5-C1</v>
      </c>
      <c r="J322" s="57" t="str">
        <f t="shared" si="9"/>
        <v>Fagus-B2-P5-C1-A1</v>
      </c>
      <c r="K322" s="57" t="s">
        <v>64</v>
      </c>
      <c r="L322" s="57" t="s">
        <v>22</v>
      </c>
      <c r="M322" s="57" t="s">
        <v>74</v>
      </c>
      <c r="N322" s="37">
        <v>321</v>
      </c>
      <c r="O322" s="57">
        <v>10.6</v>
      </c>
      <c r="P322" s="57">
        <v>57.5</v>
      </c>
      <c r="Q322" s="57">
        <v>10.73</v>
      </c>
      <c r="R322" s="57">
        <v>65</v>
      </c>
      <c r="S322" s="57">
        <v>11.58</v>
      </c>
      <c r="T322" s="57">
        <v>78</v>
      </c>
      <c r="U322" s="57">
        <v>12.12</v>
      </c>
      <c r="V322" s="57">
        <v>77</v>
      </c>
      <c r="W322" s="57">
        <v>12.45</v>
      </c>
      <c r="X322" s="57">
        <v>76</v>
      </c>
      <c r="Y322" s="57">
        <v>12.91</v>
      </c>
      <c r="Z322" s="57">
        <v>77</v>
      </c>
      <c r="AA322" s="57">
        <v>12.91</v>
      </c>
      <c r="AB322" s="57">
        <v>75</v>
      </c>
      <c r="AC322" s="57"/>
      <c r="AD322" s="57">
        <v>75</v>
      </c>
    </row>
    <row r="323" spans="1:30" s="38" customFormat="1" x14ac:dyDescent="0.2">
      <c r="A323" s="57" t="s">
        <v>234</v>
      </c>
      <c r="B323" s="57" t="s">
        <v>167</v>
      </c>
      <c r="C323" s="57" t="s">
        <v>16</v>
      </c>
      <c r="D323" s="57" t="s">
        <v>24</v>
      </c>
      <c r="E323" s="57">
        <v>1</v>
      </c>
      <c r="F323" s="57" t="s">
        <v>364</v>
      </c>
      <c r="G323" s="57" t="s">
        <v>19</v>
      </c>
      <c r="H323" s="57" t="s">
        <v>20</v>
      </c>
      <c r="I323" s="57" t="str">
        <f t="shared" ref="I323:I386" si="10">A323&amp;"-"&amp;B323&amp;"-"&amp;C323</f>
        <v>B2-P5-C1</v>
      </c>
      <c r="J323" s="57" t="str">
        <f t="shared" ref="J323:J386" si="11">G323&amp;"-"&amp;A323&amp;"-"&amp;B323&amp;"-"&amp;C323&amp;"-"&amp;D323&amp;E323</f>
        <v>Fagus-B2-P5-C1-B1</v>
      </c>
      <c r="K323" s="57" t="s">
        <v>64</v>
      </c>
      <c r="L323" s="57" t="s">
        <v>22</v>
      </c>
      <c r="M323" s="57" t="s">
        <v>74</v>
      </c>
      <c r="N323" s="37">
        <v>322</v>
      </c>
      <c r="O323" s="57">
        <v>9.1</v>
      </c>
      <c r="P323" s="57">
        <v>70</v>
      </c>
      <c r="Q323" s="57">
        <v>9.83</v>
      </c>
      <c r="R323" s="57">
        <v>73</v>
      </c>
      <c r="S323" s="57">
        <v>10.73</v>
      </c>
      <c r="T323" s="57">
        <v>74.5</v>
      </c>
      <c r="U323" s="57">
        <v>10.59</v>
      </c>
      <c r="V323" s="57">
        <v>76</v>
      </c>
      <c r="W323" s="57">
        <v>10.7</v>
      </c>
      <c r="X323" s="57">
        <v>73.5</v>
      </c>
      <c r="Y323" s="57">
        <v>11.54</v>
      </c>
      <c r="Z323" s="57">
        <v>74</v>
      </c>
      <c r="AA323" s="57">
        <v>11.66</v>
      </c>
      <c r="AB323" s="57">
        <v>74</v>
      </c>
      <c r="AC323" s="57"/>
      <c r="AD323" s="57">
        <v>75</v>
      </c>
    </row>
    <row r="324" spans="1:30" s="38" customFormat="1" x14ac:dyDescent="0.2">
      <c r="A324" s="57" t="s">
        <v>234</v>
      </c>
      <c r="B324" s="57" t="s">
        <v>167</v>
      </c>
      <c r="C324" s="57" t="s">
        <v>16</v>
      </c>
      <c r="D324" s="57" t="s">
        <v>17</v>
      </c>
      <c r="E324" s="57">
        <v>2</v>
      </c>
      <c r="F324" s="57" t="s">
        <v>365</v>
      </c>
      <c r="G324" s="57" t="s">
        <v>19</v>
      </c>
      <c r="H324" s="57" t="s">
        <v>20</v>
      </c>
      <c r="I324" s="57" t="str">
        <f t="shared" si="10"/>
        <v>B2-P5-C1</v>
      </c>
      <c r="J324" s="57" t="str">
        <f t="shared" si="11"/>
        <v>Fagus-B2-P5-C1-A2</v>
      </c>
      <c r="K324" s="57" t="s">
        <v>64</v>
      </c>
      <c r="L324" s="57" t="s">
        <v>22</v>
      </c>
      <c r="M324" s="57" t="s">
        <v>74</v>
      </c>
      <c r="N324" s="37">
        <v>323</v>
      </c>
      <c r="O324" s="57">
        <v>8.6999999999999993</v>
      </c>
      <c r="P324" s="57">
        <v>86.4</v>
      </c>
      <c r="Q324" s="57">
        <v>9.1999999999999993</v>
      </c>
      <c r="R324" s="57">
        <v>99.5</v>
      </c>
      <c r="S324" s="57">
        <v>10.31</v>
      </c>
      <c r="T324" s="57">
        <v>100</v>
      </c>
      <c r="U324" s="57">
        <v>10.84</v>
      </c>
      <c r="V324" s="57">
        <v>101</v>
      </c>
      <c r="W324" s="57">
        <v>11.77</v>
      </c>
      <c r="X324" s="57">
        <v>99</v>
      </c>
      <c r="Y324" s="57">
        <v>12.28</v>
      </c>
      <c r="Z324" s="57">
        <v>102</v>
      </c>
      <c r="AA324" s="57">
        <v>11.8</v>
      </c>
      <c r="AB324" s="57">
        <v>101</v>
      </c>
      <c r="AC324" s="57"/>
      <c r="AD324" s="57">
        <v>101</v>
      </c>
    </row>
    <row r="325" spans="1:30" s="38" customFormat="1" x14ac:dyDescent="0.2">
      <c r="A325" s="57" t="s">
        <v>234</v>
      </c>
      <c r="B325" s="57" t="s">
        <v>167</v>
      </c>
      <c r="C325" s="57" t="s">
        <v>16</v>
      </c>
      <c r="D325" s="57" t="s">
        <v>24</v>
      </c>
      <c r="E325" s="57">
        <v>2</v>
      </c>
      <c r="F325" s="57" t="s">
        <v>366</v>
      </c>
      <c r="G325" s="57" t="s">
        <v>19</v>
      </c>
      <c r="H325" s="57" t="s">
        <v>20</v>
      </c>
      <c r="I325" s="57" t="str">
        <f t="shared" si="10"/>
        <v>B2-P5-C1</v>
      </c>
      <c r="J325" s="57" t="str">
        <f t="shared" si="11"/>
        <v>Fagus-B2-P5-C1-B2</v>
      </c>
      <c r="K325" s="57" t="s">
        <v>64</v>
      </c>
      <c r="L325" s="57" t="s">
        <v>22</v>
      </c>
      <c r="M325" s="57" t="s">
        <v>74</v>
      </c>
      <c r="N325" s="37">
        <v>324</v>
      </c>
      <c r="O325" s="57">
        <v>10.9</v>
      </c>
      <c r="P325" s="57">
        <v>86.5</v>
      </c>
      <c r="Q325" s="57">
        <v>11.67</v>
      </c>
      <c r="R325" s="57">
        <v>109</v>
      </c>
      <c r="S325" s="57">
        <v>12.65</v>
      </c>
      <c r="T325" s="57">
        <v>110</v>
      </c>
      <c r="U325" s="57">
        <v>13.83</v>
      </c>
      <c r="V325" s="57">
        <v>109</v>
      </c>
      <c r="W325" s="57">
        <v>13.92</v>
      </c>
      <c r="X325" s="57">
        <v>109.5</v>
      </c>
      <c r="Y325" s="57">
        <v>14.56</v>
      </c>
      <c r="Z325" s="57">
        <v>109</v>
      </c>
      <c r="AA325" s="57">
        <v>14.28</v>
      </c>
      <c r="AB325" s="57">
        <v>109</v>
      </c>
      <c r="AC325" s="57"/>
      <c r="AD325" s="57">
        <v>109</v>
      </c>
    </row>
    <row r="326" spans="1:30" s="38" customFormat="1" x14ac:dyDescent="0.2">
      <c r="A326" s="57" t="s">
        <v>234</v>
      </c>
      <c r="B326" s="57" t="s">
        <v>167</v>
      </c>
      <c r="C326" s="57" t="s">
        <v>16</v>
      </c>
      <c r="D326" s="57" t="s">
        <v>17</v>
      </c>
      <c r="E326" s="57">
        <v>3</v>
      </c>
      <c r="F326" s="57" t="s">
        <v>367</v>
      </c>
      <c r="G326" s="57" t="s">
        <v>19</v>
      </c>
      <c r="H326" s="57" t="s">
        <v>20</v>
      </c>
      <c r="I326" s="57" t="str">
        <f t="shared" si="10"/>
        <v>B2-P5-C1</v>
      </c>
      <c r="J326" s="57" t="str">
        <f t="shared" si="11"/>
        <v>Fagus-B2-P5-C1-A3</v>
      </c>
      <c r="K326" s="57" t="s">
        <v>64</v>
      </c>
      <c r="L326" s="57" t="s">
        <v>22</v>
      </c>
      <c r="M326" s="57" t="s">
        <v>74</v>
      </c>
      <c r="N326" s="37">
        <v>325</v>
      </c>
      <c r="O326" s="57">
        <v>6.6</v>
      </c>
      <c r="P326" s="57">
        <v>55</v>
      </c>
      <c r="Q326" s="57">
        <v>6.75</v>
      </c>
      <c r="R326" s="57">
        <v>57</v>
      </c>
      <c r="S326" s="57">
        <v>7.06</v>
      </c>
      <c r="T326" s="57">
        <v>60.5</v>
      </c>
      <c r="U326" s="57">
        <v>8.0299999999999994</v>
      </c>
      <c r="V326" s="57">
        <v>64</v>
      </c>
      <c r="W326" s="57">
        <v>8.3699999999999992</v>
      </c>
      <c r="X326" s="57">
        <v>62</v>
      </c>
      <c r="Y326" s="57">
        <v>7.73</v>
      </c>
      <c r="Z326" s="57">
        <v>62</v>
      </c>
      <c r="AA326" s="57">
        <v>7.45</v>
      </c>
      <c r="AB326" s="57">
        <v>62</v>
      </c>
      <c r="AC326" s="57"/>
      <c r="AD326" s="57">
        <v>62</v>
      </c>
    </row>
    <row r="327" spans="1:30" s="38" customFormat="1" x14ac:dyDescent="0.2">
      <c r="A327" s="57" t="s">
        <v>234</v>
      </c>
      <c r="B327" s="57" t="s">
        <v>167</v>
      </c>
      <c r="C327" s="57" t="s">
        <v>16</v>
      </c>
      <c r="D327" s="57" t="s">
        <v>24</v>
      </c>
      <c r="E327" s="57">
        <v>3</v>
      </c>
      <c r="F327" s="57" t="s">
        <v>368</v>
      </c>
      <c r="G327" s="57" t="s">
        <v>19</v>
      </c>
      <c r="H327" s="57" t="s">
        <v>20</v>
      </c>
      <c r="I327" s="57" t="str">
        <f t="shared" si="10"/>
        <v>B2-P5-C1</v>
      </c>
      <c r="J327" s="57" t="str">
        <f t="shared" si="11"/>
        <v>Fagus-B2-P5-C1-B3</v>
      </c>
      <c r="K327" s="57" t="s">
        <v>64</v>
      </c>
      <c r="L327" s="57" t="s">
        <v>22</v>
      </c>
      <c r="M327" s="57" t="s">
        <v>74</v>
      </c>
      <c r="N327" s="37">
        <v>326</v>
      </c>
      <c r="O327" s="57">
        <v>10</v>
      </c>
      <c r="P327" s="57">
        <v>67</v>
      </c>
      <c r="Q327" s="57">
        <v>10.029999999999999</v>
      </c>
      <c r="R327" s="57">
        <v>76</v>
      </c>
      <c r="S327" s="57">
        <v>10.96</v>
      </c>
      <c r="T327" s="57">
        <v>76.5</v>
      </c>
      <c r="U327" s="57">
        <v>11.56</v>
      </c>
      <c r="V327" s="57">
        <v>77</v>
      </c>
      <c r="W327" s="57">
        <v>11.97</v>
      </c>
      <c r="X327" s="57">
        <v>77</v>
      </c>
      <c r="Y327" s="57">
        <v>11.66</v>
      </c>
      <c r="Z327" s="57">
        <v>78</v>
      </c>
      <c r="AA327" s="57">
        <v>12.03</v>
      </c>
      <c r="AB327" s="57">
        <v>77</v>
      </c>
      <c r="AC327" s="57"/>
      <c r="AD327" s="57">
        <v>77</v>
      </c>
    </row>
    <row r="328" spans="1:30" s="38" customFormat="1" x14ac:dyDescent="0.2">
      <c r="A328" s="57" t="s">
        <v>234</v>
      </c>
      <c r="B328" s="57" t="s">
        <v>167</v>
      </c>
      <c r="C328" s="57" t="s">
        <v>16</v>
      </c>
      <c r="D328" s="57" t="s">
        <v>17</v>
      </c>
      <c r="E328" s="57">
        <v>4</v>
      </c>
      <c r="F328" s="57" t="s">
        <v>369</v>
      </c>
      <c r="G328" s="57" t="s">
        <v>19</v>
      </c>
      <c r="H328" s="57" t="s">
        <v>20</v>
      </c>
      <c r="I328" s="57" t="str">
        <f t="shared" si="10"/>
        <v>B2-P5-C1</v>
      </c>
      <c r="J328" s="57" t="str">
        <f t="shared" si="11"/>
        <v>Fagus-B2-P5-C1-A4</v>
      </c>
      <c r="K328" s="57" t="s">
        <v>64</v>
      </c>
      <c r="L328" s="57" t="s">
        <v>22</v>
      </c>
      <c r="M328" s="57" t="s">
        <v>74</v>
      </c>
      <c r="N328" s="37">
        <v>327</v>
      </c>
      <c r="O328" s="57">
        <v>10.199999999999999</v>
      </c>
      <c r="P328" s="57">
        <v>84</v>
      </c>
      <c r="Q328" s="57">
        <v>10.26</v>
      </c>
      <c r="R328" s="57">
        <v>98</v>
      </c>
      <c r="S328" s="57">
        <v>11.46</v>
      </c>
      <c r="T328" s="57">
        <v>107.5</v>
      </c>
      <c r="U328" s="57">
        <v>12.45</v>
      </c>
      <c r="V328" s="57">
        <v>108</v>
      </c>
      <c r="W328" s="57">
        <v>12.47</v>
      </c>
      <c r="X328" s="57">
        <v>106</v>
      </c>
      <c r="Y328" s="57">
        <v>11.85</v>
      </c>
      <c r="Z328" s="57">
        <v>107</v>
      </c>
      <c r="AA328" s="57">
        <v>13.74</v>
      </c>
      <c r="AB328" s="57">
        <v>105</v>
      </c>
      <c r="AC328" s="57"/>
      <c r="AD328" s="57">
        <v>105</v>
      </c>
    </row>
    <row r="329" spans="1:30" s="38" customFormat="1" x14ac:dyDescent="0.2">
      <c r="A329" s="57" t="s">
        <v>234</v>
      </c>
      <c r="B329" s="57" t="s">
        <v>167</v>
      </c>
      <c r="C329" s="57" t="s">
        <v>16</v>
      </c>
      <c r="D329" s="57" t="s">
        <v>24</v>
      </c>
      <c r="E329" s="57">
        <v>4</v>
      </c>
      <c r="F329" s="57" t="s">
        <v>370</v>
      </c>
      <c r="G329" s="57" t="s">
        <v>19</v>
      </c>
      <c r="H329" s="57" t="s">
        <v>20</v>
      </c>
      <c r="I329" s="57" t="str">
        <f t="shared" si="10"/>
        <v>B2-P5-C1</v>
      </c>
      <c r="J329" s="57" t="str">
        <f t="shared" si="11"/>
        <v>Fagus-B2-P5-C1-B4</v>
      </c>
      <c r="K329" s="57" t="s">
        <v>64</v>
      </c>
      <c r="L329" s="57" t="s">
        <v>22</v>
      </c>
      <c r="M329" s="57" t="s">
        <v>74</v>
      </c>
      <c r="N329" s="37">
        <v>328</v>
      </c>
      <c r="O329" s="57">
        <v>12</v>
      </c>
      <c r="P329" s="57">
        <v>89.2</v>
      </c>
      <c r="Q329" s="57">
        <v>12.14</v>
      </c>
      <c r="R329" s="57">
        <v>114</v>
      </c>
      <c r="S329" s="57">
        <v>14</v>
      </c>
      <c r="T329" s="57">
        <v>117</v>
      </c>
      <c r="U329" s="57">
        <v>14.35</v>
      </c>
      <c r="V329" s="57">
        <v>117</v>
      </c>
      <c r="W329" s="57">
        <v>14.61</v>
      </c>
      <c r="X329" s="57">
        <v>117</v>
      </c>
      <c r="Y329" s="57">
        <v>14.66</v>
      </c>
      <c r="Z329" s="57">
        <v>116</v>
      </c>
      <c r="AA329" s="57">
        <v>14.8</v>
      </c>
      <c r="AB329" s="57">
        <v>115</v>
      </c>
      <c r="AC329" s="57"/>
      <c r="AD329" s="57">
        <v>116</v>
      </c>
    </row>
    <row r="330" spans="1:30" x14ac:dyDescent="0.2">
      <c r="A330" s="60" t="s">
        <v>234</v>
      </c>
      <c r="B330" s="60" t="s">
        <v>167</v>
      </c>
      <c r="C330" s="60" t="s">
        <v>32</v>
      </c>
      <c r="D330" s="60" t="s">
        <v>17</v>
      </c>
      <c r="E330" s="60">
        <v>1</v>
      </c>
      <c r="F330" s="60" t="s">
        <v>371</v>
      </c>
      <c r="G330" s="60" t="s">
        <v>35</v>
      </c>
      <c r="H330" s="60" t="s">
        <v>20</v>
      </c>
      <c r="I330" s="60" t="str">
        <f t="shared" si="10"/>
        <v>B2-P5-C2</v>
      </c>
      <c r="J330" s="60" t="str">
        <f t="shared" si="11"/>
        <v>Quercus-B2-P5-C2-A1</v>
      </c>
      <c r="K330" s="60" t="s">
        <v>64</v>
      </c>
      <c r="L330" s="60" t="s">
        <v>22</v>
      </c>
      <c r="M330" s="60" t="s">
        <v>74</v>
      </c>
      <c r="N330" s="15">
        <v>329</v>
      </c>
      <c r="O330" s="60">
        <v>5.0999999999999996</v>
      </c>
      <c r="P330" s="60">
        <v>29</v>
      </c>
      <c r="Q330" s="60">
        <v>6.04</v>
      </c>
      <c r="R330" s="60">
        <v>38</v>
      </c>
      <c r="S330" s="3">
        <v>6.68</v>
      </c>
      <c r="T330" s="3">
        <v>39</v>
      </c>
      <c r="U330" s="3">
        <v>7.51</v>
      </c>
      <c r="V330" s="3">
        <v>47</v>
      </c>
      <c r="W330" s="3">
        <v>8.16</v>
      </c>
      <c r="X330" s="3">
        <v>49</v>
      </c>
      <c r="Y330" s="3">
        <v>9.58</v>
      </c>
      <c r="Z330" s="3">
        <v>48</v>
      </c>
      <c r="AA330" s="3">
        <v>10.46</v>
      </c>
      <c r="AB330" s="3">
        <v>47</v>
      </c>
      <c r="AC330" s="3"/>
      <c r="AD330" s="3">
        <v>47</v>
      </c>
    </row>
    <row r="331" spans="1:30" x14ac:dyDescent="0.2">
      <c r="A331" s="60" t="s">
        <v>234</v>
      </c>
      <c r="B331" s="60" t="s">
        <v>167</v>
      </c>
      <c r="C331" s="60" t="s">
        <v>32</v>
      </c>
      <c r="D331" s="60" t="s">
        <v>24</v>
      </c>
      <c r="E331" s="60">
        <v>1</v>
      </c>
      <c r="F331" s="60" t="s">
        <v>372</v>
      </c>
      <c r="G331" s="60" t="s">
        <v>35</v>
      </c>
      <c r="H331" s="60" t="s">
        <v>20</v>
      </c>
      <c r="I331" s="60" t="str">
        <f t="shared" si="10"/>
        <v>B2-P5-C2</v>
      </c>
      <c r="J331" s="60" t="str">
        <f t="shared" si="11"/>
        <v>Quercus-B2-P5-C2-B1</v>
      </c>
      <c r="K331" s="60" t="s">
        <v>64</v>
      </c>
      <c r="L331" s="60" t="s">
        <v>22</v>
      </c>
      <c r="M331" s="60" t="s">
        <v>74</v>
      </c>
      <c r="N331" s="15">
        <v>330</v>
      </c>
      <c r="O331" s="60">
        <v>7.4</v>
      </c>
      <c r="P331" s="60">
        <v>46.3</v>
      </c>
      <c r="Q331" s="60">
        <v>8.41</v>
      </c>
      <c r="R331" s="60">
        <v>46.5</v>
      </c>
      <c r="S331" s="3">
        <v>9.57</v>
      </c>
      <c r="T331" s="3">
        <v>55</v>
      </c>
      <c r="U331" s="3">
        <v>11</v>
      </c>
      <c r="V331" s="3">
        <v>64</v>
      </c>
      <c r="W331" s="3">
        <v>12.34</v>
      </c>
      <c r="X331" s="3">
        <v>65</v>
      </c>
      <c r="Y331" s="3">
        <v>13.31</v>
      </c>
      <c r="Z331" s="3">
        <v>72</v>
      </c>
      <c r="AA331" s="3">
        <v>14.84</v>
      </c>
      <c r="AB331" s="3">
        <v>72</v>
      </c>
      <c r="AC331" s="3"/>
      <c r="AD331" s="3">
        <v>72</v>
      </c>
    </row>
    <row r="332" spans="1:30" x14ac:dyDescent="0.2">
      <c r="A332" s="60" t="s">
        <v>234</v>
      </c>
      <c r="B332" s="60" t="s">
        <v>167</v>
      </c>
      <c r="C332" s="60" t="s">
        <v>32</v>
      </c>
      <c r="D332" s="60" t="s">
        <v>17</v>
      </c>
      <c r="E332" s="60">
        <v>2</v>
      </c>
      <c r="F332" s="60" t="s">
        <v>373</v>
      </c>
      <c r="G332" s="60" t="s">
        <v>35</v>
      </c>
      <c r="H332" s="60" t="s">
        <v>20</v>
      </c>
      <c r="I332" s="60" t="str">
        <f t="shared" si="10"/>
        <v>B2-P5-C2</v>
      </c>
      <c r="J332" s="60" t="str">
        <f t="shared" si="11"/>
        <v>Quercus-B2-P5-C2-A2</v>
      </c>
      <c r="K332" s="60" t="s">
        <v>64</v>
      </c>
      <c r="L332" s="60" t="s">
        <v>22</v>
      </c>
      <c r="M332" s="60" t="s">
        <v>74</v>
      </c>
      <c r="N332" s="15">
        <v>331</v>
      </c>
      <c r="O332" s="60">
        <v>5.2</v>
      </c>
      <c r="P332" s="60">
        <v>36</v>
      </c>
      <c r="Q332" s="60">
        <v>5.45</v>
      </c>
      <c r="R332" s="60">
        <v>38</v>
      </c>
      <c r="S332" s="3">
        <v>6.25</v>
      </c>
      <c r="T332" s="3">
        <v>40</v>
      </c>
      <c r="U332" s="3">
        <v>6.73</v>
      </c>
      <c r="V332" s="3">
        <v>51</v>
      </c>
      <c r="W332" s="3">
        <v>7.97</v>
      </c>
      <c r="X332" s="3">
        <v>49.5</v>
      </c>
      <c r="Y332" s="3">
        <v>9.69</v>
      </c>
      <c r="Z332" s="3">
        <v>51</v>
      </c>
      <c r="AA332" s="3">
        <v>9.57</v>
      </c>
      <c r="AB332" s="3">
        <v>51</v>
      </c>
      <c r="AC332" s="3"/>
      <c r="AD332" s="3">
        <v>52</v>
      </c>
    </row>
    <row r="333" spans="1:30" x14ac:dyDescent="0.2">
      <c r="A333" s="60" t="s">
        <v>234</v>
      </c>
      <c r="B333" s="60" t="s">
        <v>167</v>
      </c>
      <c r="C333" s="60" t="s">
        <v>32</v>
      </c>
      <c r="D333" s="60" t="s">
        <v>24</v>
      </c>
      <c r="E333" s="60">
        <v>2</v>
      </c>
      <c r="F333" s="60" t="s">
        <v>374</v>
      </c>
      <c r="G333" s="60" t="s">
        <v>35</v>
      </c>
      <c r="H333" s="60" t="s">
        <v>20</v>
      </c>
      <c r="I333" s="60" t="str">
        <f t="shared" si="10"/>
        <v>B2-P5-C2</v>
      </c>
      <c r="J333" s="60" t="str">
        <f t="shared" si="11"/>
        <v>Quercus-B2-P5-C2-B2</v>
      </c>
      <c r="K333" s="60" t="s">
        <v>64</v>
      </c>
      <c r="L333" s="60" t="s">
        <v>22</v>
      </c>
      <c r="M333" s="60" t="s">
        <v>74</v>
      </c>
      <c r="N333" s="15">
        <v>332</v>
      </c>
      <c r="O333" s="60">
        <v>6.5</v>
      </c>
      <c r="P333" s="60">
        <v>34</v>
      </c>
      <c r="Q333" s="60">
        <v>6.59</v>
      </c>
      <c r="R333" s="60">
        <v>37</v>
      </c>
      <c r="S333" s="3">
        <v>7.13</v>
      </c>
      <c r="T333" s="3">
        <v>41.5</v>
      </c>
      <c r="U333" s="3">
        <v>6.76</v>
      </c>
      <c r="V333" s="3">
        <v>50</v>
      </c>
      <c r="W333" s="3">
        <v>8.36</v>
      </c>
      <c r="X333" s="3">
        <v>50</v>
      </c>
      <c r="Y333" s="3">
        <v>9.94</v>
      </c>
      <c r="Z333" s="3">
        <v>52</v>
      </c>
      <c r="AA333" s="3">
        <v>9.75</v>
      </c>
      <c r="AB333" s="3">
        <v>54</v>
      </c>
      <c r="AC333" s="3"/>
      <c r="AD333" s="3">
        <v>56</v>
      </c>
    </row>
    <row r="334" spans="1:30" x14ac:dyDescent="0.2">
      <c r="A334" s="60" t="s">
        <v>234</v>
      </c>
      <c r="B334" s="60" t="s">
        <v>167</v>
      </c>
      <c r="C334" s="60" t="s">
        <v>32</v>
      </c>
      <c r="D334" s="60" t="s">
        <v>17</v>
      </c>
      <c r="E334" s="60">
        <v>3</v>
      </c>
      <c r="F334" s="60" t="s">
        <v>375</v>
      </c>
      <c r="G334" s="60" t="s">
        <v>35</v>
      </c>
      <c r="H334" s="60" t="s">
        <v>20</v>
      </c>
      <c r="I334" s="60" t="str">
        <f t="shared" si="10"/>
        <v>B2-P5-C2</v>
      </c>
      <c r="J334" s="60" t="str">
        <f t="shared" si="11"/>
        <v>Quercus-B2-P5-C2-A3</v>
      </c>
      <c r="K334" s="60" t="s">
        <v>64</v>
      </c>
      <c r="L334" s="60" t="s">
        <v>22</v>
      </c>
      <c r="M334" s="60" t="s">
        <v>74</v>
      </c>
      <c r="N334" s="15">
        <v>333</v>
      </c>
      <c r="O334" s="60">
        <v>4.7</v>
      </c>
      <c r="P334" s="60">
        <v>38</v>
      </c>
      <c r="Q334" s="60">
        <v>4.92</v>
      </c>
      <c r="R334" s="60">
        <v>43</v>
      </c>
      <c r="S334" s="3">
        <v>5.52</v>
      </c>
      <c r="T334" s="3">
        <v>48</v>
      </c>
      <c r="U334" s="3">
        <v>6</v>
      </c>
      <c r="V334" s="3">
        <v>65</v>
      </c>
      <c r="W334" s="3">
        <v>7.1</v>
      </c>
      <c r="X334" s="3">
        <v>68</v>
      </c>
      <c r="Y334" s="3">
        <v>7.48</v>
      </c>
      <c r="Z334" s="3">
        <v>72</v>
      </c>
      <c r="AA334" s="3">
        <v>9.07</v>
      </c>
      <c r="AB334" s="3">
        <v>78</v>
      </c>
      <c r="AC334" s="3"/>
      <c r="AD334" s="3">
        <v>79</v>
      </c>
    </row>
    <row r="335" spans="1:30" x14ac:dyDescent="0.2">
      <c r="A335" s="60" t="s">
        <v>234</v>
      </c>
      <c r="B335" s="60" t="s">
        <v>167</v>
      </c>
      <c r="C335" s="60" t="s">
        <v>32</v>
      </c>
      <c r="D335" s="60" t="s">
        <v>24</v>
      </c>
      <c r="E335" s="60">
        <v>3</v>
      </c>
      <c r="F335" s="60" t="s">
        <v>376</v>
      </c>
      <c r="G335" s="60" t="s">
        <v>35</v>
      </c>
      <c r="H335" s="60" t="s">
        <v>20</v>
      </c>
      <c r="I335" s="60" t="str">
        <f t="shared" si="10"/>
        <v>B2-P5-C2</v>
      </c>
      <c r="J335" s="60" t="str">
        <f t="shared" si="11"/>
        <v>Quercus-B2-P5-C2-B3</v>
      </c>
      <c r="K335" s="60" t="s">
        <v>64</v>
      </c>
      <c r="L335" s="60" t="s">
        <v>22</v>
      </c>
      <c r="M335" s="60" t="s">
        <v>74</v>
      </c>
      <c r="N335" s="15">
        <v>334</v>
      </c>
      <c r="O335" s="60">
        <v>5.9</v>
      </c>
      <c r="P335" s="60">
        <v>45</v>
      </c>
      <c r="Q335" s="60">
        <v>6.76</v>
      </c>
      <c r="R335" s="60">
        <v>54</v>
      </c>
      <c r="S335" s="3">
        <v>7.18</v>
      </c>
      <c r="T335" s="3">
        <v>55</v>
      </c>
      <c r="U335" s="3">
        <v>8.48</v>
      </c>
      <c r="V335" s="3">
        <v>67</v>
      </c>
      <c r="W335" s="3">
        <v>9.23</v>
      </c>
      <c r="X335" s="3">
        <v>67.5</v>
      </c>
      <c r="Y335" s="3">
        <v>9.7899999999999991</v>
      </c>
      <c r="Z335" s="3">
        <v>78</v>
      </c>
      <c r="AA335" s="3">
        <v>11.43</v>
      </c>
      <c r="AB335" s="3">
        <v>81</v>
      </c>
      <c r="AC335" s="3"/>
      <c r="AD335" s="3">
        <v>81</v>
      </c>
    </row>
    <row r="336" spans="1:30" x14ac:dyDescent="0.2">
      <c r="A336" s="60" t="s">
        <v>234</v>
      </c>
      <c r="B336" s="60" t="s">
        <v>167</v>
      </c>
      <c r="C336" s="60" t="s">
        <v>32</v>
      </c>
      <c r="D336" s="60" t="s">
        <v>17</v>
      </c>
      <c r="E336" s="60">
        <v>4</v>
      </c>
      <c r="F336" s="60" t="s">
        <v>377</v>
      </c>
      <c r="G336" s="60" t="s">
        <v>35</v>
      </c>
      <c r="H336" s="60" t="s">
        <v>20</v>
      </c>
      <c r="I336" s="60" t="str">
        <f t="shared" si="10"/>
        <v>B2-P5-C2</v>
      </c>
      <c r="J336" s="60" t="str">
        <f t="shared" si="11"/>
        <v>Quercus-B2-P5-C2-A4</v>
      </c>
      <c r="K336" s="60" t="s">
        <v>64</v>
      </c>
      <c r="L336" s="60" t="s">
        <v>22</v>
      </c>
      <c r="M336" s="60" t="s">
        <v>74</v>
      </c>
      <c r="N336" s="15">
        <v>335</v>
      </c>
      <c r="O336" s="60">
        <v>5.0999999999999996</v>
      </c>
      <c r="P336" s="60">
        <v>41</v>
      </c>
      <c r="Q336" s="60">
        <v>5.5</v>
      </c>
      <c r="R336" s="60">
        <v>51</v>
      </c>
      <c r="S336" s="3">
        <v>6.23</v>
      </c>
      <c r="T336" s="3">
        <v>60</v>
      </c>
      <c r="U336" s="3">
        <v>7.4</v>
      </c>
      <c r="V336" s="3">
        <v>73.5</v>
      </c>
      <c r="W336" s="3">
        <v>9.0299999999999994</v>
      </c>
      <c r="X336" s="3">
        <v>74</v>
      </c>
      <c r="Y336" s="3">
        <v>9.25</v>
      </c>
      <c r="Z336" s="3">
        <v>86</v>
      </c>
      <c r="AA336" s="3">
        <v>11.6</v>
      </c>
      <c r="AB336" s="3">
        <v>85</v>
      </c>
      <c r="AC336" s="3"/>
      <c r="AD336" s="3">
        <v>86</v>
      </c>
    </row>
    <row r="337" spans="1:30" x14ac:dyDescent="0.2">
      <c r="A337" s="60" t="s">
        <v>234</v>
      </c>
      <c r="B337" s="60" t="s">
        <v>167</v>
      </c>
      <c r="C337" s="60" t="s">
        <v>32</v>
      </c>
      <c r="D337" s="60" t="s">
        <v>24</v>
      </c>
      <c r="E337" s="60">
        <v>4</v>
      </c>
      <c r="F337" s="60" t="s">
        <v>378</v>
      </c>
      <c r="G337" s="60" t="s">
        <v>35</v>
      </c>
      <c r="H337" s="60" t="s">
        <v>20</v>
      </c>
      <c r="I337" s="60" t="str">
        <f t="shared" si="10"/>
        <v>B2-P5-C2</v>
      </c>
      <c r="J337" s="60" t="str">
        <f t="shared" si="11"/>
        <v>Quercus-B2-P5-C2-B4</v>
      </c>
      <c r="K337" s="60" t="s">
        <v>64</v>
      </c>
      <c r="L337" s="60" t="s">
        <v>22</v>
      </c>
      <c r="M337" s="60" t="s">
        <v>74</v>
      </c>
      <c r="N337" s="15">
        <v>336</v>
      </c>
      <c r="O337" s="60">
        <v>8</v>
      </c>
      <c r="P337" s="60">
        <v>67</v>
      </c>
      <c r="Q337" s="60">
        <v>8.9700000000000006</v>
      </c>
      <c r="R337" s="60">
        <v>67</v>
      </c>
      <c r="S337" s="3">
        <v>10.23</v>
      </c>
      <c r="T337" s="3">
        <v>77.5</v>
      </c>
      <c r="U337" s="3">
        <v>11.6</v>
      </c>
      <c r="V337" s="3">
        <v>99</v>
      </c>
      <c r="W337" s="3">
        <v>14.52</v>
      </c>
      <c r="X337" s="3">
        <v>100</v>
      </c>
      <c r="Y337" s="3">
        <v>15.6</v>
      </c>
      <c r="Z337" s="3">
        <v>109</v>
      </c>
      <c r="AA337" s="3">
        <v>18.03</v>
      </c>
      <c r="AB337" s="3">
        <v>111</v>
      </c>
      <c r="AC337" s="3"/>
      <c r="AD337" s="3">
        <v>110</v>
      </c>
    </row>
    <row r="338" spans="1:30" s="38" customFormat="1" x14ac:dyDescent="0.2">
      <c r="A338" s="57" t="s">
        <v>234</v>
      </c>
      <c r="B338" s="57" t="s">
        <v>167</v>
      </c>
      <c r="C338" s="57" t="s">
        <v>42</v>
      </c>
      <c r="D338" s="57" t="s">
        <v>17</v>
      </c>
      <c r="E338" s="57">
        <v>1</v>
      </c>
      <c r="F338" s="57" t="s">
        <v>379</v>
      </c>
      <c r="G338" s="57" t="s">
        <v>19</v>
      </c>
      <c r="H338" s="57" t="s">
        <v>20</v>
      </c>
      <c r="I338" s="57" t="str">
        <f t="shared" si="10"/>
        <v>B2-P5-C3</v>
      </c>
      <c r="J338" s="57" t="str">
        <f t="shared" si="11"/>
        <v>Fagus-B2-P5-C3-A1</v>
      </c>
      <c r="K338" s="57" t="s">
        <v>64</v>
      </c>
      <c r="L338" s="57" t="s">
        <v>22</v>
      </c>
      <c r="M338" s="57" t="s">
        <v>74</v>
      </c>
      <c r="N338" s="37">
        <v>337</v>
      </c>
      <c r="O338" s="57">
        <v>12.3</v>
      </c>
      <c r="P338" s="57">
        <v>102</v>
      </c>
      <c r="Q338" s="57">
        <v>12.88</v>
      </c>
      <c r="R338" s="57">
        <v>127.5</v>
      </c>
      <c r="S338" s="57">
        <v>15.13</v>
      </c>
      <c r="T338" s="57">
        <v>141</v>
      </c>
      <c r="U338" s="57">
        <v>15.97</v>
      </c>
      <c r="V338" s="57">
        <v>152</v>
      </c>
      <c r="W338" s="57">
        <v>16.239999999999998</v>
      </c>
      <c r="X338" s="57">
        <v>150</v>
      </c>
      <c r="Y338" s="57">
        <v>17.25</v>
      </c>
      <c r="Z338" s="57">
        <v>149</v>
      </c>
      <c r="AA338" s="57">
        <v>17.21</v>
      </c>
      <c r="AB338" s="57">
        <v>150</v>
      </c>
      <c r="AC338" s="57"/>
      <c r="AD338" s="57">
        <v>149</v>
      </c>
    </row>
    <row r="339" spans="1:30" s="38" customFormat="1" x14ac:dyDescent="0.2">
      <c r="A339" s="57" t="s">
        <v>234</v>
      </c>
      <c r="B339" s="57" t="s">
        <v>167</v>
      </c>
      <c r="C339" s="57" t="s">
        <v>42</v>
      </c>
      <c r="D339" s="57" t="s">
        <v>24</v>
      </c>
      <c r="E339" s="57">
        <v>1</v>
      </c>
      <c r="F339" s="57" t="s">
        <v>380</v>
      </c>
      <c r="G339" s="57" t="s">
        <v>35</v>
      </c>
      <c r="H339" s="57" t="s">
        <v>20</v>
      </c>
      <c r="I339" s="57" t="str">
        <f t="shared" si="10"/>
        <v>B2-P5-C3</v>
      </c>
      <c r="J339" s="57" t="str">
        <f t="shared" si="11"/>
        <v>Quercus-B2-P5-C3-B1</v>
      </c>
      <c r="K339" s="57" t="s">
        <v>64</v>
      </c>
      <c r="L339" s="57" t="s">
        <v>22</v>
      </c>
      <c r="M339" s="57" t="s">
        <v>74</v>
      </c>
      <c r="N339" s="37">
        <v>338</v>
      </c>
      <c r="O339" s="57">
        <v>6.4</v>
      </c>
      <c r="P339" s="57">
        <v>39</v>
      </c>
      <c r="Q339" s="57">
        <v>8.18</v>
      </c>
      <c r="R339" s="57">
        <v>48</v>
      </c>
      <c r="S339" s="57">
        <v>8.9600000000000009</v>
      </c>
      <c r="T339" s="57">
        <v>47</v>
      </c>
      <c r="U339" s="57">
        <v>9.07</v>
      </c>
      <c r="V339" s="57">
        <v>55</v>
      </c>
      <c r="W339" s="57">
        <v>10.76</v>
      </c>
      <c r="X339" s="57">
        <v>56</v>
      </c>
      <c r="Y339" s="57">
        <v>10.96</v>
      </c>
      <c r="Z339" s="57">
        <v>62</v>
      </c>
      <c r="AA339" s="57">
        <v>12.36</v>
      </c>
      <c r="AB339" s="57">
        <v>62</v>
      </c>
      <c r="AC339" s="57"/>
      <c r="AD339" s="83">
        <v>66</v>
      </c>
    </row>
    <row r="340" spans="1:30" s="38" customFormat="1" x14ac:dyDescent="0.2">
      <c r="A340" s="57" t="s">
        <v>234</v>
      </c>
      <c r="B340" s="57" t="s">
        <v>167</v>
      </c>
      <c r="C340" s="57" t="s">
        <v>42</v>
      </c>
      <c r="D340" s="57" t="s">
        <v>17</v>
      </c>
      <c r="E340" s="57">
        <v>2</v>
      </c>
      <c r="F340" s="57" t="s">
        <v>381</v>
      </c>
      <c r="G340" s="57" t="s">
        <v>35</v>
      </c>
      <c r="H340" s="57" t="s">
        <v>20</v>
      </c>
      <c r="I340" s="57" t="str">
        <f t="shared" si="10"/>
        <v>B2-P5-C3</v>
      </c>
      <c r="J340" s="57" t="str">
        <f t="shared" si="11"/>
        <v>Quercus-B2-P5-C3-A2</v>
      </c>
      <c r="K340" s="57" t="s">
        <v>64</v>
      </c>
      <c r="L340" s="57" t="s">
        <v>22</v>
      </c>
      <c r="M340" s="57" t="s">
        <v>74</v>
      </c>
      <c r="N340" s="37">
        <v>339</v>
      </c>
      <c r="O340" s="57">
        <v>5.8</v>
      </c>
      <c r="P340" s="57">
        <v>38</v>
      </c>
      <c r="Q340" s="57">
        <v>6.8</v>
      </c>
      <c r="R340" s="57">
        <v>57.5</v>
      </c>
      <c r="S340" s="57">
        <v>7.7</v>
      </c>
      <c r="T340" s="57">
        <v>62</v>
      </c>
      <c r="U340" s="57">
        <v>8.08</v>
      </c>
      <c r="V340" s="57">
        <v>64</v>
      </c>
      <c r="W340" s="57">
        <v>8.06</v>
      </c>
      <c r="X340" s="57">
        <v>64</v>
      </c>
      <c r="Y340" s="57">
        <v>9.6199999999999992</v>
      </c>
      <c r="Z340" s="57">
        <v>70</v>
      </c>
      <c r="AA340" s="57">
        <v>9.81</v>
      </c>
      <c r="AB340" s="57">
        <v>70</v>
      </c>
      <c r="AC340" s="57"/>
      <c r="AD340" s="57">
        <v>72</v>
      </c>
    </row>
    <row r="341" spans="1:30" s="38" customFormat="1" x14ac:dyDescent="0.2">
      <c r="A341" s="57" t="s">
        <v>234</v>
      </c>
      <c r="B341" s="57" t="s">
        <v>167</v>
      </c>
      <c r="C341" s="57" t="s">
        <v>42</v>
      </c>
      <c r="D341" s="57" t="s">
        <v>24</v>
      </c>
      <c r="E341" s="57">
        <v>2</v>
      </c>
      <c r="F341" s="57" t="s">
        <v>382</v>
      </c>
      <c r="G341" s="57" t="s">
        <v>19</v>
      </c>
      <c r="H341" s="57" t="s">
        <v>20</v>
      </c>
      <c r="I341" s="57" t="str">
        <f t="shared" si="10"/>
        <v>B2-P5-C3</v>
      </c>
      <c r="J341" s="57" t="str">
        <f t="shared" si="11"/>
        <v>Fagus-B2-P5-C3-B2</v>
      </c>
      <c r="K341" s="57" t="s">
        <v>64</v>
      </c>
      <c r="L341" s="57" t="s">
        <v>22</v>
      </c>
      <c r="M341" s="57" t="s">
        <v>74</v>
      </c>
      <c r="N341" s="37">
        <v>340</v>
      </c>
      <c r="O341" s="57">
        <v>10.9</v>
      </c>
      <c r="P341" s="57">
        <v>88.5</v>
      </c>
      <c r="Q341" s="57">
        <v>11.22</v>
      </c>
      <c r="R341" s="57">
        <v>105</v>
      </c>
      <c r="S341" s="57">
        <v>12.43</v>
      </c>
      <c r="T341" s="57">
        <v>108.5</v>
      </c>
      <c r="U341" s="57">
        <v>14</v>
      </c>
      <c r="V341" s="57">
        <v>120</v>
      </c>
      <c r="W341" s="57">
        <v>13.59</v>
      </c>
      <c r="X341" s="57">
        <v>120</v>
      </c>
      <c r="Y341" s="57">
        <v>13.3</v>
      </c>
      <c r="Z341" s="57">
        <v>120</v>
      </c>
      <c r="AA341" s="57">
        <v>13.65</v>
      </c>
      <c r="AB341" s="57">
        <v>125</v>
      </c>
      <c r="AC341" s="57"/>
      <c r="AD341" s="57">
        <v>124</v>
      </c>
    </row>
    <row r="342" spans="1:30" s="38" customFormat="1" x14ac:dyDescent="0.2">
      <c r="A342" s="57" t="s">
        <v>234</v>
      </c>
      <c r="B342" s="57" t="s">
        <v>167</v>
      </c>
      <c r="C342" s="57" t="s">
        <v>42</v>
      </c>
      <c r="D342" s="57" t="s">
        <v>17</v>
      </c>
      <c r="E342" s="57">
        <v>3</v>
      </c>
      <c r="F342" s="57" t="s">
        <v>383</v>
      </c>
      <c r="G342" s="57" t="s">
        <v>19</v>
      </c>
      <c r="H342" s="57" t="s">
        <v>20</v>
      </c>
      <c r="I342" s="57" t="str">
        <f t="shared" si="10"/>
        <v>B2-P5-C3</v>
      </c>
      <c r="J342" s="57" t="str">
        <f t="shared" si="11"/>
        <v>Fagus-B2-P5-C3-A3</v>
      </c>
      <c r="K342" s="57" t="s">
        <v>64</v>
      </c>
      <c r="L342" s="57" t="s">
        <v>22</v>
      </c>
      <c r="M342" s="57" t="s">
        <v>74</v>
      </c>
      <c r="N342" s="37">
        <v>341</v>
      </c>
      <c r="O342" s="57">
        <v>8.6999999999999993</v>
      </c>
      <c r="P342" s="57">
        <v>67.5</v>
      </c>
      <c r="Q342" s="57">
        <v>8.75</v>
      </c>
      <c r="R342" s="57">
        <v>89</v>
      </c>
      <c r="S342" s="57">
        <v>10.6</v>
      </c>
      <c r="T342" s="57">
        <v>89.5</v>
      </c>
      <c r="U342" s="57">
        <v>11.7</v>
      </c>
      <c r="V342" s="57">
        <v>98</v>
      </c>
      <c r="W342" s="57">
        <v>12.48</v>
      </c>
      <c r="X342" s="57">
        <v>97</v>
      </c>
      <c r="Y342" s="57">
        <v>12.19</v>
      </c>
      <c r="Z342" s="57">
        <v>97</v>
      </c>
      <c r="AA342" s="57">
        <v>13.06</v>
      </c>
      <c r="AB342" s="57">
        <v>97</v>
      </c>
      <c r="AC342" s="57"/>
      <c r="AD342" s="57">
        <v>96</v>
      </c>
    </row>
    <row r="343" spans="1:30" s="38" customFormat="1" x14ac:dyDescent="0.2">
      <c r="A343" s="57" t="s">
        <v>234</v>
      </c>
      <c r="B343" s="57" t="s">
        <v>167</v>
      </c>
      <c r="C343" s="57" t="s">
        <v>42</v>
      </c>
      <c r="D343" s="57" t="s">
        <v>24</v>
      </c>
      <c r="E343" s="57">
        <v>3</v>
      </c>
      <c r="F343" s="57" t="s">
        <v>384</v>
      </c>
      <c r="G343" s="57" t="s">
        <v>35</v>
      </c>
      <c r="H343" s="57" t="s">
        <v>20</v>
      </c>
      <c r="I343" s="57" t="str">
        <f t="shared" si="10"/>
        <v>B2-P5-C3</v>
      </c>
      <c r="J343" s="57" t="str">
        <f t="shared" si="11"/>
        <v>Quercus-B2-P5-C3-B3</v>
      </c>
      <c r="K343" s="57" t="s">
        <v>64</v>
      </c>
      <c r="L343" s="57" t="s">
        <v>22</v>
      </c>
      <c r="M343" s="57" t="s">
        <v>74</v>
      </c>
      <c r="N343" s="37">
        <v>342</v>
      </c>
      <c r="O343" s="57">
        <v>7.1</v>
      </c>
      <c r="P343" s="57">
        <v>43.5</v>
      </c>
      <c r="Q343" s="57">
        <v>8.9</v>
      </c>
      <c r="R343" s="57">
        <v>56</v>
      </c>
      <c r="S343" s="57">
        <v>8.9</v>
      </c>
      <c r="T343" s="57">
        <v>58</v>
      </c>
      <c r="U343" s="57">
        <v>9.4</v>
      </c>
      <c r="V343" s="57">
        <v>70</v>
      </c>
      <c r="W343" s="57">
        <v>10.75</v>
      </c>
      <c r="X343" s="57">
        <v>69</v>
      </c>
      <c r="Y343" s="57">
        <v>11.1</v>
      </c>
      <c r="Z343" s="57">
        <v>73</v>
      </c>
      <c r="AA343" s="57">
        <v>13.67</v>
      </c>
      <c r="AB343" s="57">
        <v>73</v>
      </c>
      <c r="AC343" s="57"/>
      <c r="AD343" s="57">
        <v>74</v>
      </c>
    </row>
    <row r="344" spans="1:30" s="38" customFormat="1" x14ac:dyDescent="0.2">
      <c r="A344" s="57" t="s">
        <v>234</v>
      </c>
      <c r="B344" s="57" t="s">
        <v>167</v>
      </c>
      <c r="C344" s="57" t="s">
        <v>42</v>
      </c>
      <c r="D344" s="57" t="s">
        <v>17</v>
      </c>
      <c r="E344" s="57">
        <v>4</v>
      </c>
      <c r="F344" s="57" t="s">
        <v>385</v>
      </c>
      <c r="G344" s="57" t="s">
        <v>35</v>
      </c>
      <c r="H344" s="57" t="s">
        <v>20</v>
      </c>
      <c r="I344" s="57" t="str">
        <f t="shared" si="10"/>
        <v>B2-P5-C3</v>
      </c>
      <c r="J344" s="57" t="str">
        <f t="shared" si="11"/>
        <v>Quercus-B2-P5-C3-A4</v>
      </c>
      <c r="K344" s="57" t="s">
        <v>64</v>
      </c>
      <c r="L344" s="57" t="s">
        <v>22</v>
      </c>
      <c r="M344" s="57" t="s">
        <v>74</v>
      </c>
      <c r="N344" s="37">
        <v>343</v>
      </c>
      <c r="O344" s="57">
        <v>5.5</v>
      </c>
      <c r="P344" s="57">
        <v>40.5</v>
      </c>
      <c r="Q344" s="57">
        <v>6.4</v>
      </c>
      <c r="R344" s="57">
        <v>47</v>
      </c>
      <c r="S344" s="57">
        <v>6.89</v>
      </c>
      <c r="T344" s="57">
        <v>51</v>
      </c>
      <c r="U344" s="57">
        <v>7.37</v>
      </c>
      <c r="V344" s="57">
        <v>51</v>
      </c>
      <c r="W344" s="57">
        <v>8.01</v>
      </c>
      <c r="X344" s="57">
        <v>52</v>
      </c>
      <c r="Y344" s="57">
        <v>8.48</v>
      </c>
      <c r="Z344" s="57">
        <v>52</v>
      </c>
      <c r="AA344" s="57">
        <v>8.4499999999999993</v>
      </c>
      <c r="AB344" s="57">
        <v>51</v>
      </c>
      <c r="AC344" s="57"/>
      <c r="AD344" s="57">
        <v>52</v>
      </c>
    </row>
    <row r="345" spans="1:30" s="38" customFormat="1" x14ac:dyDescent="0.2">
      <c r="A345" s="57" t="s">
        <v>234</v>
      </c>
      <c r="B345" s="57" t="s">
        <v>167</v>
      </c>
      <c r="C345" s="57" t="s">
        <v>42</v>
      </c>
      <c r="D345" s="57" t="s">
        <v>24</v>
      </c>
      <c r="E345" s="57">
        <v>4</v>
      </c>
      <c r="F345" s="57" t="s">
        <v>386</v>
      </c>
      <c r="G345" s="57" t="s">
        <v>19</v>
      </c>
      <c r="H345" s="57" t="s">
        <v>20</v>
      </c>
      <c r="I345" s="57" t="str">
        <f t="shared" si="10"/>
        <v>B2-P5-C3</v>
      </c>
      <c r="J345" s="57" t="str">
        <f t="shared" si="11"/>
        <v>Fagus-B2-P5-C3-B4</v>
      </c>
      <c r="K345" s="57" t="s">
        <v>64</v>
      </c>
      <c r="L345" s="57" t="s">
        <v>22</v>
      </c>
      <c r="M345" s="57" t="s">
        <v>74</v>
      </c>
      <c r="N345" s="37">
        <v>344</v>
      </c>
      <c r="O345" s="57">
        <v>11.7</v>
      </c>
      <c r="P345" s="57">
        <v>82.5</v>
      </c>
      <c r="Q345" s="57">
        <v>11.61</v>
      </c>
      <c r="R345" s="57">
        <v>105.5</v>
      </c>
      <c r="S345" s="57">
        <v>13.74</v>
      </c>
      <c r="T345" s="57">
        <v>115</v>
      </c>
      <c r="U345" s="57">
        <v>14.7</v>
      </c>
      <c r="V345" s="57">
        <v>129</v>
      </c>
      <c r="W345" s="57">
        <v>15.5</v>
      </c>
      <c r="X345" s="57">
        <v>130</v>
      </c>
      <c r="Y345" s="57">
        <v>14.87</v>
      </c>
      <c r="Z345" s="57">
        <v>129</v>
      </c>
      <c r="AA345" s="57">
        <v>15.48</v>
      </c>
      <c r="AB345" s="57">
        <v>129</v>
      </c>
      <c r="AC345" s="57"/>
      <c r="AD345" s="57">
        <v>130</v>
      </c>
    </row>
    <row r="346" spans="1:30" x14ac:dyDescent="0.2">
      <c r="A346" s="60" t="s">
        <v>234</v>
      </c>
      <c r="B346" s="60" t="s">
        <v>167</v>
      </c>
      <c r="C346" s="60" t="s">
        <v>53</v>
      </c>
      <c r="D346" s="60" t="s">
        <v>17</v>
      </c>
      <c r="E346" s="60">
        <v>1</v>
      </c>
      <c r="F346" s="60" t="s">
        <v>387</v>
      </c>
      <c r="G346" s="60" t="s">
        <v>19</v>
      </c>
      <c r="H346" s="60" t="s">
        <v>20</v>
      </c>
      <c r="I346" s="60" t="str">
        <f t="shared" si="10"/>
        <v>B2-P5-C4</v>
      </c>
      <c r="J346" s="60" t="str">
        <f t="shared" si="11"/>
        <v>Fagus-B2-P5-C4-A1</v>
      </c>
      <c r="K346" s="60" t="s">
        <v>64</v>
      </c>
      <c r="L346" s="60" t="s">
        <v>44</v>
      </c>
      <c r="M346" s="60" t="s">
        <v>65</v>
      </c>
      <c r="N346" s="15">
        <v>345</v>
      </c>
      <c r="O346" s="60">
        <v>7.9</v>
      </c>
      <c r="P346" s="60">
        <v>51</v>
      </c>
      <c r="Q346" s="60">
        <v>8.44</v>
      </c>
      <c r="R346" s="60">
        <v>55</v>
      </c>
      <c r="S346" s="3">
        <v>8.77</v>
      </c>
      <c r="T346" s="3">
        <v>59.5</v>
      </c>
      <c r="U346" s="3">
        <v>9.06</v>
      </c>
      <c r="V346" s="3">
        <v>60</v>
      </c>
      <c r="W346" s="3">
        <v>8.89</v>
      </c>
      <c r="X346" s="3">
        <v>60</v>
      </c>
      <c r="Y346" s="3">
        <v>9.68</v>
      </c>
      <c r="Z346" s="3">
        <v>59</v>
      </c>
      <c r="AA346" s="3">
        <v>9.98</v>
      </c>
      <c r="AB346" s="3">
        <v>59</v>
      </c>
      <c r="AC346" s="3"/>
      <c r="AD346" s="3">
        <v>60</v>
      </c>
    </row>
    <row r="347" spans="1:30" x14ac:dyDescent="0.2">
      <c r="A347" s="60" t="s">
        <v>234</v>
      </c>
      <c r="B347" s="60" t="s">
        <v>167</v>
      </c>
      <c r="C347" s="60" t="s">
        <v>53</v>
      </c>
      <c r="D347" s="60" t="s">
        <v>24</v>
      </c>
      <c r="E347" s="60">
        <v>1</v>
      </c>
      <c r="F347" s="60" t="s">
        <v>388</v>
      </c>
      <c r="G347" s="60" t="s">
        <v>19</v>
      </c>
      <c r="H347" s="60" t="s">
        <v>20</v>
      </c>
      <c r="I347" s="60" t="str">
        <f t="shared" si="10"/>
        <v>B2-P5-C4</v>
      </c>
      <c r="J347" s="60" t="str">
        <f t="shared" si="11"/>
        <v>Fagus-B2-P5-C4-B1</v>
      </c>
      <c r="K347" s="60" t="s">
        <v>64</v>
      </c>
      <c r="L347" s="60" t="s">
        <v>44</v>
      </c>
      <c r="M347" s="60" t="s">
        <v>65</v>
      </c>
      <c r="N347" s="15">
        <v>346</v>
      </c>
      <c r="O347" s="60">
        <v>9.6</v>
      </c>
      <c r="P347" s="60">
        <v>72</v>
      </c>
      <c r="Q347" s="60">
        <v>10.11</v>
      </c>
      <c r="R347" s="60">
        <v>81.5</v>
      </c>
      <c r="S347" s="3">
        <v>10.38</v>
      </c>
      <c r="T347" s="3">
        <v>81</v>
      </c>
      <c r="U347" s="3">
        <v>11.1</v>
      </c>
      <c r="V347" s="3">
        <v>84</v>
      </c>
      <c r="W347" s="3">
        <v>10.76</v>
      </c>
      <c r="X347" s="3">
        <v>80</v>
      </c>
      <c r="Y347" s="3">
        <v>10.75</v>
      </c>
      <c r="Z347" s="3">
        <v>80</v>
      </c>
      <c r="AA347" s="3">
        <v>10.98</v>
      </c>
      <c r="AB347" s="3">
        <v>81</v>
      </c>
      <c r="AC347" s="3"/>
      <c r="AD347" s="3">
        <v>80</v>
      </c>
    </row>
    <row r="348" spans="1:30" x14ac:dyDescent="0.2">
      <c r="A348" s="60" t="s">
        <v>234</v>
      </c>
      <c r="B348" s="60" t="s">
        <v>167</v>
      </c>
      <c r="C348" s="60" t="s">
        <v>53</v>
      </c>
      <c r="D348" s="60" t="s">
        <v>17</v>
      </c>
      <c r="E348" s="60">
        <v>2</v>
      </c>
      <c r="F348" s="60" t="s">
        <v>389</v>
      </c>
      <c r="G348" s="60" t="s">
        <v>19</v>
      </c>
      <c r="H348" s="60" t="s">
        <v>20</v>
      </c>
      <c r="I348" s="60" t="str">
        <f t="shared" si="10"/>
        <v>B2-P5-C4</v>
      </c>
      <c r="J348" s="60" t="str">
        <f t="shared" si="11"/>
        <v>Fagus-B2-P5-C4-A2</v>
      </c>
      <c r="K348" s="60" t="s">
        <v>64</v>
      </c>
      <c r="L348" s="60" t="s">
        <v>44</v>
      </c>
      <c r="M348" s="60" t="s">
        <v>65</v>
      </c>
      <c r="N348" s="15">
        <v>347</v>
      </c>
      <c r="O348" s="60">
        <v>9.5</v>
      </c>
      <c r="P348" s="60">
        <v>89.5</v>
      </c>
      <c r="Q348" s="60">
        <v>9.5</v>
      </c>
      <c r="R348" s="60">
        <v>91</v>
      </c>
      <c r="S348" s="3">
        <v>9.7100000000000009</v>
      </c>
      <c r="T348" s="3">
        <v>91</v>
      </c>
      <c r="U348" s="3">
        <v>10.1</v>
      </c>
      <c r="V348" s="3">
        <v>90</v>
      </c>
      <c r="W348" s="3">
        <v>10.53</v>
      </c>
      <c r="X348" s="3">
        <v>90</v>
      </c>
      <c r="Y348" s="3">
        <v>10.119999999999999</v>
      </c>
      <c r="Z348" s="3">
        <v>90</v>
      </c>
      <c r="AA348" s="3">
        <v>10.02</v>
      </c>
      <c r="AB348" s="3">
        <v>90</v>
      </c>
      <c r="AC348" s="3"/>
      <c r="AD348" s="3">
        <v>90</v>
      </c>
    </row>
    <row r="349" spans="1:30" x14ac:dyDescent="0.2">
      <c r="A349" s="60" t="s">
        <v>234</v>
      </c>
      <c r="B349" s="60" t="s">
        <v>167</v>
      </c>
      <c r="C349" s="60" t="s">
        <v>53</v>
      </c>
      <c r="D349" s="60" t="s">
        <v>24</v>
      </c>
      <c r="E349" s="60">
        <v>2</v>
      </c>
      <c r="F349" s="60" t="s">
        <v>390</v>
      </c>
      <c r="G349" s="60" t="s">
        <v>19</v>
      </c>
      <c r="H349" s="60" t="s">
        <v>20</v>
      </c>
      <c r="I349" s="60" t="str">
        <f t="shared" si="10"/>
        <v>B2-P5-C4</v>
      </c>
      <c r="J349" s="60" t="str">
        <f t="shared" si="11"/>
        <v>Fagus-B2-P5-C4-B2</v>
      </c>
      <c r="K349" s="60" t="s">
        <v>64</v>
      </c>
      <c r="L349" s="60" t="s">
        <v>44</v>
      </c>
      <c r="M349" s="60" t="s">
        <v>65</v>
      </c>
      <c r="N349" s="15">
        <v>348</v>
      </c>
      <c r="O349" s="60">
        <v>12.1</v>
      </c>
      <c r="P349" s="60">
        <v>88</v>
      </c>
      <c r="Q349" s="60">
        <v>12.1</v>
      </c>
      <c r="R349" s="60">
        <v>114</v>
      </c>
      <c r="S349" s="3">
        <v>12.7</v>
      </c>
      <c r="T349" s="3">
        <v>121.5</v>
      </c>
      <c r="U349" s="3">
        <v>12.95</v>
      </c>
      <c r="V349" s="3">
        <v>122</v>
      </c>
      <c r="W349" s="3">
        <v>13.51</v>
      </c>
      <c r="X349" s="3">
        <v>121</v>
      </c>
      <c r="Y349" s="3">
        <v>12.52</v>
      </c>
      <c r="Z349" s="3">
        <v>124</v>
      </c>
      <c r="AA349" s="3">
        <v>13.21</v>
      </c>
      <c r="AB349" s="3">
        <v>124</v>
      </c>
      <c r="AC349" s="3"/>
      <c r="AD349" s="3">
        <v>124</v>
      </c>
    </row>
    <row r="350" spans="1:30" x14ac:dyDescent="0.2">
      <c r="A350" s="60" t="s">
        <v>234</v>
      </c>
      <c r="B350" s="60" t="s">
        <v>167</v>
      </c>
      <c r="C350" s="60" t="s">
        <v>53</v>
      </c>
      <c r="D350" s="60" t="s">
        <v>17</v>
      </c>
      <c r="E350" s="60">
        <v>3</v>
      </c>
      <c r="F350" s="60" t="s">
        <v>391</v>
      </c>
      <c r="G350" s="60" t="s">
        <v>19</v>
      </c>
      <c r="H350" s="60" t="s">
        <v>20</v>
      </c>
      <c r="I350" s="60" t="str">
        <f t="shared" si="10"/>
        <v>B2-P5-C4</v>
      </c>
      <c r="J350" s="60" t="str">
        <f t="shared" si="11"/>
        <v>Fagus-B2-P5-C4-A3</v>
      </c>
      <c r="K350" s="60" t="s">
        <v>64</v>
      </c>
      <c r="L350" s="60" t="s">
        <v>44</v>
      </c>
      <c r="M350" s="60" t="s">
        <v>65</v>
      </c>
      <c r="N350" s="15">
        <v>349</v>
      </c>
      <c r="O350" s="60">
        <v>10</v>
      </c>
      <c r="P350" s="60">
        <v>61</v>
      </c>
      <c r="Q350" s="60">
        <v>10.33</v>
      </c>
      <c r="R350" s="60">
        <v>71</v>
      </c>
      <c r="S350" s="3">
        <v>10.3</v>
      </c>
      <c r="T350" s="3">
        <v>71</v>
      </c>
      <c r="U350" s="3">
        <v>9.75</v>
      </c>
      <c r="V350" s="3">
        <v>70</v>
      </c>
      <c r="W350" s="3">
        <v>9.9600000000000009</v>
      </c>
      <c r="X350" s="3">
        <v>72</v>
      </c>
      <c r="Y350" s="3">
        <v>11.79</v>
      </c>
      <c r="Z350" s="3">
        <v>71</v>
      </c>
      <c r="AA350" s="3">
        <v>11.76</v>
      </c>
      <c r="AB350" s="3">
        <v>71</v>
      </c>
      <c r="AC350" s="3"/>
      <c r="AD350" s="3">
        <v>70</v>
      </c>
    </row>
    <row r="351" spans="1:30" x14ac:dyDescent="0.2">
      <c r="A351" s="60" t="s">
        <v>234</v>
      </c>
      <c r="B351" s="60" t="s">
        <v>167</v>
      </c>
      <c r="C351" s="60" t="s">
        <v>53</v>
      </c>
      <c r="D351" s="60" t="s">
        <v>24</v>
      </c>
      <c r="E351" s="60">
        <v>3</v>
      </c>
      <c r="F351" s="60" t="s">
        <v>392</v>
      </c>
      <c r="G351" s="60" t="s">
        <v>19</v>
      </c>
      <c r="H351" s="60" t="s">
        <v>20</v>
      </c>
      <c r="I351" s="60" t="str">
        <f t="shared" si="10"/>
        <v>B2-P5-C4</v>
      </c>
      <c r="J351" s="60" t="str">
        <f t="shared" si="11"/>
        <v>Fagus-B2-P5-C4-B3</v>
      </c>
      <c r="K351" s="60" t="s">
        <v>64</v>
      </c>
      <c r="L351" s="60" t="s">
        <v>44</v>
      </c>
      <c r="M351" s="60" t="s">
        <v>65</v>
      </c>
      <c r="N351" s="15">
        <v>350</v>
      </c>
      <c r="O351" s="60">
        <v>9.4</v>
      </c>
      <c r="P351" s="60">
        <v>71</v>
      </c>
      <c r="Q351" s="60">
        <v>9.5</v>
      </c>
      <c r="R351" s="60">
        <v>78</v>
      </c>
      <c r="S351" s="3">
        <v>10.029999999999999</v>
      </c>
      <c r="T351" s="3">
        <v>79</v>
      </c>
      <c r="U351" s="3">
        <v>10.32</v>
      </c>
      <c r="V351" s="3">
        <v>77</v>
      </c>
      <c r="W351" s="3">
        <v>10.09</v>
      </c>
      <c r="X351" s="3">
        <v>76</v>
      </c>
      <c r="Y351" s="3">
        <v>10.14</v>
      </c>
      <c r="Z351" s="3">
        <v>78</v>
      </c>
      <c r="AA351" s="3">
        <v>10.42</v>
      </c>
      <c r="AB351" s="3">
        <v>78</v>
      </c>
      <c r="AC351" s="3"/>
      <c r="AD351" s="3">
        <v>77</v>
      </c>
    </row>
    <row r="352" spans="1:30" x14ac:dyDescent="0.2">
      <c r="A352" s="60" t="s">
        <v>234</v>
      </c>
      <c r="B352" s="60" t="s">
        <v>167</v>
      </c>
      <c r="C352" s="60" t="s">
        <v>53</v>
      </c>
      <c r="D352" s="60" t="s">
        <v>17</v>
      </c>
      <c r="E352" s="60">
        <v>4</v>
      </c>
      <c r="F352" s="60" t="s">
        <v>393</v>
      </c>
      <c r="G352" s="60" t="s">
        <v>19</v>
      </c>
      <c r="H352" s="60" t="s">
        <v>20</v>
      </c>
      <c r="I352" s="60" t="str">
        <f t="shared" si="10"/>
        <v>B2-P5-C4</v>
      </c>
      <c r="J352" s="60" t="str">
        <f t="shared" si="11"/>
        <v>Fagus-B2-P5-C4-A4</v>
      </c>
      <c r="K352" s="60" t="s">
        <v>64</v>
      </c>
      <c r="L352" s="60" t="s">
        <v>44</v>
      </c>
      <c r="M352" s="60" t="s">
        <v>65</v>
      </c>
      <c r="N352" s="15">
        <v>351</v>
      </c>
      <c r="O352" s="60">
        <v>8.4</v>
      </c>
      <c r="P352" s="60">
        <v>58</v>
      </c>
      <c r="Q352" s="60">
        <v>8.4</v>
      </c>
      <c r="R352" s="60">
        <v>84</v>
      </c>
      <c r="S352" s="3">
        <v>8.76</v>
      </c>
      <c r="T352" s="3">
        <v>89.5</v>
      </c>
      <c r="U352" s="3">
        <v>8.6999999999999993</v>
      </c>
      <c r="V352" s="3">
        <v>89</v>
      </c>
      <c r="W352" s="3">
        <v>9.0500000000000007</v>
      </c>
      <c r="X352" s="3">
        <v>89</v>
      </c>
      <c r="Y352" s="3">
        <v>9.01</v>
      </c>
      <c r="Z352" s="3">
        <v>88</v>
      </c>
      <c r="AA352" s="3">
        <v>9.4700000000000006</v>
      </c>
      <c r="AB352" s="3">
        <v>88</v>
      </c>
      <c r="AC352" s="3"/>
      <c r="AD352" s="3">
        <v>89</v>
      </c>
    </row>
    <row r="353" spans="1:30" x14ac:dyDescent="0.2">
      <c r="A353" s="60" t="s">
        <v>234</v>
      </c>
      <c r="B353" s="60" t="s">
        <v>167</v>
      </c>
      <c r="C353" s="60" t="s">
        <v>53</v>
      </c>
      <c r="D353" s="60" t="s">
        <v>24</v>
      </c>
      <c r="E353" s="60">
        <v>4</v>
      </c>
      <c r="F353" s="60" t="s">
        <v>392</v>
      </c>
      <c r="G353" s="60" t="s">
        <v>19</v>
      </c>
      <c r="H353" s="60" t="s">
        <v>20</v>
      </c>
      <c r="I353" s="60" t="str">
        <f t="shared" si="10"/>
        <v>B2-P5-C4</v>
      </c>
      <c r="J353" s="60" t="str">
        <f t="shared" si="11"/>
        <v>Fagus-B2-P5-C4-B4</v>
      </c>
      <c r="K353" s="60" t="s">
        <v>64</v>
      </c>
      <c r="L353" s="60" t="s">
        <v>44</v>
      </c>
      <c r="M353" s="60" t="s">
        <v>65</v>
      </c>
      <c r="N353" s="15">
        <v>352</v>
      </c>
      <c r="O353" s="60">
        <v>9.5</v>
      </c>
      <c r="P353" s="60">
        <v>65.2</v>
      </c>
      <c r="Q353" s="60">
        <v>9.61</v>
      </c>
      <c r="R353" s="60">
        <v>81</v>
      </c>
      <c r="S353" s="3">
        <v>10.49</v>
      </c>
      <c r="T353" s="3">
        <v>83</v>
      </c>
      <c r="U353" s="3">
        <v>10.19</v>
      </c>
      <c r="V353" s="3">
        <v>84</v>
      </c>
      <c r="W353" s="3">
        <v>10.62</v>
      </c>
      <c r="X353" s="3">
        <v>83</v>
      </c>
      <c r="Y353" s="3">
        <v>10.36</v>
      </c>
      <c r="Z353" s="3">
        <v>84</v>
      </c>
      <c r="AA353" s="3">
        <v>10.96</v>
      </c>
      <c r="AB353" s="3">
        <v>84</v>
      </c>
      <c r="AC353" s="3"/>
      <c r="AD353" s="3">
        <v>83</v>
      </c>
    </row>
    <row r="354" spans="1:30" s="38" customFormat="1" x14ac:dyDescent="0.2">
      <c r="A354" s="57" t="s">
        <v>234</v>
      </c>
      <c r="B354" s="57" t="s">
        <v>200</v>
      </c>
      <c r="C354" s="57" t="s">
        <v>16</v>
      </c>
      <c r="D354" s="57" t="s">
        <v>17</v>
      </c>
      <c r="E354" s="57">
        <v>1</v>
      </c>
      <c r="F354" s="57" t="s">
        <v>394</v>
      </c>
      <c r="G354" s="57" t="s">
        <v>19</v>
      </c>
      <c r="H354" s="57" t="s">
        <v>20</v>
      </c>
      <c r="I354" s="57" t="str">
        <f t="shared" si="10"/>
        <v>B2-P6-C1</v>
      </c>
      <c r="J354" s="57" t="str">
        <f t="shared" si="11"/>
        <v>Fagus-B2-P6-C1-A1</v>
      </c>
      <c r="K354" s="57" t="s">
        <v>21</v>
      </c>
      <c r="L354" s="57" t="s">
        <v>44</v>
      </c>
      <c r="M354" s="57" t="s">
        <v>45</v>
      </c>
      <c r="N354" s="37">
        <v>353</v>
      </c>
      <c r="O354" s="57">
        <v>10.4</v>
      </c>
      <c r="P354" s="57">
        <v>84</v>
      </c>
      <c r="Q354" s="57">
        <v>10.44</v>
      </c>
      <c r="R354" s="57">
        <v>102</v>
      </c>
      <c r="S354" s="57">
        <v>11.58</v>
      </c>
      <c r="T354" s="57">
        <v>101</v>
      </c>
      <c r="U354" s="57">
        <v>11.94</v>
      </c>
      <c r="V354" s="57">
        <v>102</v>
      </c>
      <c r="W354" s="57">
        <v>12.98</v>
      </c>
      <c r="X354" s="57">
        <v>101</v>
      </c>
      <c r="Y354" s="57">
        <v>11.07</v>
      </c>
      <c r="Z354" s="57">
        <v>102</v>
      </c>
      <c r="AA354" s="57">
        <v>11.92</v>
      </c>
      <c r="AB354" s="57">
        <v>101</v>
      </c>
      <c r="AC354" s="57"/>
      <c r="AD354" s="57">
        <v>101</v>
      </c>
    </row>
    <row r="355" spans="1:30" s="38" customFormat="1" x14ac:dyDescent="0.2">
      <c r="A355" s="57" t="s">
        <v>234</v>
      </c>
      <c r="B355" s="57" t="s">
        <v>200</v>
      </c>
      <c r="C355" s="57" t="s">
        <v>16</v>
      </c>
      <c r="D355" s="57" t="s">
        <v>24</v>
      </c>
      <c r="E355" s="57">
        <v>1</v>
      </c>
      <c r="F355" s="57" t="s">
        <v>395</v>
      </c>
      <c r="G355" s="57" t="s">
        <v>19</v>
      </c>
      <c r="H355" s="57" t="s">
        <v>20</v>
      </c>
      <c r="I355" s="57" t="str">
        <f t="shared" si="10"/>
        <v>B2-P6-C1</v>
      </c>
      <c r="J355" s="57" t="str">
        <f t="shared" si="11"/>
        <v>Fagus-B2-P6-C1-B1</v>
      </c>
      <c r="K355" s="57" t="s">
        <v>21</v>
      </c>
      <c r="L355" s="57" t="s">
        <v>44</v>
      </c>
      <c r="M355" s="57" t="s">
        <v>45</v>
      </c>
      <c r="N355" s="37">
        <v>354</v>
      </c>
      <c r="O355" s="57">
        <v>10.199999999999999</v>
      </c>
      <c r="P355" s="57">
        <v>61.5</v>
      </c>
      <c r="Q355" s="57">
        <v>10.25</v>
      </c>
      <c r="R355" s="57">
        <v>74</v>
      </c>
      <c r="S355" s="57">
        <v>11.58</v>
      </c>
      <c r="T355" s="57">
        <v>74</v>
      </c>
      <c r="U355" s="57">
        <v>11.98</v>
      </c>
      <c r="V355" s="57">
        <v>73.5</v>
      </c>
      <c r="W355" s="57">
        <v>11.76</v>
      </c>
      <c r="X355" s="57">
        <v>74</v>
      </c>
      <c r="Y355" s="57">
        <v>11.29</v>
      </c>
      <c r="Z355" s="57">
        <v>73</v>
      </c>
      <c r="AA355" s="57">
        <v>11.38</v>
      </c>
      <c r="AB355" s="57">
        <v>73</v>
      </c>
      <c r="AC355" s="57"/>
      <c r="AD355" s="57">
        <v>73</v>
      </c>
    </row>
    <row r="356" spans="1:30" s="38" customFormat="1" x14ac:dyDescent="0.2">
      <c r="A356" s="57" t="s">
        <v>234</v>
      </c>
      <c r="B356" s="57" t="s">
        <v>200</v>
      </c>
      <c r="C356" s="57" t="s">
        <v>16</v>
      </c>
      <c r="D356" s="57" t="s">
        <v>17</v>
      </c>
      <c r="E356" s="57">
        <v>2</v>
      </c>
      <c r="F356" s="57" t="s">
        <v>396</v>
      </c>
      <c r="G356" s="57" t="s">
        <v>19</v>
      </c>
      <c r="H356" s="57" t="s">
        <v>20</v>
      </c>
      <c r="I356" s="57" t="str">
        <f t="shared" si="10"/>
        <v>B2-P6-C1</v>
      </c>
      <c r="J356" s="57" t="str">
        <f t="shared" si="11"/>
        <v>Fagus-B2-P6-C1-A2</v>
      </c>
      <c r="K356" s="57" t="s">
        <v>21</v>
      </c>
      <c r="L356" s="57" t="s">
        <v>44</v>
      </c>
      <c r="M356" s="57" t="s">
        <v>45</v>
      </c>
      <c r="N356" s="37">
        <v>355</v>
      </c>
      <c r="O356" s="57">
        <v>10.3</v>
      </c>
      <c r="P356" s="57">
        <v>84.5</v>
      </c>
      <c r="Q356" s="57">
        <v>10.38</v>
      </c>
      <c r="R356" s="57">
        <v>103</v>
      </c>
      <c r="S356" s="57">
        <v>11.77</v>
      </c>
      <c r="T356" s="57">
        <v>104</v>
      </c>
      <c r="U356" s="57">
        <v>11.64</v>
      </c>
      <c r="V356" s="57">
        <v>104</v>
      </c>
      <c r="W356" s="57">
        <v>11.66</v>
      </c>
      <c r="X356" s="57">
        <v>104</v>
      </c>
      <c r="Y356" s="57">
        <v>11.05</v>
      </c>
      <c r="Z356" s="57">
        <v>105</v>
      </c>
      <c r="AA356" s="57">
        <v>11.94</v>
      </c>
      <c r="AB356" s="57">
        <v>104</v>
      </c>
      <c r="AC356" s="57"/>
      <c r="AD356" s="57">
        <v>104</v>
      </c>
    </row>
    <row r="357" spans="1:30" s="38" customFormat="1" x14ac:dyDescent="0.2">
      <c r="A357" s="57" t="s">
        <v>234</v>
      </c>
      <c r="B357" s="57" t="s">
        <v>200</v>
      </c>
      <c r="C357" s="57" t="s">
        <v>16</v>
      </c>
      <c r="D357" s="57" t="s">
        <v>24</v>
      </c>
      <c r="E357" s="57">
        <v>2</v>
      </c>
      <c r="F357" s="57" t="s">
        <v>397</v>
      </c>
      <c r="G357" s="57" t="s">
        <v>19</v>
      </c>
      <c r="H357" s="57" t="s">
        <v>20</v>
      </c>
      <c r="I357" s="57" t="str">
        <f t="shared" si="10"/>
        <v>B2-P6-C1</v>
      </c>
      <c r="J357" s="57" t="str">
        <f t="shared" si="11"/>
        <v>Fagus-B2-P6-C1-B2</v>
      </c>
      <c r="K357" s="57" t="s">
        <v>21</v>
      </c>
      <c r="L357" s="57" t="s">
        <v>44</v>
      </c>
      <c r="M357" s="57" t="s">
        <v>45</v>
      </c>
      <c r="N357" s="37">
        <v>356</v>
      </c>
      <c r="O357" s="57">
        <v>11.6</v>
      </c>
      <c r="P357" s="57">
        <v>75</v>
      </c>
      <c r="Q357" s="57">
        <v>11.84</v>
      </c>
      <c r="R357" s="57">
        <v>92</v>
      </c>
      <c r="S357" s="57">
        <v>12.86</v>
      </c>
      <c r="T357" s="57">
        <v>102</v>
      </c>
      <c r="U357" s="57">
        <v>12.96</v>
      </c>
      <c r="V357" s="57">
        <v>103</v>
      </c>
      <c r="W357" s="57">
        <v>13.13</v>
      </c>
      <c r="X357" s="57">
        <v>102.5</v>
      </c>
      <c r="Y357" s="57">
        <v>13.82</v>
      </c>
      <c r="Z357" s="57">
        <v>102</v>
      </c>
      <c r="AA357" s="57">
        <v>13.57</v>
      </c>
      <c r="AB357" s="57">
        <v>101</v>
      </c>
      <c r="AC357" s="57"/>
      <c r="AD357" s="57">
        <v>102</v>
      </c>
    </row>
    <row r="358" spans="1:30" s="38" customFormat="1" x14ac:dyDescent="0.2">
      <c r="A358" s="57" t="s">
        <v>234</v>
      </c>
      <c r="B358" s="57" t="s">
        <v>200</v>
      </c>
      <c r="C358" s="57" t="s">
        <v>16</v>
      </c>
      <c r="D358" s="57" t="s">
        <v>17</v>
      </c>
      <c r="E358" s="57">
        <v>3</v>
      </c>
      <c r="F358" s="57" t="s">
        <v>398</v>
      </c>
      <c r="G358" s="57" t="s">
        <v>19</v>
      </c>
      <c r="H358" s="57" t="s">
        <v>20</v>
      </c>
      <c r="I358" s="57" t="str">
        <f t="shared" si="10"/>
        <v>B2-P6-C1</v>
      </c>
      <c r="J358" s="57" t="str">
        <f t="shared" si="11"/>
        <v>Fagus-B2-P6-C1-A3</v>
      </c>
      <c r="K358" s="57" t="s">
        <v>21</v>
      </c>
      <c r="L358" s="57" t="s">
        <v>44</v>
      </c>
      <c r="M358" s="57" t="s">
        <v>45</v>
      </c>
      <c r="N358" s="37">
        <v>357</v>
      </c>
      <c r="O358" s="57">
        <v>7.8</v>
      </c>
      <c r="P358" s="57">
        <v>90</v>
      </c>
      <c r="Q358" s="57">
        <v>8.19</v>
      </c>
      <c r="R358" s="57">
        <v>100.5</v>
      </c>
      <c r="S358" s="57">
        <v>8.94</v>
      </c>
      <c r="T358" s="57">
        <v>100</v>
      </c>
      <c r="U358" s="57">
        <v>9.8800000000000008</v>
      </c>
      <c r="V358" s="57">
        <v>100.5</v>
      </c>
      <c r="W358" s="57">
        <v>9.5500000000000007</v>
      </c>
      <c r="X358" s="57">
        <v>100.5</v>
      </c>
      <c r="Y358" s="57">
        <v>8.7100000000000009</v>
      </c>
      <c r="Z358" s="57">
        <v>100</v>
      </c>
      <c r="AA358" s="57">
        <v>10.58</v>
      </c>
      <c r="AB358" s="57">
        <v>99</v>
      </c>
      <c r="AC358" s="57"/>
      <c r="AD358" s="57">
        <v>99</v>
      </c>
    </row>
    <row r="359" spans="1:30" s="38" customFormat="1" x14ac:dyDescent="0.2">
      <c r="A359" s="57" t="s">
        <v>234</v>
      </c>
      <c r="B359" s="57" t="s">
        <v>200</v>
      </c>
      <c r="C359" s="57" t="s">
        <v>16</v>
      </c>
      <c r="D359" s="57" t="s">
        <v>24</v>
      </c>
      <c r="E359" s="57">
        <v>3</v>
      </c>
      <c r="F359" s="57" t="s">
        <v>399</v>
      </c>
      <c r="G359" s="57" t="s">
        <v>19</v>
      </c>
      <c r="H359" s="57" t="s">
        <v>20</v>
      </c>
      <c r="I359" s="57" t="str">
        <f t="shared" si="10"/>
        <v>B2-P6-C1</v>
      </c>
      <c r="J359" s="57" t="str">
        <f t="shared" si="11"/>
        <v>Fagus-B2-P6-C1-B3</v>
      </c>
      <c r="K359" s="57" t="s">
        <v>21</v>
      </c>
      <c r="L359" s="57" t="s">
        <v>44</v>
      </c>
      <c r="M359" s="57" t="s">
        <v>45</v>
      </c>
      <c r="N359" s="37">
        <v>358</v>
      </c>
      <c r="O359" s="57">
        <v>8.1</v>
      </c>
      <c r="P359" s="57">
        <v>74.5</v>
      </c>
      <c r="Q359" s="57">
        <v>8.11</v>
      </c>
      <c r="R359" s="57">
        <v>95</v>
      </c>
      <c r="S359" s="57">
        <v>9.0500000000000007</v>
      </c>
      <c r="T359" s="57">
        <v>102</v>
      </c>
      <c r="U359" s="57">
        <v>9.5500000000000007</v>
      </c>
      <c r="V359" s="57">
        <v>102</v>
      </c>
      <c r="W359" s="57">
        <v>9.0299999999999994</v>
      </c>
      <c r="X359" s="57">
        <v>102.5</v>
      </c>
      <c r="Y359" s="57">
        <v>8.7200000000000006</v>
      </c>
      <c r="Z359" s="57">
        <v>103</v>
      </c>
      <c r="AA359" s="57">
        <v>9.41</v>
      </c>
      <c r="AB359" s="57">
        <v>101</v>
      </c>
      <c r="AC359" s="57"/>
      <c r="AD359" s="57">
        <v>102</v>
      </c>
    </row>
    <row r="360" spans="1:30" s="38" customFormat="1" x14ac:dyDescent="0.2">
      <c r="A360" s="57" t="s">
        <v>234</v>
      </c>
      <c r="B360" s="57" t="s">
        <v>200</v>
      </c>
      <c r="C360" s="57" t="s">
        <v>16</v>
      </c>
      <c r="D360" s="57" t="s">
        <v>17</v>
      </c>
      <c r="E360" s="57">
        <v>4</v>
      </c>
      <c r="F360" s="57" t="s">
        <v>400</v>
      </c>
      <c r="G360" s="57" t="s">
        <v>19</v>
      </c>
      <c r="H360" s="57" t="s">
        <v>20</v>
      </c>
      <c r="I360" s="57" t="str">
        <f t="shared" si="10"/>
        <v>B2-P6-C1</v>
      </c>
      <c r="J360" s="57" t="str">
        <f t="shared" si="11"/>
        <v>Fagus-B2-P6-C1-A4</v>
      </c>
      <c r="K360" s="57" t="s">
        <v>21</v>
      </c>
      <c r="L360" s="57" t="s">
        <v>44</v>
      </c>
      <c r="M360" s="57" t="s">
        <v>45</v>
      </c>
      <c r="N360" s="37">
        <v>359</v>
      </c>
      <c r="O360" s="57">
        <v>8.9</v>
      </c>
      <c r="P360" s="57">
        <v>90.5</v>
      </c>
      <c r="Q360" s="57">
        <v>8.8000000000000007</v>
      </c>
      <c r="R360" s="57">
        <v>99</v>
      </c>
      <c r="S360" s="57">
        <v>10.23</v>
      </c>
      <c r="T360" s="57">
        <v>98</v>
      </c>
      <c r="U360" s="57">
        <v>10.32</v>
      </c>
      <c r="V360" s="57">
        <v>98</v>
      </c>
      <c r="W360" s="57">
        <v>10.199999999999999</v>
      </c>
      <c r="X360" s="57">
        <v>97</v>
      </c>
      <c r="Y360" s="57">
        <v>10.17</v>
      </c>
      <c r="Z360" s="57">
        <v>95</v>
      </c>
      <c r="AA360" s="57">
        <v>10.76</v>
      </c>
      <c r="AB360" s="57">
        <v>95</v>
      </c>
      <c r="AC360" s="57"/>
      <c r="AD360" s="57">
        <v>96</v>
      </c>
    </row>
    <row r="361" spans="1:30" s="38" customFormat="1" x14ac:dyDescent="0.2">
      <c r="A361" s="57" t="s">
        <v>234</v>
      </c>
      <c r="B361" s="57" t="s">
        <v>200</v>
      </c>
      <c r="C361" s="57" t="s">
        <v>16</v>
      </c>
      <c r="D361" s="57" t="s">
        <v>24</v>
      </c>
      <c r="E361" s="57">
        <v>4</v>
      </c>
      <c r="F361" s="57" t="s">
        <v>401</v>
      </c>
      <c r="G361" s="57" t="s">
        <v>19</v>
      </c>
      <c r="H361" s="57" t="s">
        <v>20</v>
      </c>
      <c r="I361" s="57" t="str">
        <f t="shared" si="10"/>
        <v>B2-P6-C1</v>
      </c>
      <c r="J361" s="57" t="str">
        <f t="shared" si="11"/>
        <v>Fagus-B2-P6-C1-B4</v>
      </c>
      <c r="K361" s="57" t="s">
        <v>21</v>
      </c>
      <c r="L361" s="57" t="s">
        <v>44</v>
      </c>
      <c r="M361" s="57" t="s">
        <v>45</v>
      </c>
      <c r="N361" s="37">
        <v>360</v>
      </c>
      <c r="O361" s="57">
        <v>10</v>
      </c>
      <c r="P361" s="57">
        <v>89</v>
      </c>
      <c r="Q361" s="57">
        <v>10.54</v>
      </c>
      <c r="R361" s="57">
        <v>99</v>
      </c>
      <c r="S361" s="57">
        <v>11.32</v>
      </c>
      <c r="T361" s="57">
        <v>99</v>
      </c>
      <c r="U361" s="57">
        <v>11.36</v>
      </c>
      <c r="V361" s="57">
        <v>99</v>
      </c>
      <c r="W361" s="57">
        <v>11.31</v>
      </c>
      <c r="X361" s="57">
        <v>98</v>
      </c>
      <c r="Y361" s="57">
        <v>11.15</v>
      </c>
      <c r="Z361" s="57">
        <v>99</v>
      </c>
      <c r="AA361" s="57">
        <v>11.7</v>
      </c>
      <c r="AB361" s="57">
        <v>97.5</v>
      </c>
      <c r="AC361" s="57"/>
      <c r="AD361" s="57">
        <v>99</v>
      </c>
    </row>
    <row r="362" spans="1:30" x14ac:dyDescent="0.2">
      <c r="A362" s="60" t="s">
        <v>234</v>
      </c>
      <c r="B362" s="60" t="s">
        <v>200</v>
      </c>
      <c r="C362" s="60" t="s">
        <v>32</v>
      </c>
      <c r="D362" s="60" t="s">
        <v>17</v>
      </c>
      <c r="E362" s="60">
        <v>1</v>
      </c>
      <c r="F362" s="60" t="s">
        <v>402</v>
      </c>
      <c r="G362" s="60" t="s">
        <v>19</v>
      </c>
      <c r="H362" s="60" t="s">
        <v>20</v>
      </c>
      <c r="I362" s="60" t="str">
        <f t="shared" si="10"/>
        <v>B2-P6-C2</v>
      </c>
      <c r="J362" s="60" t="str">
        <f t="shared" si="11"/>
        <v>Fagus-B2-P6-C2-A1</v>
      </c>
      <c r="K362" s="60" t="s">
        <v>21</v>
      </c>
      <c r="L362" s="60" t="s">
        <v>22</v>
      </c>
      <c r="M362" s="60" t="s">
        <v>23</v>
      </c>
      <c r="N362" s="15">
        <v>361</v>
      </c>
      <c r="O362" s="60">
        <v>8.8000000000000007</v>
      </c>
      <c r="P362" s="60">
        <v>96.5</v>
      </c>
      <c r="Q362" s="60">
        <v>8.92</v>
      </c>
      <c r="R362" s="60">
        <v>105</v>
      </c>
      <c r="S362" s="3">
        <v>11.51</v>
      </c>
      <c r="T362" s="3">
        <v>105</v>
      </c>
      <c r="U362" s="3">
        <v>13.43</v>
      </c>
      <c r="V362" s="3">
        <v>116</v>
      </c>
      <c r="W362" s="3">
        <v>14.7</v>
      </c>
      <c r="X362" s="3">
        <v>132.5</v>
      </c>
      <c r="Y362" s="3">
        <v>14.73</v>
      </c>
      <c r="Z362" s="3">
        <v>129</v>
      </c>
      <c r="AA362" s="3">
        <v>15.36</v>
      </c>
      <c r="AB362" s="3">
        <v>131</v>
      </c>
      <c r="AC362" s="3"/>
      <c r="AD362" s="3">
        <v>132</v>
      </c>
    </row>
    <row r="363" spans="1:30" x14ac:dyDescent="0.2">
      <c r="A363" s="60" t="s">
        <v>234</v>
      </c>
      <c r="B363" s="60" t="s">
        <v>200</v>
      </c>
      <c r="C363" s="60" t="s">
        <v>32</v>
      </c>
      <c r="D363" s="60" t="s">
        <v>24</v>
      </c>
      <c r="E363" s="60">
        <v>1</v>
      </c>
      <c r="F363" s="60" t="s">
        <v>403</v>
      </c>
      <c r="G363" s="60" t="s">
        <v>35</v>
      </c>
      <c r="H363" s="60" t="s">
        <v>20</v>
      </c>
      <c r="I363" s="60" t="str">
        <f t="shared" si="10"/>
        <v>B2-P6-C2</v>
      </c>
      <c r="J363" s="60" t="str">
        <f t="shared" si="11"/>
        <v>Quercus-B2-P6-C2-B1</v>
      </c>
      <c r="K363" s="60" t="s">
        <v>21</v>
      </c>
      <c r="L363" s="60" t="s">
        <v>22</v>
      </c>
      <c r="M363" s="60" t="s">
        <v>23</v>
      </c>
      <c r="N363" s="15">
        <v>362</v>
      </c>
      <c r="O363" s="60">
        <v>7.1</v>
      </c>
      <c r="P363" s="60">
        <v>60</v>
      </c>
      <c r="Q363" s="60">
        <v>7.99</v>
      </c>
      <c r="R363" s="60">
        <v>66</v>
      </c>
      <c r="S363" s="3">
        <v>8.8000000000000007</v>
      </c>
      <c r="T363" s="3">
        <v>68.5</v>
      </c>
      <c r="U363" s="3">
        <v>10.16</v>
      </c>
      <c r="V363" s="3">
        <v>86</v>
      </c>
      <c r="W363" s="3">
        <v>11.42</v>
      </c>
      <c r="X363" s="3">
        <v>86</v>
      </c>
      <c r="Y363" s="3">
        <v>12.22</v>
      </c>
      <c r="Z363" s="3">
        <v>86</v>
      </c>
      <c r="AA363" s="3">
        <v>14.48</v>
      </c>
      <c r="AB363" s="3">
        <v>86</v>
      </c>
      <c r="AC363" s="3"/>
      <c r="AD363" s="3">
        <v>86</v>
      </c>
    </row>
    <row r="364" spans="1:30" x14ac:dyDescent="0.2">
      <c r="A364" s="60" t="s">
        <v>234</v>
      </c>
      <c r="B364" s="60" t="s">
        <v>200</v>
      </c>
      <c r="C364" s="60" t="s">
        <v>32</v>
      </c>
      <c r="D364" s="60" t="s">
        <v>17</v>
      </c>
      <c r="E364" s="60">
        <v>2</v>
      </c>
      <c r="F364" s="60" t="s">
        <v>404</v>
      </c>
      <c r="G364" s="60" t="s">
        <v>35</v>
      </c>
      <c r="H364" s="60" t="s">
        <v>20</v>
      </c>
      <c r="I364" s="60" t="str">
        <f t="shared" si="10"/>
        <v>B2-P6-C2</v>
      </c>
      <c r="J364" s="60" t="str">
        <f t="shared" si="11"/>
        <v>Quercus-B2-P6-C2-A2</v>
      </c>
      <c r="K364" s="60" t="s">
        <v>21</v>
      </c>
      <c r="L364" s="60" t="s">
        <v>22</v>
      </c>
      <c r="M364" s="60" t="s">
        <v>23</v>
      </c>
      <c r="N364" s="15">
        <v>363</v>
      </c>
      <c r="O364" s="60">
        <v>4.7</v>
      </c>
      <c r="P364" s="60">
        <v>48.5</v>
      </c>
      <c r="Q364" s="60">
        <v>5.25</v>
      </c>
      <c r="R364" s="60">
        <v>63.5</v>
      </c>
      <c r="S364" s="3">
        <v>5.97</v>
      </c>
      <c r="T364" s="3">
        <v>67</v>
      </c>
      <c r="U364" s="3">
        <v>6.63</v>
      </c>
      <c r="V364" s="3">
        <v>82.5</v>
      </c>
      <c r="W364" s="3">
        <v>6.96</v>
      </c>
      <c r="X364" s="3">
        <v>82</v>
      </c>
      <c r="Y364" s="3">
        <v>8.1999999999999993</v>
      </c>
      <c r="Z364" s="3">
        <v>82</v>
      </c>
      <c r="AA364" s="3">
        <v>9.06</v>
      </c>
      <c r="AB364" s="3">
        <v>83</v>
      </c>
      <c r="AC364" s="3"/>
      <c r="AD364" s="3">
        <v>83</v>
      </c>
    </row>
    <row r="365" spans="1:30" x14ac:dyDescent="0.2">
      <c r="A365" s="60" t="s">
        <v>234</v>
      </c>
      <c r="B365" s="60" t="s">
        <v>200</v>
      </c>
      <c r="C365" s="60" t="s">
        <v>32</v>
      </c>
      <c r="D365" s="60" t="s">
        <v>24</v>
      </c>
      <c r="E365" s="60">
        <v>2</v>
      </c>
      <c r="F365" s="60" t="s">
        <v>405</v>
      </c>
      <c r="G365" s="60" t="s">
        <v>19</v>
      </c>
      <c r="H365" s="60" t="s">
        <v>20</v>
      </c>
      <c r="I365" s="60" t="str">
        <f t="shared" si="10"/>
        <v>B2-P6-C2</v>
      </c>
      <c r="J365" s="60" t="str">
        <f t="shared" si="11"/>
        <v>Fagus-B2-P6-C2-B2</v>
      </c>
      <c r="K365" s="60" t="s">
        <v>21</v>
      </c>
      <c r="L365" s="60" t="s">
        <v>22</v>
      </c>
      <c r="M365" s="60" t="s">
        <v>23</v>
      </c>
      <c r="N365" s="15">
        <v>364</v>
      </c>
      <c r="O365" s="60">
        <v>8.4</v>
      </c>
      <c r="P365" s="60">
        <v>88</v>
      </c>
      <c r="Q365" s="60">
        <v>8.5299999999999994</v>
      </c>
      <c r="R365" s="60">
        <v>95</v>
      </c>
      <c r="S365" s="3">
        <v>9.51</v>
      </c>
      <c r="T365" s="3">
        <v>104.5</v>
      </c>
      <c r="U365" s="3">
        <v>11.2</v>
      </c>
      <c r="V365" s="3">
        <v>119</v>
      </c>
      <c r="W365" s="3">
        <v>11.79</v>
      </c>
      <c r="X365" s="3">
        <v>125</v>
      </c>
      <c r="Y365" s="3">
        <v>12.51</v>
      </c>
      <c r="Z365" s="3">
        <v>129</v>
      </c>
      <c r="AA365" s="3">
        <v>12.15</v>
      </c>
      <c r="AB365" s="3">
        <v>132.5</v>
      </c>
      <c r="AC365" s="3"/>
      <c r="AD365" s="82">
        <v>137</v>
      </c>
    </row>
    <row r="366" spans="1:30" x14ac:dyDescent="0.2">
      <c r="A366" s="60" t="s">
        <v>234</v>
      </c>
      <c r="B366" s="60" t="s">
        <v>200</v>
      </c>
      <c r="C366" s="60" t="s">
        <v>32</v>
      </c>
      <c r="D366" s="60" t="s">
        <v>17</v>
      </c>
      <c r="E366" s="60">
        <v>3</v>
      </c>
      <c r="F366" s="60" t="s">
        <v>406</v>
      </c>
      <c r="G366" s="60" t="s">
        <v>19</v>
      </c>
      <c r="H366" s="60" t="s">
        <v>20</v>
      </c>
      <c r="I366" s="60" t="str">
        <f t="shared" si="10"/>
        <v>B2-P6-C2</v>
      </c>
      <c r="J366" s="60" t="str">
        <f t="shared" si="11"/>
        <v>Fagus-B2-P6-C2-A3</v>
      </c>
      <c r="K366" s="60" t="s">
        <v>21</v>
      </c>
      <c r="L366" s="60" t="s">
        <v>22</v>
      </c>
      <c r="M366" s="60" t="s">
        <v>23</v>
      </c>
      <c r="N366" s="15">
        <v>365</v>
      </c>
      <c r="O366" s="60">
        <v>5.8</v>
      </c>
      <c r="P366" s="60">
        <v>48.7</v>
      </c>
      <c r="Q366" s="60">
        <v>5.77</v>
      </c>
      <c r="R366" s="60">
        <v>56</v>
      </c>
      <c r="S366" s="3">
        <v>6.93</v>
      </c>
      <c r="T366" s="3">
        <v>55</v>
      </c>
      <c r="U366" s="3">
        <v>8.3800000000000008</v>
      </c>
      <c r="V366" s="3">
        <v>67</v>
      </c>
      <c r="W366" s="3">
        <v>8.3000000000000007</v>
      </c>
      <c r="X366" s="3">
        <v>68</v>
      </c>
      <c r="Y366" s="3">
        <v>8.5299999999999994</v>
      </c>
      <c r="Z366" s="3">
        <v>67</v>
      </c>
      <c r="AA366" s="3">
        <v>9.3000000000000007</v>
      </c>
      <c r="AB366" s="3">
        <v>67</v>
      </c>
      <c r="AC366" s="3"/>
      <c r="AD366" s="3">
        <v>67</v>
      </c>
    </row>
    <row r="367" spans="1:30" x14ac:dyDescent="0.2">
      <c r="A367" s="60" t="s">
        <v>234</v>
      </c>
      <c r="B367" s="60" t="s">
        <v>200</v>
      </c>
      <c r="C367" s="60" t="s">
        <v>32</v>
      </c>
      <c r="D367" s="60" t="s">
        <v>24</v>
      </c>
      <c r="E367" s="60">
        <v>3</v>
      </c>
      <c r="F367" s="60" t="s">
        <v>407</v>
      </c>
      <c r="G367" s="60" t="s">
        <v>35</v>
      </c>
      <c r="H367" s="60" t="s">
        <v>20</v>
      </c>
      <c r="I367" s="60" t="str">
        <f t="shared" si="10"/>
        <v>B2-P6-C2</v>
      </c>
      <c r="J367" s="60" t="str">
        <f t="shared" si="11"/>
        <v>Quercus-B2-P6-C2-B3</v>
      </c>
      <c r="K367" s="60" t="s">
        <v>21</v>
      </c>
      <c r="L367" s="60" t="s">
        <v>22</v>
      </c>
      <c r="M367" s="60" t="s">
        <v>23</v>
      </c>
      <c r="N367" s="15">
        <v>366</v>
      </c>
      <c r="O367" s="60">
        <v>5.2</v>
      </c>
      <c r="P367" s="60">
        <v>54</v>
      </c>
      <c r="Q367" s="60">
        <v>5.42</v>
      </c>
      <c r="R367" s="60">
        <v>60</v>
      </c>
      <c r="S367" s="3">
        <v>7.22</v>
      </c>
      <c r="T367" s="3">
        <v>63</v>
      </c>
      <c r="U367" s="3">
        <v>8.4600000000000009</v>
      </c>
      <c r="V367" s="3">
        <v>89</v>
      </c>
      <c r="W367" s="3">
        <v>9.44</v>
      </c>
      <c r="X367" s="3">
        <v>89.5</v>
      </c>
      <c r="Y367" s="3">
        <v>9.7200000000000006</v>
      </c>
      <c r="Z367" s="3">
        <v>90</v>
      </c>
      <c r="AA367" s="3">
        <v>10.84</v>
      </c>
      <c r="AB367" s="3">
        <v>97</v>
      </c>
      <c r="AC367" s="3"/>
      <c r="AD367" s="3">
        <v>97</v>
      </c>
    </row>
    <row r="368" spans="1:30" x14ac:dyDescent="0.2">
      <c r="A368" s="60" t="s">
        <v>234</v>
      </c>
      <c r="B368" s="60" t="s">
        <v>200</v>
      </c>
      <c r="C368" s="60" t="s">
        <v>32</v>
      </c>
      <c r="D368" s="60" t="s">
        <v>17</v>
      </c>
      <c r="E368" s="60">
        <v>4</v>
      </c>
      <c r="F368" s="60" t="s">
        <v>408</v>
      </c>
      <c r="G368" s="60" t="s">
        <v>35</v>
      </c>
      <c r="H368" s="60" t="s">
        <v>20</v>
      </c>
      <c r="I368" s="60" t="str">
        <f t="shared" si="10"/>
        <v>B2-P6-C2</v>
      </c>
      <c r="J368" s="60" t="str">
        <f t="shared" si="11"/>
        <v>Quercus-B2-P6-C2-A4</v>
      </c>
      <c r="K368" s="60" t="s">
        <v>21</v>
      </c>
      <c r="L368" s="60" t="s">
        <v>22</v>
      </c>
      <c r="M368" s="60" t="s">
        <v>23</v>
      </c>
      <c r="N368" s="15">
        <v>367</v>
      </c>
      <c r="O368" s="60">
        <v>4.9000000000000004</v>
      </c>
      <c r="P368" s="60">
        <v>41</v>
      </c>
      <c r="Q368" s="60">
        <v>5.77</v>
      </c>
      <c r="R368" s="60">
        <v>49</v>
      </c>
      <c r="S368" s="3">
        <v>7.22</v>
      </c>
      <c r="T368" s="3">
        <v>50</v>
      </c>
      <c r="U368" s="3">
        <v>7.9</v>
      </c>
      <c r="V368" s="3">
        <v>67</v>
      </c>
      <c r="W368" s="3">
        <v>9.35</v>
      </c>
      <c r="X368" s="3">
        <v>66</v>
      </c>
      <c r="Y368" s="3">
        <v>9.52</v>
      </c>
      <c r="Z368" s="3">
        <v>66</v>
      </c>
      <c r="AA368" s="3">
        <v>11.48</v>
      </c>
      <c r="AB368" s="3">
        <v>66.5</v>
      </c>
      <c r="AC368" s="3"/>
      <c r="AD368" s="3">
        <v>66</v>
      </c>
    </row>
    <row r="369" spans="1:30" x14ac:dyDescent="0.2">
      <c r="A369" s="60" t="s">
        <v>234</v>
      </c>
      <c r="B369" s="60" t="s">
        <v>200</v>
      </c>
      <c r="C369" s="60" t="s">
        <v>32</v>
      </c>
      <c r="D369" s="60" t="s">
        <v>24</v>
      </c>
      <c r="E369" s="60">
        <v>4</v>
      </c>
      <c r="F369" s="60" t="s">
        <v>409</v>
      </c>
      <c r="G369" s="60" t="s">
        <v>19</v>
      </c>
      <c r="H369" s="60" t="s">
        <v>20</v>
      </c>
      <c r="I369" s="60" t="str">
        <f t="shared" si="10"/>
        <v>B2-P6-C2</v>
      </c>
      <c r="J369" s="60" t="str">
        <f t="shared" si="11"/>
        <v>Fagus-B2-P6-C2-B4</v>
      </c>
      <c r="K369" s="60" t="s">
        <v>21</v>
      </c>
      <c r="L369" s="60" t="s">
        <v>22</v>
      </c>
      <c r="M369" s="60" t="s">
        <v>23</v>
      </c>
      <c r="N369" s="15">
        <v>368</v>
      </c>
      <c r="O369" s="60">
        <v>10</v>
      </c>
      <c r="P369" s="60">
        <v>67.5</v>
      </c>
      <c r="Q369" s="60">
        <v>10.01</v>
      </c>
      <c r="R369" s="60">
        <v>86</v>
      </c>
      <c r="S369" s="3">
        <v>11.48</v>
      </c>
      <c r="T369" s="3">
        <v>86.5</v>
      </c>
      <c r="U369" s="3">
        <v>13.29</v>
      </c>
      <c r="V369" s="3">
        <v>88</v>
      </c>
      <c r="W369" s="3">
        <v>14.49</v>
      </c>
      <c r="X369" s="3">
        <v>92</v>
      </c>
      <c r="Y369" s="3">
        <v>14.47</v>
      </c>
      <c r="Z369" s="3">
        <v>96</v>
      </c>
      <c r="AA369" s="3">
        <v>14.57</v>
      </c>
      <c r="AB369" s="3">
        <v>92</v>
      </c>
      <c r="AC369" s="3"/>
      <c r="AD369" s="3">
        <v>92</v>
      </c>
    </row>
    <row r="370" spans="1:30" s="38" customFormat="1" x14ac:dyDescent="0.2">
      <c r="A370" s="57" t="s">
        <v>234</v>
      </c>
      <c r="B370" s="57" t="s">
        <v>200</v>
      </c>
      <c r="C370" s="57" t="s">
        <v>42</v>
      </c>
      <c r="D370" s="57" t="s">
        <v>17</v>
      </c>
      <c r="E370" s="57">
        <v>1</v>
      </c>
      <c r="F370" s="57" t="s">
        <v>410</v>
      </c>
      <c r="G370" s="57" t="s">
        <v>19</v>
      </c>
      <c r="H370" s="57" t="s">
        <v>20</v>
      </c>
      <c r="I370" s="57" t="str">
        <f t="shared" si="10"/>
        <v>B2-P6-C3</v>
      </c>
      <c r="J370" s="57" t="str">
        <f t="shared" si="11"/>
        <v>Fagus-B2-P6-C3-A1</v>
      </c>
      <c r="K370" s="57" t="s">
        <v>21</v>
      </c>
      <c r="L370" s="57" t="s">
        <v>44</v>
      </c>
      <c r="M370" s="57" t="s">
        <v>45</v>
      </c>
      <c r="N370" s="37">
        <v>369</v>
      </c>
      <c r="O370" s="57">
        <v>9.6999999999999993</v>
      </c>
      <c r="P370" s="57">
        <v>90</v>
      </c>
      <c r="Q370" s="57">
        <v>9.75</v>
      </c>
      <c r="R370" s="57">
        <v>104.5</v>
      </c>
      <c r="S370" s="57">
        <v>11.12</v>
      </c>
      <c r="T370" s="57">
        <v>105</v>
      </c>
      <c r="U370" s="57">
        <v>11.05</v>
      </c>
      <c r="V370" s="57">
        <v>103</v>
      </c>
      <c r="W370" s="57">
        <v>11.2</v>
      </c>
      <c r="X370" s="57">
        <v>103</v>
      </c>
      <c r="Y370" s="57">
        <v>11.78</v>
      </c>
      <c r="Z370" s="57">
        <v>103</v>
      </c>
      <c r="AA370" s="57">
        <v>11.26</v>
      </c>
      <c r="AB370" s="57">
        <v>104</v>
      </c>
      <c r="AC370" s="57"/>
      <c r="AD370" s="57">
        <v>104</v>
      </c>
    </row>
    <row r="371" spans="1:30" s="38" customFormat="1" x14ac:dyDescent="0.2">
      <c r="A371" s="57" t="s">
        <v>234</v>
      </c>
      <c r="B371" s="57" t="s">
        <v>200</v>
      </c>
      <c r="C371" s="57" t="s">
        <v>42</v>
      </c>
      <c r="D371" s="57" t="s">
        <v>24</v>
      </c>
      <c r="E371" s="57">
        <v>1</v>
      </c>
      <c r="F371" s="57" t="s">
        <v>411</v>
      </c>
      <c r="G371" s="57" t="s">
        <v>35</v>
      </c>
      <c r="H371" s="57" t="s">
        <v>20</v>
      </c>
      <c r="I371" s="57" t="str">
        <f t="shared" si="10"/>
        <v>B2-P6-C3</v>
      </c>
      <c r="J371" s="57" t="str">
        <f t="shared" si="11"/>
        <v>Quercus-B2-P6-C3-B1</v>
      </c>
      <c r="K371" s="57" t="s">
        <v>21</v>
      </c>
      <c r="L371" s="57" t="s">
        <v>44</v>
      </c>
      <c r="M371" s="57" t="s">
        <v>45</v>
      </c>
      <c r="N371" s="37">
        <v>370</v>
      </c>
      <c r="O371" s="57">
        <v>4.7</v>
      </c>
      <c r="P371" s="57">
        <v>42</v>
      </c>
      <c r="Q371" s="57">
        <v>5.58</v>
      </c>
      <c r="R371" s="57">
        <v>43</v>
      </c>
      <c r="S371" s="57">
        <v>6.37</v>
      </c>
      <c r="T371" s="57">
        <v>56.5</v>
      </c>
      <c r="U371" s="57">
        <v>6.61</v>
      </c>
      <c r="V371" s="57">
        <v>55</v>
      </c>
      <c r="W371" s="57">
        <v>7.23</v>
      </c>
      <c r="X371" s="57">
        <v>55</v>
      </c>
      <c r="Y371" s="57">
        <v>8.57</v>
      </c>
      <c r="Z371" s="57">
        <v>56</v>
      </c>
      <c r="AA371" s="57">
        <v>9.17</v>
      </c>
      <c r="AB371" s="57">
        <v>57</v>
      </c>
      <c r="AC371" s="57"/>
      <c r="AD371" s="57">
        <v>58</v>
      </c>
    </row>
    <row r="372" spans="1:30" s="38" customFormat="1" x14ac:dyDescent="0.2">
      <c r="A372" s="57" t="s">
        <v>234</v>
      </c>
      <c r="B372" s="57" t="s">
        <v>200</v>
      </c>
      <c r="C372" s="57" t="s">
        <v>42</v>
      </c>
      <c r="D372" s="57" t="s">
        <v>17</v>
      </c>
      <c r="E372" s="57">
        <v>2</v>
      </c>
      <c r="F372" s="57" t="s">
        <v>412</v>
      </c>
      <c r="G372" s="57" t="s">
        <v>35</v>
      </c>
      <c r="H372" s="57" t="s">
        <v>20</v>
      </c>
      <c r="I372" s="57" t="str">
        <f t="shared" si="10"/>
        <v>B2-P6-C3</v>
      </c>
      <c r="J372" s="57" t="str">
        <f t="shared" si="11"/>
        <v>Quercus-B2-P6-C3-A2</v>
      </c>
      <c r="K372" s="57" t="s">
        <v>21</v>
      </c>
      <c r="L372" s="57" t="s">
        <v>44</v>
      </c>
      <c r="M372" s="57" t="s">
        <v>45</v>
      </c>
      <c r="N372" s="37">
        <v>371</v>
      </c>
      <c r="O372" s="57">
        <v>3.9</v>
      </c>
      <c r="P372" s="57">
        <v>27.5</v>
      </c>
      <c r="Q372" s="57">
        <v>4.71</v>
      </c>
      <c r="R372" s="57">
        <v>34</v>
      </c>
      <c r="S372" s="57">
        <v>4.7699999999999996</v>
      </c>
      <c r="T372" s="57">
        <v>36</v>
      </c>
      <c r="U372" s="57">
        <v>4.7699999999999996</v>
      </c>
      <c r="V372" s="57">
        <v>36</v>
      </c>
      <c r="W372" s="57">
        <v>5.0199999999999996</v>
      </c>
      <c r="X372" s="57">
        <v>39</v>
      </c>
      <c r="Y372" s="57">
        <v>5.67</v>
      </c>
      <c r="Z372" s="57">
        <v>38</v>
      </c>
      <c r="AA372" s="57">
        <v>6.88</v>
      </c>
      <c r="AB372" s="57">
        <v>42</v>
      </c>
      <c r="AC372" s="57"/>
      <c r="AD372" s="57">
        <v>43</v>
      </c>
    </row>
    <row r="373" spans="1:30" s="38" customFormat="1" x14ac:dyDescent="0.2">
      <c r="A373" s="57" t="s">
        <v>234</v>
      </c>
      <c r="B373" s="57" t="s">
        <v>200</v>
      </c>
      <c r="C373" s="57" t="s">
        <v>42</v>
      </c>
      <c r="D373" s="57" t="s">
        <v>24</v>
      </c>
      <c r="E373" s="57">
        <v>2</v>
      </c>
      <c r="F373" s="57" t="s">
        <v>413</v>
      </c>
      <c r="G373" s="57" t="s">
        <v>19</v>
      </c>
      <c r="H373" s="57" t="s">
        <v>20</v>
      </c>
      <c r="I373" s="57" t="str">
        <f t="shared" si="10"/>
        <v>B2-P6-C3</v>
      </c>
      <c r="J373" s="57" t="str">
        <f t="shared" si="11"/>
        <v>Fagus-B2-P6-C3-B2</v>
      </c>
      <c r="K373" s="57" t="s">
        <v>21</v>
      </c>
      <c r="L373" s="57" t="s">
        <v>44</v>
      </c>
      <c r="M373" s="57" t="s">
        <v>45</v>
      </c>
      <c r="N373" s="37">
        <v>372</v>
      </c>
      <c r="O373" s="57">
        <v>9.8000000000000007</v>
      </c>
      <c r="P373" s="57">
        <v>83</v>
      </c>
      <c r="Q373" s="57">
        <v>9.89</v>
      </c>
      <c r="R373" s="57">
        <v>85</v>
      </c>
      <c r="S373" s="57">
        <v>10.88</v>
      </c>
      <c r="T373" s="57">
        <v>84</v>
      </c>
      <c r="U373" s="57">
        <v>11.12</v>
      </c>
      <c r="V373" s="57">
        <v>85</v>
      </c>
      <c r="W373" s="57">
        <v>11.15</v>
      </c>
      <c r="X373" s="57">
        <v>84</v>
      </c>
      <c r="Y373" s="57">
        <v>10.74</v>
      </c>
      <c r="Z373" s="57">
        <v>83</v>
      </c>
      <c r="AA373" s="57">
        <v>11.36</v>
      </c>
      <c r="AB373" s="57">
        <v>84</v>
      </c>
      <c r="AC373" s="57"/>
      <c r="AD373" s="57">
        <v>83</v>
      </c>
    </row>
    <row r="374" spans="1:30" s="38" customFormat="1" x14ac:dyDescent="0.2">
      <c r="A374" s="57" t="s">
        <v>234</v>
      </c>
      <c r="B374" s="57" t="s">
        <v>200</v>
      </c>
      <c r="C374" s="57" t="s">
        <v>42</v>
      </c>
      <c r="D374" s="57" t="s">
        <v>17</v>
      </c>
      <c r="E374" s="57">
        <v>3</v>
      </c>
      <c r="F374" s="57" t="s">
        <v>414</v>
      </c>
      <c r="G374" s="57" t="s">
        <v>19</v>
      </c>
      <c r="H374" s="57" t="s">
        <v>20</v>
      </c>
      <c r="I374" s="57" t="str">
        <f t="shared" si="10"/>
        <v>B2-P6-C3</v>
      </c>
      <c r="J374" s="57" t="str">
        <f t="shared" si="11"/>
        <v>Fagus-B2-P6-C3-A3</v>
      </c>
      <c r="K374" s="57" t="s">
        <v>21</v>
      </c>
      <c r="L374" s="57" t="s">
        <v>44</v>
      </c>
      <c r="M374" s="57" t="s">
        <v>45</v>
      </c>
      <c r="N374" s="37">
        <v>373</v>
      </c>
      <c r="O374" s="57">
        <v>4.7</v>
      </c>
      <c r="P374" s="57">
        <v>66</v>
      </c>
      <c r="Q374" s="57">
        <v>9.1300000000000008</v>
      </c>
      <c r="R374" s="57">
        <v>78</v>
      </c>
      <c r="S374" s="57">
        <v>10.37</v>
      </c>
      <c r="T374" s="57">
        <v>83</v>
      </c>
      <c r="U374" s="57">
        <v>10.41</v>
      </c>
      <c r="V374" s="57">
        <v>84</v>
      </c>
      <c r="W374" s="57">
        <v>10.39</v>
      </c>
      <c r="X374" s="57">
        <v>84</v>
      </c>
      <c r="Y374" s="57">
        <v>11.91</v>
      </c>
      <c r="Z374" s="57">
        <v>89</v>
      </c>
      <c r="AA374" s="57">
        <v>10.95</v>
      </c>
      <c r="AB374" s="57">
        <v>84</v>
      </c>
      <c r="AC374" s="57"/>
      <c r="AD374" s="57">
        <v>83</v>
      </c>
    </row>
    <row r="375" spans="1:30" s="38" customFormat="1" x14ac:dyDescent="0.2">
      <c r="A375" s="57" t="s">
        <v>234</v>
      </c>
      <c r="B375" s="57" t="s">
        <v>200</v>
      </c>
      <c r="C375" s="57" t="s">
        <v>42</v>
      </c>
      <c r="D375" s="57" t="s">
        <v>24</v>
      </c>
      <c r="E375" s="57">
        <v>3</v>
      </c>
      <c r="F375" s="57" t="s">
        <v>415</v>
      </c>
      <c r="G375" s="57" t="s">
        <v>35</v>
      </c>
      <c r="H375" s="57" t="s">
        <v>20</v>
      </c>
      <c r="I375" s="57" t="str">
        <f t="shared" si="10"/>
        <v>B2-P6-C3</v>
      </c>
      <c r="J375" s="57" t="str">
        <f t="shared" si="11"/>
        <v>Quercus-B2-P6-C3-B3</v>
      </c>
      <c r="K375" s="57" t="s">
        <v>21</v>
      </c>
      <c r="L375" s="57" t="s">
        <v>44</v>
      </c>
      <c r="M375" s="57" t="s">
        <v>45</v>
      </c>
      <c r="N375" s="37">
        <v>374</v>
      </c>
      <c r="O375" s="57">
        <v>9.1</v>
      </c>
      <c r="P375" s="57">
        <v>33</v>
      </c>
      <c r="Q375" s="57">
        <v>5.3</v>
      </c>
      <c r="R375" s="57">
        <v>40</v>
      </c>
      <c r="S375" s="57">
        <v>5.22</v>
      </c>
      <c r="T375" s="57">
        <v>42</v>
      </c>
      <c r="U375" s="57">
        <v>5.18</v>
      </c>
      <c r="V375" s="57">
        <v>43</v>
      </c>
      <c r="W375" s="57">
        <v>5.64</v>
      </c>
      <c r="X375" s="57">
        <v>42.5</v>
      </c>
      <c r="Y375" s="57">
        <v>6.43</v>
      </c>
      <c r="Z375" s="57">
        <v>43</v>
      </c>
      <c r="AA375" s="57">
        <v>6.21</v>
      </c>
      <c r="AB375" s="57">
        <v>43</v>
      </c>
      <c r="AC375" s="57"/>
      <c r="AD375" s="57">
        <v>42</v>
      </c>
    </row>
    <row r="376" spans="1:30" s="38" customFormat="1" x14ac:dyDescent="0.2">
      <c r="A376" s="57" t="s">
        <v>234</v>
      </c>
      <c r="B376" s="57" t="s">
        <v>200</v>
      </c>
      <c r="C376" s="57" t="s">
        <v>42</v>
      </c>
      <c r="D376" s="57" t="s">
        <v>17</v>
      </c>
      <c r="E376" s="57">
        <v>4</v>
      </c>
      <c r="F376" s="57" t="s">
        <v>416</v>
      </c>
      <c r="G376" s="57" t="s">
        <v>35</v>
      </c>
      <c r="H376" s="57" t="s">
        <v>20</v>
      </c>
      <c r="I376" s="57" t="str">
        <f t="shared" si="10"/>
        <v>B2-P6-C3</v>
      </c>
      <c r="J376" s="57" t="str">
        <f t="shared" si="11"/>
        <v>Quercus-B2-P6-C3-A4</v>
      </c>
      <c r="K376" s="57" t="s">
        <v>21</v>
      </c>
      <c r="L376" s="57" t="s">
        <v>44</v>
      </c>
      <c r="M376" s="57" t="s">
        <v>45</v>
      </c>
      <c r="N376" s="37">
        <v>375</v>
      </c>
      <c r="O376" s="57">
        <v>4.2</v>
      </c>
      <c r="P376" s="57">
        <v>34.5</v>
      </c>
      <c r="Q376" s="57">
        <v>5.05</v>
      </c>
      <c r="R376" s="57">
        <v>43</v>
      </c>
      <c r="S376" s="57">
        <v>5.0199999999999996</v>
      </c>
      <c r="T376" s="57">
        <v>45</v>
      </c>
      <c r="U376" s="57">
        <v>4.96</v>
      </c>
      <c r="V376" s="57">
        <v>45</v>
      </c>
      <c r="W376" s="57">
        <v>5.66</v>
      </c>
      <c r="X376" s="57">
        <v>45</v>
      </c>
      <c r="Y376" s="57">
        <v>6.44</v>
      </c>
      <c r="Z376" s="57">
        <v>48</v>
      </c>
      <c r="AA376" s="57">
        <v>7.19</v>
      </c>
      <c r="AB376" s="57">
        <v>48</v>
      </c>
      <c r="AC376" s="57"/>
      <c r="AD376" s="57">
        <v>49</v>
      </c>
    </row>
    <row r="377" spans="1:30" s="38" customFormat="1" x14ac:dyDescent="0.2">
      <c r="A377" s="57" t="s">
        <v>234</v>
      </c>
      <c r="B377" s="57" t="s">
        <v>200</v>
      </c>
      <c r="C377" s="57" t="s">
        <v>42</v>
      </c>
      <c r="D377" s="57" t="s">
        <v>24</v>
      </c>
      <c r="E377" s="57">
        <v>4</v>
      </c>
      <c r="F377" s="57" t="s">
        <v>417</v>
      </c>
      <c r="G377" s="57" t="s">
        <v>19</v>
      </c>
      <c r="H377" s="57" t="s">
        <v>20</v>
      </c>
      <c r="I377" s="57" t="str">
        <f t="shared" si="10"/>
        <v>B2-P6-C3</v>
      </c>
      <c r="J377" s="57" t="str">
        <f t="shared" si="11"/>
        <v>Fagus-B2-P6-C3-B4</v>
      </c>
      <c r="K377" s="57" t="s">
        <v>21</v>
      </c>
      <c r="L377" s="57" t="s">
        <v>44</v>
      </c>
      <c r="M377" s="57" t="s">
        <v>45</v>
      </c>
      <c r="N377" s="37">
        <v>376</v>
      </c>
      <c r="O377" s="57">
        <v>11</v>
      </c>
      <c r="P377" s="57">
        <v>81.5</v>
      </c>
      <c r="Q377" s="57">
        <v>11.52</v>
      </c>
      <c r="R377" s="57">
        <v>101</v>
      </c>
      <c r="S377" s="57">
        <v>12.61</v>
      </c>
      <c r="T377" s="57">
        <v>102.5</v>
      </c>
      <c r="U377" s="57">
        <v>12.76</v>
      </c>
      <c r="V377" s="57">
        <v>105</v>
      </c>
      <c r="W377" s="57">
        <v>12.47</v>
      </c>
      <c r="X377" s="57">
        <v>104.5</v>
      </c>
      <c r="Y377" s="57">
        <v>12.82</v>
      </c>
      <c r="Z377" s="57">
        <v>103</v>
      </c>
      <c r="AA377" s="57">
        <v>12.83</v>
      </c>
      <c r="AB377" s="57">
        <v>102</v>
      </c>
      <c r="AC377" s="57"/>
      <c r="AD377" s="57">
        <v>102</v>
      </c>
    </row>
    <row r="378" spans="1:30" x14ac:dyDescent="0.2">
      <c r="A378" s="60" t="s">
        <v>234</v>
      </c>
      <c r="B378" s="60" t="s">
        <v>200</v>
      </c>
      <c r="C378" s="60" t="s">
        <v>53</v>
      </c>
      <c r="D378" s="60" t="s">
        <v>17</v>
      </c>
      <c r="E378" s="60">
        <v>1</v>
      </c>
      <c r="F378" s="60" t="s">
        <v>418</v>
      </c>
      <c r="G378" s="60" t="s">
        <v>35</v>
      </c>
      <c r="H378" s="60" t="s">
        <v>20</v>
      </c>
      <c r="I378" s="60" t="str">
        <f t="shared" si="10"/>
        <v>B2-P6-C4</v>
      </c>
      <c r="J378" s="60" t="str">
        <f t="shared" si="11"/>
        <v>Quercus-B2-P6-C4-A1</v>
      </c>
      <c r="K378" s="60" t="s">
        <v>21</v>
      </c>
      <c r="L378" s="60" t="s">
        <v>22</v>
      </c>
      <c r="M378" s="60" t="s">
        <v>23</v>
      </c>
      <c r="N378" s="15">
        <v>377</v>
      </c>
      <c r="O378" s="60">
        <v>3.4</v>
      </c>
      <c r="P378" s="60">
        <v>26</v>
      </c>
      <c r="Q378" s="60">
        <v>3.44</v>
      </c>
      <c r="R378" s="60">
        <v>28</v>
      </c>
      <c r="S378" s="3">
        <v>3.92</v>
      </c>
      <c r="T378" s="3">
        <v>31</v>
      </c>
      <c r="U378" s="3">
        <v>4.6900000000000004</v>
      </c>
      <c r="V378" s="3">
        <v>45</v>
      </c>
      <c r="W378" s="3">
        <v>5.38</v>
      </c>
      <c r="X378" s="3">
        <v>45</v>
      </c>
      <c r="Y378" s="3">
        <v>6.45</v>
      </c>
      <c r="Z378" s="3">
        <v>43</v>
      </c>
      <c r="AA378" s="3">
        <v>7.12</v>
      </c>
      <c r="AB378" s="3">
        <v>43.5</v>
      </c>
      <c r="AC378" s="3"/>
      <c r="AD378" s="3">
        <v>44</v>
      </c>
    </row>
    <row r="379" spans="1:30" x14ac:dyDescent="0.2">
      <c r="A379" s="60" t="s">
        <v>234</v>
      </c>
      <c r="B379" s="60" t="s">
        <v>200</v>
      </c>
      <c r="C379" s="60" t="s">
        <v>53</v>
      </c>
      <c r="D379" s="60" t="s">
        <v>24</v>
      </c>
      <c r="E379" s="60">
        <v>1</v>
      </c>
      <c r="F379" s="60" t="s">
        <v>419</v>
      </c>
      <c r="G379" s="60" t="s">
        <v>35</v>
      </c>
      <c r="H379" s="60" t="s">
        <v>20</v>
      </c>
      <c r="I379" s="60" t="str">
        <f t="shared" si="10"/>
        <v>B2-P6-C4</v>
      </c>
      <c r="J379" s="60" t="str">
        <f t="shared" si="11"/>
        <v>Quercus-B2-P6-C4-B1</v>
      </c>
      <c r="K379" s="60" t="s">
        <v>21</v>
      </c>
      <c r="L379" s="60" t="s">
        <v>22</v>
      </c>
      <c r="M379" s="60" t="s">
        <v>23</v>
      </c>
      <c r="N379" s="15">
        <v>378</v>
      </c>
      <c r="O379" s="60">
        <v>7.7</v>
      </c>
      <c r="P379" s="60">
        <v>62</v>
      </c>
      <c r="Q379" s="60">
        <v>7.99</v>
      </c>
      <c r="R379" s="60">
        <v>63.5</v>
      </c>
      <c r="S379" s="3">
        <v>10.14</v>
      </c>
      <c r="T379" s="3">
        <v>74</v>
      </c>
      <c r="U379" s="3">
        <v>11.22</v>
      </c>
      <c r="V379" s="3">
        <v>93</v>
      </c>
      <c r="W379" s="3">
        <v>11.97</v>
      </c>
      <c r="X379" s="3">
        <v>91</v>
      </c>
      <c r="Y379" s="3">
        <v>12.62</v>
      </c>
      <c r="Z379" s="3">
        <v>90</v>
      </c>
      <c r="AA379" s="3">
        <v>14.59</v>
      </c>
      <c r="AB379" s="3">
        <v>91</v>
      </c>
      <c r="AC379" s="3"/>
      <c r="AD379" s="3">
        <v>91</v>
      </c>
    </row>
    <row r="380" spans="1:30" x14ac:dyDescent="0.2">
      <c r="A380" s="60" t="s">
        <v>234</v>
      </c>
      <c r="B380" s="60" t="s">
        <v>200</v>
      </c>
      <c r="C380" s="60" t="s">
        <v>53</v>
      </c>
      <c r="D380" s="60" t="s">
        <v>17</v>
      </c>
      <c r="E380" s="60">
        <v>2</v>
      </c>
      <c r="F380" s="60" t="s">
        <v>420</v>
      </c>
      <c r="G380" s="60" t="s">
        <v>35</v>
      </c>
      <c r="H380" s="60" t="s">
        <v>20</v>
      </c>
      <c r="I380" s="60" t="str">
        <f t="shared" si="10"/>
        <v>B2-P6-C4</v>
      </c>
      <c r="J380" s="60" t="str">
        <f t="shared" si="11"/>
        <v>Quercus-B2-P6-C4-A2</v>
      </c>
      <c r="K380" s="60" t="s">
        <v>21</v>
      </c>
      <c r="L380" s="60" t="s">
        <v>22</v>
      </c>
      <c r="M380" s="60" t="s">
        <v>23</v>
      </c>
      <c r="N380" s="15">
        <v>379</v>
      </c>
      <c r="O380" s="60">
        <v>5.2</v>
      </c>
      <c r="P380" s="60">
        <v>42</v>
      </c>
      <c r="Q380" s="60">
        <v>5.7</v>
      </c>
      <c r="R380" s="60">
        <v>45</v>
      </c>
      <c r="S380" s="3">
        <v>6.58</v>
      </c>
      <c r="T380" s="3">
        <v>51</v>
      </c>
      <c r="U380" s="3">
        <v>7.36</v>
      </c>
      <c r="V380" s="3">
        <v>63</v>
      </c>
      <c r="W380" s="3">
        <v>8.09</v>
      </c>
      <c r="X380" s="3">
        <v>64</v>
      </c>
      <c r="Y380" s="3">
        <v>8.8800000000000008</v>
      </c>
      <c r="Z380" s="3">
        <v>63</v>
      </c>
      <c r="AA380" s="3">
        <v>10.050000000000001</v>
      </c>
      <c r="AB380" s="3">
        <v>61</v>
      </c>
      <c r="AC380" s="3"/>
      <c r="AD380" s="3">
        <v>62</v>
      </c>
    </row>
    <row r="381" spans="1:30" x14ac:dyDescent="0.2">
      <c r="A381" s="60" t="s">
        <v>234</v>
      </c>
      <c r="B381" s="60" t="s">
        <v>200</v>
      </c>
      <c r="C381" s="60" t="s">
        <v>53</v>
      </c>
      <c r="D381" s="60" t="s">
        <v>24</v>
      </c>
      <c r="E381" s="60">
        <v>2</v>
      </c>
      <c r="F381" s="60" t="s">
        <v>421</v>
      </c>
      <c r="G381" s="60" t="s">
        <v>35</v>
      </c>
      <c r="H381" s="60" t="s">
        <v>20</v>
      </c>
      <c r="I381" s="60" t="str">
        <f t="shared" si="10"/>
        <v>B2-P6-C4</v>
      </c>
      <c r="J381" s="60" t="str">
        <f t="shared" si="11"/>
        <v>Quercus-B2-P6-C4-B2</v>
      </c>
      <c r="K381" s="60" t="s">
        <v>21</v>
      </c>
      <c r="L381" s="60" t="s">
        <v>22</v>
      </c>
      <c r="M381" s="60" t="s">
        <v>23</v>
      </c>
      <c r="N381" s="15">
        <v>380</v>
      </c>
      <c r="O381" s="60">
        <v>6</v>
      </c>
      <c r="P381" s="60">
        <v>49</v>
      </c>
      <c r="Q381" s="60">
        <v>6.72</v>
      </c>
      <c r="R381" s="60">
        <v>49</v>
      </c>
      <c r="S381" s="3">
        <v>7.38</v>
      </c>
      <c r="T381" s="3">
        <v>58</v>
      </c>
      <c r="U381" s="3">
        <v>8.89</v>
      </c>
      <c r="V381" s="3">
        <v>66</v>
      </c>
      <c r="W381" s="3">
        <v>10.51</v>
      </c>
      <c r="X381" s="3">
        <v>72</v>
      </c>
      <c r="Y381" s="3">
        <v>12.07</v>
      </c>
      <c r="Z381" s="3">
        <v>77</v>
      </c>
      <c r="AA381" s="3">
        <v>11.87</v>
      </c>
      <c r="AB381" s="3">
        <v>85</v>
      </c>
      <c r="AC381" s="3"/>
      <c r="AD381" s="3">
        <v>84</v>
      </c>
    </row>
    <row r="382" spans="1:30" x14ac:dyDescent="0.2">
      <c r="A382" s="60" t="s">
        <v>234</v>
      </c>
      <c r="B382" s="60" t="s">
        <v>200</v>
      </c>
      <c r="C382" s="60" t="s">
        <v>53</v>
      </c>
      <c r="D382" s="60" t="s">
        <v>17</v>
      </c>
      <c r="E382" s="60">
        <v>3</v>
      </c>
      <c r="F382" s="60" t="s">
        <v>422</v>
      </c>
      <c r="G382" s="60" t="s">
        <v>35</v>
      </c>
      <c r="H382" s="60" t="s">
        <v>20</v>
      </c>
      <c r="I382" s="60" t="str">
        <f t="shared" si="10"/>
        <v>B2-P6-C4</v>
      </c>
      <c r="J382" s="60" t="str">
        <f t="shared" si="11"/>
        <v>Quercus-B2-P6-C4-A3</v>
      </c>
      <c r="K382" s="60" t="s">
        <v>21</v>
      </c>
      <c r="L382" s="60" t="s">
        <v>22</v>
      </c>
      <c r="M382" s="60" t="s">
        <v>23</v>
      </c>
      <c r="N382" s="15">
        <v>381</v>
      </c>
      <c r="O382" s="60">
        <v>6.4</v>
      </c>
      <c r="P382" s="60">
        <v>55</v>
      </c>
      <c r="Q382" s="60">
        <v>7.8</v>
      </c>
      <c r="R382" s="60">
        <v>65</v>
      </c>
      <c r="S382" s="3">
        <v>7.76</v>
      </c>
      <c r="T382" s="3">
        <v>67</v>
      </c>
      <c r="U382" s="3">
        <v>8.44</v>
      </c>
      <c r="V382" s="3">
        <v>87</v>
      </c>
      <c r="W382" s="3">
        <v>8.41</v>
      </c>
      <c r="X382" s="3">
        <v>88</v>
      </c>
      <c r="Y382" s="3">
        <v>9.8800000000000008</v>
      </c>
      <c r="Z382" s="3">
        <v>89</v>
      </c>
      <c r="AA382" s="3">
        <v>10.81</v>
      </c>
      <c r="AB382" s="3">
        <v>88</v>
      </c>
      <c r="AC382" s="3"/>
      <c r="AD382" s="3">
        <v>89</v>
      </c>
    </row>
    <row r="383" spans="1:30" x14ac:dyDescent="0.2">
      <c r="A383" s="60" t="s">
        <v>234</v>
      </c>
      <c r="B383" s="60" t="s">
        <v>200</v>
      </c>
      <c r="C383" s="60" t="s">
        <v>53</v>
      </c>
      <c r="D383" s="60" t="s">
        <v>24</v>
      </c>
      <c r="E383" s="60">
        <v>3</v>
      </c>
      <c r="F383" s="60" t="s">
        <v>423</v>
      </c>
      <c r="G383" s="60" t="s">
        <v>35</v>
      </c>
      <c r="H383" s="60" t="s">
        <v>20</v>
      </c>
      <c r="I383" s="60" t="str">
        <f t="shared" si="10"/>
        <v>B2-P6-C4</v>
      </c>
      <c r="J383" s="60" t="str">
        <f t="shared" si="11"/>
        <v>Quercus-B2-P6-C4-B3</v>
      </c>
      <c r="K383" s="60" t="s">
        <v>21</v>
      </c>
      <c r="L383" s="60" t="s">
        <v>22</v>
      </c>
      <c r="M383" s="60" t="s">
        <v>23</v>
      </c>
      <c r="N383" s="15">
        <v>382</v>
      </c>
      <c r="O383" s="60">
        <v>5.4</v>
      </c>
      <c r="P383" s="60">
        <v>47.5</v>
      </c>
      <c r="Q383" s="60">
        <v>6.09</v>
      </c>
      <c r="R383" s="60">
        <v>47.5</v>
      </c>
      <c r="S383" s="3">
        <v>6.86</v>
      </c>
      <c r="T383" s="3">
        <v>57</v>
      </c>
      <c r="U383" s="3">
        <v>7.86</v>
      </c>
      <c r="V383" s="3">
        <v>60</v>
      </c>
      <c r="W383" s="3">
        <v>8.66</v>
      </c>
      <c r="X383" s="3">
        <v>64</v>
      </c>
      <c r="Y383" s="3">
        <v>10.33</v>
      </c>
      <c r="Z383" s="3">
        <v>65</v>
      </c>
      <c r="AA383" s="3">
        <v>10.17</v>
      </c>
      <c r="AB383" s="3">
        <v>82</v>
      </c>
      <c r="AC383" s="3"/>
      <c r="AD383" s="3">
        <v>80</v>
      </c>
    </row>
    <row r="384" spans="1:30" x14ac:dyDescent="0.2">
      <c r="A384" s="60" t="s">
        <v>234</v>
      </c>
      <c r="B384" s="60" t="s">
        <v>200</v>
      </c>
      <c r="C384" s="60" t="s">
        <v>53</v>
      </c>
      <c r="D384" s="60" t="s">
        <v>17</v>
      </c>
      <c r="E384" s="60">
        <v>4</v>
      </c>
      <c r="F384" s="60" t="s">
        <v>424</v>
      </c>
      <c r="G384" s="60" t="s">
        <v>35</v>
      </c>
      <c r="H384" s="60" t="s">
        <v>20</v>
      </c>
      <c r="I384" s="60" t="str">
        <f t="shared" si="10"/>
        <v>B2-P6-C4</v>
      </c>
      <c r="J384" s="60" t="str">
        <f t="shared" si="11"/>
        <v>Quercus-B2-P6-C4-A4</v>
      </c>
      <c r="K384" s="60" t="s">
        <v>21</v>
      </c>
      <c r="L384" s="60" t="s">
        <v>22</v>
      </c>
      <c r="M384" s="60" t="s">
        <v>23</v>
      </c>
      <c r="N384" s="15">
        <v>383</v>
      </c>
      <c r="O384" s="60">
        <v>7.7</v>
      </c>
      <c r="P384" s="60">
        <v>44.5</v>
      </c>
      <c r="Q384" s="60">
        <v>9.33</v>
      </c>
      <c r="R384" s="60">
        <v>53</v>
      </c>
      <c r="S384" s="3">
        <v>9.92</v>
      </c>
      <c r="T384" s="3">
        <v>55</v>
      </c>
      <c r="U384" s="3">
        <v>10.55</v>
      </c>
      <c r="V384" s="3">
        <v>67</v>
      </c>
      <c r="W384" s="3">
        <v>11.49</v>
      </c>
      <c r="X384" s="3">
        <v>74</v>
      </c>
      <c r="Y384" s="3">
        <v>11.88</v>
      </c>
      <c r="Z384" s="3">
        <v>75</v>
      </c>
      <c r="AA384" s="3">
        <v>13.13</v>
      </c>
      <c r="AB384" s="3">
        <v>73</v>
      </c>
      <c r="AC384" s="3"/>
      <c r="AD384" s="3">
        <v>73</v>
      </c>
    </row>
    <row r="385" spans="1:30" x14ac:dyDescent="0.2">
      <c r="A385" s="60" t="s">
        <v>234</v>
      </c>
      <c r="B385" s="60" t="s">
        <v>200</v>
      </c>
      <c r="C385" s="60" t="s">
        <v>53</v>
      </c>
      <c r="D385" s="60" t="s">
        <v>24</v>
      </c>
      <c r="E385" s="60">
        <v>4</v>
      </c>
      <c r="F385" s="60" t="s">
        <v>425</v>
      </c>
      <c r="G385" s="60" t="s">
        <v>35</v>
      </c>
      <c r="H385" s="60" t="s">
        <v>20</v>
      </c>
      <c r="I385" s="60" t="str">
        <f t="shared" si="10"/>
        <v>B2-P6-C4</v>
      </c>
      <c r="J385" s="60" t="str">
        <f t="shared" si="11"/>
        <v>Quercus-B2-P6-C4-B4</v>
      </c>
      <c r="K385" s="60" t="s">
        <v>21</v>
      </c>
      <c r="L385" s="60" t="s">
        <v>22</v>
      </c>
      <c r="M385" s="60" t="s">
        <v>23</v>
      </c>
      <c r="N385" s="15">
        <v>384</v>
      </c>
      <c r="O385" s="60">
        <v>6</v>
      </c>
      <c r="P385" s="60">
        <v>42</v>
      </c>
      <c r="Q385" s="60">
        <v>6.8</v>
      </c>
      <c r="R385" s="60">
        <v>42</v>
      </c>
      <c r="S385" s="3">
        <v>7.44</v>
      </c>
      <c r="T385" s="3">
        <v>47</v>
      </c>
      <c r="U385" s="3">
        <v>8.8800000000000008</v>
      </c>
      <c r="V385" s="3">
        <v>48</v>
      </c>
      <c r="W385" s="3">
        <v>10.33</v>
      </c>
      <c r="X385" s="3">
        <v>53</v>
      </c>
      <c r="Y385" s="3">
        <v>10.37</v>
      </c>
      <c r="Z385" s="3">
        <v>51</v>
      </c>
      <c r="AA385" s="3">
        <v>10.43</v>
      </c>
      <c r="AB385" s="3">
        <v>57.5</v>
      </c>
      <c r="AC385" s="3"/>
      <c r="AD385" s="3">
        <v>58</v>
      </c>
    </row>
    <row r="386" spans="1:30" s="38" customFormat="1" x14ac:dyDescent="0.2">
      <c r="A386" s="57" t="s">
        <v>426</v>
      </c>
      <c r="B386" s="57" t="s">
        <v>15</v>
      </c>
      <c r="C386" s="57" t="s">
        <v>16</v>
      </c>
      <c r="D386" s="57" t="s">
        <v>17</v>
      </c>
      <c r="E386" s="57">
        <v>1</v>
      </c>
      <c r="F386" s="57" t="s">
        <v>427</v>
      </c>
      <c r="G386" s="57" t="s">
        <v>19</v>
      </c>
      <c r="H386" s="57" t="s">
        <v>20</v>
      </c>
      <c r="I386" s="57" t="str">
        <f t="shared" si="10"/>
        <v>B3-P1-C1</v>
      </c>
      <c r="J386" s="57" t="str">
        <f t="shared" si="11"/>
        <v>Fagus-B3-P1-C1-A1</v>
      </c>
      <c r="K386" s="57" t="s">
        <v>64</v>
      </c>
      <c r="L386" s="57" t="s">
        <v>44</v>
      </c>
      <c r="M386" s="57" t="s">
        <v>65</v>
      </c>
      <c r="N386" s="37">
        <v>385</v>
      </c>
      <c r="O386" s="57">
        <v>9.5</v>
      </c>
      <c r="P386" s="57">
        <v>65</v>
      </c>
      <c r="Q386" s="57">
        <v>9.91</v>
      </c>
      <c r="R386" s="57">
        <v>80</v>
      </c>
      <c r="S386" s="57">
        <v>10.84</v>
      </c>
      <c r="T386" s="57">
        <v>80</v>
      </c>
      <c r="U386" s="57">
        <v>10.72</v>
      </c>
      <c r="V386" s="57">
        <v>81</v>
      </c>
      <c r="W386" s="57">
        <v>10.83</v>
      </c>
      <c r="X386" s="57">
        <v>81</v>
      </c>
      <c r="Y386" s="57">
        <v>10.86</v>
      </c>
      <c r="Z386" s="57">
        <v>79</v>
      </c>
      <c r="AA386" s="57">
        <v>10.91</v>
      </c>
      <c r="AB386" s="57">
        <v>80</v>
      </c>
      <c r="AC386" s="57"/>
      <c r="AD386" s="57"/>
    </row>
    <row r="387" spans="1:30" s="38" customFormat="1" x14ac:dyDescent="0.2">
      <c r="A387" s="57" t="s">
        <v>426</v>
      </c>
      <c r="B387" s="57" t="s">
        <v>15</v>
      </c>
      <c r="C387" s="57" t="s">
        <v>16</v>
      </c>
      <c r="D387" s="57" t="s">
        <v>24</v>
      </c>
      <c r="E387" s="57">
        <v>1</v>
      </c>
      <c r="F387" s="57" t="s">
        <v>428</v>
      </c>
      <c r="G387" s="57" t="s">
        <v>19</v>
      </c>
      <c r="H387" s="57" t="s">
        <v>20</v>
      </c>
      <c r="I387" s="57" t="str">
        <f t="shared" ref="I387:I450" si="12">A387&amp;"-"&amp;B387&amp;"-"&amp;C387</f>
        <v>B3-P1-C1</v>
      </c>
      <c r="J387" s="57" t="str">
        <f t="shared" ref="J387:J450" si="13">G387&amp;"-"&amp;A387&amp;"-"&amp;B387&amp;"-"&amp;C387&amp;"-"&amp;D387&amp;E387</f>
        <v>Fagus-B3-P1-C1-B1</v>
      </c>
      <c r="K387" s="57" t="s">
        <v>64</v>
      </c>
      <c r="L387" s="57" t="s">
        <v>44</v>
      </c>
      <c r="M387" s="57" t="s">
        <v>65</v>
      </c>
      <c r="N387" s="37">
        <v>386</v>
      </c>
      <c r="O387" s="57">
        <v>11.1</v>
      </c>
      <c r="P387" s="57">
        <v>67</v>
      </c>
      <c r="Q387" s="57">
        <v>11.13</v>
      </c>
      <c r="R387" s="57">
        <v>89</v>
      </c>
      <c r="S387" s="57">
        <v>11.15</v>
      </c>
      <c r="T387" s="57">
        <v>87</v>
      </c>
      <c r="U387" s="57">
        <v>11.4</v>
      </c>
      <c r="V387" s="57">
        <v>88</v>
      </c>
      <c r="W387" s="57">
        <v>12</v>
      </c>
      <c r="X387" s="57">
        <v>91</v>
      </c>
      <c r="Y387" s="57">
        <v>11.3</v>
      </c>
      <c r="Z387" s="57">
        <v>85</v>
      </c>
      <c r="AA387" s="57">
        <v>12.92</v>
      </c>
      <c r="AB387" s="57">
        <v>89</v>
      </c>
      <c r="AC387" s="57"/>
      <c r="AD387" s="57"/>
    </row>
    <row r="388" spans="1:30" s="38" customFormat="1" x14ac:dyDescent="0.2">
      <c r="A388" s="57" t="s">
        <v>426</v>
      </c>
      <c r="B388" s="57" t="s">
        <v>15</v>
      </c>
      <c r="C388" s="57" t="s">
        <v>16</v>
      </c>
      <c r="D388" s="57" t="s">
        <v>17</v>
      </c>
      <c r="E388" s="57">
        <v>2</v>
      </c>
      <c r="F388" s="57" t="s">
        <v>429</v>
      </c>
      <c r="G388" s="57" t="s">
        <v>19</v>
      </c>
      <c r="H388" s="57" t="s">
        <v>20</v>
      </c>
      <c r="I388" s="57" t="str">
        <f t="shared" si="12"/>
        <v>B3-P1-C1</v>
      </c>
      <c r="J388" s="57" t="str">
        <f t="shared" si="13"/>
        <v>Fagus-B3-P1-C1-A2</v>
      </c>
      <c r="K388" s="57" t="s">
        <v>64</v>
      </c>
      <c r="L388" s="57" t="s">
        <v>44</v>
      </c>
      <c r="M388" s="57" t="s">
        <v>65</v>
      </c>
      <c r="N388" s="37">
        <v>387</v>
      </c>
      <c r="O388" s="57">
        <v>8.1</v>
      </c>
      <c r="P388" s="57">
        <v>50.5</v>
      </c>
      <c r="Q388" s="57">
        <v>8.17</v>
      </c>
      <c r="R388" s="57">
        <v>69.5</v>
      </c>
      <c r="S388" s="57">
        <v>8.5</v>
      </c>
      <c r="T388" s="57">
        <v>70</v>
      </c>
      <c r="U388" s="57">
        <v>8.7100000000000009</v>
      </c>
      <c r="V388" s="57">
        <v>70</v>
      </c>
      <c r="W388" s="57">
        <v>8.6999999999999993</v>
      </c>
      <c r="X388" s="57">
        <v>69</v>
      </c>
      <c r="Y388" s="57">
        <v>8.57</v>
      </c>
      <c r="Z388" s="57">
        <v>69</v>
      </c>
      <c r="AA388" s="57">
        <v>9.09</v>
      </c>
      <c r="AB388" s="57">
        <v>67</v>
      </c>
      <c r="AC388" s="57"/>
      <c r="AD388" s="57"/>
    </row>
    <row r="389" spans="1:30" s="38" customFormat="1" x14ac:dyDescent="0.2">
      <c r="A389" s="57" t="s">
        <v>426</v>
      </c>
      <c r="B389" s="57" t="s">
        <v>15</v>
      </c>
      <c r="C389" s="57" t="s">
        <v>16</v>
      </c>
      <c r="D389" s="57" t="s">
        <v>24</v>
      </c>
      <c r="E389" s="57">
        <v>2</v>
      </c>
      <c r="F389" s="57" t="s">
        <v>430</v>
      </c>
      <c r="G389" s="57" t="s">
        <v>19</v>
      </c>
      <c r="H389" s="57" t="s">
        <v>20</v>
      </c>
      <c r="I389" s="57" t="str">
        <f t="shared" si="12"/>
        <v>B3-P1-C1</v>
      </c>
      <c r="J389" s="57" t="str">
        <f t="shared" si="13"/>
        <v>Fagus-B3-P1-C1-B2</v>
      </c>
      <c r="K389" s="57" t="s">
        <v>64</v>
      </c>
      <c r="L389" s="57" t="s">
        <v>44</v>
      </c>
      <c r="M389" s="57" t="s">
        <v>65</v>
      </c>
      <c r="N389" s="37">
        <v>388</v>
      </c>
      <c r="O389" s="57">
        <v>9.8000000000000007</v>
      </c>
      <c r="P389" s="57">
        <v>82</v>
      </c>
      <c r="Q389" s="57">
        <v>9.92</v>
      </c>
      <c r="R389" s="57">
        <v>105</v>
      </c>
      <c r="S389" s="57">
        <v>10.37</v>
      </c>
      <c r="T389" s="57">
        <v>111</v>
      </c>
      <c r="U389" s="57">
        <v>10.039999999999999</v>
      </c>
      <c r="V389" s="57">
        <v>112</v>
      </c>
      <c r="W389" s="57">
        <v>9.94</v>
      </c>
      <c r="X389" s="57">
        <v>109</v>
      </c>
      <c r="Y389" s="57">
        <v>10.47</v>
      </c>
      <c r="Z389" s="57">
        <v>109</v>
      </c>
      <c r="AA389" s="57">
        <v>11.98</v>
      </c>
      <c r="AB389" s="57">
        <v>109</v>
      </c>
      <c r="AC389" s="57"/>
      <c r="AD389" s="57"/>
    </row>
    <row r="390" spans="1:30" s="38" customFormat="1" x14ac:dyDescent="0.2">
      <c r="A390" s="57" t="s">
        <v>426</v>
      </c>
      <c r="B390" s="57" t="s">
        <v>15</v>
      </c>
      <c r="C390" s="57" t="s">
        <v>16</v>
      </c>
      <c r="D390" s="57" t="s">
        <v>17</v>
      </c>
      <c r="E390" s="57">
        <v>3</v>
      </c>
      <c r="F390" s="57" t="s">
        <v>431</v>
      </c>
      <c r="G390" s="57" t="s">
        <v>19</v>
      </c>
      <c r="H390" s="57" t="s">
        <v>20</v>
      </c>
      <c r="I390" s="57" t="str">
        <f t="shared" si="12"/>
        <v>B3-P1-C1</v>
      </c>
      <c r="J390" s="57" t="str">
        <f t="shared" si="13"/>
        <v>Fagus-B3-P1-C1-A3</v>
      </c>
      <c r="K390" s="57" t="s">
        <v>64</v>
      </c>
      <c r="L390" s="57" t="s">
        <v>44</v>
      </c>
      <c r="M390" s="57" t="s">
        <v>65</v>
      </c>
      <c r="N390" s="37">
        <v>389</v>
      </c>
      <c r="O390" s="57">
        <v>9.1</v>
      </c>
      <c r="P390" s="57">
        <v>75</v>
      </c>
      <c r="Q390" s="57">
        <v>9.3000000000000007</v>
      </c>
      <c r="R390" s="57">
        <v>94</v>
      </c>
      <c r="S390" s="57">
        <v>10.130000000000001</v>
      </c>
      <c r="T390" s="57">
        <v>94.5</v>
      </c>
      <c r="U390" s="57">
        <v>10.16</v>
      </c>
      <c r="V390" s="57">
        <v>96</v>
      </c>
      <c r="W390" s="57">
        <v>10.199999999999999</v>
      </c>
      <c r="X390" s="57">
        <v>95</v>
      </c>
      <c r="Y390" s="57">
        <v>11.39</v>
      </c>
      <c r="Z390" s="57">
        <v>94</v>
      </c>
      <c r="AA390" s="57">
        <v>11.98</v>
      </c>
      <c r="AB390" s="57">
        <v>93</v>
      </c>
      <c r="AC390" s="57"/>
      <c r="AD390" s="57"/>
    </row>
    <row r="391" spans="1:30" s="38" customFormat="1" x14ac:dyDescent="0.2">
      <c r="A391" s="57" t="s">
        <v>426</v>
      </c>
      <c r="B391" s="57" t="s">
        <v>15</v>
      </c>
      <c r="C391" s="57" t="s">
        <v>16</v>
      </c>
      <c r="D391" s="57" t="s">
        <v>24</v>
      </c>
      <c r="E391" s="57">
        <v>3</v>
      </c>
      <c r="F391" s="57" t="s">
        <v>432</v>
      </c>
      <c r="G391" s="57" t="s">
        <v>19</v>
      </c>
      <c r="H391" s="57" t="s">
        <v>20</v>
      </c>
      <c r="I391" s="57" t="str">
        <f t="shared" si="12"/>
        <v>B3-P1-C1</v>
      </c>
      <c r="J391" s="57" t="str">
        <f t="shared" si="13"/>
        <v>Fagus-B3-P1-C1-B3</v>
      </c>
      <c r="K391" s="57" t="s">
        <v>64</v>
      </c>
      <c r="L391" s="57" t="s">
        <v>44</v>
      </c>
      <c r="M391" s="57" t="s">
        <v>65</v>
      </c>
      <c r="N391" s="37">
        <v>390</v>
      </c>
      <c r="O391" s="57">
        <v>10</v>
      </c>
      <c r="P391" s="57">
        <v>75.5</v>
      </c>
      <c r="Q391" s="57">
        <v>10.02</v>
      </c>
      <c r="R391" s="57">
        <v>94</v>
      </c>
      <c r="S391" s="57">
        <v>10.31</v>
      </c>
      <c r="T391" s="57">
        <v>92</v>
      </c>
      <c r="U391" s="57">
        <v>10.4</v>
      </c>
      <c r="V391" s="57">
        <v>90.5</v>
      </c>
      <c r="W391" s="57">
        <v>10.79</v>
      </c>
      <c r="X391" s="57">
        <v>90</v>
      </c>
      <c r="Y391" s="57">
        <v>10.72</v>
      </c>
      <c r="Z391" s="57">
        <v>87</v>
      </c>
      <c r="AA391" s="57">
        <v>10.84</v>
      </c>
      <c r="AB391" s="57">
        <v>89</v>
      </c>
      <c r="AC391" s="57"/>
      <c r="AD391" s="57"/>
    </row>
    <row r="392" spans="1:30" s="38" customFormat="1" x14ac:dyDescent="0.2">
      <c r="A392" s="57" t="s">
        <v>426</v>
      </c>
      <c r="B392" s="57" t="s">
        <v>15</v>
      </c>
      <c r="C392" s="57" t="s">
        <v>16</v>
      </c>
      <c r="D392" s="57" t="s">
        <v>17</v>
      </c>
      <c r="E392" s="57">
        <v>4</v>
      </c>
      <c r="F392" s="57" t="s">
        <v>433</v>
      </c>
      <c r="G392" s="57" t="s">
        <v>19</v>
      </c>
      <c r="H392" s="57" t="s">
        <v>20</v>
      </c>
      <c r="I392" s="57" t="str">
        <f t="shared" si="12"/>
        <v>B3-P1-C1</v>
      </c>
      <c r="J392" s="57" t="str">
        <f t="shared" si="13"/>
        <v>Fagus-B3-P1-C1-A4</v>
      </c>
      <c r="K392" s="57" t="s">
        <v>64</v>
      </c>
      <c r="L392" s="57" t="s">
        <v>44</v>
      </c>
      <c r="M392" s="57" t="s">
        <v>65</v>
      </c>
      <c r="N392" s="37">
        <v>391</v>
      </c>
      <c r="O392" s="57">
        <v>8</v>
      </c>
      <c r="P392" s="57">
        <v>63.5</v>
      </c>
      <c r="Q392" s="57">
        <v>8.0399999999999991</v>
      </c>
      <c r="R392" s="57">
        <v>75</v>
      </c>
      <c r="S392" s="57">
        <v>8.64</v>
      </c>
      <c r="T392" s="57">
        <v>74</v>
      </c>
      <c r="U392" s="57">
        <v>8.69</v>
      </c>
      <c r="V392" s="57">
        <v>75</v>
      </c>
      <c r="W392" s="57">
        <v>8.27</v>
      </c>
      <c r="X392" s="57">
        <v>73</v>
      </c>
      <c r="Y392" s="57">
        <v>7.98</v>
      </c>
      <c r="Z392" s="57">
        <v>75</v>
      </c>
      <c r="AA392" s="57">
        <v>9.19</v>
      </c>
      <c r="AB392" s="57">
        <v>75</v>
      </c>
      <c r="AC392" s="57"/>
      <c r="AD392" s="57"/>
    </row>
    <row r="393" spans="1:30" s="38" customFormat="1" x14ac:dyDescent="0.2">
      <c r="A393" s="57" t="s">
        <v>426</v>
      </c>
      <c r="B393" s="57" t="s">
        <v>15</v>
      </c>
      <c r="C393" s="57" t="s">
        <v>16</v>
      </c>
      <c r="D393" s="57" t="s">
        <v>24</v>
      </c>
      <c r="E393" s="57">
        <v>4</v>
      </c>
      <c r="F393" s="57" t="s">
        <v>434</v>
      </c>
      <c r="G393" s="57" t="s">
        <v>19</v>
      </c>
      <c r="H393" s="57" t="s">
        <v>20</v>
      </c>
      <c r="I393" s="57" t="str">
        <f t="shared" si="12"/>
        <v>B3-P1-C1</v>
      </c>
      <c r="J393" s="57" t="str">
        <f t="shared" si="13"/>
        <v>Fagus-B3-P1-C1-B4</v>
      </c>
      <c r="K393" s="57" t="s">
        <v>64</v>
      </c>
      <c r="L393" s="57" t="s">
        <v>44</v>
      </c>
      <c r="M393" s="57" t="s">
        <v>65</v>
      </c>
      <c r="N393" s="37">
        <v>392</v>
      </c>
      <c r="O393" s="57">
        <v>11.2</v>
      </c>
      <c r="P393" s="57">
        <v>66</v>
      </c>
      <c r="Q393" s="57">
        <v>11.2</v>
      </c>
      <c r="R393" s="57">
        <v>80.5</v>
      </c>
      <c r="S393" s="57">
        <v>11.7</v>
      </c>
      <c r="T393" s="57">
        <v>88.4</v>
      </c>
      <c r="U393" s="57">
        <v>11.58</v>
      </c>
      <c r="V393" s="57">
        <v>83</v>
      </c>
      <c r="W393" s="57">
        <v>11.62</v>
      </c>
      <c r="X393" s="57">
        <v>82</v>
      </c>
      <c r="Y393" s="57">
        <v>11.61</v>
      </c>
      <c r="Z393" s="57">
        <v>80</v>
      </c>
      <c r="AA393" s="57">
        <v>11.81</v>
      </c>
      <c r="AB393" s="57">
        <v>87</v>
      </c>
      <c r="AC393" s="57"/>
      <c r="AD393" s="57"/>
    </row>
    <row r="394" spans="1:30" x14ac:dyDescent="0.2">
      <c r="A394" s="60" t="s">
        <v>426</v>
      </c>
      <c r="B394" s="60" t="s">
        <v>15</v>
      </c>
      <c r="C394" s="60" t="s">
        <v>32</v>
      </c>
      <c r="D394" s="60" t="s">
        <v>17</v>
      </c>
      <c r="E394" s="60">
        <v>1</v>
      </c>
      <c r="F394" s="60" t="s">
        <v>435</v>
      </c>
      <c r="G394" s="60" t="s">
        <v>35</v>
      </c>
      <c r="H394" s="60" t="s">
        <v>20</v>
      </c>
      <c r="I394" s="60" t="str">
        <f t="shared" si="12"/>
        <v>B3-P1-C2</v>
      </c>
      <c r="J394" s="60" t="str">
        <f t="shared" si="13"/>
        <v>Quercus-B3-P1-C2-A1</v>
      </c>
      <c r="K394" s="60" t="s">
        <v>64</v>
      </c>
      <c r="L394" s="60" t="s">
        <v>44</v>
      </c>
      <c r="M394" s="60" t="s">
        <v>65</v>
      </c>
      <c r="N394" s="15">
        <v>393</v>
      </c>
      <c r="O394" s="60">
        <v>5.7</v>
      </c>
      <c r="P394" s="60">
        <v>29.5</v>
      </c>
      <c r="Q394" s="60">
        <v>6.07</v>
      </c>
      <c r="R394" s="60">
        <v>34.5</v>
      </c>
      <c r="S394" s="3">
        <v>6.44</v>
      </c>
      <c r="T394" s="3">
        <v>37</v>
      </c>
      <c r="U394" s="3">
        <v>6.43</v>
      </c>
      <c r="V394" s="3">
        <v>37</v>
      </c>
      <c r="W394" s="3">
        <v>7.4</v>
      </c>
      <c r="X394" s="3">
        <v>35</v>
      </c>
      <c r="Y394" s="3">
        <v>7.67</v>
      </c>
      <c r="Z394" s="3">
        <v>35</v>
      </c>
      <c r="AA394" s="3">
        <v>8.82</v>
      </c>
      <c r="AB394" s="3">
        <v>42</v>
      </c>
      <c r="AC394" s="3"/>
      <c r="AD394" s="3"/>
    </row>
    <row r="395" spans="1:30" x14ac:dyDescent="0.2">
      <c r="A395" s="60" t="s">
        <v>426</v>
      </c>
      <c r="B395" s="60" t="s">
        <v>15</v>
      </c>
      <c r="C395" s="60" t="s">
        <v>32</v>
      </c>
      <c r="D395" s="60" t="s">
        <v>24</v>
      </c>
      <c r="E395" s="60">
        <v>1</v>
      </c>
      <c r="F395" s="60" t="s">
        <v>436</v>
      </c>
      <c r="G395" s="60" t="s">
        <v>35</v>
      </c>
      <c r="H395" s="60" t="s">
        <v>20</v>
      </c>
      <c r="I395" s="60" t="str">
        <f t="shared" si="12"/>
        <v>B3-P1-C2</v>
      </c>
      <c r="J395" s="60" t="str">
        <f t="shared" si="13"/>
        <v>Quercus-B3-P1-C2-B1</v>
      </c>
      <c r="K395" s="60" t="s">
        <v>64</v>
      </c>
      <c r="L395" s="60" t="s">
        <v>44</v>
      </c>
      <c r="M395" s="60" t="s">
        <v>65</v>
      </c>
      <c r="N395" s="15">
        <v>394</v>
      </c>
      <c r="O395" s="60">
        <v>4.5999999999999996</v>
      </c>
      <c r="P395" s="60">
        <v>30</v>
      </c>
      <c r="Q395" s="60">
        <v>4.74</v>
      </c>
      <c r="R395" s="60">
        <v>42</v>
      </c>
      <c r="S395" s="3">
        <v>5.0599999999999996</v>
      </c>
      <c r="T395" s="3">
        <v>43</v>
      </c>
      <c r="U395" s="3">
        <v>5.3</v>
      </c>
      <c r="V395" s="3">
        <v>43</v>
      </c>
      <c r="W395" s="3">
        <v>5.66</v>
      </c>
      <c r="X395" s="3">
        <v>45</v>
      </c>
      <c r="Y395" s="3">
        <v>6</v>
      </c>
      <c r="Z395" s="3">
        <v>52</v>
      </c>
      <c r="AA395" s="3">
        <v>6.75</v>
      </c>
      <c r="AB395" s="3">
        <v>53</v>
      </c>
      <c r="AC395" s="3"/>
      <c r="AD395" s="3"/>
    </row>
    <row r="396" spans="1:30" x14ac:dyDescent="0.2">
      <c r="A396" s="60" t="s">
        <v>426</v>
      </c>
      <c r="B396" s="60" t="s">
        <v>15</v>
      </c>
      <c r="C396" s="60" t="s">
        <v>32</v>
      </c>
      <c r="D396" s="60" t="s">
        <v>17</v>
      </c>
      <c r="E396" s="60">
        <v>2</v>
      </c>
      <c r="F396" s="60" t="s">
        <v>437</v>
      </c>
      <c r="G396" s="60" t="s">
        <v>35</v>
      </c>
      <c r="H396" s="60" t="s">
        <v>20</v>
      </c>
      <c r="I396" s="60" t="str">
        <f t="shared" si="12"/>
        <v>B3-P1-C2</v>
      </c>
      <c r="J396" s="60" t="str">
        <f t="shared" si="13"/>
        <v>Quercus-B3-P1-C2-A2</v>
      </c>
      <c r="K396" s="60" t="s">
        <v>64</v>
      </c>
      <c r="L396" s="60" t="s">
        <v>44</v>
      </c>
      <c r="M396" s="60" t="s">
        <v>65</v>
      </c>
      <c r="N396" s="15">
        <v>395</v>
      </c>
      <c r="O396" s="60">
        <v>4.5999999999999996</v>
      </c>
      <c r="P396" s="60">
        <v>37</v>
      </c>
      <c r="Q396" s="60">
        <v>5.2</v>
      </c>
      <c r="R396" s="60">
        <v>43</v>
      </c>
      <c r="S396" s="3">
        <v>5.13</v>
      </c>
      <c r="T396" s="3">
        <v>44.5</v>
      </c>
      <c r="U396" s="3">
        <v>5.03</v>
      </c>
      <c r="V396" s="3">
        <v>45</v>
      </c>
      <c r="W396" s="3">
        <v>4.49</v>
      </c>
      <c r="X396" s="3">
        <v>45</v>
      </c>
      <c r="Y396" s="3">
        <v>5.9</v>
      </c>
      <c r="Z396" s="3">
        <v>44</v>
      </c>
      <c r="AA396" s="3">
        <v>7.23</v>
      </c>
      <c r="AB396" s="3">
        <v>44</v>
      </c>
      <c r="AC396" s="3"/>
      <c r="AD396" s="3"/>
    </row>
    <row r="397" spans="1:30" x14ac:dyDescent="0.2">
      <c r="A397" s="60" t="s">
        <v>426</v>
      </c>
      <c r="B397" s="60" t="s">
        <v>15</v>
      </c>
      <c r="C397" s="60" t="s">
        <v>32</v>
      </c>
      <c r="D397" s="60" t="s">
        <v>24</v>
      </c>
      <c r="E397" s="60">
        <v>2</v>
      </c>
      <c r="F397" s="60" t="s">
        <v>438</v>
      </c>
      <c r="G397" s="60" t="s">
        <v>35</v>
      </c>
      <c r="H397" s="60" t="s">
        <v>20</v>
      </c>
      <c r="I397" s="60" t="str">
        <f t="shared" si="12"/>
        <v>B3-P1-C2</v>
      </c>
      <c r="J397" s="60" t="str">
        <f t="shared" si="13"/>
        <v>Quercus-B3-P1-C2-B2</v>
      </c>
      <c r="K397" s="60" t="s">
        <v>64</v>
      </c>
      <c r="L397" s="60" t="s">
        <v>44</v>
      </c>
      <c r="M397" s="60" t="s">
        <v>65</v>
      </c>
      <c r="N397" s="15">
        <v>396</v>
      </c>
      <c r="O397" s="60">
        <v>4.4000000000000004</v>
      </c>
      <c r="P397" s="60">
        <v>28</v>
      </c>
      <c r="Q397" s="60">
        <v>5.15</v>
      </c>
      <c r="R397" s="60">
        <v>41</v>
      </c>
      <c r="S397" s="3">
        <v>5.28</v>
      </c>
      <c r="T397" s="3">
        <v>40</v>
      </c>
      <c r="U397" s="3">
        <v>5.47</v>
      </c>
      <c r="V397" s="3">
        <v>42</v>
      </c>
      <c r="W397" s="3">
        <v>5.77</v>
      </c>
      <c r="X397" s="3">
        <v>42</v>
      </c>
      <c r="Y397" s="3">
        <v>6.39</v>
      </c>
      <c r="Z397" s="3">
        <v>46</v>
      </c>
      <c r="AA397" s="3">
        <v>7.73</v>
      </c>
      <c r="AB397" s="3">
        <v>47</v>
      </c>
      <c r="AC397" s="3"/>
      <c r="AD397" s="3"/>
    </row>
    <row r="398" spans="1:30" x14ac:dyDescent="0.2">
      <c r="A398" s="60" t="s">
        <v>426</v>
      </c>
      <c r="B398" s="60" t="s">
        <v>15</v>
      </c>
      <c r="C398" s="60" t="s">
        <v>32</v>
      </c>
      <c r="D398" s="60" t="s">
        <v>17</v>
      </c>
      <c r="E398" s="60">
        <v>3</v>
      </c>
      <c r="F398" s="60" t="s">
        <v>439</v>
      </c>
      <c r="G398" s="60" t="s">
        <v>35</v>
      </c>
      <c r="H398" s="60" t="s">
        <v>20</v>
      </c>
      <c r="I398" s="60" t="str">
        <f t="shared" si="12"/>
        <v>B3-P1-C2</v>
      </c>
      <c r="J398" s="60" t="str">
        <f t="shared" si="13"/>
        <v>Quercus-B3-P1-C2-A3</v>
      </c>
      <c r="K398" s="60" t="s">
        <v>64</v>
      </c>
      <c r="L398" s="60" t="s">
        <v>44</v>
      </c>
      <c r="M398" s="60" t="s">
        <v>65</v>
      </c>
      <c r="N398" s="15">
        <v>397</v>
      </c>
      <c r="O398" s="60">
        <v>5.5</v>
      </c>
      <c r="P398" s="60">
        <v>60</v>
      </c>
      <c r="Q398" s="60">
        <v>6.58</v>
      </c>
      <c r="R398" s="60">
        <v>76</v>
      </c>
      <c r="S398" s="3">
        <v>6.63</v>
      </c>
      <c r="T398" s="3">
        <v>81</v>
      </c>
      <c r="U398" s="3">
        <v>6.56</v>
      </c>
      <c r="V398" s="3">
        <v>80</v>
      </c>
      <c r="W398" s="3">
        <v>5.0599999999999996</v>
      </c>
      <c r="X398" s="3">
        <v>81</v>
      </c>
      <c r="Y398" s="3">
        <v>7.33</v>
      </c>
      <c r="Z398" s="3">
        <v>80</v>
      </c>
      <c r="AA398" s="3">
        <v>9.76</v>
      </c>
      <c r="AB398" s="3">
        <v>85</v>
      </c>
      <c r="AC398" s="3"/>
      <c r="AD398" s="3"/>
    </row>
    <row r="399" spans="1:30" x14ac:dyDescent="0.2">
      <c r="A399" s="60" t="s">
        <v>426</v>
      </c>
      <c r="B399" s="60" t="s">
        <v>15</v>
      </c>
      <c r="C399" s="60" t="s">
        <v>32</v>
      </c>
      <c r="D399" s="60" t="s">
        <v>24</v>
      </c>
      <c r="E399" s="60">
        <v>3</v>
      </c>
      <c r="F399" s="60" t="s">
        <v>440</v>
      </c>
      <c r="G399" s="60" t="s">
        <v>35</v>
      </c>
      <c r="H399" s="60" t="s">
        <v>20</v>
      </c>
      <c r="I399" s="60" t="str">
        <f t="shared" si="12"/>
        <v>B3-P1-C2</v>
      </c>
      <c r="J399" s="60" t="str">
        <f t="shared" si="13"/>
        <v>Quercus-B3-P1-C2-B3</v>
      </c>
      <c r="K399" s="60" t="s">
        <v>64</v>
      </c>
      <c r="L399" s="60" t="s">
        <v>44</v>
      </c>
      <c r="M399" s="60" t="s">
        <v>65</v>
      </c>
      <c r="N399" s="15">
        <v>398</v>
      </c>
      <c r="O399" s="60">
        <v>3.6</v>
      </c>
      <c r="P399" s="60">
        <v>30</v>
      </c>
      <c r="Q399" s="60">
        <v>4.05</v>
      </c>
      <c r="R399" s="60">
        <v>39</v>
      </c>
      <c r="S399" s="3">
        <v>3.98</v>
      </c>
      <c r="T399" s="3">
        <v>40</v>
      </c>
      <c r="U399" s="3">
        <v>3.97</v>
      </c>
      <c r="V399" s="3">
        <v>40</v>
      </c>
      <c r="W399" s="3">
        <v>4.22</v>
      </c>
      <c r="X399" s="3">
        <v>38</v>
      </c>
      <c r="Y399" s="3">
        <v>5.07</v>
      </c>
      <c r="Z399" s="3">
        <v>41</v>
      </c>
      <c r="AA399" s="3">
        <v>5.65</v>
      </c>
      <c r="AB399" s="3">
        <v>38</v>
      </c>
      <c r="AC399" s="3"/>
      <c r="AD399" s="3"/>
    </row>
    <row r="400" spans="1:30" x14ac:dyDescent="0.2">
      <c r="A400" s="60" t="s">
        <v>426</v>
      </c>
      <c r="B400" s="60" t="s">
        <v>15</v>
      </c>
      <c r="C400" s="60" t="s">
        <v>32</v>
      </c>
      <c r="D400" s="60" t="s">
        <v>17</v>
      </c>
      <c r="E400" s="60">
        <v>4</v>
      </c>
      <c r="F400" s="60" t="s">
        <v>441</v>
      </c>
      <c r="G400" s="60" t="s">
        <v>35</v>
      </c>
      <c r="H400" s="60" t="s">
        <v>20</v>
      </c>
      <c r="I400" s="60" t="str">
        <f t="shared" si="12"/>
        <v>B3-P1-C2</v>
      </c>
      <c r="J400" s="60" t="str">
        <f t="shared" si="13"/>
        <v>Quercus-B3-P1-C2-A4</v>
      </c>
      <c r="K400" s="60" t="s">
        <v>64</v>
      </c>
      <c r="L400" s="60" t="s">
        <v>44</v>
      </c>
      <c r="M400" s="60" t="s">
        <v>65</v>
      </c>
      <c r="N400" s="15">
        <v>399</v>
      </c>
      <c r="O400" s="60">
        <v>5.8</v>
      </c>
      <c r="P400" s="60">
        <v>30.5</v>
      </c>
      <c r="Q400" s="60">
        <v>6.2</v>
      </c>
      <c r="R400" s="60">
        <v>41</v>
      </c>
      <c r="S400" s="3">
        <v>6.1</v>
      </c>
      <c r="T400" s="3">
        <v>44</v>
      </c>
      <c r="U400" s="3">
        <v>6.3</v>
      </c>
      <c r="V400" s="3">
        <v>45</v>
      </c>
      <c r="W400" s="3">
        <v>6.86</v>
      </c>
      <c r="X400" s="3">
        <v>45</v>
      </c>
      <c r="Y400" s="3">
        <v>7.22</v>
      </c>
      <c r="Z400" s="3">
        <v>48</v>
      </c>
      <c r="AA400" s="3">
        <v>8.18</v>
      </c>
      <c r="AB400" s="3">
        <v>50</v>
      </c>
      <c r="AC400" s="3"/>
      <c r="AD400" s="3"/>
    </row>
    <row r="401" spans="1:30" x14ac:dyDescent="0.2">
      <c r="A401" s="60" t="s">
        <v>426</v>
      </c>
      <c r="B401" s="60" t="s">
        <v>15</v>
      </c>
      <c r="C401" s="60" t="s">
        <v>32</v>
      </c>
      <c r="D401" s="60" t="s">
        <v>24</v>
      </c>
      <c r="E401" s="60">
        <v>4</v>
      </c>
      <c r="F401" s="60" t="s">
        <v>442</v>
      </c>
      <c r="G401" s="60" t="s">
        <v>35</v>
      </c>
      <c r="H401" s="60" t="s">
        <v>20</v>
      </c>
      <c r="I401" s="60" t="str">
        <f t="shared" si="12"/>
        <v>B3-P1-C2</v>
      </c>
      <c r="J401" s="60" t="str">
        <f t="shared" si="13"/>
        <v>Quercus-B3-P1-C2-B4</v>
      </c>
      <c r="K401" s="60" t="s">
        <v>64</v>
      </c>
      <c r="L401" s="60" t="s">
        <v>44</v>
      </c>
      <c r="M401" s="60" t="s">
        <v>65</v>
      </c>
      <c r="N401" s="15">
        <v>400</v>
      </c>
      <c r="O401" s="60">
        <v>5.6</v>
      </c>
      <c r="P401" s="60">
        <v>32.5</v>
      </c>
      <c r="Q401" s="60">
        <v>6.75</v>
      </c>
      <c r="R401" s="60">
        <v>49</v>
      </c>
      <c r="S401" s="3">
        <v>6.52</v>
      </c>
      <c r="T401" s="3">
        <v>49.5</v>
      </c>
      <c r="U401" s="3">
        <v>6.7</v>
      </c>
      <c r="V401" s="3">
        <v>49</v>
      </c>
      <c r="W401" s="3">
        <v>7.34</v>
      </c>
      <c r="X401" s="3">
        <v>50.5</v>
      </c>
      <c r="Y401" s="3">
        <v>7.96</v>
      </c>
      <c r="Z401" s="3">
        <v>52</v>
      </c>
      <c r="AA401" s="3">
        <v>8.9499999999999993</v>
      </c>
      <c r="AB401" s="3">
        <v>55</v>
      </c>
      <c r="AC401" s="3"/>
      <c r="AD401" s="3"/>
    </row>
    <row r="402" spans="1:30" s="38" customFormat="1" x14ac:dyDescent="0.2">
      <c r="A402" s="57" t="s">
        <v>426</v>
      </c>
      <c r="B402" s="57" t="s">
        <v>15</v>
      </c>
      <c r="C402" s="57" t="s">
        <v>42</v>
      </c>
      <c r="D402" s="57" t="s">
        <v>17</v>
      </c>
      <c r="E402" s="57">
        <v>1</v>
      </c>
      <c r="F402" s="57" t="s">
        <v>443</v>
      </c>
      <c r="G402" s="57" t="s">
        <v>19</v>
      </c>
      <c r="H402" s="57" t="s">
        <v>20</v>
      </c>
      <c r="I402" s="57" t="str">
        <f t="shared" si="12"/>
        <v>B3-P1-C3</v>
      </c>
      <c r="J402" s="57" t="str">
        <f t="shared" si="13"/>
        <v>Fagus-B3-P1-C3-A1</v>
      </c>
      <c r="K402" s="57" t="s">
        <v>64</v>
      </c>
      <c r="L402" s="57" t="s">
        <v>22</v>
      </c>
      <c r="M402" s="57" t="s">
        <v>74</v>
      </c>
      <c r="N402" s="37">
        <v>401</v>
      </c>
      <c r="O402" s="57">
        <v>11.8</v>
      </c>
      <c r="P402" s="57">
        <v>110</v>
      </c>
      <c r="Q402" s="57">
        <v>11.82</v>
      </c>
      <c r="R402" s="57">
        <v>137</v>
      </c>
      <c r="S402" s="57">
        <v>14.75</v>
      </c>
      <c r="T402" s="57">
        <v>138</v>
      </c>
      <c r="U402" s="57">
        <v>16.21</v>
      </c>
      <c r="V402" s="57">
        <v>147</v>
      </c>
      <c r="W402" s="57">
        <v>17.52</v>
      </c>
      <c r="X402" s="57">
        <v>147.5</v>
      </c>
      <c r="Y402" s="57">
        <v>17.61</v>
      </c>
      <c r="Z402" s="57">
        <v>145</v>
      </c>
      <c r="AA402" s="57">
        <v>18.8</v>
      </c>
      <c r="AB402" s="57">
        <v>145</v>
      </c>
      <c r="AC402" s="57"/>
      <c r="AD402" s="57"/>
    </row>
    <row r="403" spans="1:30" s="38" customFormat="1" x14ac:dyDescent="0.2">
      <c r="A403" s="57" t="s">
        <v>426</v>
      </c>
      <c r="B403" s="57" t="s">
        <v>15</v>
      </c>
      <c r="C403" s="57" t="s">
        <v>42</v>
      </c>
      <c r="D403" s="57" t="s">
        <v>24</v>
      </c>
      <c r="E403" s="57">
        <v>1</v>
      </c>
      <c r="F403" s="57" t="s">
        <v>444</v>
      </c>
      <c r="G403" s="57" t="s">
        <v>35</v>
      </c>
      <c r="H403" s="57" t="s">
        <v>20</v>
      </c>
      <c r="I403" s="57" t="str">
        <f t="shared" si="12"/>
        <v>B3-P1-C3</v>
      </c>
      <c r="J403" s="57" t="str">
        <f t="shared" si="13"/>
        <v>Quercus-B3-P1-C3-B1</v>
      </c>
      <c r="K403" s="57" t="s">
        <v>64</v>
      </c>
      <c r="L403" s="57" t="s">
        <v>22</v>
      </c>
      <c r="M403" s="57" t="s">
        <v>74</v>
      </c>
      <c r="N403" s="37">
        <v>402</v>
      </c>
      <c r="O403" s="57">
        <v>6.1</v>
      </c>
      <c r="P403" s="57">
        <v>44</v>
      </c>
      <c r="Q403" s="57">
        <v>7.08</v>
      </c>
      <c r="R403" s="57">
        <v>51</v>
      </c>
      <c r="S403" s="57">
        <v>7.56</v>
      </c>
      <c r="T403" s="57">
        <v>55</v>
      </c>
      <c r="U403" s="57">
        <v>8.15</v>
      </c>
      <c r="V403" s="57">
        <v>55</v>
      </c>
      <c r="W403" s="57">
        <v>8.7200000000000006</v>
      </c>
      <c r="X403" s="57">
        <v>56.5</v>
      </c>
      <c r="Y403" s="57">
        <v>8.1999999999999993</v>
      </c>
      <c r="Z403" s="57">
        <v>55</v>
      </c>
      <c r="AA403" s="57">
        <v>8.6300000000000008</v>
      </c>
      <c r="AB403" s="57">
        <v>54</v>
      </c>
      <c r="AC403" s="57"/>
      <c r="AD403" s="57"/>
    </row>
    <row r="404" spans="1:30" s="38" customFormat="1" x14ac:dyDescent="0.2">
      <c r="A404" s="57" t="s">
        <v>426</v>
      </c>
      <c r="B404" s="57" t="s">
        <v>15</v>
      </c>
      <c r="C404" s="57" t="s">
        <v>42</v>
      </c>
      <c r="D404" s="57" t="s">
        <v>17</v>
      </c>
      <c r="E404" s="57">
        <v>2</v>
      </c>
      <c r="F404" s="57" t="s">
        <v>445</v>
      </c>
      <c r="G404" s="57" t="s">
        <v>35</v>
      </c>
      <c r="H404" s="57" t="s">
        <v>20</v>
      </c>
      <c r="I404" s="57" t="str">
        <f t="shared" si="12"/>
        <v>B3-P1-C3</v>
      </c>
      <c r="J404" s="57" t="str">
        <f t="shared" si="13"/>
        <v>Quercus-B3-P1-C3-A2</v>
      </c>
      <c r="K404" s="57" t="s">
        <v>64</v>
      </c>
      <c r="L404" s="57" t="s">
        <v>22</v>
      </c>
      <c r="M404" s="57" t="s">
        <v>74</v>
      </c>
      <c r="N404" s="37">
        <v>403</v>
      </c>
      <c r="O404" s="57">
        <v>6.9</v>
      </c>
      <c r="P404" s="57">
        <v>46.5</v>
      </c>
      <c r="Q404" s="57">
        <v>8.31</v>
      </c>
      <c r="R404" s="57">
        <v>58.5</v>
      </c>
      <c r="S404" s="57">
        <v>9.02</v>
      </c>
      <c r="T404" s="57">
        <v>67</v>
      </c>
      <c r="U404" s="57">
        <v>9.52</v>
      </c>
      <c r="V404" s="57">
        <v>82</v>
      </c>
      <c r="W404" s="57">
        <v>11.01</v>
      </c>
      <c r="X404" s="57">
        <v>82</v>
      </c>
      <c r="Y404" s="57">
        <v>12.45</v>
      </c>
      <c r="Z404" s="57">
        <v>85</v>
      </c>
      <c r="AA404" s="57">
        <v>13.39</v>
      </c>
      <c r="AB404" s="57">
        <v>87</v>
      </c>
      <c r="AC404" s="57"/>
      <c r="AD404" s="57"/>
    </row>
    <row r="405" spans="1:30" s="38" customFormat="1" x14ac:dyDescent="0.2">
      <c r="A405" s="57" t="s">
        <v>426</v>
      </c>
      <c r="B405" s="57" t="s">
        <v>15</v>
      </c>
      <c r="C405" s="57" t="s">
        <v>42</v>
      </c>
      <c r="D405" s="57" t="s">
        <v>24</v>
      </c>
      <c r="E405" s="57">
        <v>2</v>
      </c>
      <c r="F405" s="57" t="s">
        <v>446</v>
      </c>
      <c r="G405" s="57" t="s">
        <v>19</v>
      </c>
      <c r="H405" s="57" t="s">
        <v>20</v>
      </c>
      <c r="I405" s="57" t="str">
        <f t="shared" si="12"/>
        <v>B3-P1-C3</v>
      </c>
      <c r="J405" s="57" t="str">
        <f t="shared" si="13"/>
        <v>Fagus-B3-P1-C3-B2</v>
      </c>
      <c r="K405" s="57" t="s">
        <v>64</v>
      </c>
      <c r="L405" s="57" t="s">
        <v>22</v>
      </c>
      <c r="M405" s="57" t="s">
        <v>74</v>
      </c>
      <c r="N405" s="37">
        <v>404</v>
      </c>
      <c r="O405" s="57">
        <v>8.5</v>
      </c>
      <c r="P405" s="57">
        <v>67.5</v>
      </c>
      <c r="Q405" s="57">
        <v>8.65</v>
      </c>
      <c r="R405" s="57">
        <v>80</v>
      </c>
      <c r="S405" s="57">
        <v>10.1</v>
      </c>
      <c r="T405" s="57">
        <v>81</v>
      </c>
      <c r="U405" s="57">
        <v>11.4</v>
      </c>
      <c r="V405" s="57">
        <v>93</v>
      </c>
      <c r="W405" s="57">
        <v>12.09</v>
      </c>
      <c r="X405" s="57">
        <v>96</v>
      </c>
      <c r="Y405" s="57">
        <v>12.48</v>
      </c>
      <c r="Z405" s="57">
        <v>93</v>
      </c>
      <c r="AA405" s="57">
        <v>12.27</v>
      </c>
      <c r="AB405" s="57">
        <v>95</v>
      </c>
      <c r="AC405" s="57"/>
      <c r="AD405" s="57"/>
    </row>
    <row r="406" spans="1:30" s="38" customFormat="1" x14ac:dyDescent="0.2">
      <c r="A406" s="57" t="s">
        <v>426</v>
      </c>
      <c r="B406" s="57" t="s">
        <v>15</v>
      </c>
      <c r="C406" s="57" t="s">
        <v>42</v>
      </c>
      <c r="D406" s="57" t="s">
        <v>17</v>
      </c>
      <c r="E406" s="57">
        <v>3</v>
      </c>
      <c r="F406" s="57" t="s">
        <v>447</v>
      </c>
      <c r="G406" s="57" t="s">
        <v>19</v>
      </c>
      <c r="H406" s="57" t="s">
        <v>20</v>
      </c>
      <c r="I406" s="57" t="str">
        <f t="shared" si="12"/>
        <v>B3-P1-C3</v>
      </c>
      <c r="J406" s="57" t="str">
        <f t="shared" si="13"/>
        <v>Fagus-B3-P1-C3-A3</v>
      </c>
      <c r="K406" s="57" t="s">
        <v>64</v>
      </c>
      <c r="L406" s="57" t="s">
        <v>22</v>
      </c>
      <c r="M406" s="57" t="s">
        <v>74</v>
      </c>
      <c r="N406" s="37">
        <v>405</v>
      </c>
      <c r="O406" s="57">
        <v>11.3</v>
      </c>
      <c r="P406" s="57">
        <v>76</v>
      </c>
      <c r="Q406" s="57">
        <v>11.84</v>
      </c>
      <c r="R406" s="57">
        <v>90</v>
      </c>
      <c r="S406" s="57">
        <v>13.59</v>
      </c>
      <c r="T406" s="57">
        <v>104</v>
      </c>
      <c r="U406" s="57">
        <v>14.31</v>
      </c>
      <c r="V406" s="57">
        <v>113</v>
      </c>
      <c r="W406" s="57">
        <v>15.49</v>
      </c>
      <c r="X406" s="57">
        <v>114</v>
      </c>
      <c r="Y406" s="57">
        <v>16.190000000000001</v>
      </c>
      <c r="Z406" s="57">
        <v>111</v>
      </c>
      <c r="AA406" s="57">
        <v>16.02</v>
      </c>
      <c r="AB406" s="57">
        <v>111</v>
      </c>
      <c r="AC406" s="57"/>
      <c r="AD406" s="57"/>
    </row>
    <row r="407" spans="1:30" s="38" customFormat="1" x14ac:dyDescent="0.2">
      <c r="A407" s="57" t="s">
        <v>426</v>
      </c>
      <c r="B407" s="57" t="s">
        <v>15</v>
      </c>
      <c r="C407" s="57" t="s">
        <v>42</v>
      </c>
      <c r="D407" s="57" t="s">
        <v>24</v>
      </c>
      <c r="E407" s="57">
        <v>3</v>
      </c>
      <c r="F407" s="57" t="s">
        <v>448</v>
      </c>
      <c r="G407" s="57" t="s">
        <v>35</v>
      </c>
      <c r="H407" s="57" t="s">
        <v>20</v>
      </c>
      <c r="I407" s="57" t="str">
        <f t="shared" si="12"/>
        <v>B3-P1-C3</v>
      </c>
      <c r="J407" s="57" t="str">
        <f t="shared" si="13"/>
        <v>Quercus-B3-P1-C3-B3</v>
      </c>
      <c r="K407" s="57" t="s">
        <v>64</v>
      </c>
      <c r="L407" s="57" t="s">
        <v>22</v>
      </c>
      <c r="M407" s="57" t="s">
        <v>74</v>
      </c>
      <c r="N407" s="37">
        <v>406</v>
      </c>
      <c r="O407" s="57">
        <v>6.3</v>
      </c>
      <c r="P407" s="57">
        <v>46.5</v>
      </c>
      <c r="Q407" s="57">
        <v>7.55</v>
      </c>
      <c r="R407" s="57">
        <v>55</v>
      </c>
      <c r="S407" s="57">
        <v>7.05</v>
      </c>
      <c r="T407" s="57">
        <v>62</v>
      </c>
      <c r="U407" s="57">
        <v>8.34</v>
      </c>
      <c r="V407" s="57">
        <v>70</v>
      </c>
      <c r="W407" s="57">
        <v>8.32</v>
      </c>
      <c r="X407" s="57">
        <v>72</v>
      </c>
      <c r="Y407" s="57">
        <v>9.81</v>
      </c>
      <c r="Z407" s="57">
        <v>71</v>
      </c>
      <c r="AA407" s="57">
        <v>11.14</v>
      </c>
      <c r="AB407" s="57">
        <v>70</v>
      </c>
      <c r="AC407" s="57"/>
      <c r="AD407" s="57"/>
    </row>
    <row r="408" spans="1:30" s="38" customFormat="1" x14ac:dyDescent="0.2">
      <c r="A408" s="57" t="s">
        <v>426</v>
      </c>
      <c r="B408" s="57" t="s">
        <v>15</v>
      </c>
      <c r="C408" s="57" t="s">
        <v>42</v>
      </c>
      <c r="D408" s="57" t="s">
        <v>17</v>
      </c>
      <c r="E408" s="57">
        <v>4</v>
      </c>
      <c r="F408" s="57" t="s">
        <v>449</v>
      </c>
      <c r="G408" s="57" t="s">
        <v>35</v>
      </c>
      <c r="H408" s="57" t="s">
        <v>20</v>
      </c>
      <c r="I408" s="57" t="str">
        <f t="shared" si="12"/>
        <v>B3-P1-C3</v>
      </c>
      <c r="J408" s="57" t="str">
        <f t="shared" si="13"/>
        <v>Quercus-B3-P1-C3-A4</v>
      </c>
      <c r="K408" s="57" t="s">
        <v>64</v>
      </c>
      <c r="L408" s="57" t="s">
        <v>22</v>
      </c>
      <c r="M408" s="57" t="s">
        <v>74</v>
      </c>
      <c r="N408" s="37">
        <v>407</v>
      </c>
      <c r="O408" s="57">
        <v>5.2</v>
      </c>
      <c r="P408" s="57">
        <v>34</v>
      </c>
      <c r="Q408" s="57">
        <v>6.95</v>
      </c>
      <c r="R408" s="57">
        <v>43</v>
      </c>
      <c r="S408" s="57">
        <v>6.06</v>
      </c>
      <c r="T408" s="57">
        <v>44</v>
      </c>
      <c r="U408" s="57">
        <v>7.4</v>
      </c>
      <c r="V408" s="57">
        <v>55</v>
      </c>
      <c r="W408" s="57">
        <v>7.55</v>
      </c>
      <c r="X408" s="57">
        <v>54</v>
      </c>
      <c r="Y408" s="57">
        <v>8.58</v>
      </c>
      <c r="Z408" s="57">
        <v>56</v>
      </c>
      <c r="AA408" s="57">
        <v>10.24</v>
      </c>
      <c r="AB408" s="57">
        <v>60</v>
      </c>
      <c r="AC408" s="57"/>
      <c r="AD408" s="57"/>
    </row>
    <row r="409" spans="1:30" s="38" customFormat="1" x14ac:dyDescent="0.2">
      <c r="A409" s="57" t="s">
        <v>426</v>
      </c>
      <c r="B409" s="57" t="s">
        <v>15</v>
      </c>
      <c r="C409" s="57" t="s">
        <v>42</v>
      </c>
      <c r="D409" s="57" t="s">
        <v>24</v>
      </c>
      <c r="E409" s="57">
        <v>4</v>
      </c>
      <c r="F409" s="57" t="s">
        <v>450</v>
      </c>
      <c r="G409" s="57" t="s">
        <v>19</v>
      </c>
      <c r="H409" s="57" t="s">
        <v>20</v>
      </c>
      <c r="I409" s="57" t="str">
        <f t="shared" si="12"/>
        <v>B3-P1-C3</v>
      </c>
      <c r="J409" s="57" t="str">
        <f t="shared" si="13"/>
        <v>Fagus-B3-P1-C3-B4</v>
      </c>
      <c r="K409" s="57" t="s">
        <v>64</v>
      </c>
      <c r="L409" s="57" t="s">
        <v>22</v>
      </c>
      <c r="M409" s="57" t="s">
        <v>74</v>
      </c>
      <c r="N409" s="37">
        <v>408</v>
      </c>
      <c r="O409" s="57">
        <v>10.8</v>
      </c>
      <c r="P409" s="57">
        <v>62.5</v>
      </c>
      <c r="Q409" s="57">
        <v>10.81</v>
      </c>
      <c r="R409" s="57">
        <v>78.5</v>
      </c>
      <c r="S409" s="57">
        <v>11.78</v>
      </c>
      <c r="T409" s="57">
        <v>84</v>
      </c>
      <c r="U409" s="57">
        <v>13.69</v>
      </c>
      <c r="V409" s="57">
        <v>93</v>
      </c>
      <c r="W409" s="57">
        <v>14.04</v>
      </c>
      <c r="X409" s="57">
        <v>90.5</v>
      </c>
      <c r="Y409" s="57">
        <v>15.01</v>
      </c>
      <c r="Z409" s="57">
        <v>94</v>
      </c>
      <c r="AA409" s="57">
        <v>14.95</v>
      </c>
      <c r="AB409" s="57">
        <v>90</v>
      </c>
      <c r="AC409" s="57"/>
      <c r="AD409" s="57"/>
    </row>
    <row r="410" spans="1:30" x14ac:dyDescent="0.2">
      <c r="A410" s="60" t="s">
        <v>426</v>
      </c>
      <c r="B410" s="60" t="s">
        <v>15</v>
      </c>
      <c r="C410" s="60" t="s">
        <v>53</v>
      </c>
      <c r="D410" s="60" t="s">
        <v>17</v>
      </c>
      <c r="E410" s="60">
        <v>1</v>
      </c>
      <c r="F410" s="60" t="s">
        <v>451</v>
      </c>
      <c r="G410" s="60" t="s">
        <v>19</v>
      </c>
      <c r="H410" s="60" t="s">
        <v>20</v>
      </c>
      <c r="I410" s="60" t="str">
        <f t="shared" si="12"/>
        <v>B3-P1-C4</v>
      </c>
      <c r="J410" s="60" t="str">
        <f t="shared" si="13"/>
        <v>Fagus-B3-P1-C4-A1</v>
      </c>
      <c r="K410" s="60" t="s">
        <v>64</v>
      </c>
      <c r="L410" s="60" t="s">
        <v>44</v>
      </c>
      <c r="M410" s="60" t="s">
        <v>65</v>
      </c>
      <c r="N410" s="15">
        <v>409</v>
      </c>
      <c r="O410" s="60">
        <v>9.1</v>
      </c>
      <c r="P410" s="60">
        <v>92.5</v>
      </c>
      <c r="Q410" s="60">
        <v>9.5500000000000007</v>
      </c>
      <c r="R410" s="60">
        <v>111</v>
      </c>
      <c r="S410" s="3">
        <v>9.5</v>
      </c>
      <c r="T410" s="3">
        <v>121</v>
      </c>
      <c r="U410" s="3">
        <v>9.1</v>
      </c>
      <c r="V410" s="3">
        <v>121</v>
      </c>
      <c r="W410" s="3">
        <v>9.57</v>
      </c>
      <c r="X410" s="3">
        <v>119</v>
      </c>
      <c r="Y410" s="3">
        <v>9.42</v>
      </c>
      <c r="Z410" s="3">
        <v>121</v>
      </c>
      <c r="AA410" s="3">
        <v>9.64</v>
      </c>
      <c r="AB410" s="3">
        <v>118</v>
      </c>
      <c r="AC410" s="3"/>
      <c r="AD410" s="3"/>
    </row>
    <row r="411" spans="1:30" x14ac:dyDescent="0.2">
      <c r="A411" s="60" t="s">
        <v>426</v>
      </c>
      <c r="B411" s="60" t="s">
        <v>15</v>
      </c>
      <c r="C411" s="60" t="s">
        <v>53</v>
      </c>
      <c r="D411" s="60" t="s">
        <v>24</v>
      </c>
      <c r="E411" s="60">
        <v>1</v>
      </c>
      <c r="F411" s="60" t="s">
        <v>452</v>
      </c>
      <c r="G411" s="60" t="s">
        <v>35</v>
      </c>
      <c r="H411" s="60" t="s">
        <v>20</v>
      </c>
      <c r="I411" s="60" t="str">
        <f t="shared" si="12"/>
        <v>B3-P1-C4</v>
      </c>
      <c r="J411" s="60" t="str">
        <f t="shared" si="13"/>
        <v>Quercus-B3-P1-C4-B1</v>
      </c>
      <c r="K411" s="60" t="s">
        <v>64</v>
      </c>
      <c r="L411" s="60" t="s">
        <v>44</v>
      </c>
      <c r="M411" s="60" t="s">
        <v>65</v>
      </c>
      <c r="N411" s="15">
        <v>410</v>
      </c>
      <c r="O411" s="60">
        <v>5.0999999999999996</v>
      </c>
      <c r="P411" s="60">
        <v>32</v>
      </c>
      <c r="Q411" s="60">
        <v>5.58</v>
      </c>
      <c r="R411" s="60">
        <v>36.5</v>
      </c>
      <c r="S411" s="3">
        <v>5.8</v>
      </c>
      <c r="T411" s="3">
        <v>38</v>
      </c>
      <c r="U411" s="3">
        <v>6.05</v>
      </c>
      <c r="V411" s="3">
        <v>37</v>
      </c>
      <c r="W411" s="3">
        <v>5.93</v>
      </c>
      <c r="X411" s="3">
        <v>40</v>
      </c>
      <c r="Y411" s="3">
        <v>6.79</v>
      </c>
      <c r="Z411" s="3">
        <v>40</v>
      </c>
      <c r="AA411" s="3">
        <v>7.79</v>
      </c>
      <c r="AB411" s="3">
        <v>42</v>
      </c>
      <c r="AC411" s="3"/>
      <c r="AD411" s="3"/>
    </row>
    <row r="412" spans="1:30" x14ac:dyDescent="0.2">
      <c r="A412" s="60" t="s">
        <v>426</v>
      </c>
      <c r="B412" s="60" t="s">
        <v>15</v>
      </c>
      <c r="C412" s="60" t="s">
        <v>53</v>
      </c>
      <c r="D412" s="60" t="s">
        <v>17</v>
      </c>
      <c r="E412" s="60">
        <v>2</v>
      </c>
      <c r="F412" s="60" t="s">
        <v>453</v>
      </c>
      <c r="G412" s="60" t="s">
        <v>35</v>
      </c>
      <c r="H412" s="60" t="s">
        <v>20</v>
      </c>
      <c r="I412" s="60" t="str">
        <f t="shared" si="12"/>
        <v>B3-P1-C4</v>
      </c>
      <c r="J412" s="60" t="str">
        <f t="shared" si="13"/>
        <v>Quercus-B3-P1-C4-A2</v>
      </c>
      <c r="K412" s="60" t="s">
        <v>64</v>
      </c>
      <c r="L412" s="60" t="s">
        <v>44</v>
      </c>
      <c r="M412" s="60" t="s">
        <v>65</v>
      </c>
      <c r="N412" s="15">
        <v>411</v>
      </c>
      <c r="O412" s="60">
        <v>4.0999999999999996</v>
      </c>
      <c r="P412" s="60">
        <v>34</v>
      </c>
      <c r="Q412" s="60">
        <v>4.57</v>
      </c>
      <c r="R412" s="60">
        <v>34</v>
      </c>
      <c r="S412" s="3">
        <v>4.47</v>
      </c>
      <c r="T412" s="3">
        <v>35.5</v>
      </c>
      <c r="U412" s="3">
        <v>4.5599999999999996</v>
      </c>
      <c r="V412" s="3">
        <v>36</v>
      </c>
      <c r="W412" s="3">
        <v>5.52</v>
      </c>
      <c r="X412" s="3">
        <v>35</v>
      </c>
      <c r="Y412" s="3">
        <v>5.88</v>
      </c>
      <c r="Z412" s="3">
        <v>37</v>
      </c>
      <c r="AA412" s="3">
        <v>5.58</v>
      </c>
      <c r="AB412" s="3">
        <v>37</v>
      </c>
      <c r="AC412" s="3"/>
      <c r="AD412" s="3"/>
    </row>
    <row r="413" spans="1:30" x14ac:dyDescent="0.2">
      <c r="A413" s="60" t="s">
        <v>426</v>
      </c>
      <c r="B413" s="60" t="s">
        <v>15</v>
      </c>
      <c r="C413" s="60" t="s">
        <v>53</v>
      </c>
      <c r="D413" s="60" t="s">
        <v>24</v>
      </c>
      <c r="E413" s="60">
        <v>2</v>
      </c>
      <c r="F413" s="60" t="s">
        <v>454</v>
      </c>
      <c r="G413" s="60" t="s">
        <v>19</v>
      </c>
      <c r="H413" s="60" t="s">
        <v>20</v>
      </c>
      <c r="I413" s="60" t="str">
        <f t="shared" si="12"/>
        <v>B3-P1-C4</v>
      </c>
      <c r="J413" s="60" t="str">
        <f t="shared" si="13"/>
        <v>Fagus-B3-P1-C4-B2</v>
      </c>
      <c r="K413" s="60" t="s">
        <v>64</v>
      </c>
      <c r="L413" s="60" t="s">
        <v>44</v>
      </c>
      <c r="M413" s="60" t="s">
        <v>65</v>
      </c>
      <c r="N413" s="15">
        <v>412</v>
      </c>
      <c r="O413" s="60">
        <v>9.6999999999999993</v>
      </c>
      <c r="P413" s="60">
        <v>31.5</v>
      </c>
      <c r="Q413" s="60">
        <v>9.6999999999999993</v>
      </c>
      <c r="R413" s="60">
        <v>39</v>
      </c>
      <c r="S413" s="3">
        <v>10.039999999999999</v>
      </c>
      <c r="T413" s="3">
        <v>76</v>
      </c>
      <c r="U413" s="3">
        <v>10.210000000000001</v>
      </c>
      <c r="V413" s="3">
        <v>77</v>
      </c>
      <c r="W413" s="3">
        <v>10.43</v>
      </c>
      <c r="X413" s="3">
        <v>77.5</v>
      </c>
      <c r="Y413" s="3">
        <v>10.65</v>
      </c>
      <c r="Z413" s="3">
        <v>73</v>
      </c>
      <c r="AA413" s="3">
        <v>10.67</v>
      </c>
      <c r="AB413" s="3">
        <v>77</v>
      </c>
      <c r="AC413" s="3"/>
      <c r="AD413" s="3"/>
    </row>
    <row r="414" spans="1:30" x14ac:dyDescent="0.2">
      <c r="A414" s="60" t="s">
        <v>426</v>
      </c>
      <c r="B414" s="60" t="s">
        <v>15</v>
      </c>
      <c r="C414" s="60" t="s">
        <v>53</v>
      </c>
      <c r="D414" s="60" t="s">
        <v>17</v>
      </c>
      <c r="E414" s="60">
        <v>3</v>
      </c>
      <c r="F414" s="60" t="s">
        <v>455</v>
      </c>
      <c r="G414" s="60" t="s">
        <v>19</v>
      </c>
      <c r="H414" s="60" t="s">
        <v>20</v>
      </c>
      <c r="I414" s="60" t="str">
        <f t="shared" si="12"/>
        <v>B3-P1-C4</v>
      </c>
      <c r="J414" s="60" t="str">
        <f t="shared" si="13"/>
        <v>Fagus-B3-P1-C4-A3</v>
      </c>
      <c r="K414" s="60" t="s">
        <v>64</v>
      </c>
      <c r="L414" s="60" t="s">
        <v>44</v>
      </c>
      <c r="M414" s="60" t="s">
        <v>65</v>
      </c>
      <c r="N414" s="15">
        <v>413</v>
      </c>
      <c r="O414" s="60">
        <v>11.9</v>
      </c>
      <c r="P414" s="60">
        <v>66</v>
      </c>
      <c r="Q414" s="60">
        <v>11.9</v>
      </c>
      <c r="R414" s="60">
        <v>89</v>
      </c>
      <c r="S414" s="3">
        <v>12.44</v>
      </c>
      <c r="T414" s="3">
        <v>89</v>
      </c>
      <c r="U414" s="3">
        <v>12.72</v>
      </c>
      <c r="V414" s="3">
        <v>88</v>
      </c>
      <c r="W414" s="3">
        <v>12.69</v>
      </c>
      <c r="X414" s="3">
        <v>88</v>
      </c>
      <c r="Y414" s="3">
        <v>12.57</v>
      </c>
      <c r="Z414" s="3">
        <v>92</v>
      </c>
      <c r="AA414" s="3">
        <v>13.13</v>
      </c>
      <c r="AB414" s="3">
        <v>92</v>
      </c>
      <c r="AC414" s="3"/>
      <c r="AD414" s="3"/>
    </row>
    <row r="415" spans="1:30" x14ac:dyDescent="0.2">
      <c r="A415" s="60" t="s">
        <v>426</v>
      </c>
      <c r="B415" s="60" t="s">
        <v>15</v>
      </c>
      <c r="C415" s="60" t="s">
        <v>53</v>
      </c>
      <c r="D415" s="60" t="s">
        <v>24</v>
      </c>
      <c r="E415" s="60">
        <v>3</v>
      </c>
      <c r="F415" s="60" t="s">
        <v>456</v>
      </c>
      <c r="G415" s="60" t="s">
        <v>35</v>
      </c>
      <c r="H415" s="60" t="s">
        <v>20</v>
      </c>
      <c r="I415" s="60" t="str">
        <f t="shared" si="12"/>
        <v>B3-P1-C4</v>
      </c>
      <c r="J415" s="60" t="str">
        <f t="shared" si="13"/>
        <v>Quercus-B3-P1-C4-B3</v>
      </c>
      <c r="K415" s="60" t="s">
        <v>64</v>
      </c>
      <c r="L415" s="60" t="s">
        <v>44</v>
      </c>
      <c r="M415" s="60" t="s">
        <v>65</v>
      </c>
      <c r="N415" s="15">
        <v>414</v>
      </c>
      <c r="O415" s="60">
        <v>5.2</v>
      </c>
      <c r="P415" s="60">
        <v>45.5</v>
      </c>
      <c r="Q415" s="60">
        <v>5.73</v>
      </c>
      <c r="R415" s="60">
        <v>48</v>
      </c>
      <c r="S415" s="3">
        <v>5.88</v>
      </c>
      <c r="T415" s="3">
        <v>53</v>
      </c>
      <c r="U415" s="3">
        <v>6.16</v>
      </c>
      <c r="V415" s="3">
        <v>52</v>
      </c>
      <c r="W415" s="3">
        <v>6.29</v>
      </c>
      <c r="X415" s="3">
        <v>54.5</v>
      </c>
      <c r="Y415" s="3">
        <v>6.4</v>
      </c>
      <c r="Z415" s="3">
        <v>55</v>
      </c>
      <c r="AA415" s="3">
        <v>7.57</v>
      </c>
      <c r="AB415" s="3">
        <v>56</v>
      </c>
      <c r="AC415" s="3"/>
      <c r="AD415" s="3"/>
    </row>
    <row r="416" spans="1:30" x14ac:dyDescent="0.2">
      <c r="A416" s="60" t="s">
        <v>426</v>
      </c>
      <c r="B416" s="60" t="s">
        <v>15</v>
      </c>
      <c r="C416" s="60" t="s">
        <v>53</v>
      </c>
      <c r="D416" s="60" t="s">
        <v>17</v>
      </c>
      <c r="E416" s="60">
        <v>4</v>
      </c>
      <c r="F416" s="60" t="s">
        <v>457</v>
      </c>
      <c r="G416" s="60" t="s">
        <v>35</v>
      </c>
      <c r="H416" s="60" t="s">
        <v>20</v>
      </c>
      <c r="I416" s="60" t="str">
        <f t="shared" si="12"/>
        <v>B3-P1-C4</v>
      </c>
      <c r="J416" s="60" t="str">
        <f t="shared" si="13"/>
        <v>Quercus-B3-P1-C4-A4</v>
      </c>
      <c r="K416" s="60" t="s">
        <v>64</v>
      </c>
      <c r="L416" s="60" t="s">
        <v>44</v>
      </c>
      <c r="M416" s="60" t="s">
        <v>65</v>
      </c>
      <c r="N416" s="15">
        <v>415</v>
      </c>
      <c r="O416" s="60">
        <v>4.7</v>
      </c>
      <c r="P416" s="60">
        <v>32</v>
      </c>
      <c r="Q416" s="60">
        <v>5.2</v>
      </c>
      <c r="R416" s="60">
        <v>41</v>
      </c>
      <c r="S416" s="3">
        <v>11.43</v>
      </c>
      <c r="T416" s="3">
        <v>40.5</v>
      </c>
      <c r="U416" s="3">
        <v>11.85</v>
      </c>
      <c r="V416" s="3">
        <v>42</v>
      </c>
      <c r="W416" s="3">
        <v>6.06</v>
      </c>
      <c r="X416" s="3">
        <v>41.5</v>
      </c>
      <c r="Y416" s="3">
        <v>6.64</v>
      </c>
      <c r="Z416" s="3">
        <v>42</v>
      </c>
      <c r="AA416" s="3">
        <v>8.51</v>
      </c>
      <c r="AB416" s="3">
        <v>40</v>
      </c>
      <c r="AC416" s="3"/>
      <c r="AD416" s="3"/>
    </row>
    <row r="417" spans="1:30" x14ac:dyDescent="0.2">
      <c r="A417" s="60" t="s">
        <v>426</v>
      </c>
      <c r="B417" s="60" t="s">
        <v>15</v>
      </c>
      <c r="C417" s="60" t="s">
        <v>53</v>
      </c>
      <c r="D417" s="60" t="s">
        <v>24</v>
      </c>
      <c r="E417" s="60">
        <v>4</v>
      </c>
      <c r="F417" s="60" t="s">
        <v>458</v>
      </c>
      <c r="G417" s="60" t="s">
        <v>19</v>
      </c>
      <c r="H417" s="60" t="s">
        <v>20</v>
      </c>
      <c r="I417" s="60" t="str">
        <f t="shared" si="12"/>
        <v>B3-P1-C4</v>
      </c>
      <c r="J417" s="60" t="str">
        <f t="shared" si="13"/>
        <v>Fagus-B3-P1-C4-B4</v>
      </c>
      <c r="K417" s="60" t="s">
        <v>64</v>
      </c>
      <c r="L417" s="60" t="s">
        <v>44</v>
      </c>
      <c r="M417" s="60" t="s">
        <v>65</v>
      </c>
      <c r="N417" s="15">
        <v>416</v>
      </c>
      <c r="O417" s="60">
        <v>10.6</v>
      </c>
      <c r="P417" s="60">
        <v>70</v>
      </c>
      <c r="Q417" s="60">
        <v>10.6</v>
      </c>
      <c r="R417" s="60">
        <v>102</v>
      </c>
      <c r="S417" s="3">
        <v>11.47</v>
      </c>
      <c r="T417" s="3">
        <v>103</v>
      </c>
      <c r="U417" s="3">
        <v>11.48</v>
      </c>
      <c r="V417" s="3">
        <v>101</v>
      </c>
      <c r="W417" s="3">
        <v>11.66</v>
      </c>
      <c r="X417" s="3">
        <v>102</v>
      </c>
      <c r="Y417" s="3">
        <v>11.97</v>
      </c>
      <c r="Z417" s="3">
        <v>96</v>
      </c>
      <c r="AA417" s="3">
        <v>12.43</v>
      </c>
      <c r="AB417" s="3">
        <v>101</v>
      </c>
      <c r="AC417" s="3"/>
      <c r="AD417" s="3"/>
    </row>
    <row r="418" spans="1:30" s="38" customFormat="1" x14ac:dyDescent="0.2">
      <c r="A418" s="57" t="s">
        <v>426</v>
      </c>
      <c r="B418" s="57" t="s">
        <v>62</v>
      </c>
      <c r="C418" s="57" t="s">
        <v>16</v>
      </c>
      <c r="D418" s="57" t="s">
        <v>17</v>
      </c>
      <c r="E418" s="57">
        <v>1</v>
      </c>
      <c r="F418" s="57" t="s">
        <v>459</v>
      </c>
      <c r="G418" s="57" t="s">
        <v>19</v>
      </c>
      <c r="H418" s="57" t="s">
        <v>20</v>
      </c>
      <c r="I418" s="57" t="str">
        <f t="shared" si="12"/>
        <v>B3-P2-C1</v>
      </c>
      <c r="J418" s="57" t="str">
        <f t="shared" si="13"/>
        <v>Fagus-B3-P2-C1-A1</v>
      </c>
      <c r="K418" s="57" t="s">
        <v>21</v>
      </c>
      <c r="L418" s="57" t="s">
        <v>22</v>
      </c>
      <c r="M418" s="57" t="s">
        <v>23</v>
      </c>
      <c r="N418" s="37">
        <v>417</v>
      </c>
      <c r="O418" s="57">
        <v>10.1</v>
      </c>
      <c r="P418" s="57">
        <v>75</v>
      </c>
      <c r="Q418" s="57">
        <v>10.45</v>
      </c>
      <c r="R418" s="57">
        <v>87.5</v>
      </c>
      <c r="S418" s="57">
        <v>13.04</v>
      </c>
      <c r="T418" s="57">
        <v>87</v>
      </c>
      <c r="U418" s="57">
        <v>13.59</v>
      </c>
      <c r="V418" s="57">
        <v>90</v>
      </c>
      <c r="W418" s="57">
        <v>13.83</v>
      </c>
      <c r="X418" s="57">
        <v>91</v>
      </c>
      <c r="Y418" s="57">
        <v>13.77</v>
      </c>
      <c r="Z418" s="57">
        <v>88</v>
      </c>
      <c r="AA418" s="57">
        <v>13.88</v>
      </c>
      <c r="AB418" s="57">
        <v>90</v>
      </c>
      <c r="AC418" s="57"/>
      <c r="AD418" s="57"/>
    </row>
    <row r="419" spans="1:30" s="38" customFormat="1" x14ac:dyDescent="0.2">
      <c r="A419" s="57" t="s">
        <v>426</v>
      </c>
      <c r="B419" s="57" t="s">
        <v>62</v>
      </c>
      <c r="C419" s="57" t="s">
        <v>16</v>
      </c>
      <c r="D419" s="57" t="s">
        <v>24</v>
      </c>
      <c r="E419" s="57">
        <v>1</v>
      </c>
      <c r="F419" s="57" t="s">
        <v>460</v>
      </c>
      <c r="G419" s="57" t="s">
        <v>19</v>
      </c>
      <c r="H419" s="57" t="s">
        <v>20</v>
      </c>
      <c r="I419" s="57" t="str">
        <f t="shared" si="12"/>
        <v>B3-P2-C1</v>
      </c>
      <c r="J419" s="57" t="str">
        <f t="shared" si="13"/>
        <v>Fagus-B3-P2-C1-B1</v>
      </c>
      <c r="K419" s="57" t="s">
        <v>21</v>
      </c>
      <c r="L419" s="57" t="s">
        <v>22</v>
      </c>
      <c r="M419" s="57" t="s">
        <v>23</v>
      </c>
      <c r="N419" s="37">
        <v>418</v>
      </c>
      <c r="O419" s="57">
        <v>9.6999999999999993</v>
      </c>
      <c r="P419" s="57">
        <v>91.5</v>
      </c>
      <c r="Q419" s="57">
        <v>9.83</v>
      </c>
      <c r="R419" s="57">
        <v>95</v>
      </c>
      <c r="S419" s="57">
        <v>12.15</v>
      </c>
      <c r="T419" s="57">
        <v>96.5</v>
      </c>
      <c r="U419" s="57">
        <v>13.38</v>
      </c>
      <c r="V419" s="57">
        <v>97</v>
      </c>
      <c r="W419" s="57">
        <v>13.58</v>
      </c>
      <c r="X419" s="57">
        <v>97</v>
      </c>
      <c r="Y419" s="57">
        <v>13.67</v>
      </c>
      <c r="Z419" s="57">
        <v>95</v>
      </c>
      <c r="AA419" s="57">
        <v>14.24</v>
      </c>
      <c r="AB419" s="57">
        <v>98</v>
      </c>
      <c r="AC419" s="57"/>
      <c r="AD419" s="57"/>
    </row>
    <row r="420" spans="1:30" s="38" customFormat="1" x14ac:dyDescent="0.2">
      <c r="A420" s="57" t="s">
        <v>426</v>
      </c>
      <c r="B420" s="57" t="s">
        <v>62</v>
      </c>
      <c r="C420" s="57" t="s">
        <v>16</v>
      </c>
      <c r="D420" s="57" t="s">
        <v>17</v>
      </c>
      <c r="E420" s="57">
        <v>2</v>
      </c>
      <c r="F420" s="57" t="s">
        <v>461</v>
      </c>
      <c r="G420" s="57" t="s">
        <v>19</v>
      </c>
      <c r="H420" s="57" t="s">
        <v>20</v>
      </c>
      <c r="I420" s="57" t="str">
        <f t="shared" si="12"/>
        <v>B3-P2-C1</v>
      </c>
      <c r="J420" s="57" t="str">
        <f t="shared" si="13"/>
        <v>Fagus-B3-P2-C1-A2</v>
      </c>
      <c r="K420" s="57" t="s">
        <v>21</v>
      </c>
      <c r="L420" s="57" t="s">
        <v>22</v>
      </c>
      <c r="M420" s="57" t="s">
        <v>23</v>
      </c>
      <c r="N420" s="37">
        <v>419</v>
      </c>
      <c r="O420" s="57">
        <v>9</v>
      </c>
      <c r="P420" s="57">
        <v>69</v>
      </c>
      <c r="Q420" s="57">
        <v>9.0500000000000007</v>
      </c>
      <c r="R420" s="57">
        <v>71</v>
      </c>
      <c r="S420" s="57">
        <v>11.8</v>
      </c>
      <c r="T420" s="57">
        <v>68</v>
      </c>
      <c r="U420" s="57">
        <v>11.08</v>
      </c>
      <c r="V420" s="57">
        <v>69</v>
      </c>
      <c r="W420" s="57">
        <v>11.24</v>
      </c>
      <c r="X420" s="57">
        <v>70</v>
      </c>
      <c r="Y420" s="57">
        <v>11.43</v>
      </c>
      <c r="Z420" s="57">
        <v>71</v>
      </c>
      <c r="AA420" s="57">
        <v>11.49</v>
      </c>
      <c r="AB420" s="57">
        <v>71</v>
      </c>
      <c r="AC420" s="57"/>
      <c r="AD420" s="57"/>
    </row>
    <row r="421" spans="1:30" s="38" customFormat="1" x14ac:dyDescent="0.2">
      <c r="A421" s="57" t="s">
        <v>426</v>
      </c>
      <c r="B421" s="57" t="s">
        <v>62</v>
      </c>
      <c r="C421" s="57" t="s">
        <v>16</v>
      </c>
      <c r="D421" s="57" t="s">
        <v>24</v>
      </c>
      <c r="E421" s="57">
        <v>2</v>
      </c>
      <c r="F421" s="57" t="s">
        <v>462</v>
      </c>
      <c r="G421" s="57" t="s">
        <v>19</v>
      </c>
      <c r="H421" s="57" t="s">
        <v>20</v>
      </c>
      <c r="I421" s="57" t="str">
        <f t="shared" si="12"/>
        <v>B3-P2-C1</v>
      </c>
      <c r="J421" s="57" t="str">
        <f t="shared" si="13"/>
        <v>Fagus-B3-P2-C1-B2</v>
      </c>
      <c r="K421" s="57" t="s">
        <v>21</v>
      </c>
      <c r="L421" s="57" t="s">
        <v>22</v>
      </c>
      <c r="M421" s="57" t="s">
        <v>23</v>
      </c>
      <c r="N421" s="37">
        <v>420</v>
      </c>
      <c r="O421" s="57">
        <v>9.4</v>
      </c>
      <c r="P421" s="57">
        <v>59.5</v>
      </c>
      <c r="Q421" s="57">
        <v>9.6999999999999993</v>
      </c>
      <c r="R421" s="57">
        <v>74</v>
      </c>
      <c r="S421" s="57">
        <v>10.87</v>
      </c>
      <c r="T421" s="57">
        <v>73.5</v>
      </c>
      <c r="U421" s="57">
        <v>11.67</v>
      </c>
      <c r="V421" s="57">
        <v>67.5</v>
      </c>
      <c r="W421" s="57">
        <v>11.48</v>
      </c>
      <c r="X421" s="57">
        <v>79.5</v>
      </c>
      <c r="Y421" s="57">
        <v>11.48</v>
      </c>
      <c r="Z421" s="57">
        <v>78</v>
      </c>
      <c r="AA421" s="57">
        <v>11.99</v>
      </c>
      <c r="AB421" s="57">
        <v>80</v>
      </c>
      <c r="AC421" s="57"/>
      <c r="AD421" s="57"/>
    </row>
    <row r="422" spans="1:30" s="38" customFormat="1" x14ac:dyDescent="0.2">
      <c r="A422" s="57" t="s">
        <v>426</v>
      </c>
      <c r="B422" s="57" t="s">
        <v>62</v>
      </c>
      <c r="C422" s="57" t="s">
        <v>16</v>
      </c>
      <c r="D422" s="57" t="s">
        <v>17</v>
      </c>
      <c r="E422" s="57">
        <v>3</v>
      </c>
      <c r="F422" s="57" t="s">
        <v>463</v>
      </c>
      <c r="G422" s="57" t="s">
        <v>19</v>
      </c>
      <c r="H422" s="57" t="s">
        <v>20</v>
      </c>
      <c r="I422" s="57" t="str">
        <f t="shared" si="12"/>
        <v>B3-P2-C1</v>
      </c>
      <c r="J422" s="57" t="str">
        <f t="shared" si="13"/>
        <v>Fagus-B3-P2-C1-A3</v>
      </c>
      <c r="K422" s="57" t="s">
        <v>21</v>
      </c>
      <c r="L422" s="57" t="s">
        <v>22</v>
      </c>
      <c r="M422" s="57" t="s">
        <v>23</v>
      </c>
      <c r="N422" s="37">
        <v>421</v>
      </c>
      <c r="O422" s="57">
        <v>11.4</v>
      </c>
      <c r="P422" s="57">
        <v>96.5</v>
      </c>
      <c r="Q422" s="57">
        <v>11.4</v>
      </c>
      <c r="R422" s="57">
        <v>128.5</v>
      </c>
      <c r="S422" s="57">
        <v>12.88</v>
      </c>
      <c r="T422" s="57">
        <v>129</v>
      </c>
      <c r="U422" s="57">
        <v>13.13</v>
      </c>
      <c r="V422" s="57">
        <v>129</v>
      </c>
      <c r="W422" s="57">
        <v>13.95</v>
      </c>
      <c r="X422" s="57">
        <v>128.5</v>
      </c>
      <c r="Y422" s="57">
        <v>14.09</v>
      </c>
      <c r="Z422" s="57">
        <v>128</v>
      </c>
      <c r="AA422" s="57">
        <v>13.94</v>
      </c>
      <c r="AB422" s="57">
        <v>129</v>
      </c>
      <c r="AC422" s="57"/>
      <c r="AD422" s="57"/>
    </row>
    <row r="423" spans="1:30" s="38" customFormat="1" x14ac:dyDescent="0.2">
      <c r="A423" s="57" t="s">
        <v>426</v>
      </c>
      <c r="B423" s="57" t="s">
        <v>62</v>
      </c>
      <c r="C423" s="57" t="s">
        <v>16</v>
      </c>
      <c r="D423" s="57" t="s">
        <v>24</v>
      </c>
      <c r="E423" s="57">
        <v>3</v>
      </c>
      <c r="F423" s="57" t="s">
        <v>464</v>
      </c>
      <c r="G423" s="57" t="s">
        <v>19</v>
      </c>
      <c r="H423" s="57" t="s">
        <v>20</v>
      </c>
      <c r="I423" s="57" t="str">
        <f t="shared" si="12"/>
        <v>B3-P2-C1</v>
      </c>
      <c r="J423" s="57" t="str">
        <f t="shared" si="13"/>
        <v>Fagus-B3-P2-C1-B3</v>
      </c>
      <c r="K423" s="57" t="s">
        <v>21</v>
      </c>
      <c r="L423" s="57" t="s">
        <v>22</v>
      </c>
      <c r="M423" s="57" t="s">
        <v>23</v>
      </c>
      <c r="N423" s="37">
        <v>422</v>
      </c>
      <c r="O423" s="57">
        <v>10.6</v>
      </c>
      <c r="P423" s="57">
        <v>88</v>
      </c>
      <c r="Q423" s="57">
        <v>11.3</v>
      </c>
      <c r="R423" s="57">
        <v>98</v>
      </c>
      <c r="S423" s="57">
        <v>11.94</v>
      </c>
      <c r="T423" s="57">
        <v>95</v>
      </c>
      <c r="U423" s="57">
        <v>12.45</v>
      </c>
      <c r="V423" s="57">
        <v>96</v>
      </c>
      <c r="W423" s="57">
        <v>12.87</v>
      </c>
      <c r="X423" s="57">
        <v>95</v>
      </c>
      <c r="Y423" s="57">
        <v>13.32</v>
      </c>
      <c r="Z423" s="57">
        <v>95</v>
      </c>
      <c r="AA423" s="57">
        <v>13.25</v>
      </c>
      <c r="AB423" s="57">
        <v>97</v>
      </c>
      <c r="AC423" s="57"/>
      <c r="AD423" s="57"/>
    </row>
    <row r="424" spans="1:30" s="38" customFormat="1" x14ac:dyDescent="0.2">
      <c r="A424" s="57" t="s">
        <v>426</v>
      </c>
      <c r="B424" s="57" t="s">
        <v>62</v>
      </c>
      <c r="C424" s="57" t="s">
        <v>16</v>
      </c>
      <c r="D424" s="57" t="s">
        <v>17</v>
      </c>
      <c r="E424" s="57">
        <v>4</v>
      </c>
      <c r="F424" s="57" t="s">
        <v>465</v>
      </c>
      <c r="G424" s="57" t="s">
        <v>19</v>
      </c>
      <c r="H424" s="57" t="s">
        <v>20</v>
      </c>
      <c r="I424" s="57" t="str">
        <f t="shared" si="12"/>
        <v>B3-P2-C1</v>
      </c>
      <c r="J424" s="57" t="str">
        <f t="shared" si="13"/>
        <v>Fagus-B3-P2-C1-A4</v>
      </c>
      <c r="K424" s="57" t="s">
        <v>21</v>
      </c>
      <c r="L424" s="57" t="s">
        <v>22</v>
      </c>
      <c r="M424" s="57" t="s">
        <v>23</v>
      </c>
      <c r="N424" s="37">
        <v>423</v>
      </c>
      <c r="O424" s="57">
        <v>9.1</v>
      </c>
      <c r="P424" s="57">
        <v>65</v>
      </c>
      <c r="Q424" s="57">
        <v>9.1199999999999992</v>
      </c>
      <c r="R424" s="57">
        <v>73</v>
      </c>
      <c r="S424" s="57">
        <v>10.83</v>
      </c>
      <c r="T424" s="57">
        <v>70</v>
      </c>
      <c r="U424" s="57">
        <v>10.92</v>
      </c>
      <c r="V424" s="57">
        <v>70</v>
      </c>
      <c r="W424" s="57">
        <v>10.87</v>
      </c>
      <c r="X424" s="57">
        <v>70</v>
      </c>
      <c r="Y424" s="57">
        <v>10.8</v>
      </c>
      <c r="Z424" s="57">
        <v>70</v>
      </c>
      <c r="AA424" s="57">
        <v>11.85</v>
      </c>
      <c r="AB424" s="57">
        <v>70</v>
      </c>
      <c r="AC424" s="57"/>
      <c r="AD424" s="57"/>
    </row>
    <row r="425" spans="1:30" s="38" customFormat="1" x14ac:dyDescent="0.2">
      <c r="A425" s="57" t="s">
        <v>426</v>
      </c>
      <c r="B425" s="57" t="s">
        <v>62</v>
      </c>
      <c r="C425" s="57" t="s">
        <v>16</v>
      </c>
      <c r="D425" s="57" t="s">
        <v>24</v>
      </c>
      <c r="E425" s="57">
        <v>4</v>
      </c>
      <c r="F425" s="57" t="s">
        <v>466</v>
      </c>
      <c r="G425" s="57" t="s">
        <v>19</v>
      </c>
      <c r="H425" s="57" t="s">
        <v>20</v>
      </c>
      <c r="I425" s="57" t="str">
        <f t="shared" si="12"/>
        <v>B3-P2-C1</v>
      </c>
      <c r="J425" s="57" t="str">
        <f t="shared" si="13"/>
        <v>Fagus-B3-P2-C1-B4</v>
      </c>
      <c r="K425" s="57" t="s">
        <v>21</v>
      </c>
      <c r="L425" s="57" t="s">
        <v>22</v>
      </c>
      <c r="M425" s="57" t="s">
        <v>23</v>
      </c>
      <c r="N425" s="37">
        <v>424</v>
      </c>
      <c r="O425" s="57">
        <v>9.1999999999999993</v>
      </c>
      <c r="P425" s="57">
        <v>69.5</v>
      </c>
      <c r="Q425" s="57">
        <v>9.52</v>
      </c>
      <c r="R425" s="57">
        <v>90</v>
      </c>
      <c r="S425" s="57">
        <v>10.18</v>
      </c>
      <c r="T425" s="57">
        <v>90</v>
      </c>
      <c r="U425" s="57">
        <v>10.91</v>
      </c>
      <c r="V425" s="57">
        <v>88</v>
      </c>
      <c r="W425" s="57">
        <v>10.84</v>
      </c>
      <c r="X425" s="57">
        <v>89</v>
      </c>
      <c r="Y425" s="57">
        <v>11.25</v>
      </c>
      <c r="Z425" s="57">
        <v>88</v>
      </c>
      <c r="AA425" s="57">
        <v>11.57</v>
      </c>
      <c r="AB425" s="57">
        <v>88</v>
      </c>
      <c r="AC425" s="57"/>
      <c r="AD425" s="57"/>
    </row>
    <row r="426" spans="1:30" x14ac:dyDescent="0.2">
      <c r="A426" s="60" t="s">
        <v>426</v>
      </c>
      <c r="B426" s="60" t="s">
        <v>62</v>
      </c>
      <c r="C426" s="60" t="s">
        <v>32</v>
      </c>
      <c r="D426" s="60" t="s">
        <v>17</v>
      </c>
      <c r="E426" s="60">
        <v>1</v>
      </c>
      <c r="F426" s="60" t="s">
        <v>467</v>
      </c>
      <c r="G426" s="60" t="s">
        <v>19</v>
      </c>
      <c r="H426" s="60" t="s">
        <v>20</v>
      </c>
      <c r="I426" s="60" t="str">
        <f t="shared" si="12"/>
        <v>B3-P2-C2</v>
      </c>
      <c r="J426" s="60" t="str">
        <f t="shared" si="13"/>
        <v>Fagus-B3-P2-C2-A1</v>
      </c>
      <c r="K426" s="60" t="s">
        <v>21</v>
      </c>
      <c r="L426" s="60" t="s">
        <v>44</v>
      </c>
      <c r="M426" s="60" t="s">
        <v>45</v>
      </c>
      <c r="N426" s="15">
        <v>425</v>
      </c>
      <c r="O426" s="60">
        <v>8.8000000000000007</v>
      </c>
      <c r="P426" s="60">
        <v>82</v>
      </c>
      <c r="Q426" s="60">
        <v>8.8699999999999992</v>
      </c>
      <c r="R426" s="60">
        <v>82</v>
      </c>
      <c r="S426" s="3">
        <v>10.11</v>
      </c>
      <c r="T426" s="3">
        <v>87</v>
      </c>
      <c r="U426" s="3">
        <v>10.47</v>
      </c>
      <c r="V426" s="3">
        <v>87</v>
      </c>
      <c r="W426" s="3">
        <v>10.71</v>
      </c>
      <c r="X426" s="3">
        <v>85</v>
      </c>
      <c r="Y426" s="3">
        <v>9.94</v>
      </c>
      <c r="Z426" s="3">
        <v>86</v>
      </c>
      <c r="AA426" s="3">
        <v>10.4</v>
      </c>
      <c r="AB426" s="3">
        <v>83</v>
      </c>
      <c r="AC426" s="3"/>
      <c r="AD426" s="3"/>
    </row>
    <row r="427" spans="1:30" x14ac:dyDescent="0.2">
      <c r="A427" s="60" t="s">
        <v>426</v>
      </c>
      <c r="B427" s="60" t="s">
        <v>62</v>
      </c>
      <c r="C427" s="60" t="s">
        <v>32</v>
      </c>
      <c r="D427" s="60" t="s">
        <v>24</v>
      </c>
      <c r="E427" s="60">
        <v>1</v>
      </c>
      <c r="F427" s="60" t="s">
        <v>468</v>
      </c>
      <c r="G427" s="60" t="s">
        <v>35</v>
      </c>
      <c r="H427" s="60" t="s">
        <v>20</v>
      </c>
      <c r="I427" s="60" t="str">
        <f t="shared" si="12"/>
        <v>B3-P2-C2</v>
      </c>
      <c r="J427" s="60" t="str">
        <f t="shared" si="13"/>
        <v>Quercus-B3-P2-C2-B1</v>
      </c>
      <c r="K427" s="60" t="s">
        <v>21</v>
      </c>
      <c r="L427" s="60" t="s">
        <v>44</v>
      </c>
      <c r="M427" s="60" t="s">
        <v>45</v>
      </c>
      <c r="N427" s="15">
        <v>426</v>
      </c>
      <c r="O427" s="60">
        <v>5.4</v>
      </c>
      <c r="P427" s="60">
        <v>36</v>
      </c>
      <c r="Q427" s="60">
        <v>5.66</v>
      </c>
      <c r="R427" s="60">
        <v>37</v>
      </c>
      <c r="S427" s="3">
        <v>6.12</v>
      </c>
      <c r="T427" s="3">
        <v>37</v>
      </c>
      <c r="U427" s="3">
        <v>6.35</v>
      </c>
      <c r="V427" s="3">
        <v>38.5</v>
      </c>
      <c r="W427" s="3">
        <v>6.3</v>
      </c>
      <c r="X427" s="3">
        <v>38</v>
      </c>
      <c r="Y427" s="3">
        <v>6.64</v>
      </c>
      <c r="Z427" s="3">
        <v>40</v>
      </c>
      <c r="AA427" s="3">
        <v>8.48</v>
      </c>
      <c r="AB427" s="3">
        <v>46</v>
      </c>
      <c r="AC427" s="3"/>
      <c r="AD427" s="3"/>
    </row>
    <row r="428" spans="1:30" x14ac:dyDescent="0.2">
      <c r="A428" s="60" t="s">
        <v>426</v>
      </c>
      <c r="B428" s="60" t="s">
        <v>62</v>
      </c>
      <c r="C428" s="60" t="s">
        <v>32</v>
      </c>
      <c r="D428" s="60" t="s">
        <v>17</v>
      </c>
      <c r="E428" s="60">
        <v>2</v>
      </c>
      <c r="F428" s="60" t="s">
        <v>469</v>
      </c>
      <c r="G428" s="60" t="s">
        <v>35</v>
      </c>
      <c r="H428" s="60" t="s">
        <v>20</v>
      </c>
      <c r="I428" s="60" t="str">
        <f t="shared" si="12"/>
        <v>B3-P2-C2</v>
      </c>
      <c r="J428" s="60" t="str">
        <f t="shared" si="13"/>
        <v>Quercus-B3-P2-C2-A2</v>
      </c>
      <c r="K428" s="60" t="s">
        <v>21</v>
      </c>
      <c r="L428" s="60" t="s">
        <v>44</v>
      </c>
      <c r="M428" s="60" t="s">
        <v>45</v>
      </c>
      <c r="N428" s="15">
        <v>427</v>
      </c>
      <c r="O428" s="60">
        <v>6.8</v>
      </c>
      <c r="P428" s="60">
        <v>51.5</v>
      </c>
      <c r="Q428" s="60">
        <v>7.7</v>
      </c>
      <c r="R428" s="60">
        <v>54</v>
      </c>
      <c r="S428" s="3">
        <v>8.11</v>
      </c>
      <c r="T428" s="3">
        <v>65.5</v>
      </c>
      <c r="U428" s="3">
        <v>8.5</v>
      </c>
      <c r="V428" s="3">
        <v>65</v>
      </c>
      <c r="W428" s="3">
        <v>8.57</v>
      </c>
      <c r="X428" s="3">
        <v>66</v>
      </c>
      <c r="Y428" s="3">
        <v>9.58</v>
      </c>
      <c r="Z428" s="3">
        <v>77</v>
      </c>
      <c r="AA428" s="3">
        <v>10.83</v>
      </c>
      <c r="AB428" s="3">
        <v>79</v>
      </c>
      <c r="AC428" s="3"/>
      <c r="AD428" s="3"/>
    </row>
    <row r="429" spans="1:30" x14ac:dyDescent="0.2">
      <c r="A429" s="60" t="s">
        <v>426</v>
      </c>
      <c r="B429" s="60" t="s">
        <v>62</v>
      </c>
      <c r="C429" s="60" t="s">
        <v>32</v>
      </c>
      <c r="D429" s="60" t="s">
        <v>24</v>
      </c>
      <c r="E429" s="60">
        <v>2</v>
      </c>
      <c r="F429" s="60" t="s">
        <v>470</v>
      </c>
      <c r="G429" s="60" t="s">
        <v>19</v>
      </c>
      <c r="H429" s="60" t="s">
        <v>20</v>
      </c>
      <c r="I429" s="60" t="str">
        <f t="shared" si="12"/>
        <v>B3-P2-C2</v>
      </c>
      <c r="J429" s="60" t="str">
        <f t="shared" si="13"/>
        <v>Fagus-B3-P2-C2-B2</v>
      </c>
      <c r="K429" s="60" t="s">
        <v>21</v>
      </c>
      <c r="L429" s="60" t="s">
        <v>44</v>
      </c>
      <c r="M429" s="60" t="s">
        <v>45</v>
      </c>
      <c r="N429" s="15">
        <v>428</v>
      </c>
      <c r="O429" s="60">
        <v>8.8000000000000007</v>
      </c>
      <c r="P429" s="60">
        <v>79.5</v>
      </c>
      <c r="Q429" s="60">
        <v>9.15</v>
      </c>
      <c r="R429" s="60">
        <v>81</v>
      </c>
      <c r="S429" s="3">
        <v>9.7200000000000006</v>
      </c>
      <c r="T429" s="3">
        <v>79.5</v>
      </c>
      <c r="U429" s="3">
        <v>9.85</v>
      </c>
      <c r="V429" s="3">
        <v>80</v>
      </c>
      <c r="W429" s="3">
        <v>10.029999999999999</v>
      </c>
      <c r="X429" s="3">
        <v>80</v>
      </c>
      <c r="Y429" s="3">
        <v>9.9499999999999993</v>
      </c>
      <c r="Z429" s="3">
        <v>81</v>
      </c>
      <c r="AA429" s="3">
        <v>10.73</v>
      </c>
      <c r="AB429" s="3">
        <v>81</v>
      </c>
      <c r="AC429" s="3"/>
      <c r="AD429" s="3"/>
    </row>
    <row r="430" spans="1:30" x14ac:dyDescent="0.2">
      <c r="A430" s="60" t="s">
        <v>426</v>
      </c>
      <c r="B430" s="60" t="s">
        <v>62</v>
      </c>
      <c r="C430" s="60" t="s">
        <v>32</v>
      </c>
      <c r="D430" s="60" t="s">
        <v>17</v>
      </c>
      <c r="E430" s="60">
        <v>3</v>
      </c>
      <c r="F430" s="60" t="s">
        <v>471</v>
      </c>
      <c r="G430" s="60" t="s">
        <v>19</v>
      </c>
      <c r="H430" s="60" t="s">
        <v>20</v>
      </c>
      <c r="I430" s="60" t="str">
        <f t="shared" si="12"/>
        <v>B3-P2-C2</v>
      </c>
      <c r="J430" s="60" t="str">
        <f t="shared" si="13"/>
        <v>Fagus-B3-P2-C2-A3</v>
      </c>
      <c r="K430" s="60" t="s">
        <v>21</v>
      </c>
      <c r="L430" s="60" t="s">
        <v>44</v>
      </c>
      <c r="M430" s="60" t="s">
        <v>45</v>
      </c>
      <c r="N430" s="15">
        <v>429</v>
      </c>
      <c r="O430" s="60">
        <v>9.4</v>
      </c>
      <c r="P430" s="60">
        <v>79.5</v>
      </c>
      <c r="Q430" s="60">
        <v>9.6999999999999993</v>
      </c>
      <c r="R430" s="60">
        <v>80.5</v>
      </c>
      <c r="S430" s="3">
        <v>10.17</v>
      </c>
      <c r="T430" s="3">
        <v>80</v>
      </c>
      <c r="U430" s="3">
        <v>10.49</v>
      </c>
      <c r="V430" s="3">
        <v>80</v>
      </c>
      <c r="W430" s="3">
        <v>10.61</v>
      </c>
      <c r="X430" s="3">
        <v>79</v>
      </c>
      <c r="Y430" s="3">
        <v>10.69</v>
      </c>
      <c r="Z430" s="3">
        <v>78</v>
      </c>
      <c r="AA430" s="3">
        <v>10.91</v>
      </c>
      <c r="AB430" s="3">
        <v>80</v>
      </c>
      <c r="AC430" s="3"/>
      <c r="AD430" s="3"/>
    </row>
    <row r="431" spans="1:30" x14ac:dyDescent="0.2">
      <c r="A431" s="60" t="s">
        <v>426</v>
      </c>
      <c r="B431" s="60" t="s">
        <v>62</v>
      </c>
      <c r="C431" s="60" t="s">
        <v>32</v>
      </c>
      <c r="D431" s="60" t="s">
        <v>24</v>
      </c>
      <c r="E431" s="60">
        <v>3</v>
      </c>
      <c r="F431" s="60" t="s">
        <v>472</v>
      </c>
      <c r="G431" s="60" t="s">
        <v>35</v>
      </c>
      <c r="H431" s="60" t="s">
        <v>20</v>
      </c>
      <c r="I431" s="60" t="str">
        <f t="shared" si="12"/>
        <v>B3-P2-C2</v>
      </c>
      <c r="J431" s="60" t="str">
        <f t="shared" si="13"/>
        <v>Quercus-B3-P2-C2-B3</v>
      </c>
      <c r="K431" s="60" t="s">
        <v>21</v>
      </c>
      <c r="L431" s="60" t="s">
        <v>44</v>
      </c>
      <c r="M431" s="60" t="s">
        <v>45</v>
      </c>
      <c r="N431" s="15">
        <v>430</v>
      </c>
      <c r="O431" s="60">
        <v>6</v>
      </c>
      <c r="P431" s="60">
        <v>42</v>
      </c>
      <c r="Q431" s="60">
        <v>6.05</v>
      </c>
      <c r="R431" s="60">
        <v>39</v>
      </c>
      <c r="S431" s="3">
        <v>6.4</v>
      </c>
      <c r="T431" s="3">
        <v>45.5</v>
      </c>
      <c r="U431" s="3">
        <v>6.82</v>
      </c>
      <c r="V431" s="3">
        <v>47</v>
      </c>
      <c r="W431" s="3">
        <v>6.32</v>
      </c>
      <c r="X431" s="3">
        <v>42</v>
      </c>
      <c r="Y431" s="3">
        <v>7.81</v>
      </c>
      <c r="Z431" s="3">
        <v>44</v>
      </c>
      <c r="AA431" s="3">
        <v>7.21</v>
      </c>
      <c r="AB431" s="3">
        <v>42</v>
      </c>
      <c r="AC431" s="3"/>
      <c r="AD431" s="3"/>
    </row>
    <row r="432" spans="1:30" x14ac:dyDescent="0.2">
      <c r="A432" s="60" t="s">
        <v>426</v>
      </c>
      <c r="B432" s="60" t="s">
        <v>62</v>
      </c>
      <c r="C432" s="60" t="s">
        <v>32</v>
      </c>
      <c r="D432" s="60" t="s">
        <v>17</v>
      </c>
      <c r="E432" s="60">
        <v>4</v>
      </c>
      <c r="F432" s="60" t="s">
        <v>473</v>
      </c>
      <c r="G432" s="60" t="s">
        <v>35</v>
      </c>
      <c r="H432" s="60" t="s">
        <v>20</v>
      </c>
      <c r="I432" s="60" t="str">
        <f t="shared" si="12"/>
        <v>B3-P2-C2</v>
      </c>
      <c r="J432" s="60" t="str">
        <f t="shared" si="13"/>
        <v>Quercus-B3-P2-C2-A4</v>
      </c>
      <c r="K432" s="60" t="s">
        <v>21</v>
      </c>
      <c r="L432" s="60" t="s">
        <v>44</v>
      </c>
      <c r="M432" s="60" t="s">
        <v>45</v>
      </c>
      <c r="N432" s="15">
        <v>431</v>
      </c>
      <c r="O432" s="60">
        <v>5.5</v>
      </c>
      <c r="P432" s="60">
        <v>43.5</v>
      </c>
      <c r="Q432" s="60">
        <v>6.47</v>
      </c>
      <c r="R432" s="60">
        <v>50</v>
      </c>
      <c r="S432" s="3">
        <v>7.04</v>
      </c>
      <c r="T432" s="3">
        <v>55</v>
      </c>
      <c r="U432" s="3">
        <v>7.3</v>
      </c>
      <c r="V432" s="3">
        <v>56</v>
      </c>
      <c r="W432" s="3">
        <v>7.79</v>
      </c>
      <c r="X432" s="3">
        <v>55</v>
      </c>
      <c r="Y432" s="3">
        <v>8.3000000000000007</v>
      </c>
      <c r="Z432" s="3">
        <v>57</v>
      </c>
      <c r="AA432" s="3">
        <v>10.19</v>
      </c>
      <c r="AB432" s="3">
        <v>72</v>
      </c>
      <c r="AC432" s="3"/>
      <c r="AD432" s="3"/>
    </row>
    <row r="433" spans="1:30" x14ac:dyDescent="0.2">
      <c r="A433" s="60" t="s">
        <v>426</v>
      </c>
      <c r="B433" s="60" t="s">
        <v>62</v>
      </c>
      <c r="C433" s="60" t="s">
        <v>32</v>
      </c>
      <c r="D433" s="60" t="s">
        <v>24</v>
      </c>
      <c r="E433" s="60">
        <v>4</v>
      </c>
      <c r="F433" s="60" t="s">
        <v>474</v>
      </c>
      <c r="G433" s="60" t="s">
        <v>19</v>
      </c>
      <c r="H433" s="60" t="s">
        <v>20</v>
      </c>
      <c r="I433" s="60" t="str">
        <f t="shared" si="12"/>
        <v>B3-P2-C2</v>
      </c>
      <c r="J433" s="60" t="str">
        <f t="shared" si="13"/>
        <v>Fagus-B3-P2-C2-B4</v>
      </c>
      <c r="K433" s="60" t="s">
        <v>21</v>
      </c>
      <c r="L433" s="60" t="s">
        <v>44</v>
      </c>
      <c r="M433" s="60" t="s">
        <v>45</v>
      </c>
      <c r="N433" s="15">
        <v>432</v>
      </c>
      <c r="O433" s="60">
        <v>9.4</v>
      </c>
      <c r="P433" s="60">
        <v>79.5</v>
      </c>
      <c r="Q433" s="60">
        <v>9.4499999999999993</v>
      </c>
      <c r="R433" s="60">
        <v>90</v>
      </c>
      <c r="S433" s="3">
        <v>10.45</v>
      </c>
      <c r="T433" s="3">
        <v>92</v>
      </c>
      <c r="U433" s="3">
        <v>10.73</v>
      </c>
      <c r="V433" s="3">
        <v>94</v>
      </c>
      <c r="W433" s="3">
        <v>10.8</v>
      </c>
      <c r="X433" s="3">
        <v>92</v>
      </c>
      <c r="Y433" s="3">
        <v>10.87</v>
      </c>
      <c r="Z433" s="3">
        <v>95</v>
      </c>
      <c r="AA433" s="3">
        <v>11.11</v>
      </c>
      <c r="AB433" s="3">
        <v>94</v>
      </c>
      <c r="AC433" s="3"/>
      <c r="AD433" s="3"/>
    </row>
    <row r="434" spans="1:30" s="38" customFormat="1" x14ac:dyDescent="0.2">
      <c r="A434" s="57" t="s">
        <v>426</v>
      </c>
      <c r="B434" s="57" t="s">
        <v>62</v>
      </c>
      <c r="C434" s="57" t="s">
        <v>42</v>
      </c>
      <c r="D434" s="57" t="s">
        <v>17</v>
      </c>
      <c r="E434" s="57">
        <v>1</v>
      </c>
      <c r="F434" s="57" t="s">
        <v>475</v>
      </c>
      <c r="G434" s="57" t="s">
        <v>19</v>
      </c>
      <c r="H434" s="57" t="s">
        <v>20</v>
      </c>
      <c r="I434" s="57" t="str">
        <f t="shared" si="12"/>
        <v>B3-P2-C3</v>
      </c>
      <c r="J434" s="57" t="str">
        <f t="shared" si="13"/>
        <v>Fagus-B3-P2-C3-A1</v>
      </c>
      <c r="K434" s="57" t="s">
        <v>21</v>
      </c>
      <c r="L434" s="57" t="s">
        <v>22</v>
      </c>
      <c r="M434" s="57" t="s">
        <v>23</v>
      </c>
      <c r="N434" s="37">
        <v>433</v>
      </c>
      <c r="O434" s="57">
        <v>9</v>
      </c>
      <c r="P434" s="57">
        <v>66</v>
      </c>
      <c r="Q434" s="57">
        <v>9</v>
      </c>
      <c r="R434" s="57">
        <v>85.5</v>
      </c>
      <c r="S434" s="57">
        <v>10.46</v>
      </c>
      <c r="T434" s="57">
        <v>92</v>
      </c>
      <c r="U434" s="57">
        <v>12.17</v>
      </c>
      <c r="V434" s="57">
        <v>103</v>
      </c>
      <c r="W434" s="57">
        <v>13.06</v>
      </c>
      <c r="X434" s="57">
        <v>109</v>
      </c>
      <c r="Y434" s="57">
        <v>13.35</v>
      </c>
      <c r="Z434" s="57">
        <v>106</v>
      </c>
      <c r="AA434" s="57">
        <v>13.31</v>
      </c>
      <c r="AB434" s="57">
        <v>109</v>
      </c>
      <c r="AC434" s="57"/>
      <c r="AD434" s="57"/>
    </row>
    <row r="435" spans="1:30" s="38" customFormat="1" x14ac:dyDescent="0.2">
      <c r="A435" s="57" t="s">
        <v>426</v>
      </c>
      <c r="B435" s="57" t="s">
        <v>62</v>
      </c>
      <c r="C435" s="57" t="s">
        <v>42</v>
      </c>
      <c r="D435" s="57" t="s">
        <v>24</v>
      </c>
      <c r="E435" s="57">
        <v>1</v>
      </c>
      <c r="F435" s="57" t="s">
        <v>476</v>
      </c>
      <c r="G435" s="57" t="s">
        <v>35</v>
      </c>
      <c r="H435" s="57" t="s">
        <v>20</v>
      </c>
      <c r="I435" s="57" t="str">
        <f t="shared" si="12"/>
        <v>B3-P2-C3</v>
      </c>
      <c r="J435" s="57" t="str">
        <f t="shared" si="13"/>
        <v>Quercus-B3-P2-C3-B1</v>
      </c>
      <c r="K435" s="57" t="s">
        <v>21</v>
      </c>
      <c r="L435" s="57" t="s">
        <v>22</v>
      </c>
      <c r="M435" s="57" t="s">
        <v>23</v>
      </c>
      <c r="N435" s="37">
        <v>434</v>
      </c>
      <c r="O435" s="57">
        <v>4.5</v>
      </c>
      <c r="P435" s="57">
        <v>38.5</v>
      </c>
      <c r="Q435" s="57">
        <v>5.13</v>
      </c>
      <c r="R435" s="57">
        <v>45</v>
      </c>
      <c r="S435" s="57">
        <v>5.57</v>
      </c>
      <c r="T435" s="57">
        <v>49</v>
      </c>
      <c r="U435" s="57">
        <v>6.6</v>
      </c>
      <c r="V435" s="57">
        <v>52</v>
      </c>
      <c r="W435" s="57">
        <v>7.52</v>
      </c>
      <c r="X435" s="57">
        <v>52.5</v>
      </c>
      <c r="Y435" s="57">
        <v>7.76</v>
      </c>
      <c r="Z435" s="57">
        <v>53</v>
      </c>
      <c r="AA435" s="57">
        <v>9.01</v>
      </c>
      <c r="AB435" s="57">
        <v>53</v>
      </c>
      <c r="AC435" s="57"/>
      <c r="AD435" s="57"/>
    </row>
    <row r="436" spans="1:30" s="38" customFormat="1" x14ac:dyDescent="0.2">
      <c r="A436" s="57" t="s">
        <v>426</v>
      </c>
      <c r="B436" s="57" t="s">
        <v>62</v>
      </c>
      <c r="C436" s="57" t="s">
        <v>42</v>
      </c>
      <c r="D436" s="57" t="s">
        <v>17</v>
      </c>
      <c r="E436" s="57">
        <v>2</v>
      </c>
      <c r="F436" s="57" t="s">
        <v>477</v>
      </c>
      <c r="G436" s="57" t="s">
        <v>35</v>
      </c>
      <c r="H436" s="57" t="s">
        <v>20</v>
      </c>
      <c r="I436" s="57" t="str">
        <f t="shared" si="12"/>
        <v>B3-P2-C3</v>
      </c>
      <c r="J436" s="57" t="str">
        <f t="shared" si="13"/>
        <v>Quercus-B3-P2-C3-A2</v>
      </c>
      <c r="K436" s="57" t="s">
        <v>21</v>
      </c>
      <c r="L436" s="57" t="s">
        <v>22</v>
      </c>
      <c r="M436" s="57" t="s">
        <v>23</v>
      </c>
      <c r="N436" s="37">
        <v>435</v>
      </c>
      <c r="O436" s="57">
        <v>4.0999999999999996</v>
      </c>
      <c r="P436" s="57">
        <v>41</v>
      </c>
      <c r="Q436" s="57">
        <v>4.78</v>
      </c>
      <c r="R436" s="57">
        <v>42</v>
      </c>
      <c r="S436" s="57">
        <v>5.37</v>
      </c>
      <c r="T436" s="57">
        <v>55</v>
      </c>
      <c r="U436" s="57">
        <v>5.79</v>
      </c>
      <c r="V436" s="57">
        <v>63.5</v>
      </c>
      <c r="W436" s="57">
        <v>6.27</v>
      </c>
      <c r="X436" s="57">
        <v>68</v>
      </c>
      <c r="Y436" s="57">
        <v>7.09</v>
      </c>
      <c r="Z436" s="57">
        <v>67</v>
      </c>
      <c r="AA436" s="57">
        <v>7.89</v>
      </c>
      <c r="AB436" s="57">
        <v>67</v>
      </c>
      <c r="AC436" s="57"/>
      <c r="AD436" s="57"/>
    </row>
    <row r="437" spans="1:30" s="38" customFormat="1" x14ac:dyDescent="0.2">
      <c r="A437" s="57" t="s">
        <v>426</v>
      </c>
      <c r="B437" s="57" t="s">
        <v>62</v>
      </c>
      <c r="C437" s="57" t="s">
        <v>42</v>
      </c>
      <c r="D437" s="57" t="s">
        <v>24</v>
      </c>
      <c r="E437" s="57">
        <v>2</v>
      </c>
      <c r="F437" s="57" t="s">
        <v>478</v>
      </c>
      <c r="G437" s="57" t="s">
        <v>19</v>
      </c>
      <c r="H437" s="57" t="s">
        <v>20</v>
      </c>
      <c r="I437" s="57" t="str">
        <f t="shared" si="12"/>
        <v>B3-P2-C3</v>
      </c>
      <c r="J437" s="57" t="str">
        <f t="shared" si="13"/>
        <v>Fagus-B3-P2-C3-B2</v>
      </c>
      <c r="K437" s="57" t="s">
        <v>21</v>
      </c>
      <c r="L437" s="57" t="s">
        <v>22</v>
      </c>
      <c r="M437" s="57" t="s">
        <v>23</v>
      </c>
      <c r="N437" s="37">
        <v>436</v>
      </c>
      <c r="O437" s="57">
        <v>11.6</v>
      </c>
      <c r="P437" s="57">
        <v>77</v>
      </c>
      <c r="Q437" s="57">
        <v>11.69</v>
      </c>
      <c r="R437" s="57">
        <v>95</v>
      </c>
      <c r="S437" s="57">
        <v>12.46</v>
      </c>
      <c r="T437" s="57">
        <v>101</v>
      </c>
      <c r="U437" s="57">
        <v>13.26</v>
      </c>
      <c r="V437" s="57">
        <v>99</v>
      </c>
      <c r="W437" s="57">
        <v>14.56</v>
      </c>
      <c r="X437" s="57">
        <v>99</v>
      </c>
      <c r="Y437" s="57">
        <v>14.64</v>
      </c>
      <c r="Z437" s="57">
        <v>97</v>
      </c>
      <c r="AA437" s="57">
        <v>14.83</v>
      </c>
      <c r="AB437" s="57">
        <v>99</v>
      </c>
      <c r="AC437" s="57"/>
      <c r="AD437" s="57"/>
    </row>
    <row r="438" spans="1:30" s="38" customFormat="1" x14ac:dyDescent="0.2">
      <c r="A438" s="57" t="s">
        <v>426</v>
      </c>
      <c r="B438" s="57" t="s">
        <v>62</v>
      </c>
      <c r="C438" s="57" t="s">
        <v>42</v>
      </c>
      <c r="D438" s="57" t="s">
        <v>17</v>
      </c>
      <c r="E438" s="57">
        <v>3</v>
      </c>
      <c r="F438" s="57" t="s">
        <v>479</v>
      </c>
      <c r="G438" s="57" t="s">
        <v>19</v>
      </c>
      <c r="H438" s="57" t="s">
        <v>20</v>
      </c>
      <c r="I438" s="57" t="str">
        <f t="shared" si="12"/>
        <v>B3-P2-C3</v>
      </c>
      <c r="J438" s="57" t="str">
        <f t="shared" si="13"/>
        <v>Fagus-B3-P2-C3-A3</v>
      </c>
      <c r="K438" s="57" t="s">
        <v>21</v>
      </c>
      <c r="L438" s="57" t="s">
        <v>22</v>
      </c>
      <c r="M438" s="57" t="s">
        <v>23</v>
      </c>
      <c r="N438" s="37">
        <v>437</v>
      </c>
      <c r="O438" s="57">
        <v>9.6999999999999993</v>
      </c>
      <c r="P438" s="57">
        <v>57</v>
      </c>
      <c r="Q438" s="57">
        <v>9.8000000000000007</v>
      </c>
      <c r="R438" s="57">
        <v>66</v>
      </c>
      <c r="S438" s="57">
        <v>11.11</v>
      </c>
      <c r="T438" s="57">
        <v>70</v>
      </c>
      <c r="U438" s="57">
        <v>12.22</v>
      </c>
      <c r="V438" s="57">
        <v>77</v>
      </c>
      <c r="W438" s="57">
        <v>12.81</v>
      </c>
      <c r="X438" s="57">
        <v>81</v>
      </c>
      <c r="Y438" s="57">
        <v>13.19</v>
      </c>
      <c r="Z438" s="57">
        <v>79</v>
      </c>
      <c r="AA438" s="57">
        <v>12.88</v>
      </c>
      <c r="AB438" s="57">
        <v>81</v>
      </c>
      <c r="AC438" s="57"/>
      <c r="AD438" s="57"/>
    </row>
    <row r="439" spans="1:30" s="38" customFormat="1" x14ac:dyDescent="0.2">
      <c r="A439" s="57" t="s">
        <v>426</v>
      </c>
      <c r="B439" s="57" t="s">
        <v>62</v>
      </c>
      <c r="C439" s="57" t="s">
        <v>42</v>
      </c>
      <c r="D439" s="57" t="s">
        <v>24</v>
      </c>
      <c r="E439" s="57">
        <v>3</v>
      </c>
      <c r="F439" s="57" t="s">
        <v>480</v>
      </c>
      <c r="G439" s="57" t="s">
        <v>35</v>
      </c>
      <c r="H439" s="57" t="s">
        <v>20</v>
      </c>
      <c r="I439" s="57" t="str">
        <f t="shared" si="12"/>
        <v>B3-P2-C3</v>
      </c>
      <c r="J439" s="57" t="str">
        <f t="shared" si="13"/>
        <v>Quercus-B3-P2-C3-B3</v>
      </c>
      <c r="K439" s="57" t="s">
        <v>21</v>
      </c>
      <c r="L439" s="57" t="s">
        <v>22</v>
      </c>
      <c r="M439" s="57" t="s">
        <v>23</v>
      </c>
      <c r="N439" s="37">
        <v>438</v>
      </c>
      <c r="O439" s="57">
        <v>6.5</v>
      </c>
      <c r="P439" s="57">
        <v>45</v>
      </c>
      <c r="Q439" s="57">
        <v>7.55</v>
      </c>
      <c r="R439" s="57">
        <v>52</v>
      </c>
      <c r="S439" s="57">
        <v>7.6</v>
      </c>
      <c r="T439" s="57">
        <v>59</v>
      </c>
      <c r="U439" s="57">
        <v>8.8000000000000007</v>
      </c>
      <c r="V439" s="57">
        <v>73</v>
      </c>
      <c r="W439" s="57">
        <v>9.86</v>
      </c>
      <c r="X439" s="57">
        <v>70</v>
      </c>
      <c r="Y439" s="57">
        <v>11.04</v>
      </c>
      <c r="Z439" s="57">
        <v>75</v>
      </c>
      <c r="AA439" s="57">
        <v>11.2</v>
      </c>
      <c r="AB439" s="57">
        <v>83</v>
      </c>
      <c r="AC439" s="57"/>
      <c r="AD439" s="57"/>
    </row>
    <row r="440" spans="1:30" s="38" customFormat="1" x14ac:dyDescent="0.2">
      <c r="A440" s="57" t="s">
        <v>426</v>
      </c>
      <c r="B440" s="57" t="s">
        <v>62</v>
      </c>
      <c r="C440" s="57" t="s">
        <v>42</v>
      </c>
      <c r="D440" s="57" t="s">
        <v>17</v>
      </c>
      <c r="E440" s="57">
        <v>4</v>
      </c>
      <c r="F440" s="57" t="s">
        <v>481</v>
      </c>
      <c r="G440" s="57" t="s">
        <v>35</v>
      </c>
      <c r="H440" s="57" t="s">
        <v>20</v>
      </c>
      <c r="I440" s="57" t="str">
        <f t="shared" si="12"/>
        <v>B3-P2-C3</v>
      </c>
      <c r="J440" s="57" t="str">
        <f t="shared" si="13"/>
        <v>Quercus-B3-P2-C3-A4</v>
      </c>
      <c r="K440" s="57" t="s">
        <v>21</v>
      </c>
      <c r="L440" s="57" t="s">
        <v>22</v>
      </c>
      <c r="M440" s="57" t="s">
        <v>23</v>
      </c>
      <c r="N440" s="37">
        <v>439</v>
      </c>
      <c r="O440" s="57">
        <v>5.2</v>
      </c>
      <c r="P440" s="57">
        <v>56.5</v>
      </c>
      <c r="Q440" s="57">
        <v>6.2</v>
      </c>
      <c r="R440" s="57">
        <v>59</v>
      </c>
      <c r="S440" s="57">
        <v>7.19</v>
      </c>
      <c r="T440" s="57">
        <v>73</v>
      </c>
      <c r="U440" s="57">
        <v>8.3000000000000007</v>
      </c>
      <c r="V440" s="57">
        <v>72.5</v>
      </c>
      <c r="W440" s="57">
        <v>8.8000000000000007</v>
      </c>
      <c r="X440" s="57">
        <v>71</v>
      </c>
      <c r="Y440" s="57">
        <v>9.42</v>
      </c>
      <c r="Z440" s="57">
        <v>72</v>
      </c>
      <c r="AA440" s="57">
        <v>10.66</v>
      </c>
      <c r="AB440" s="57">
        <v>72</v>
      </c>
      <c r="AC440" s="57"/>
      <c r="AD440" s="57"/>
    </row>
    <row r="441" spans="1:30" s="38" customFormat="1" x14ac:dyDescent="0.2">
      <c r="A441" s="57" t="s">
        <v>426</v>
      </c>
      <c r="B441" s="57" t="s">
        <v>62</v>
      </c>
      <c r="C441" s="57" t="s">
        <v>42</v>
      </c>
      <c r="D441" s="57" t="s">
        <v>24</v>
      </c>
      <c r="E441" s="57">
        <v>4</v>
      </c>
      <c r="F441" s="57" t="s">
        <v>482</v>
      </c>
      <c r="G441" s="57" t="s">
        <v>19</v>
      </c>
      <c r="H441" s="57" t="s">
        <v>20</v>
      </c>
      <c r="I441" s="57" t="str">
        <f t="shared" si="12"/>
        <v>B3-P2-C3</v>
      </c>
      <c r="J441" s="57" t="str">
        <f t="shared" si="13"/>
        <v>Fagus-B3-P2-C3-B4</v>
      </c>
      <c r="K441" s="57" t="s">
        <v>21</v>
      </c>
      <c r="L441" s="57" t="s">
        <v>22</v>
      </c>
      <c r="M441" s="57" t="s">
        <v>23</v>
      </c>
      <c r="N441" s="37">
        <v>440</v>
      </c>
      <c r="O441" s="57">
        <v>11.7</v>
      </c>
      <c r="P441" s="57">
        <v>91</v>
      </c>
      <c r="Q441" s="57">
        <v>12</v>
      </c>
      <c r="R441" s="57">
        <v>109</v>
      </c>
      <c r="S441" s="57">
        <v>12.86</v>
      </c>
      <c r="T441" s="57">
        <v>109</v>
      </c>
      <c r="U441" s="57">
        <v>14.66</v>
      </c>
      <c r="V441" s="57">
        <v>115</v>
      </c>
      <c r="W441" s="57">
        <v>15.52</v>
      </c>
      <c r="X441" s="57">
        <v>116</v>
      </c>
      <c r="Y441" s="57">
        <v>17.02</v>
      </c>
      <c r="Z441" s="57">
        <v>116</v>
      </c>
      <c r="AA441" s="57">
        <v>17.690000000000001</v>
      </c>
      <c r="AB441" s="57">
        <v>116</v>
      </c>
      <c r="AC441" s="57"/>
      <c r="AD441" s="57"/>
    </row>
    <row r="442" spans="1:30" x14ac:dyDescent="0.2">
      <c r="A442" s="60" t="s">
        <v>426</v>
      </c>
      <c r="B442" s="60" t="s">
        <v>62</v>
      </c>
      <c r="C442" s="60" t="s">
        <v>53</v>
      </c>
      <c r="D442" s="60" t="s">
        <v>17</v>
      </c>
      <c r="E442" s="60">
        <v>1</v>
      </c>
      <c r="F442" s="60" t="s">
        <v>483</v>
      </c>
      <c r="G442" s="60" t="s">
        <v>35</v>
      </c>
      <c r="H442" s="60" t="s">
        <v>20</v>
      </c>
      <c r="I442" s="60" t="str">
        <f t="shared" si="12"/>
        <v>B3-P2-C4</v>
      </c>
      <c r="J442" s="60" t="str">
        <f t="shared" si="13"/>
        <v>Quercus-B3-P2-C4-A1</v>
      </c>
      <c r="K442" s="60" t="s">
        <v>21</v>
      </c>
      <c r="L442" s="60" t="s">
        <v>44</v>
      </c>
      <c r="M442" s="60" t="s">
        <v>45</v>
      </c>
      <c r="N442" s="15">
        <v>441</v>
      </c>
      <c r="O442" s="60">
        <v>4.5</v>
      </c>
      <c r="P442" s="60">
        <v>40.5</v>
      </c>
      <c r="Q442" s="60">
        <v>5.3</v>
      </c>
      <c r="R442" s="60">
        <v>46</v>
      </c>
      <c r="S442" s="3">
        <v>6.09</v>
      </c>
      <c r="T442" s="3">
        <v>50.5</v>
      </c>
      <c r="U442" s="3">
        <v>6.1</v>
      </c>
      <c r="V442" s="3">
        <v>50</v>
      </c>
      <c r="W442" s="3">
        <v>6.78</v>
      </c>
      <c r="X442" s="3">
        <v>52</v>
      </c>
      <c r="Y442" s="3">
        <v>7.16</v>
      </c>
      <c r="Z442" s="3">
        <v>52</v>
      </c>
      <c r="AA442" s="3">
        <v>9.5299999999999994</v>
      </c>
      <c r="AB442" s="3">
        <v>53</v>
      </c>
      <c r="AC442" s="3"/>
      <c r="AD442" s="3"/>
    </row>
    <row r="443" spans="1:30" x14ac:dyDescent="0.2">
      <c r="A443" s="60" t="s">
        <v>426</v>
      </c>
      <c r="B443" s="60" t="s">
        <v>62</v>
      </c>
      <c r="C443" s="60" t="s">
        <v>53</v>
      </c>
      <c r="D443" s="60" t="s">
        <v>24</v>
      </c>
      <c r="E443" s="60">
        <v>1</v>
      </c>
      <c r="F443" s="60" t="s">
        <v>484</v>
      </c>
      <c r="G443" s="60" t="s">
        <v>35</v>
      </c>
      <c r="H443" s="60" t="s">
        <v>20</v>
      </c>
      <c r="I443" s="60" t="str">
        <f t="shared" si="12"/>
        <v>B3-P2-C4</v>
      </c>
      <c r="J443" s="60" t="str">
        <f t="shared" si="13"/>
        <v>Quercus-B3-P2-C4-B1</v>
      </c>
      <c r="K443" s="60" t="s">
        <v>21</v>
      </c>
      <c r="L443" s="60" t="s">
        <v>44</v>
      </c>
      <c r="M443" s="60" t="s">
        <v>45</v>
      </c>
      <c r="N443" s="15">
        <v>442</v>
      </c>
      <c r="O443" s="60">
        <v>4.8</v>
      </c>
      <c r="P443" s="60">
        <v>40.5</v>
      </c>
      <c r="Q443" s="60">
        <v>5.71</v>
      </c>
      <c r="R443" s="60">
        <v>41.5</v>
      </c>
      <c r="S443" s="3">
        <v>5.98</v>
      </c>
      <c r="T443" s="3">
        <v>47.5</v>
      </c>
      <c r="U443" s="3">
        <v>6.06</v>
      </c>
      <c r="V443" s="3">
        <v>46</v>
      </c>
      <c r="W443" s="3">
        <v>6.36</v>
      </c>
      <c r="X443" s="3">
        <v>47</v>
      </c>
      <c r="Y443" s="3">
        <v>6.97</v>
      </c>
      <c r="Z443" s="3">
        <v>47</v>
      </c>
      <c r="AA443" s="3">
        <v>7.37</v>
      </c>
      <c r="AB443" s="3">
        <v>47</v>
      </c>
      <c r="AC443" s="3"/>
      <c r="AD443" s="3"/>
    </row>
    <row r="444" spans="1:30" x14ac:dyDescent="0.2">
      <c r="A444" s="60" t="s">
        <v>426</v>
      </c>
      <c r="B444" s="60" t="s">
        <v>62</v>
      </c>
      <c r="C444" s="60" t="s">
        <v>53</v>
      </c>
      <c r="D444" s="60" t="s">
        <v>17</v>
      </c>
      <c r="E444" s="60">
        <v>2</v>
      </c>
      <c r="F444" s="60" t="s">
        <v>485</v>
      </c>
      <c r="G444" s="60" t="s">
        <v>35</v>
      </c>
      <c r="H444" s="60" t="s">
        <v>20</v>
      </c>
      <c r="I444" s="60" t="str">
        <f t="shared" si="12"/>
        <v>B3-P2-C4</v>
      </c>
      <c r="J444" s="60" t="str">
        <f t="shared" si="13"/>
        <v>Quercus-B3-P2-C4-A2</v>
      </c>
      <c r="K444" s="60" t="s">
        <v>21</v>
      </c>
      <c r="L444" s="60" t="s">
        <v>44</v>
      </c>
      <c r="M444" s="60" t="s">
        <v>45</v>
      </c>
      <c r="N444" s="15">
        <v>443</v>
      </c>
      <c r="O444" s="60">
        <v>5.8</v>
      </c>
      <c r="P444" s="60">
        <v>41.2</v>
      </c>
      <c r="Q444" s="60">
        <v>6.56</v>
      </c>
      <c r="R444" s="60">
        <v>44.5</v>
      </c>
      <c r="S444" s="3">
        <v>6.66</v>
      </c>
      <c r="T444" s="3">
        <v>53</v>
      </c>
      <c r="U444" s="3">
        <v>6.76</v>
      </c>
      <c r="V444" s="3">
        <v>53</v>
      </c>
      <c r="W444" s="3">
        <v>7.54</v>
      </c>
      <c r="X444" s="3">
        <v>54</v>
      </c>
      <c r="Y444" s="3">
        <v>7.59</v>
      </c>
      <c r="Z444" s="3">
        <v>52</v>
      </c>
      <c r="AA444" s="3">
        <v>9.3000000000000007</v>
      </c>
      <c r="AB444" s="3">
        <v>53.5</v>
      </c>
      <c r="AC444" s="3"/>
      <c r="AD444" s="3"/>
    </row>
    <row r="445" spans="1:30" x14ac:dyDescent="0.2">
      <c r="A445" s="60" t="s">
        <v>426</v>
      </c>
      <c r="B445" s="60" t="s">
        <v>62</v>
      </c>
      <c r="C445" s="60" t="s">
        <v>53</v>
      </c>
      <c r="D445" s="60" t="s">
        <v>24</v>
      </c>
      <c r="E445" s="60">
        <v>2</v>
      </c>
      <c r="F445" s="60" t="s">
        <v>486</v>
      </c>
      <c r="G445" s="60" t="s">
        <v>35</v>
      </c>
      <c r="H445" s="60" t="s">
        <v>20</v>
      </c>
      <c r="I445" s="60" t="str">
        <f t="shared" si="12"/>
        <v>B3-P2-C4</v>
      </c>
      <c r="J445" s="60" t="str">
        <f t="shared" si="13"/>
        <v>Quercus-B3-P2-C4-B2</v>
      </c>
      <c r="K445" s="60" t="s">
        <v>21</v>
      </c>
      <c r="L445" s="60" t="s">
        <v>44</v>
      </c>
      <c r="M445" s="60" t="s">
        <v>45</v>
      </c>
      <c r="N445" s="15">
        <v>444</v>
      </c>
      <c r="O445" s="60">
        <v>3.7</v>
      </c>
      <c r="P445" s="60">
        <v>32.5</v>
      </c>
      <c r="Q445" s="60">
        <v>4.04</v>
      </c>
      <c r="R445" s="60">
        <v>37</v>
      </c>
      <c r="S445" s="3">
        <v>4.51</v>
      </c>
      <c r="T445" s="3">
        <v>38</v>
      </c>
      <c r="U445" s="3">
        <v>4.2</v>
      </c>
      <c r="V445" s="3">
        <v>40</v>
      </c>
      <c r="W445" s="3">
        <v>4.53</v>
      </c>
      <c r="X445" s="3">
        <v>40</v>
      </c>
      <c r="Y445" s="3">
        <v>4.75</v>
      </c>
      <c r="Z445" s="3">
        <v>41</v>
      </c>
      <c r="AA445" s="3">
        <v>4.92</v>
      </c>
      <c r="AB445" s="3">
        <v>39.5</v>
      </c>
      <c r="AC445" s="3"/>
      <c r="AD445" s="3"/>
    </row>
    <row r="446" spans="1:30" x14ac:dyDescent="0.2">
      <c r="A446" s="60" t="s">
        <v>426</v>
      </c>
      <c r="B446" s="60" t="s">
        <v>62</v>
      </c>
      <c r="C446" s="60" t="s">
        <v>53</v>
      </c>
      <c r="D446" s="60" t="s">
        <v>17</v>
      </c>
      <c r="E446" s="60">
        <v>3</v>
      </c>
      <c r="F446" s="60" t="s">
        <v>487</v>
      </c>
      <c r="G446" s="60" t="s">
        <v>35</v>
      </c>
      <c r="H446" s="60" t="s">
        <v>20</v>
      </c>
      <c r="I446" s="60" t="str">
        <f t="shared" si="12"/>
        <v>B3-P2-C4</v>
      </c>
      <c r="J446" s="60" t="str">
        <f t="shared" si="13"/>
        <v>Quercus-B3-P2-C4-A3</v>
      </c>
      <c r="K446" s="60" t="s">
        <v>21</v>
      </c>
      <c r="L446" s="60" t="s">
        <v>44</v>
      </c>
      <c r="M446" s="60" t="s">
        <v>45</v>
      </c>
      <c r="N446" s="15">
        <v>445</v>
      </c>
      <c r="O446" s="60">
        <v>4.3</v>
      </c>
      <c r="P446" s="60">
        <v>37.200000000000003</v>
      </c>
      <c r="Q446" s="60">
        <v>4.7</v>
      </c>
      <c r="R446" s="60">
        <v>38</v>
      </c>
      <c r="S446" s="3">
        <v>5.05</v>
      </c>
      <c r="T446" s="3">
        <v>42</v>
      </c>
      <c r="U446" s="3">
        <v>5.1100000000000003</v>
      </c>
      <c r="V446" s="3">
        <v>45</v>
      </c>
      <c r="W446" s="3">
        <v>5.22</v>
      </c>
      <c r="X446" s="3">
        <v>42</v>
      </c>
      <c r="Y446" s="3">
        <v>5.74</v>
      </c>
      <c r="Z446" s="3">
        <v>42</v>
      </c>
      <c r="AA446" s="3">
        <v>5.54</v>
      </c>
      <c r="AB446" s="3">
        <v>45</v>
      </c>
      <c r="AC446" s="3"/>
      <c r="AD446" s="3"/>
    </row>
    <row r="447" spans="1:30" x14ac:dyDescent="0.2">
      <c r="A447" s="60" t="s">
        <v>426</v>
      </c>
      <c r="B447" s="60" t="s">
        <v>62</v>
      </c>
      <c r="C447" s="60" t="s">
        <v>53</v>
      </c>
      <c r="D447" s="60" t="s">
        <v>24</v>
      </c>
      <c r="E447" s="60">
        <v>3</v>
      </c>
      <c r="F447" s="60" t="s">
        <v>488</v>
      </c>
      <c r="G447" s="60" t="s">
        <v>35</v>
      </c>
      <c r="H447" s="60" t="s">
        <v>20</v>
      </c>
      <c r="I447" s="60" t="str">
        <f t="shared" si="12"/>
        <v>B3-P2-C4</v>
      </c>
      <c r="J447" s="60" t="str">
        <f t="shared" si="13"/>
        <v>Quercus-B3-P2-C4-B3</v>
      </c>
      <c r="K447" s="60" t="s">
        <v>21</v>
      </c>
      <c r="L447" s="60" t="s">
        <v>44</v>
      </c>
      <c r="M447" s="60" t="s">
        <v>45</v>
      </c>
      <c r="N447" s="15">
        <v>446</v>
      </c>
      <c r="O447" s="60">
        <v>6.4</v>
      </c>
      <c r="P447" s="60">
        <v>40.5</v>
      </c>
      <c r="Q447" s="60">
        <v>7.2</v>
      </c>
      <c r="R447" s="60">
        <v>49.5</v>
      </c>
      <c r="S447" s="3">
        <v>7.17</v>
      </c>
      <c r="T447" s="3">
        <v>52.5</v>
      </c>
      <c r="U447" s="3">
        <v>6.91</v>
      </c>
      <c r="V447" s="3">
        <v>54</v>
      </c>
      <c r="W447" s="3">
        <v>7.69</v>
      </c>
      <c r="X447" s="3">
        <v>53</v>
      </c>
      <c r="Y447" s="3">
        <v>8.75</v>
      </c>
      <c r="Z447" s="3">
        <v>53</v>
      </c>
      <c r="AA447" s="3">
        <v>8.57</v>
      </c>
      <c r="AB447" s="3">
        <v>53</v>
      </c>
      <c r="AC447" s="3"/>
      <c r="AD447" s="3"/>
    </row>
    <row r="448" spans="1:30" x14ac:dyDescent="0.2">
      <c r="A448" s="60" t="s">
        <v>426</v>
      </c>
      <c r="B448" s="60" t="s">
        <v>62</v>
      </c>
      <c r="C448" s="60" t="s">
        <v>53</v>
      </c>
      <c r="D448" s="60" t="s">
        <v>17</v>
      </c>
      <c r="E448" s="60">
        <v>4</v>
      </c>
      <c r="F448" s="60" t="s">
        <v>489</v>
      </c>
      <c r="G448" s="60" t="s">
        <v>35</v>
      </c>
      <c r="H448" s="60" t="s">
        <v>20</v>
      </c>
      <c r="I448" s="60" t="str">
        <f t="shared" si="12"/>
        <v>B3-P2-C4</v>
      </c>
      <c r="J448" s="60" t="str">
        <f t="shared" si="13"/>
        <v>Quercus-B3-P2-C4-A4</v>
      </c>
      <c r="K448" s="60" t="s">
        <v>21</v>
      </c>
      <c r="L448" s="60" t="s">
        <v>44</v>
      </c>
      <c r="M448" s="60" t="s">
        <v>45</v>
      </c>
      <c r="N448" s="15">
        <v>447</v>
      </c>
      <c r="O448" s="60">
        <v>5.6</v>
      </c>
      <c r="P448" s="60">
        <v>37.5</v>
      </c>
      <c r="Q448" s="60">
        <v>6.66</v>
      </c>
      <c r="R448" s="60">
        <v>40</v>
      </c>
      <c r="S448" s="3">
        <v>7.19</v>
      </c>
      <c r="T448" s="3">
        <v>41</v>
      </c>
      <c r="U448" s="3">
        <v>7.05</v>
      </c>
      <c r="V448" s="3">
        <v>44</v>
      </c>
      <c r="W448" s="3">
        <v>7.46</v>
      </c>
      <c r="X448" s="3">
        <v>41</v>
      </c>
      <c r="Y448" s="3">
        <v>8.06</v>
      </c>
      <c r="Z448" s="3">
        <v>44</v>
      </c>
      <c r="AA448" s="3">
        <v>9.5299999999999994</v>
      </c>
      <c r="AB448" s="3">
        <v>42</v>
      </c>
      <c r="AC448" s="3"/>
      <c r="AD448" s="3"/>
    </row>
    <row r="449" spans="1:30" ht="14.5" customHeight="1" x14ac:dyDescent="0.2">
      <c r="A449" s="60" t="s">
        <v>426</v>
      </c>
      <c r="B449" s="60" t="s">
        <v>62</v>
      </c>
      <c r="C449" s="60" t="s">
        <v>53</v>
      </c>
      <c r="D449" s="60" t="s">
        <v>24</v>
      </c>
      <c r="E449" s="60">
        <v>4</v>
      </c>
      <c r="F449" s="60" t="s">
        <v>490</v>
      </c>
      <c r="G449" s="60" t="s">
        <v>35</v>
      </c>
      <c r="H449" s="60" t="s">
        <v>20</v>
      </c>
      <c r="I449" s="60" t="str">
        <f t="shared" si="12"/>
        <v>B3-P2-C4</v>
      </c>
      <c r="J449" s="60" t="str">
        <f t="shared" si="13"/>
        <v>Quercus-B3-P2-C4-B4</v>
      </c>
      <c r="K449" s="60" t="s">
        <v>21</v>
      </c>
      <c r="L449" s="60" t="s">
        <v>44</v>
      </c>
      <c r="M449" s="60" t="s">
        <v>45</v>
      </c>
      <c r="N449" s="15">
        <v>448</v>
      </c>
      <c r="O449" s="60">
        <v>6.2</v>
      </c>
      <c r="P449" s="60">
        <v>41</v>
      </c>
      <c r="Q449" s="60">
        <v>7.5</v>
      </c>
      <c r="R449" s="60">
        <v>42</v>
      </c>
      <c r="S449" s="3">
        <v>7.81</v>
      </c>
      <c r="T449" s="3">
        <v>43</v>
      </c>
      <c r="U449" s="3">
        <v>7.85</v>
      </c>
      <c r="V449" s="3">
        <v>45</v>
      </c>
      <c r="W449" s="3">
        <v>8.44</v>
      </c>
      <c r="X449" s="3">
        <v>44</v>
      </c>
      <c r="Y449" s="3">
        <v>9.08</v>
      </c>
      <c r="Z449" s="3">
        <v>46</v>
      </c>
      <c r="AA449" s="3">
        <v>9.6</v>
      </c>
      <c r="AB449" s="3">
        <v>48</v>
      </c>
      <c r="AC449" s="3"/>
      <c r="AD449" s="3"/>
    </row>
    <row r="450" spans="1:30" s="38" customFormat="1" x14ac:dyDescent="0.2">
      <c r="A450" s="57" t="s">
        <v>426</v>
      </c>
      <c r="B450" s="57" t="s">
        <v>98</v>
      </c>
      <c r="C450" s="57" t="s">
        <v>16</v>
      </c>
      <c r="D450" s="57" t="s">
        <v>17</v>
      </c>
      <c r="E450" s="57">
        <v>1</v>
      </c>
      <c r="F450" s="57" t="s">
        <v>491</v>
      </c>
      <c r="G450" s="57" t="s">
        <v>35</v>
      </c>
      <c r="H450" s="57" t="s">
        <v>20</v>
      </c>
      <c r="I450" s="57" t="str">
        <f t="shared" si="12"/>
        <v>B3-P3-C1</v>
      </c>
      <c r="J450" s="57" t="str">
        <f t="shared" si="13"/>
        <v>Quercus-B3-P3-C1-A1</v>
      </c>
      <c r="K450" s="57" t="s">
        <v>64</v>
      </c>
      <c r="L450" s="57" t="s">
        <v>22</v>
      </c>
      <c r="M450" s="57" t="s">
        <v>74</v>
      </c>
      <c r="N450" s="37">
        <v>449</v>
      </c>
      <c r="O450" s="57">
        <v>6.5</v>
      </c>
      <c r="P450" s="57">
        <v>43</v>
      </c>
      <c r="Q450" s="57">
        <v>7.41</v>
      </c>
      <c r="R450" s="57">
        <v>47.5</v>
      </c>
      <c r="S450" s="57">
        <v>8.1999999999999993</v>
      </c>
      <c r="T450" s="57">
        <v>51</v>
      </c>
      <c r="U450" s="57">
        <v>8.73</v>
      </c>
      <c r="V450" s="57">
        <v>64</v>
      </c>
      <c r="W450" s="57">
        <v>9.6199999999999992</v>
      </c>
      <c r="X450" s="57">
        <v>63</v>
      </c>
      <c r="Y450" s="57">
        <v>10.19</v>
      </c>
      <c r="Z450" s="57">
        <v>63</v>
      </c>
      <c r="AA450" s="57">
        <v>10.7</v>
      </c>
      <c r="AB450" s="57">
        <v>60</v>
      </c>
      <c r="AC450" s="57"/>
      <c r="AD450" s="57"/>
    </row>
    <row r="451" spans="1:30" s="38" customFormat="1" x14ac:dyDescent="0.2">
      <c r="A451" s="57" t="s">
        <v>426</v>
      </c>
      <c r="B451" s="57" t="s">
        <v>98</v>
      </c>
      <c r="C451" s="57" t="s">
        <v>16</v>
      </c>
      <c r="D451" s="57" t="s">
        <v>24</v>
      </c>
      <c r="E451" s="57">
        <v>1</v>
      </c>
      <c r="F451" s="57" t="s">
        <v>492</v>
      </c>
      <c r="G451" s="57" t="s">
        <v>35</v>
      </c>
      <c r="H451" s="57" t="s">
        <v>20</v>
      </c>
      <c r="I451" s="57" t="str">
        <f t="shared" ref="I451:I514" si="14">A451&amp;"-"&amp;B451&amp;"-"&amp;C451</f>
        <v>B3-P3-C1</v>
      </c>
      <c r="J451" s="57" t="str">
        <f t="shared" ref="J451:J514" si="15">G451&amp;"-"&amp;A451&amp;"-"&amp;B451&amp;"-"&amp;C451&amp;"-"&amp;D451&amp;E451</f>
        <v>Quercus-B3-P3-C1-B1</v>
      </c>
      <c r="K451" s="57" t="s">
        <v>64</v>
      </c>
      <c r="L451" s="57" t="s">
        <v>22</v>
      </c>
      <c r="M451" s="57" t="s">
        <v>74</v>
      </c>
      <c r="N451" s="37">
        <v>450</v>
      </c>
      <c r="O451" s="57">
        <v>4.2</v>
      </c>
      <c r="P451" s="57">
        <v>35.5</v>
      </c>
      <c r="Q451" s="57">
        <v>5.0599999999999996</v>
      </c>
      <c r="R451" s="57">
        <v>41</v>
      </c>
      <c r="S451" s="57">
        <v>5.38</v>
      </c>
      <c r="T451" s="57">
        <v>46.5</v>
      </c>
      <c r="U451" s="57">
        <v>6.12</v>
      </c>
      <c r="V451" s="57">
        <v>47</v>
      </c>
      <c r="W451" s="57">
        <v>7.08</v>
      </c>
      <c r="X451" s="57">
        <v>47</v>
      </c>
      <c r="Y451" s="57">
        <v>7.99</v>
      </c>
      <c r="Z451" s="57">
        <v>57</v>
      </c>
      <c r="AA451" s="57">
        <v>9.5500000000000007</v>
      </c>
      <c r="AB451" s="57">
        <v>57.5</v>
      </c>
      <c r="AC451" s="57"/>
      <c r="AD451" s="57"/>
    </row>
    <row r="452" spans="1:30" s="38" customFormat="1" x14ac:dyDescent="0.2">
      <c r="A452" s="57" t="s">
        <v>426</v>
      </c>
      <c r="B452" s="57" t="s">
        <v>98</v>
      </c>
      <c r="C452" s="57" t="s">
        <v>16</v>
      </c>
      <c r="D452" s="57" t="s">
        <v>17</v>
      </c>
      <c r="E452" s="57">
        <v>2</v>
      </c>
      <c r="F452" s="57" t="s">
        <v>493</v>
      </c>
      <c r="G452" s="57" t="s">
        <v>35</v>
      </c>
      <c r="H452" s="57" t="s">
        <v>20</v>
      </c>
      <c r="I452" s="57" t="str">
        <f t="shared" si="14"/>
        <v>B3-P3-C1</v>
      </c>
      <c r="J452" s="57" t="str">
        <f t="shared" si="15"/>
        <v>Quercus-B3-P3-C1-A2</v>
      </c>
      <c r="K452" s="57" t="s">
        <v>64</v>
      </c>
      <c r="L452" s="57" t="s">
        <v>22</v>
      </c>
      <c r="M452" s="57" t="s">
        <v>74</v>
      </c>
      <c r="N452" s="37">
        <v>451</v>
      </c>
      <c r="O452" s="57">
        <v>8</v>
      </c>
      <c r="P452" s="57">
        <v>51.5</v>
      </c>
      <c r="Q452" s="57">
        <v>9.14</v>
      </c>
      <c r="R452" s="57">
        <v>54</v>
      </c>
      <c r="S452" s="57">
        <v>10.16</v>
      </c>
      <c r="T452" s="57">
        <v>60</v>
      </c>
      <c r="U452" s="57">
        <v>10.58</v>
      </c>
      <c r="V452" s="57">
        <v>67</v>
      </c>
      <c r="W452" s="57">
        <v>11.62</v>
      </c>
      <c r="X452" s="57">
        <v>66</v>
      </c>
      <c r="Y452" s="57">
        <v>12.85</v>
      </c>
      <c r="Z452" s="57">
        <v>77</v>
      </c>
      <c r="AA452" s="57">
        <v>14.16</v>
      </c>
      <c r="AB452" s="57">
        <v>77</v>
      </c>
      <c r="AC452" s="57"/>
      <c r="AD452" s="57"/>
    </row>
    <row r="453" spans="1:30" s="38" customFormat="1" x14ac:dyDescent="0.2">
      <c r="A453" s="57" t="s">
        <v>426</v>
      </c>
      <c r="B453" s="57" t="s">
        <v>98</v>
      </c>
      <c r="C453" s="57" t="s">
        <v>16</v>
      </c>
      <c r="D453" s="57" t="s">
        <v>24</v>
      </c>
      <c r="E453" s="57">
        <v>2</v>
      </c>
      <c r="F453" s="57" t="s">
        <v>494</v>
      </c>
      <c r="G453" s="57" t="s">
        <v>35</v>
      </c>
      <c r="H453" s="57" t="s">
        <v>20</v>
      </c>
      <c r="I453" s="57" t="str">
        <f t="shared" si="14"/>
        <v>B3-P3-C1</v>
      </c>
      <c r="J453" s="57" t="str">
        <f t="shared" si="15"/>
        <v>Quercus-B3-P3-C1-B2</v>
      </c>
      <c r="K453" s="57" t="s">
        <v>64</v>
      </c>
      <c r="L453" s="57" t="s">
        <v>22</v>
      </c>
      <c r="M453" s="57" t="s">
        <v>74</v>
      </c>
      <c r="N453" s="37">
        <v>452</v>
      </c>
      <c r="O453" s="57">
        <v>4.5</v>
      </c>
      <c r="P453" s="57">
        <v>31.5</v>
      </c>
      <c r="Q453" s="57">
        <v>5.42</v>
      </c>
      <c r="R453" s="57">
        <v>40</v>
      </c>
      <c r="S453" s="57">
        <v>5.78</v>
      </c>
      <c r="T453" s="57">
        <v>41.5</v>
      </c>
      <c r="U453" s="57">
        <v>6.43</v>
      </c>
      <c r="V453" s="57">
        <v>55</v>
      </c>
      <c r="W453" s="57">
        <v>6.93</v>
      </c>
      <c r="X453" s="57">
        <v>55</v>
      </c>
      <c r="Y453" s="57">
        <v>8.39</v>
      </c>
      <c r="Z453" s="57">
        <v>58</v>
      </c>
      <c r="AA453" s="57">
        <v>9.0299999999999994</v>
      </c>
      <c r="AB453" s="57">
        <v>55</v>
      </c>
      <c r="AC453" s="57"/>
      <c r="AD453" s="57"/>
    </row>
    <row r="454" spans="1:30" s="38" customFormat="1" x14ac:dyDescent="0.2">
      <c r="A454" s="57" t="s">
        <v>426</v>
      </c>
      <c r="B454" s="57" t="s">
        <v>98</v>
      </c>
      <c r="C454" s="57" t="s">
        <v>16</v>
      </c>
      <c r="D454" s="57" t="s">
        <v>17</v>
      </c>
      <c r="E454" s="57">
        <v>3</v>
      </c>
      <c r="F454" s="57" t="s">
        <v>495</v>
      </c>
      <c r="G454" s="57" t="s">
        <v>35</v>
      </c>
      <c r="H454" s="57" t="s">
        <v>20</v>
      </c>
      <c r="I454" s="57" t="str">
        <f t="shared" si="14"/>
        <v>B3-P3-C1</v>
      </c>
      <c r="J454" s="57" t="str">
        <f t="shared" si="15"/>
        <v>Quercus-B3-P3-C1-A3</v>
      </c>
      <c r="K454" s="57" t="s">
        <v>64</v>
      </c>
      <c r="L454" s="57" t="s">
        <v>22</v>
      </c>
      <c r="M454" s="57" t="s">
        <v>74</v>
      </c>
      <c r="N454" s="37">
        <v>453</v>
      </c>
      <c r="O454" s="57">
        <v>6.5</v>
      </c>
      <c r="P454" s="57">
        <v>40.5</v>
      </c>
      <c r="Q454" s="57">
        <v>7.75</v>
      </c>
      <c r="R454" s="57">
        <v>62</v>
      </c>
      <c r="S454" s="57">
        <v>8.3000000000000007</v>
      </c>
      <c r="T454" s="57">
        <v>64</v>
      </c>
      <c r="U454" s="57">
        <v>9.44</v>
      </c>
      <c r="V454" s="57">
        <v>74</v>
      </c>
      <c r="W454" s="57">
        <v>9.77</v>
      </c>
      <c r="X454" s="57">
        <v>73</v>
      </c>
      <c r="Y454" s="57">
        <v>10.15</v>
      </c>
      <c r="Z454" s="57">
        <v>77</v>
      </c>
      <c r="AA454" s="57">
        <v>12.73</v>
      </c>
      <c r="AB454" s="57">
        <v>77</v>
      </c>
      <c r="AC454" s="57"/>
      <c r="AD454" s="57"/>
    </row>
    <row r="455" spans="1:30" s="38" customFormat="1" x14ac:dyDescent="0.2">
      <c r="A455" s="57" t="s">
        <v>426</v>
      </c>
      <c r="B455" s="57" t="s">
        <v>98</v>
      </c>
      <c r="C455" s="57" t="s">
        <v>16</v>
      </c>
      <c r="D455" s="57" t="s">
        <v>24</v>
      </c>
      <c r="E455" s="57">
        <v>3</v>
      </c>
      <c r="F455" s="57" t="s">
        <v>496</v>
      </c>
      <c r="G455" s="57" t="s">
        <v>35</v>
      </c>
      <c r="H455" s="57" t="s">
        <v>20</v>
      </c>
      <c r="I455" s="57" t="str">
        <f t="shared" si="14"/>
        <v>B3-P3-C1</v>
      </c>
      <c r="J455" s="57" t="str">
        <f t="shared" si="15"/>
        <v>Quercus-B3-P3-C1-B3</v>
      </c>
      <c r="K455" s="57" t="s">
        <v>64</v>
      </c>
      <c r="L455" s="57" t="s">
        <v>22</v>
      </c>
      <c r="M455" s="57" t="s">
        <v>74</v>
      </c>
      <c r="N455" s="37">
        <v>454</v>
      </c>
      <c r="O455" s="57">
        <v>6.7</v>
      </c>
      <c r="P455" s="57">
        <v>46</v>
      </c>
      <c r="Q455" s="57">
        <v>7.83</v>
      </c>
      <c r="R455" s="57">
        <v>57</v>
      </c>
      <c r="S455" s="57">
        <v>8.69</v>
      </c>
      <c r="T455" s="57">
        <v>60.5</v>
      </c>
      <c r="U455" s="57">
        <v>9.74</v>
      </c>
      <c r="V455" s="57">
        <v>70</v>
      </c>
      <c r="W455" s="57">
        <v>11.27</v>
      </c>
      <c r="X455" s="57">
        <v>71</v>
      </c>
      <c r="Y455" s="57">
        <v>12.53</v>
      </c>
      <c r="Z455" s="57">
        <v>78</v>
      </c>
      <c r="AA455" s="57">
        <v>12.73</v>
      </c>
      <c r="AB455" s="57">
        <v>80</v>
      </c>
      <c r="AC455" s="57"/>
      <c r="AD455" s="57"/>
    </row>
    <row r="456" spans="1:30" s="38" customFormat="1" x14ac:dyDescent="0.2">
      <c r="A456" s="57" t="s">
        <v>426</v>
      </c>
      <c r="B456" s="57" t="s">
        <v>98</v>
      </c>
      <c r="C456" s="57" t="s">
        <v>16</v>
      </c>
      <c r="D456" s="57" t="s">
        <v>17</v>
      </c>
      <c r="E456" s="57">
        <v>4</v>
      </c>
      <c r="F456" s="57" t="s">
        <v>497</v>
      </c>
      <c r="G456" s="57" t="s">
        <v>35</v>
      </c>
      <c r="H456" s="57" t="s">
        <v>20</v>
      </c>
      <c r="I456" s="57" t="str">
        <f t="shared" si="14"/>
        <v>B3-P3-C1</v>
      </c>
      <c r="J456" s="57" t="str">
        <f t="shared" si="15"/>
        <v>Quercus-B3-P3-C1-A4</v>
      </c>
      <c r="K456" s="57" t="s">
        <v>64</v>
      </c>
      <c r="L456" s="57" t="s">
        <v>22</v>
      </c>
      <c r="M456" s="57" t="s">
        <v>74</v>
      </c>
      <c r="N456" s="37">
        <v>455</v>
      </c>
      <c r="O456" s="57">
        <v>7.8</v>
      </c>
      <c r="P456" s="57">
        <v>49.5</v>
      </c>
      <c r="Q456" s="57">
        <v>9.0299999999999994</v>
      </c>
      <c r="R456" s="57">
        <v>59.5</v>
      </c>
      <c r="S456" s="57">
        <v>10.48</v>
      </c>
      <c r="T456" s="57">
        <v>60</v>
      </c>
      <c r="U456" s="57">
        <v>11.19</v>
      </c>
      <c r="V456" s="57">
        <v>72</v>
      </c>
      <c r="W456" s="57">
        <v>12.01</v>
      </c>
      <c r="X456" s="57">
        <v>70</v>
      </c>
      <c r="Y456" s="57">
        <v>13.33</v>
      </c>
      <c r="Z456" s="57">
        <v>73</v>
      </c>
      <c r="AA456" s="57">
        <v>14.79</v>
      </c>
      <c r="AB456" s="57">
        <v>75</v>
      </c>
      <c r="AC456" s="57"/>
      <c r="AD456" s="57"/>
    </row>
    <row r="457" spans="1:30" s="38" customFormat="1" x14ac:dyDescent="0.2">
      <c r="A457" s="57" t="s">
        <v>426</v>
      </c>
      <c r="B457" s="57" t="s">
        <v>98</v>
      </c>
      <c r="C457" s="57" t="s">
        <v>16</v>
      </c>
      <c r="D457" s="57" t="s">
        <v>24</v>
      </c>
      <c r="E457" s="57">
        <v>4</v>
      </c>
      <c r="F457" s="57" t="s">
        <v>498</v>
      </c>
      <c r="G457" s="57" t="s">
        <v>35</v>
      </c>
      <c r="H457" s="57" t="s">
        <v>20</v>
      </c>
      <c r="I457" s="57" t="str">
        <f t="shared" si="14"/>
        <v>B3-P3-C1</v>
      </c>
      <c r="J457" s="57" t="str">
        <f t="shared" si="15"/>
        <v>Quercus-B3-P3-C1-B4</v>
      </c>
      <c r="K457" s="57" t="s">
        <v>64</v>
      </c>
      <c r="L457" s="57" t="s">
        <v>22</v>
      </c>
      <c r="M457" s="57" t="s">
        <v>74</v>
      </c>
      <c r="N457" s="37">
        <v>456</v>
      </c>
      <c r="O457" s="57">
        <v>7.5</v>
      </c>
      <c r="P457" s="57">
        <v>62</v>
      </c>
      <c r="Q457" s="57">
        <v>8.69</v>
      </c>
      <c r="R457" s="57">
        <v>81</v>
      </c>
      <c r="S457" s="57">
        <v>10.52</v>
      </c>
      <c r="T457" s="57">
        <v>85</v>
      </c>
      <c r="U457" s="57">
        <v>11.3</v>
      </c>
      <c r="V457" s="57">
        <v>100</v>
      </c>
      <c r="W457" s="57">
        <v>12.29</v>
      </c>
      <c r="X457" s="57">
        <v>99</v>
      </c>
      <c r="Y457" s="57">
        <v>13.54</v>
      </c>
      <c r="Z457" s="57">
        <v>103</v>
      </c>
      <c r="AA457" s="57">
        <v>15.96</v>
      </c>
      <c r="AB457" s="57">
        <v>107.5</v>
      </c>
      <c r="AC457" s="57"/>
      <c r="AD457" s="57"/>
    </row>
    <row r="458" spans="1:30" x14ac:dyDescent="0.2">
      <c r="A458" s="60" t="s">
        <v>426</v>
      </c>
      <c r="B458" s="60" t="s">
        <v>98</v>
      </c>
      <c r="C458" s="60" t="s">
        <v>32</v>
      </c>
      <c r="D458" s="60" t="s">
        <v>17</v>
      </c>
      <c r="E458" s="60">
        <v>1</v>
      </c>
      <c r="F458" s="60" t="s">
        <v>499</v>
      </c>
      <c r="G458" s="60" t="s">
        <v>19</v>
      </c>
      <c r="H458" s="60" t="s">
        <v>20</v>
      </c>
      <c r="I458" s="60" t="str">
        <f t="shared" si="14"/>
        <v>B3-P3-C2</v>
      </c>
      <c r="J458" s="60" t="str">
        <f t="shared" si="15"/>
        <v>Fagus-B3-P3-C2-A1</v>
      </c>
      <c r="K458" s="60" t="s">
        <v>64</v>
      </c>
      <c r="L458" s="60" t="s">
        <v>22</v>
      </c>
      <c r="M458" s="60" t="s">
        <v>74</v>
      </c>
      <c r="N458" s="15">
        <v>457</v>
      </c>
      <c r="O458" s="60">
        <v>10.1</v>
      </c>
      <c r="P458" s="60">
        <v>95</v>
      </c>
      <c r="Q458" s="60">
        <v>10.26</v>
      </c>
      <c r="R458" s="60">
        <v>126</v>
      </c>
      <c r="S458" s="3">
        <v>12.14</v>
      </c>
      <c r="T458" s="3">
        <v>125.5</v>
      </c>
      <c r="U458" s="3">
        <v>12.98</v>
      </c>
      <c r="V458" s="3">
        <v>126</v>
      </c>
      <c r="W458" s="3">
        <v>13.64</v>
      </c>
      <c r="X458" s="3">
        <v>126</v>
      </c>
      <c r="Y458" s="3">
        <v>13.48</v>
      </c>
      <c r="Z458" s="3">
        <v>123</v>
      </c>
      <c r="AA458" s="3">
        <v>13.94</v>
      </c>
      <c r="AB458" s="3">
        <v>126</v>
      </c>
      <c r="AC458" s="3"/>
      <c r="AD458" s="3"/>
    </row>
    <row r="459" spans="1:30" x14ac:dyDescent="0.2">
      <c r="A459" s="60" t="s">
        <v>426</v>
      </c>
      <c r="B459" s="60" t="s">
        <v>98</v>
      </c>
      <c r="C459" s="60" t="s">
        <v>32</v>
      </c>
      <c r="D459" s="60" t="s">
        <v>24</v>
      </c>
      <c r="E459" s="60">
        <v>1</v>
      </c>
      <c r="F459" s="60" t="s">
        <v>500</v>
      </c>
      <c r="G459" s="60" t="s">
        <v>19</v>
      </c>
      <c r="H459" s="60" t="s">
        <v>20</v>
      </c>
      <c r="I459" s="60" t="str">
        <f t="shared" si="14"/>
        <v>B3-P3-C2</v>
      </c>
      <c r="J459" s="60" t="str">
        <f t="shared" si="15"/>
        <v>Fagus-B3-P3-C2-B1</v>
      </c>
      <c r="K459" s="60" t="s">
        <v>64</v>
      </c>
      <c r="L459" s="60" t="s">
        <v>22</v>
      </c>
      <c r="M459" s="60" t="s">
        <v>74</v>
      </c>
      <c r="N459" s="15">
        <v>458</v>
      </c>
      <c r="O459" s="60">
        <v>10.6</v>
      </c>
      <c r="P459" s="60">
        <v>75</v>
      </c>
      <c r="Q459" s="60">
        <v>10.77</v>
      </c>
      <c r="R459" s="60">
        <v>98</v>
      </c>
      <c r="S459" s="3">
        <v>13.38</v>
      </c>
      <c r="T459" s="3">
        <v>97</v>
      </c>
      <c r="U459" s="3">
        <v>13.65</v>
      </c>
      <c r="V459" s="3">
        <v>100</v>
      </c>
      <c r="W459" s="3">
        <v>14.11</v>
      </c>
      <c r="X459" s="3">
        <v>100</v>
      </c>
      <c r="Y459" s="3">
        <v>13.6</v>
      </c>
      <c r="Z459" s="3">
        <v>98</v>
      </c>
      <c r="AA459" s="3">
        <v>13.42</v>
      </c>
      <c r="AB459" s="3">
        <v>100</v>
      </c>
      <c r="AC459" s="3"/>
      <c r="AD459" s="3"/>
    </row>
    <row r="460" spans="1:30" x14ac:dyDescent="0.2">
      <c r="A460" s="60" t="s">
        <v>426</v>
      </c>
      <c r="B460" s="60" t="s">
        <v>98</v>
      </c>
      <c r="C460" s="60" t="s">
        <v>32</v>
      </c>
      <c r="D460" s="60" t="s">
        <v>17</v>
      </c>
      <c r="E460" s="60">
        <v>2</v>
      </c>
      <c r="F460" s="60" t="s">
        <v>501</v>
      </c>
      <c r="G460" s="60" t="s">
        <v>19</v>
      </c>
      <c r="H460" s="60" t="s">
        <v>20</v>
      </c>
      <c r="I460" s="60" t="str">
        <f t="shared" si="14"/>
        <v>B3-P3-C2</v>
      </c>
      <c r="J460" s="60" t="str">
        <f t="shared" si="15"/>
        <v>Fagus-B3-P3-C2-A2</v>
      </c>
      <c r="K460" s="60" t="s">
        <v>64</v>
      </c>
      <c r="L460" s="60" t="s">
        <v>22</v>
      </c>
      <c r="M460" s="60" t="s">
        <v>74</v>
      </c>
      <c r="N460" s="15">
        <v>459</v>
      </c>
      <c r="O460" s="60">
        <v>11.3</v>
      </c>
      <c r="P460" s="60">
        <v>53.5</v>
      </c>
      <c r="Q460" s="60">
        <v>11.28</v>
      </c>
      <c r="R460" s="60">
        <v>60.5</v>
      </c>
      <c r="S460" s="3">
        <v>12.75</v>
      </c>
      <c r="T460" s="3">
        <v>65</v>
      </c>
      <c r="U460" s="3">
        <v>13.2</v>
      </c>
      <c r="V460" s="3">
        <v>66</v>
      </c>
      <c r="W460" s="3">
        <v>13.04</v>
      </c>
      <c r="X460" s="3">
        <v>65.5</v>
      </c>
      <c r="Y460" s="3">
        <v>13.23</v>
      </c>
      <c r="Z460" s="3">
        <v>67</v>
      </c>
      <c r="AA460" s="3">
        <v>13.61</v>
      </c>
      <c r="AB460" s="3">
        <v>64</v>
      </c>
      <c r="AC460" s="3"/>
      <c r="AD460" s="3"/>
    </row>
    <row r="461" spans="1:30" x14ac:dyDescent="0.2">
      <c r="A461" s="60" t="s">
        <v>426</v>
      </c>
      <c r="B461" s="60" t="s">
        <v>98</v>
      </c>
      <c r="C461" s="60" t="s">
        <v>32</v>
      </c>
      <c r="D461" s="60" t="s">
        <v>24</v>
      </c>
      <c r="E461" s="60">
        <v>2</v>
      </c>
      <c r="F461" s="60" t="s">
        <v>502</v>
      </c>
      <c r="G461" s="60" t="s">
        <v>19</v>
      </c>
      <c r="H461" s="60" t="s">
        <v>20</v>
      </c>
      <c r="I461" s="60" t="str">
        <f t="shared" si="14"/>
        <v>B3-P3-C2</v>
      </c>
      <c r="J461" s="60" t="str">
        <f t="shared" si="15"/>
        <v>Fagus-B3-P3-C2-B2</v>
      </c>
      <c r="K461" s="60" t="s">
        <v>64</v>
      </c>
      <c r="L461" s="60" t="s">
        <v>22</v>
      </c>
      <c r="M461" s="60" t="s">
        <v>74</v>
      </c>
      <c r="N461" s="15">
        <v>460</v>
      </c>
      <c r="O461" s="60">
        <v>10.4</v>
      </c>
      <c r="P461" s="60">
        <v>82</v>
      </c>
      <c r="Q461" s="60">
        <v>10.45</v>
      </c>
      <c r="R461" s="60">
        <v>104</v>
      </c>
      <c r="S461" s="3">
        <v>12.77</v>
      </c>
      <c r="T461" s="3">
        <v>104</v>
      </c>
      <c r="U461" s="3">
        <v>12.16</v>
      </c>
      <c r="V461" s="3">
        <v>109</v>
      </c>
      <c r="W461" s="3">
        <v>12.74</v>
      </c>
      <c r="X461" s="3">
        <v>109</v>
      </c>
      <c r="Y461" s="3">
        <v>13.23</v>
      </c>
      <c r="Z461" s="3">
        <v>106</v>
      </c>
      <c r="AA461" s="3">
        <v>13.36</v>
      </c>
      <c r="AB461" s="3">
        <v>108</v>
      </c>
      <c r="AC461" s="3"/>
      <c r="AD461" s="3"/>
    </row>
    <row r="462" spans="1:30" x14ac:dyDescent="0.2">
      <c r="A462" s="60" t="s">
        <v>426</v>
      </c>
      <c r="B462" s="60" t="s">
        <v>98</v>
      </c>
      <c r="C462" s="60" t="s">
        <v>32</v>
      </c>
      <c r="D462" s="60" t="s">
        <v>17</v>
      </c>
      <c r="E462" s="60">
        <v>3</v>
      </c>
      <c r="F462" s="60" t="s">
        <v>503</v>
      </c>
      <c r="G462" s="60" t="s">
        <v>19</v>
      </c>
      <c r="H462" s="60" t="s">
        <v>20</v>
      </c>
      <c r="I462" s="60" t="str">
        <f t="shared" si="14"/>
        <v>B3-P3-C2</v>
      </c>
      <c r="J462" s="60" t="str">
        <f t="shared" si="15"/>
        <v>Fagus-B3-P3-C2-A3</v>
      </c>
      <c r="K462" s="60" t="s">
        <v>64</v>
      </c>
      <c r="L462" s="60" t="s">
        <v>22</v>
      </c>
      <c r="M462" s="60" t="s">
        <v>74</v>
      </c>
      <c r="N462" s="15">
        <v>461</v>
      </c>
      <c r="O462" s="60">
        <v>10.3</v>
      </c>
      <c r="P462" s="60">
        <v>75.5</v>
      </c>
      <c r="Q462" s="60">
        <v>10.34</v>
      </c>
      <c r="R462" s="60">
        <v>85</v>
      </c>
      <c r="S462" s="3">
        <v>11</v>
      </c>
      <c r="T462" s="3">
        <v>92.5</v>
      </c>
      <c r="U462" s="3">
        <v>11.33</v>
      </c>
      <c r="V462" s="3">
        <v>93</v>
      </c>
      <c r="W462" s="3">
        <v>12.07</v>
      </c>
      <c r="X462" s="3">
        <v>93.5</v>
      </c>
      <c r="Y462" s="3">
        <v>12.15</v>
      </c>
      <c r="Z462" s="3">
        <v>91</v>
      </c>
      <c r="AA462" s="3">
        <v>12.52</v>
      </c>
      <c r="AB462" s="3">
        <v>91</v>
      </c>
      <c r="AC462" s="3"/>
      <c r="AD462" s="3"/>
    </row>
    <row r="463" spans="1:30" x14ac:dyDescent="0.2">
      <c r="A463" s="60" t="s">
        <v>426</v>
      </c>
      <c r="B463" s="60" t="s">
        <v>98</v>
      </c>
      <c r="C463" s="60" t="s">
        <v>32</v>
      </c>
      <c r="D463" s="60" t="s">
        <v>24</v>
      </c>
      <c r="E463" s="60">
        <v>3</v>
      </c>
      <c r="F463" s="60" t="s">
        <v>504</v>
      </c>
      <c r="G463" s="60" t="s">
        <v>19</v>
      </c>
      <c r="H463" s="60" t="s">
        <v>20</v>
      </c>
      <c r="I463" s="60" t="str">
        <f t="shared" si="14"/>
        <v>B3-P3-C2</v>
      </c>
      <c r="J463" s="60" t="str">
        <f t="shared" si="15"/>
        <v>Fagus-B3-P3-C2-B3</v>
      </c>
      <c r="K463" s="60" t="s">
        <v>64</v>
      </c>
      <c r="L463" s="60" t="s">
        <v>22</v>
      </c>
      <c r="M463" s="60" t="s">
        <v>74</v>
      </c>
      <c r="N463" s="15">
        <v>462</v>
      </c>
      <c r="O463" s="60">
        <v>10.4</v>
      </c>
      <c r="P463" s="60">
        <v>105</v>
      </c>
      <c r="Q463" s="60">
        <v>10.65</v>
      </c>
      <c r="R463" s="60">
        <v>117</v>
      </c>
      <c r="S463" s="3">
        <v>11.98</v>
      </c>
      <c r="T463" s="3">
        <v>116</v>
      </c>
      <c r="U463" s="3">
        <v>12.38</v>
      </c>
      <c r="V463" s="3">
        <v>116</v>
      </c>
      <c r="W463" s="3">
        <v>12.75</v>
      </c>
      <c r="X463" s="3">
        <v>116</v>
      </c>
      <c r="Y463" s="3">
        <v>13.78</v>
      </c>
      <c r="Z463" s="3">
        <v>113</v>
      </c>
      <c r="AA463" s="3">
        <v>13.52</v>
      </c>
      <c r="AB463" s="3">
        <v>115</v>
      </c>
      <c r="AC463" s="3"/>
      <c r="AD463" s="3"/>
    </row>
    <row r="464" spans="1:30" x14ac:dyDescent="0.2">
      <c r="A464" s="60" t="s">
        <v>426</v>
      </c>
      <c r="B464" s="60" t="s">
        <v>98</v>
      </c>
      <c r="C464" s="60" t="s">
        <v>32</v>
      </c>
      <c r="D464" s="60" t="s">
        <v>17</v>
      </c>
      <c r="E464" s="60">
        <v>4</v>
      </c>
      <c r="F464" s="60" t="s">
        <v>505</v>
      </c>
      <c r="G464" s="60" t="s">
        <v>19</v>
      </c>
      <c r="H464" s="60" t="s">
        <v>20</v>
      </c>
      <c r="I464" s="60" t="str">
        <f t="shared" si="14"/>
        <v>B3-P3-C2</v>
      </c>
      <c r="J464" s="60" t="str">
        <f t="shared" si="15"/>
        <v>Fagus-B3-P3-C2-A4</v>
      </c>
      <c r="K464" s="60" t="s">
        <v>64</v>
      </c>
      <c r="L464" s="60" t="s">
        <v>22</v>
      </c>
      <c r="M464" s="60" t="s">
        <v>74</v>
      </c>
      <c r="N464" s="15">
        <v>463</v>
      </c>
      <c r="O464" s="60">
        <v>9.9</v>
      </c>
      <c r="P464" s="60">
        <v>52</v>
      </c>
      <c r="Q464" s="60">
        <v>9.98</v>
      </c>
      <c r="R464" s="60">
        <v>63</v>
      </c>
      <c r="S464" s="3">
        <v>11.58</v>
      </c>
      <c r="T464" s="3">
        <v>63</v>
      </c>
      <c r="U464" s="3">
        <v>13.18</v>
      </c>
      <c r="V464" s="3">
        <v>66</v>
      </c>
      <c r="W464" s="3">
        <v>13.21</v>
      </c>
      <c r="X464" s="3">
        <v>66.5</v>
      </c>
      <c r="Y464" s="3">
        <v>14.01</v>
      </c>
      <c r="Z464" s="3">
        <v>67</v>
      </c>
      <c r="AA464" s="3">
        <v>13.68</v>
      </c>
      <c r="AB464" s="3">
        <v>69</v>
      </c>
      <c r="AC464" s="3"/>
      <c r="AD464" s="3"/>
    </row>
    <row r="465" spans="1:30" x14ac:dyDescent="0.2">
      <c r="A465" s="60" t="s">
        <v>426</v>
      </c>
      <c r="B465" s="60" t="s">
        <v>98</v>
      </c>
      <c r="C465" s="60" t="s">
        <v>32</v>
      </c>
      <c r="D465" s="60" t="s">
        <v>24</v>
      </c>
      <c r="E465" s="60">
        <v>4</v>
      </c>
      <c r="F465" s="60" t="s">
        <v>506</v>
      </c>
      <c r="G465" s="60" t="s">
        <v>19</v>
      </c>
      <c r="H465" s="60" t="s">
        <v>20</v>
      </c>
      <c r="I465" s="60" t="str">
        <f t="shared" si="14"/>
        <v>B3-P3-C2</v>
      </c>
      <c r="J465" s="60" t="str">
        <f t="shared" si="15"/>
        <v>Fagus-B3-P3-C2-B4</v>
      </c>
      <c r="K465" s="60" t="s">
        <v>64</v>
      </c>
      <c r="L465" s="60" t="s">
        <v>22</v>
      </c>
      <c r="M465" s="60" t="s">
        <v>74</v>
      </c>
      <c r="N465" s="15">
        <v>464</v>
      </c>
      <c r="O465" s="60">
        <v>8.6999999999999993</v>
      </c>
      <c r="P465" s="60">
        <v>55</v>
      </c>
      <c r="Q465" s="60">
        <v>8.6999999999999993</v>
      </c>
      <c r="R465" s="60">
        <v>76</v>
      </c>
      <c r="S465" s="3">
        <v>9.89</v>
      </c>
      <c r="T465" s="3">
        <v>79</v>
      </c>
      <c r="U465" s="3">
        <v>10.4</v>
      </c>
      <c r="V465" s="3">
        <v>78</v>
      </c>
      <c r="W465" s="3">
        <v>11.11</v>
      </c>
      <c r="X465" s="3">
        <v>77.5</v>
      </c>
      <c r="Y465" s="3">
        <v>11.33</v>
      </c>
      <c r="Z465" s="3">
        <v>78</v>
      </c>
      <c r="AA465" s="3">
        <v>13.07</v>
      </c>
      <c r="AB465" s="3">
        <v>79</v>
      </c>
      <c r="AC465" s="3"/>
      <c r="AD465" s="3"/>
    </row>
    <row r="466" spans="1:30" s="38" customFormat="1" x14ac:dyDescent="0.2">
      <c r="A466" s="57" t="s">
        <v>426</v>
      </c>
      <c r="B466" s="57" t="s">
        <v>98</v>
      </c>
      <c r="C466" s="57" t="s">
        <v>42</v>
      </c>
      <c r="D466" s="57" t="s">
        <v>17</v>
      </c>
      <c r="E466" s="57">
        <v>1</v>
      </c>
      <c r="F466" s="57" t="s">
        <v>507</v>
      </c>
      <c r="G466" s="57" t="s">
        <v>35</v>
      </c>
      <c r="H466" s="57" t="s">
        <v>20</v>
      </c>
      <c r="I466" s="57" t="str">
        <f t="shared" si="14"/>
        <v>B3-P3-C3</v>
      </c>
      <c r="J466" s="57" t="str">
        <f t="shared" si="15"/>
        <v>Quercus-B3-P3-C3-A1</v>
      </c>
      <c r="K466" s="57" t="s">
        <v>21</v>
      </c>
      <c r="L466" s="57" t="s">
        <v>22</v>
      </c>
      <c r="M466" s="57" t="s">
        <v>23</v>
      </c>
      <c r="N466" s="37">
        <v>465</v>
      </c>
      <c r="O466" s="57">
        <v>3.5</v>
      </c>
      <c r="P466" s="57">
        <v>24.5</v>
      </c>
      <c r="Q466" s="57">
        <v>4.3499999999999996</v>
      </c>
      <c r="R466" s="57">
        <v>27</v>
      </c>
      <c r="S466" s="57">
        <v>5.39</v>
      </c>
      <c r="T466" s="57">
        <v>31.5</v>
      </c>
      <c r="U466" s="57">
        <v>6.19</v>
      </c>
      <c r="V466" s="57">
        <v>44</v>
      </c>
      <c r="W466" s="57">
        <v>7.38</v>
      </c>
      <c r="X466" s="57">
        <v>43.5</v>
      </c>
      <c r="Y466" s="57">
        <v>9.2899999999999991</v>
      </c>
      <c r="Z466" s="57">
        <v>47</v>
      </c>
      <c r="AA466" s="57">
        <v>9.32</v>
      </c>
      <c r="AB466" s="57">
        <v>50</v>
      </c>
      <c r="AC466" s="57"/>
      <c r="AD466" s="57"/>
    </row>
    <row r="467" spans="1:30" s="38" customFormat="1" x14ac:dyDescent="0.2">
      <c r="A467" s="57" t="s">
        <v>426</v>
      </c>
      <c r="B467" s="57" t="s">
        <v>98</v>
      </c>
      <c r="C467" s="57" t="s">
        <v>42</v>
      </c>
      <c r="D467" s="57" t="s">
        <v>24</v>
      </c>
      <c r="E467" s="57">
        <v>1</v>
      </c>
      <c r="F467" s="57" t="s">
        <v>508</v>
      </c>
      <c r="G467" s="57" t="s">
        <v>35</v>
      </c>
      <c r="H467" s="57" t="s">
        <v>20</v>
      </c>
      <c r="I467" s="57" t="str">
        <f t="shared" si="14"/>
        <v>B3-P3-C3</v>
      </c>
      <c r="J467" s="57" t="str">
        <f t="shared" si="15"/>
        <v>Quercus-B3-P3-C3-B1</v>
      </c>
      <c r="K467" s="57" t="s">
        <v>21</v>
      </c>
      <c r="L467" s="57" t="s">
        <v>22</v>
      </c>
      <c r="M467" s="57" t="s">
        <v>23</v>
      </c>
      <c r="N467" s="37">
        <v>466</v>
      </c>
      <c r="O467" s="57">
        <v>4.7</v>
      </c>
      <c r="P467" s="57">
        <v>40</v>
      </c>
      <c r="Q467" s="57">
        <v>5.64</v>
      </c>
      <c r="R467" s="57">
        <v>47.5</v>
      </c>
      <c r="S467" s="57">
        <v>6.44</v>
      </c>
      <c r="T467" s="57">
        <v>54.5</v>
      </c>
      <c r="U467" s="57">
        <v>7.75</v>
      </c>
      <c r="V467" s="57">
        <v>70</v>
      </c>
      <c r="W467" s="57">
        <v>9.1</v>
      </c>
      <c r="X467" s="57">
        <v>74</v>
      </c>
      <c r="Y467" s="57">
        <v>9.83</v>
      </c>
      <c r="Z467" s="57">
        <v>85</v>
      </c>
      <c r="AA467" s="57">
        <v>11.4</v>
      </c>
      <c r="AB467" s="57">
        <v>87</v>
      </c>
      <c r="AC467" s="57"/>
      <c r="AD467" s="57"/>
    </row>
    <row r="468" spans="1:30" s="38" customFormat="1" x14ac:dyDescent="0.2">
      <c r="A468" s="57" t="s">
        <v>426</v>
      </c>
      <c r="B468" s="57" t="s">
        <v>98</v>
      </c>
      <c r="C468" s="57" t="s">
        <v>42</v>
      </c>
      <c r="D468" s="57" t="s">
        <v>17</v>
      </c>
      <c r="E468" s="57">
        <v>2</v>
      </c>
      <c r="F468" s="57" t="s">
        <v>509</v>
      </c>
      <c r="G468" s="57" t="s">
        <v>35</v>
      </c>
      <c r="H468" s="57" t="s">
        <v>20</v>
      </c>
      <c r="I468" s="57" t="str">
        <f t="shared" si="14"/>
        <v>B3-P3-C3</v>
      </c>
      <c r="J468" s="57" t="str">
        <f t="shared" si="15"/>
        <v>Quercus-B3-P3-C3-A2</v>
      </c>
      <c r="K468" s="57" t="s">
        <v>21</v>
      </c>
      <c r="L468" s="57" t="s">
        <v>22</v>
      </c>
      <c r="M468" s="57" t="s">
        <v>23</v>
      </c>
      <c r="N468" s="37">
        <v>467</v>
      </c>
      <c r="O468" s="57">
        <v>5.3</v>
      </c>
      <c r="P468" s="57">
        <v>36</v>
      </c>
      <c r="Q468" s="57">
        <v>5.64</v>
      </c>
      <c r="R468" s="57">
        <v>39</v>
      </c>
      <c r="S468" s="57">
        <v>6.4</v>
      </c>
      <c r="T468" s="57">
        <v>48</v>
      </c>
      <c r="U468" s="57">
        <v>7.76</v>
      </c>
      <c r="V468" s="57">
        <v>62</v>
      </c>
      <c r="W468" s="57">
        <v>9.08</v>
      </c>
      <c r="X468" s="57">
        <v>58.5</v>
      </c>
      <c r="Y468" s="57">
        <v>10.35</v>
      </c>
      <c r="Z468" s="57">
        <v>65</v>
      </c>
      <c r="AA468" s="57">
        <v>11.83</v>
      </c>
      <c r="AB468" s="57">
        <v>66</v>
      </c>
      <c r="AC468" s="57"/>
      <c r="AD468" s="57"/>
    </row>
    <row r="469" spans="1:30" s="38" customFormat="1" x14ac:dyDescent="0.2">
      <c r="A469" s="57" t="s">
        <v>426</v>
      </c>
      <c r="B469" s="57" t="s">
        <v>98</v>
      </c>
      <c r="C469" s="57" t="s">
        <v>42</v>
      </c>
      <c r="D469" s="57" t="s">
        <v>24</v>
      </c>
      <c r="E469" s="57">
        <v>2</v>
      </c>
      <c r="F469" s="57" t="s">
        <v>510</v>
      </c>
      <c r="G469" s="57" t="s">
        <v>35</v>
      </c>
      <c r="H469" s="57" t="s">
        <v>20</v>
      </c>
      <c r="I469" s="57" t="str">
        <f t="shared" si="14"/>
        <v>B3-P3-C3</v>
      </c>
      <c r="J469" s="57" t="str">
        <f t="shared" si="15"/>
        <v>Quercus-B3-P3-C3-B2</v>
      </c>
      <c r="K469" s="57" t="s">
        <v>21</v>
      </c>
      <c r="L469" s="57" t="s">
        <v>22</v>
      </c>
      <c r="M469" s="57" t="s">
        <v>23</v>
      </c>
      <c r="N469" s="37">
        <v>468</v>
      </c>
      <c r="O469" s="57">
        <v>4.8</v>
      </c>
      <c r="P469" s="57">
        <v>37.5</v>
      </c>
      <c r="Q469" s="57">
        <v>5.7</v>
      </c>
      <c r="R469" s="57">
        <v>39</v>
      </c>
      <c r="S469" s="57">
        <v>6.31</v>
      </c>
      <c r="T469" s="57">
        <v>47</v>
      </c>
      <c r="U469" s="57">
        <v>7.7</v>
      </c>
      <c r="V469" s="57">
        <v>62</v>
      </c>
      <c r="W469" s="57">
        <v>8.6300000000000008</v>
      </c>
      <c r="X469" s="57">
        <v>63</v>
      </c>
      <c r="Y469" s="57">
        <v>9.8800000000000008</v>
      </c>
      <c r="Z469" s="57">
        <v>73</v>
      </c>
      <c r="AA469" s="57">
        <v>11.32</v>
      </c>
      <c r="AB469" s="57">
        <v>75</v>
      </c>
      <c r="AC469" s="57"/>
      <c r="AD469" s="57"/>
    </row>
    <row r="470" spans="1:30" s="38" customFormat="1" x14ac:dyDescent="0.2">
      <c r="A470" s="57" t="s">
        <v>426</v>
      </c>
      <c r="B470" s="57" t="s">
        <v>98</v>
      </c>
      <c r="C470" s="57" t="s">
        <v>42</v>
      </c>
      <c r="D470" s="57" t="s">
        <v>17</v>
      </c>
      <c r="E470" s="57">
        <v>3</v>
      </c>
      <c r="F470" s="57" t="s">
        <v>511</v>
      </c>
      <c r="G470" s="57" t="s">
        <v>35</v>
      </c>
      <c r="H470" s="57" t="s">
        <v>20</v>
      </c>
      <c r="I470" s="57" t="str">
        <f t="shared" si="14"/>
        <v>B3-P3-C3</v>
      </c>
      <c r="J470" s="57" t="str">
        <f t="shared" si="15"/>
        <v>Quercus-B3-P3-C3-A3</v>
      </c>
      <c r="K470" s="57" t="s">
        <v>21</v>
      </c>
      <c r="L470" s="57" t="s">
        <v>22</v>
      </c>
      <c r="M470" s="57" t="s">
        <v>23</v>
      </c>
      <c r="N470" s="37">
        <v>469</v>
      </c>
      <c r="O470" s="57">
        <v>4</v>
      </c>
      <c r="P470" s="57">
        <v>27</v>
      </c>
      <c r="Q470" s="57">
        <v>4.66</v>
      </c>
      <c r="R470" s="57">
        <v>33</v>
      </c>
      <c r="S470" s="57">
        <v>5.13</v>
      </c>
      <c r="T470" s="57">
        <v>42</v>
      </c>
      <c r="U470" s="57">
        <v>6.16</v>
      </c>
      <c r="V470" s="57">
        <v>51</v>
      </c>
      <c r="W470" s="57">
        <v>7.17</v>
      </c>
      <c r="X470" s="57">
        <v>50</v>
      </c>
      <c r="Y470" s="57">
        <v>8.9</v>
      </c>
      <c r="Z470" s="57">
        <v>60</v>
      </c>
      <c r="AA470" s="57">
        <v>10.42</v>
      </c>
      <c r="AB470" s="57">
        <v>63</v>
      </c>
      <c r="AC470" s="57"/>
      <c r="AD470" s="57"/>
    </row>
    <row r="471" spans="1:30" s="38" customFormat="1" x14ac:dyDescent="0.2">
      <c r="A471" s="57" t="s">
        <v>426</v>
      </c>
      <c r="B471" s="57" t="s">
        <v>98</v>
      </c>
      <c r="C471" s="57" t="s">
        <v>42</v>
      </c>
      <c r="D471" s="57" t="s">
        <v>24</v>
      </c>
      <c r="E471" s="57">
        <v>3</v>
      </c>
      <c r="F471" s="57" t="s">
        <v>512</v>
      </c>
      <c r="G471" s="57" t="s">
        <v>35</v>
      </c>
      <c r="H471" s="57" t="s">
        <v>20</v>
      </c>
      <c r="I471" s="57" t="str">
        <f t="shared" si="14"/>
        <v>B3-P3-C3</v>
      </c>
      <c r="J471" s="57" t="str">
        <f t="shared" si="15"/>
        <v>Quercus-B3-P3-C3-B3</v>
      </c>
      <c r="K471" s="57" t="s">
        <v>21</v>
      </c>
      <c r="L471" s="57" t="s">
        <v>22</v>
      </c>
      <c r="M471" s="57" t="s">
        <v>23</v>
      </c>
      <c r="N471" s="37">
        <v>470</v>
      </c>
      <c r="O471" s="57">
        <v>4.5</v>
      </c>
      <c r="P471" s="57">
        <v>35</v>
      </c>
      <c r="Q471" s="57">
        <v>5.35</v>
      </c>
      <c r="R471" s="57">
        <v>43</v>
      </c>
      <c r="S471" s="57">
        <v>5.86</v>
      </c>
      <c r="T471" s="57">
        <v>45</v>
      </c>
      <c r="U471" s="57">
        <v>7.1</v>
      </c>
      <c r="V471" s="57">
        <v>69</v>
      </c>
      <c r="W471" s="57">
        <v>8.86</v>
      </c>
      <c r="X471" s="57">
        <v>75</v>
      </c>
      <c r="Y471" s="57">
        <v>10.23</v>
      </c>
      <c r="Z471" s="57">
        <v>80</v>
      </c>
      <c r="AA471" s="57">
        <v>13.23</v>
      </c>
      <c r="AB471" s="57">
        <v>97</v>
      </c>
      <c r="AC471" s="57"/>
      <c r="AD471" s="57"/>
    </row>
    <row r="472" spans="1:30" s="38" customFormat="1" x14ac:dyDescent="0.2">
      <c r="A472" s="57" t="s">
        <v>426</v>
      </c>
      <c r="B472" s="57" t="s">
        <v>98</v>
      </c>
      <c r="C472" s="57" t="s">
        <v>42</v>
      </c>
      <c r="D472" s="57" t="s">
        <v>17</v>
      </c>
      <c r="E472" s="57">
        <v>4</v>
      </c>
      <c r="F472" s="57" t="s">
        <v>513</v>
      </c>
      <c r="G472" s="57" t="s">
        <v>35</v>
      </c>
      <c r="H472" s="57" t="s">
        <v>20</v>
      </c>
      <c r="I472" s="57" t="str">
        <f t="shared" si="14"/>
        <v>B3-P3-C3</v>
      </c>
      <c r="J472" s="57" t="str">
        <f t="shared" si="15"/>
        <v>Quercus-B3-P3-C3-A4</v>
      </c>
      <c r="K472" s="57" t="s">
        <v>21</v>
      </c>
      <c r="L472" s="57" t="s">
        <v>22</v>
      </c>
      <c r="M472" s="57" t="s">
        <v>23</v>
      </c>
      <c r="N472" s="37">
        <v>471</v>
      </c>
      <c r="O472" s="57">
        <v>5.5</v>
      </c>
      <c r="P472" s="57">
        <v>40</v>
      </c>
      <c r="Q472" s="57">
        <v>6.4</v>
      </c>
      <c r="R472" s="57">
        <v>47</v>
      </c>
      <c r="S472" s="57">
        <v>7.13</v>
      </c>
      <c r="T472" s="57">
        <v>54</v>
      </c>
      <c r="U472" s="57">
        <v>7.89</v>
      </c>
      <c r="V472" s="57">
        <v>74</v>
      </c>
      <c r="W472" s="57">
        <v>9.6199999999999992</v>
      </c>
      <c r="X472" s="57">
        <v>74</v>
      </c>
      <c r="Y472" s="57">
        <v>11.25</v>
      </c>
      <c r="Z472" s="57">
        <v>75</v>
      </c>
      <c r="AA472" s="57">
        <v>14.57</v>
      </c>
      <c r="AB472" s="57">
        <v>86</v>
      </c>
      <c r="AC472" s="57"/>
      <c r="AD472" s="57"/>
    </row>
    <row r="473" spans="1:30" s="38" customFormat="1" x14ac:dyDescent="0.2">
      <c r="A473" s="57" t="s">
        <v>426</v>
      </c>
      <c r="B473" s="57" t="s">
        <v>98</v>
      </c>
      <c r="C473" s="57" t="s">
        <v>42</v>
      </c>
      <c r="D473" s="57" t="s">
        <v>24</v>
      </c>
      <c r="E473" s="57">
        <v>4</v>
      </c>
      <c r="F473" s="57" t="s">
        <v>514</v>
      </c>
      <c r="G473" s="57" t="s">
        <v>35</v>
      </c>
      <c r="H473" s="57" t="s">
        <v>20</v>
      </c>
      <c r="I473" s="57" t="str">
        <f t="shared" si="14"/>
        <v>B3-P3-C3</v>
      </c>
      <c r="J473" s="57" t="str">
        <f t="shared" si="15"/>
        <v>Quercus-B3-P3-C3-B4</v>
      </c>
      <c r="K473" s="57" t="s">
        <v>21</v>
      </c>
      <c r="L473" s="57" t="s">
        <v>22</v>
      </c>
      <c r="M473" s="57" t="s">
        <v>23</v>
      </c>
      <c r="N473" s="37">
        <v>472</v>
      </c>
      <c r="O473" s="57">
        <v>5.4</v>
      </c>
      <c r="P473" s="57">
        <v>33</v>
      </c>
      <c r="Q473" s="57">
        <v>5.62</v>
      </c>
      <c r="R473" s="57">
        <v>39</v>
      </c>
      <c r="S473" s="57">
        <v>5.36</v>
      </c>
      <c r="T473" s="57">
        <v>41</v>
      </c>
      <c r="U473" s="57">
        <v>6.46</v>
      </c>
      <c r="V473" s="57">
        <v>52</v>
      </c>
      <c r="W473" s="57">
        <v>7.85</v>
      </c>
      <c r="X473" s="57">
        <v>51</v>
      </c>
      <c r="Y473" s="57">
        <v>9.1199999999999992</v>
      </c>
      <c r="Z473" s="57">
        <v>62</v>
      </c>
      <c r="AA473" s="57">
        <v>11.49</v>
      </c>
      <c r="AB473" s="57">
        <v>62</v>
      </c>
      <c r="AC473" s="57"/>
      <c r="AD473" s="57"/>
    </row>
    <row r="474" spans="1:30" x14ac:dyDescent="0.2">
      <c r="A474" s="60" t="s">
        <v>426</v>
      </c>
      <c r="B474" s="60" t="s">
        <v>98</v>
      </c>
      <c r="C474" s="60" t="s">
        <v>53</v>
      </c>
      <c r="D474" s="60" t="s">
        <v>17</v>
      </c>
      <c r="E474" s="60">
        <v>1</v>
      </c>
      <c r="F474" s="60" t="s">
        <v>515</v>
      </c>
      <c r="G474" s="60" t="s">
        <v>19</v>
      </c>
      <c r="H474" s="60" t="s">
        <v>20</v>
      </c>
      <c r="I474" s="60" t="str">
        <f t="shared" si="14"/>
        <v>B3-P3-C4</v>
      </c>
      <c r="J474" s="60" t="str">
        <f t="shared" si="15"/>
        <v>Fagus-B3-P3-C4-A1</v>
      </c>
      <c r="K474" s="60" t="s">
        <v>21</v>
      </c>
      <c r="L474" s="60" t="s">
        <v>44</v>
      </c>
      <c r="M474" s="60" t="s">
        <v>45</v>
      </c>
      <c r="N474" s="15">
        <v>473</v>
      </c>
      <c r="O474" s="60">
        <v>10.5</v>
      </c>
      <c r="P474" s="60">
        <v>92.5</v>
      </c>
      <c r="Q474" s="60">
        <v>10.6</v>
      </c>
      <c r="R474" s="60">
        <v>109</v>
      </c>
      <c r="S474" s="3">
        <v>11.81</v>
      </c>
      <c r="T474" s="3">
        <v>124</v>
      </c>
      <c r="U474" s="3">
        <v>11.85</v>
      </c>
      <c r="V474" s="3">
        <v>123</v>
      </c>
      <c r="W474" s="3">
        <v>11.96</v>
      </c>
      <c r="X474" s="3">
        <v>120</v>
      </c>
      <c r="Y474" s="3">
        <v>12.39</v>
      </c>
      <c r="Z474" s="3">
        <v>121</v>
      </c>
      <c r="AA474" s="3">
        <v>12.17</v>
      </c>
      <c r="AB474" s="3">
        <v>123</v>
      </c>
      <c r="AC474" s="3"/>
      <c r="AD474" s="3"/>
    </row>
    <row r="475" spans="1:30" x14ac:dyDescent="0.2">
      <c r="A475" s="60" t="s">
        <v>426</v>
      </c>
      <c r="B475" s="60" t="s">
        <v>98</v>
      </c>
      <c r="C475" s="60" t="s">
        <v>53</v>
      </c>
      <c r="D475" s="60" t="s">
        <v>24</v>
      </c>
      <c r="E475" s="60">
        <v>1</v>
      </c>
      <c r="F475" s="60" t="s">
        <v>516</v>
      </c>
      <c r="G475" s="60" t="s">
        <v>19</v>
      </c>
      <c r="H475" s="60" t="s">
        <v>20</v>
      </c>
      <c r="I475" s="60" t="str">
        <f t="shared" si="14"/>
        <v>B3-P3-C4</v>
      </c>
      <c r="J475" s="60" t="str">
        <f t="shared" si="15"/>
        <v>Fagus-B3-P3-C4-B1</v>
      </c>
      <c r="K475" s="60" t="s">
        <v>21</v>
      </c>
      <c r="L475" s="60" t="s">
        <v>44</v>
      </c>
      <c r="M475" s="60" t="s">
        <v>45</v>
      </c>
      <c r="N475" s="15">
        <v>474</v>
      </c>
      <c r="O475" s="60">
        <v>9.9</v>
      </c>
      <c r="P475" s="60">
        <v>91.5</v>
      </c>
      <c r="Q475" s="60">
        <v>10</v>
      </c>
      <c r="R475" s="60">
        <v>94</v>
      </c>
      <c r="S475" s="3">
        <v>11.65</v>
      </c>
      <c r="T475" s="3">
        <v>93</v>
      </c>
      <c r="U475" s="3">
        <v>11.61</v>
      </c>
      <c r="V475" s="3">
        <v>92</v>
      </c>
      <c r="W475" s="3">
        <v>11.39</v>
      </c>
      <c r="X475" s="3">
        <v>91</v>
      </c>
      <c r="Y475" s="3">
        <v>11.81</v>
      </c>
      <c r="Z475" s="3">
        <v>90</v>
      </c>
      <c r="AA475" s="3">
        <v>12.3</v>
      </c>
      <c r="AB475" s="3">
        <v>93</v>
      </c>
      <c r="AC475" s="3"/>
      <c r="AD475" s="3"/>
    </row>
    <row r="476" spans="1:30" x14ac:dyDescent="0.2">
      <c r="A476" s="60" t="s">
        <v>426</v>
      </c>
      <c r="B476" s="60" t="s">
        <v>98</v>
      </c>
      <c r="C476" s="60" t="s">
        <v>53</v>
      </c>
      <c r="D476" s="60" t="s">
        <v>17</v>
      </c>
      <c r="E476" s="60">
        <v>2</v>
      </c>
      <c r="F476" s="60" t="s">
        <v>517</v>
      </c>
      <c r="G476" s="60" t="s">
        <v>19</v>
      </c>
      <c r="H476" s="60" t="s">
        <v>20</v>
      </c>
      <c r="I476" s="60" t="str">
        <f t="shared" si="14"/>
        <v>B3-P3-C4</v>
      </c>
      <c r="J476" s="60" t="str">
        <f t="shared" si="15"/>
        <v>Fagus-B3-P3-C4-A2</v>
      </c>
      <c r="K476" s="60" t="s">
        <v>21</v>
      </c>
      <c r="L476" s="60" t="s">
        <v>44</v>
      </c>
      <c r="M476" s="60" t="s">
        <v>45</v>
      </c>
      <c r="N476" s="15">
        <v>475</v>
      </c>
      <c r="O476" s="60">
        <v>10.8</v>
      </c>
      <c r="P476" s="60">
        <v>86</v>
      </c>
      <c r="Q476" s="60">
        <v>10.8</v>
      </c>
      <c r="R476" s="60">
        <v>109</v>
      </c>
      <c r="S476" s="3">
        <v>11.59</v>
      </c>
      <c r="T476" s="3">
        <v>112</v>
      </c>
      <c r="U476" s="3">
        <v>11.38</v>
      </c>
      <c r="V476" s="3">
        <v>112</v>
      </c>
      <c r="W476" s="3">
        <v>11.7</v>
      </c>
      <c r="X476" s="3">
        <v>111</v>
      </c>
      <c r="Y476" s="3">
        <v>11.71</v>
      </c>
      <c r="Z476" s="3">
        <v>109</v>
      </c>
      <c r="AA476" s="3">
        <v>11.27</v>
      </c>
      <c r="AB476" s="3">
        <v>112</v>
      </c>
      <c r="AC476" s="3"/>
      <c r="AD476" s="3"/>
    </row>
    <row r="477" spans="1:30" x14ac:dyDescent="0.2">
      <c r="A477" s="60" t="s">
        <v>426</v>
      </c>
      <c r="B477" s="60" t="s">
        <v>98</v>
      </c>
      <c r="C477" s="60" t="s">
        <v>53</v>
      </c>
      <c r="D477" s="60" t="s">
        <v>24</v>
      </c>
      <c r="E477" s="60">
        <v>2</v>
      </c>
      <c r="F477" s="60" t="s">
        <v>518</v>
      </c>
      <c r="G477" s="60" t="s">
        <v>19</v>
      </c>
      <c r="H477" s="60" t="s">
        <v>20</v>
      </c>
      <c r="I477" s="60" t="str">
        <f t="shared" si="14"/>
        <v>B3-P3-C4</v>
      </c>
      <c r="J477" s="60" t="str">
        <f t="shared" si="15"/>
        <v>Fagus-B3-P3-C4-B2</v>
      </c>
      <c r="K477" s="60" t="s">
        <v>21</v>
      </c>
      <c r="L477" s="60" t="s">
        <v>44</v>
      </c>
      <c r="M477" s="60" t="s">
        <v>45</v>
      </c>
      <c r="N477" s="15">
        <v>476</v>
      </c>
      <c r="O477" s="60">
        <v>9.4</v>
      </c>
      <c r="P477" s="60">
        <v>75.5</v>
      </c>
      <c r="Q477" s="60">
        <v>9.4</v>
      </c>
      <c r="R477" s="60">
        <v>102</v>
      </c>
      <c r="S477" s="3">
        <v>10.36</v>
      </c>
      <c r="T477" s="3">
        <v>101.5</v>
      </c>
      <c r="U477" s="3">
        <v>10.37</v>
      </c>
      <c r="V477" s="3">
        <v>101</v>
      </c>
      <c r="W477" s="3">
        <v>10.8</v>
      </c>
      <c r="X477" s="3">
        <v>102</v>
      </c>
      <c r="Y477" s="3">
        <v>11.05</v>
      </c>
      <c r="Z477" s="3">
        <v>99</v>
      </c>
      <c r="AA477" s="3">
        <v>10.79</v>
      </c>
      <c r="AB477" s="3">
        <v>103</v>
      </c>
      <c r="AC477" s="3"/>
      <c r="AD477" s="3"/>
    </row>
    <row r="478" spans="1:30" x14ac:dyDescent="0.2">
      <c r="A478" s="60" t="s">
        <v>426</v>
      </c>
      <c r="B478" s="60" t="s">
        <v>98</v>
      </c>
      <c r="C478" s="60" t="s">
        <v>53</v>
      </c>
      <c r="D478" s="60" t="s">
        <v>17</v>
      </c>
      <c r="E478" s="60">
        <v>3</v>
      </c>
      <c r="F478" s="60" t="s">
        <v>519</v>
      </c>
      <c r="G478" s="60" t="s">
        <v>19</v>
      </c>
      <c r="H478" s="60" t="s">
        <v>20</v>
      </c>
      <c r="I478" s="60" t="str">
        <f t="shared" si="14"/>
        <v>B3-P3-C4</v>
      </c>
      <c r="J478" s="60" t="str">
        <f t="shared" si="15"/>
        <v>Fagus-B3-P3-C4-A3</v>
      </c>
      <c r="K478" s="60" t="s">
        <v>21</v>
      </c>
      <c r="L478" s="60" t="s">
        <v>44</v>
      </c>
      <c r="M478" s="60" t="s">
        <v>45</v>
      </c>
      <c r="N478" s="15">
        <v>477</v>
      </c>
      <c r="O478" s="60">
        <v>10</v>
      </c>
      <c r="P478" s="60">
        <v>74</v>
      </c>
      <c r="Q478" s="60">
        <v>10</v>
      </c>
      <c r="R478" s="60">
        <v>85</v>
      </c>
      <c r="S478" s="3">
        <v>10.37</v>
      </c>
      <c r="T478" s="3">
        <v>84</v>
      </c>
      <c r="U478" s="3">
        <v>10.25</v>
      </c>
      <c r="V478" s="3">
        <v>83</v>
      </c>
      <c r="W478" s="3">
        <v>10.130000000000001</v>
      </c>
      <c r="X478" s="3">
        <v>84</v>
      </c>
      <c r="Y478" s="3">
        <v>10.16</v>
      </c>
      <c r="Z478" s="3">
        <v>83</v>
      </c>
      <c r="AA478" s="3">
        <v>11.31</v>
      </c>
      <c r="AB478" s="3">
        <v>83</v>
      </c>
      <c r="AC478" s="3"/>
      <c r="AD478" s="3"/>
    </row>
    <row r="479" spans="1:30" x14ac:dyDescent="0.2">
      <c r="A479" s="60" t="s">
        <v>426</v>
      </c>
      <c r="B479" s="60" t="s">
        <v>98</v>
      </c>
      <c r="C479" s="60" t="s">
        <v>53</v>
      </c>
      <c r="D479" s="60" t="s">
        <v>24</v>
      </c>
      <c r="E479" s="60">
        <v>3</v>
      </c>
      <c r="F479" s="60" t="s">
        <v>520</v>
      </c>
      <c r="G479" s="60" t="s">
        <v>19</v>
      </c>
      <c r="H479" s="60" t="s">
        <v>20</v>
      </c>
      <c r="I479" s="60" t="str">
        <f t="shared" si="14"/>
        <v>B3-P3-C4</v>
      </c>
      <c r="J479" s="60" t="str">
        <f t="shared" si="15"/>
        <v>Fagus-B3-P3-C4-B3</v>
      </c>
      <c r="K479" s="60" t="s">
        <v>21</v>
      </c>
      <c r="L479" s="60" t="s">
        <v>44</v>
      </c>
      <c r="M479" s="60" t="s">
        <v>45</v>
      </c>
      <c r="N479" s="15">
        <v>478</v>
      </c>
      <c r="O479" s="60">
        <v>10.1</v>
      </c>
      <c r="P479" s="60">
        <v>70</v>
      </c>
      <c r="Q479" s="60">
        <v>10.119999999999999</v>
      </c>
      <c r="R479" s="60">
        <v>97</v>
      </c>
      <c r="S479" s="3">
        <v>10.71</v>
      </c>
      <c r="T479" s="3">
        <v>102</v>
      </c>
      <c r="U479" s="3">
        <v>11.32</v>
      </c>
      <c r="V479" s="3">
        <v>102</v>
      </c>
      <c r="W479" s="3">
        <v>11.26</v>
      </c>
      <c r="X479" s="3">
        <v>101</v>
      </c>
      <c r="Y479" s="3">
        <v>11.3</v>
      </c>
      <c r="Z479" s="3">
        <v>101</v>
      </c>
      <c r="AA479" s="3">
        <v>11.42</v>
      </c>
      <c r="AB479" s="3">
        <v>102</v>
      </c>
      <c r="AC479" s="3"/>
      <c r="AD479" s="3"/>
    </row>
    <row r="480" spans="1:30" x14ac:dyDescent="0.2">
      <c r="A480" s="60" t="s">
        <v>426</v>
      </c>
      <c r="B480" s="60" t="s">
        <v>98</v>
      </c>
      <c r="C480" s="60" t="s">
        <v>53</v>
      </c>
      <c r="D480" s="60" t="s">
        <v>17</v>
      </c>
      <c r="E480" s="60">
        <v>4</v>
      </c>
      <c r="F480" s="60" t="s">
        <v>521</v>
      </c>
      <c r="G480" s="60" t="s">
        <v>19</v>
      </c>
      <c r="H480" s="60" t="s">
        <v>20</v>
      </c>
      <c r="I480" s="60" t="str">
        <f t="shared" si="14"/>
        <v>B3-P3-C4</v>
      </c>
      <c r="J480" s="60" t="str">
        <f t="shared" si="15"/>
        <v>Fagus-B3-P3-C4-A4</v>
      </c>
      <c r="K480" s="60" t="s">
        <v>21</v>
      </c>
      <c r="L480" s="60" t="s">
        <v>44</v>
      </c>
      <c r="M480" s="60" t="s">
        <v>45</v>
      </c>
      <c r="N480" s="15">
        <v>479</v>
      </c>
      <c r="O480" s="60">
        <v>11.1</v>
      </c>
      <c r="P480" s="60">
        <v>73</v>
      </c>
      <c r="Q480" s="60">
        <v>11.15</v>
      </c>
      <c r="R480" s="60">
        <v>80</v>
      </c>
      <c r="S480" s="3">
        <v>11.83</v>
      </c>
      <c r="T480" s="3">
        <v>79</v>
      </c>
      <c r="U480" s="3">
        <v>11.82</v>
      </c>
      <c r="V480" s="3">
        <v>81</v>
      </c>
      <c r="W480" s="3">
        <v>11.9</v>
      </c>
      <c r="X480" s="3">
        <v>80</v>
      </c>
      <c r="Y480" s="3">
        <v>11.96</v>
      </c>
      <c r="Z480" s="3">
        <v>80</v>
      </c>
      <c r="AA480" s="3">
        <v>12.49</v>
      </c>
      <c r="AB480" s="3">
        <v>79</v>
      </c>
      <c r="AC480" s="3"/>
      <c r="AD480" s="3"/>
    </row>
    <row r="481" spans="1:30" x14ac:dyDescent="0.2">
      <c r="A481" s="60" t="s">
        <v>426</v>
      </c>
      <c r="B481" s="60" t="s">
        <v>98</v>
      </c>
      <c r="C481" s="60" t="s">
        <v>53</v>
      </c>
      <c r="D481" s="60" t="s">
        <v>24</v>
      </c>
      <c r="E481" s="60">
        <v>4</v>
      </c>
      <c r="F481" s="60" t="s">
        <v>522</v>
      </c>
      <c r="G481" s="60" t="s">
        <v>19</v>
      </c>
      <c r="H481" s="60" t="s">
        <v>20</v>
      </c>
      <c r="I481" s="60" t="str">
        <f t="shared" si="14"/>
        <v>B3-P3-C4</v>
      </c>
      <c r="J481" s="60" t="str">
        <f t="shared" si="15"/>
        <v>Fagus-B3-P3-C4-B4</v>
      </c>
      <c r="K481" s="60" t="s">
        <v>21</v>
      </c>
      <c r="L481" s="60" t="s">
        <v>44</v>
      </c>
      <c r="M481" s="60" t="s">
        <v>45</v>
      </c>
      <c r="N481" s="15">
        <v>480</v>
      </c>
      <c r="O481" s="60">
        <v>11.9</v>
      </c>
      <c r="P481" s="60">
        <v>118.5</v>
      </c>
      <c r="Q481" s="60">
        <v>11.95</v>
      </c>
      <c r="R481" s="60">
        <v>151</v>
      </c>
      <c r="S481" s="3">
        <v>12.91</v>
      </c>
      <c r="T481" s="3">
        <v>158.5</v>
      </c>
      <c r="U481" s="3">
        <v>13.05</v>
      </c>
      <c r="V481" s="3">
        <v>155</v>
      </c>
      <c r="W481" s="3">
        <v>12.98</v>
      </c>
      <c r="X481" s="3">
        <v>157</v>
      </c>
      <c r="Y481" s="3">
        <v>13.37</v>
      </c>
      <c r="Z481" s="3">
        <v>155</v>
      </c>
      <c r="AA481" s="3">
        <v>13.75</v>
      </c>
      <c r="AB481" s="3">
        <v>158</v>
      </c>
      <c r="AC481" s="3"/>
      <c r="AD481" s="3"/>
    </row>
    <row r="482" spans="1:30" s="38" customFormat="1" x14ac:dyDescent="0.2">
      <c r="A482" s="57" t="s">
        <v>426</v>
      </c>
      <c r="B482" s="57" t="s">
        <v>131</v>
      </c>
      <c r="C482" s="57" t="s">
        <v>16</v>
      </c>
      <c r="D482" s="57" t="s">
        <v>17</v>
      </c>
      <c r="E482" s="57">
        <v>1</v>
      </c>
      <c r="F482" s="57" t="s">
        <v>523</v>
      </c>
      <c r="G482" s="57" t="s">
        <v>19</v>
      </c>
      <c r="H482" s="57" t="s">
        <v>133</v>
      </c>
      <c r="I482" s="57" t="str">
        <f t="shared" si="14"/>
        <v>B3-P4-C1</v>
      </c>
      <c r="J482" s="57" t="str">
        <f t="shared" si="15"/>
        <v>Fagus-B3-P4-C1-A1</v>
      </c>
      <c r="K482" s="57" t="s">
        <v>64</v>
      </c>
      <c r="L482" s="57" t="s">
        <v>22</v>
      </c>
      <c r="M482" s="57" t="s">
        <v>202</v>
      </c>
      <c r="N482" s="37">
        <v>481</v>
      </c>
      <c r="O482" s="57">
        <v>10.8</v>
      </c>
      <c r="P482" s="57">
        <v>69.5</v>
      </c>
      <c r="Q482" s="57">
        <v>10.98</v>
      </c>
      <c r="R482" s="57">
        <v>94.5</v>
      </c>
      <c r="S482" s="57">
        <v>12.55</v>
      </c>
      <c r="T482" s="57">
        <v>95</v>
      </c>
      <c r="U482" s="57">
        <v>13.17</v>
      </c>
      <c r="V482" s="57">
        <v>95</v>
      </c>
      <c r="W482" s="57">
        <v>13.56</v>
      </c>
      <c r="X482" s="57">
        <v>95</v>
      </c>
      <c r="Y482" s="57">
        <v>14</v>
      </c>
      <c r="Z482" s="57">
        <v>95</v>
      </c>
      <c r="AA482" s="57">
        <v>14.03</v>
      </c>
      <c r="AB482" s="57">
        <v>94</v>
      </c>
      <c r="AC482" s="57"/>
      <c r="AD482" s="57"/>
    </row>
    <row r="483" spans="1:30" s="38" customFormat="1" x14ac:dyDescent="0.2">
      <c r="A483" s="57" t="s">
        <v>426</v>
      </c>
      <c r="B483" s="57" t="s">
        <v>131</v>
      </c>
      <c r="C483" s="57" t="s">
        <v>16</v>
      </c>
      <c r="D483" s="57" t="s">
        <v>24</v>
      </c>
      <c r="E483" s="57">
        <v>1</v>
      </c>
      <c r="F483" s="57" t="s">
        <v>524</v>
      </c>
      <c r="G483" s="57" t="s">
        <v>19</v>
      </c>
      <c r="H483" s="57" t="s">
        <v>133</v>
      </c>
      <c r="I483" s="57" t="str">
        <f t="shared" si="14"/>
        <v>B3-P4-C1</v>
      </c>
      <c r="J483" s="57" t="str">
        <f t="shared" si="15"/>
        <v>Fagus-B3-P4-C1-B1</v>
      </c>
      <c r="K483" s="57" t="s">
        <v>64</v>
      </c>
      <c r="L483" s="57" t="s">
        <v>22</v>
      </c>
      <c r="M483" s="57" t="s">
        <v>202</v>
      </c>
      <c r="N483" s="37">
        <v>482</v>
      </c>
      <c r="O483" s="57">
        <v>12.3</v>
      </c>
      <c r="P483" s="57">
        <v>112</v>
      </c>
      <c r="Q483" s="57">
        <v>12.3</v>
      </c>
      <c r="R483" s="57">
        <v>136</v>
      </c>
      <c r="S483" s="57">
        <v>13.83</v>
      </c>
      <c r="T483" s="57">
        <v>139</v>
      </c>
      <c r="U483" s="57">
        <v>14.83</v>
      </c>
      <c r="V483" s="57">
        <v>141</v>
      </c>
      <c r="W483" s="57">
        <v>15.71</v>
      </c>
      <c r="X483" s="57">
        <v>141</v>
      </c>
      <c r="Y483" s="57">
        <v>15.96</v>
      </c>
      <c r="Z483" s="57">
        <v>138</v>
      </c>
      <c r="AA483" s="57">
        <v>15.92</v>
      </c>
      <c r="AB483" s="57">
        <v>140</v>
      </c>
      <c r="AC483" s="57"/>
      <c r="AD483" s="57"/>
    </row>
    <row r="484" spans="1:30" s="38" customFormat="1" x14ac:dyDescent="0.2">
      <c r="A484" s="57" t="s">
        <v>426</v>
      </c>
      <c r="B484" s="57" t="s">
        <v>131</v>
      </c>
      <c r="C484" s="57" t="s">
        <v>16</v>
      </c>
      <c r="D484" s="57" t="s">
        <v>17</v>
      </c>
      <c r="E484" s="57">
        <v>2</v>
      </c>
      <c r="F484" s="57" t="s">
        <v>525</v>
      </c>
      <c r="G484" s="57" t="s">
        <v>19</v>
      </c>
      <c r="H484" s="57" t="s">
        <v>133</v>
      </c>
      <c r="I484" s="57" t="str">
        <f t="shared" si="14"/>
        <v>B3-P4-C1</v>
      </c>
      <c r="J484" s="57" t="str">
        <f t="shared" si="15"/>
        <v>Fagus-B3-P4-C1-A2</v>
      </c>
      <c r="K484" s="57" t="s">
        <v>64</v>
      </c>
      <c r="L484" s="57" t="s">
        <v>22</v>
      </c>
      <c r="M484" s="57" t="s">
        <v>202</v>
      </c>
      <c r="N484" s="37">
        <v>483</v>
      </c>
      <c r="O484" s="57">
        <v>10.7</v>
      </c>
      <c r="P484" s="57">
        <v>81.5</v>
      </c>
      <c r="Q484" s="57">
        <v>10.95</v>
      </c>
      <c r="R484" s="57">
        <v>83</v>
      </c>
      <c r="S484" s="57">
        <v>11.74</v>
      </c>
      <c r="T484" s="57">
        <v>91</v>
      </c>
      <c r="U484" s="57">
        <v>12.35</v>
      </c>
      <c r="V484" s="57">
        <v>90</v>
      </c>
      <c r="W484" s="57">
        <v>12.63</v>
      </c>
      <c r="X484" s="57">
        <v>90</v>
      </c>
      <c r="Y484" s="57">
        <v>13</v>
      </c>
      <c r="Z484" s="57">
        <v>88</v>
      </c>
      <c r="AA484" s="57">
        <v>12.83</v>
      </c>
      <c r="AB484" s="57">
        <v>87</v>
      </c>
      <c r="AC484" s="57"/>
      <c r="AD484" s="57"/>
    </row>
    <row r="485" spans="1:30" s="38" customFormat="1" x14ac:dyDescent="0.2">
      <c r="A485" s="57" t="s">
        <v>426</v>
      </c>
      <c r="B485" s="57" t="s">
        <v>131</v>
      </c>
      <c r="C485" s="57" t="s">
        <v>16</v>
      </c>
      <c r="D485" s="57" t="s">
        <v>24</v>
      </c>
      <c r="E485" s="57">
        <v>2</v>
      </c>
      <c r="F485" s="57" t="s">
        <v>526</v>
      </c>
      <c r="G485" s="57" t="s">
        <v>19</v>
      </c>
      <c r="H485" s="57" t="s">
        <v>133</v>
      </c>
      <c r="I485" s="57" t="str">
        <f t="shared" si="14"/>
        <v>B3-P4-C1</v>
      </c>
      <c r="J485" s="57" t="str">
        <f t="shared" si="15"/>
        <v>Fagus-B3-P4-C1-B2</v>
      </c>
      <c r="K485" s="57" t="s">
        <v>64</v>
      </c>
      <c r="L485" s="57" t="s">
        <v>22</v>
      </c>
      <c r="M485" s="57" t="s">
        <v>202</v>
      </c>
      <c r="N485" s="37">
        <v>484</v>
      </c>
      <c r="O485" s="57">
        <v>9.6999999999999993</v>
      </c>
      <c r="P485" s="57">
        <v>79</v>
      </c>
      <c r="Q485" s="57">
        <v>11.4</v>
      </c>
      <c r="R485" s="57">
        <v>98</v>
      </c>
      <c r="S485" s="57">
        <v>10.92</v>
      </c>
      <c r="T485" s="57">
        <v>111</v>
      </c>
      <c r="U485" s="57">
        <v>12.14</v>
      </c>
      <c r="V485" s="57">
        <v>112</v>
      </c>
      <c r="W485" s="57">
        <v>12.61</v>
      </c>
      <c r="X485" s="57">
        <v>110</v>
      </c>
      <c r="Y485" s="57">
        <v>13</v>
      </c>
      <c r="Z485" s="57">
        <v>110</v>
      </c>
      <c r="AA485" s="57">
        <v>13.72</v>
      </c>
      <c r="AB485" s="57">
        <v>110</v>
      </c>
      <c r="AC485" s="57"/>
      <c r="AD485" s="57"/>
    </row>
    <row r="486" spans="1:30" s="38" customFormat="1" x14ac:dyDescent="0.2">
      <c r="A486" s="57" t="s">
        <v>426</v>
      </c>
      <c r="B486" s="57" t="s">
        <v>131</v>
      </c>
      <c r="C486" s="57" t="s">
        <v>16</v>
      </c>
      <c r="D486" s="57" t="s">
        <v>17</v>
      </c>
      <c r="E486" s="57">
        <v>3</v>
      </c>
      <c r="F486" s="57" t="s">
        <v>527</v>
      </c>
      <c r="G486" s="57" t="s">
        <v>19</v>
      </c>
      <c r="H486" s="57" t="s">
        <v>133</v>
      </c>
      <c r="I486" s="57" t="str">
        <f t="shared" si="14"/>
        <v>B3-P4-C1</v>
      </c>
      <c r="J486" s="57" t="str">
        <f t="shared" si="15"/>
        <v>Fagus-B3-P4-C1-A3</v>
      </c>
      <c r="K486" s="57" t="s">
        <v>64</v>
      </c>
      <c r="L486" s="57" t="s">
        <v>22</v>
      </c>
      <c r="M486" s="57" t="s">
        <v>202</v>
      </c>
      <c r="N486" s="37">
        <v>485</v>
      </c>
      <c r="O486" s="57">
        <v>10.3</v>
      </c>
      <c r="P486" s="57">
        <v>86</v>
      </c>
      <c r="Q486" s="57">
        <v>10.75</v>
      </c>
      <c r="R486" s="57">
        <v>93</v>
      </c>
      <c r="S486" s="57">
        <v>12.58</v>
      </c>
      <c r="T486" s="57">
        <v>98</v>
      </c>
      <c r="U486" s="57">
        <v>13.77</v>
      </c>
      <c r="V486" s="57">
        <v>95</v>
      </c>
      <c r="W486" s="57">
        <v>15.01</v>
      </c>
      <c r="X486" s="57">
        <v>94</v>
      </c>
      <c r="Y486" s="57">
        <v>15.16</v>
      </c>
      <c r="Z486" s="57">
        <v>93</v>
      </c>
      <c r="AA486" s="57">
        <v>15.71</v>
      </c>
      <c r="AB486" s="57">
        <v>94</v>
      </c>
      <c r="AC486" s="57"/>
      <c r="AD486" s="57"/>
    </row>
    <row r="487" spans="1:30" s="38" customFormat="1" x14ac:dyDescent="0.2">
      <c r="A487" s="57" t="s">
        <v>426</v>
      </c>
      <c r="B487" s="57" t="s">
        <v>131</v>
      </c>
      <c r="C487" s="57" t="s">
        <v>16</v>
      </c>
      <c r="D487" s="57" t="s">
        <v>24</v>
      </c>
      <c r="E487" s="57">
        <v>3</v>
      </c>
      <c r="F487" s="57" t="s">
        <v>528</v>
      </c>
      <c r="G487" s="57" t="s">
        <v>19</v>
      </c>
      <c r="H487" s="57" t="s">
        <v>133</v>
      </c>
      <c r="I487" s="57" t="str">
        <f t="shared" si="14"/>
        <v>B3-P4-C1</v>
      </c>
      <c r="J487" s="57" t="str">
        <f t="shared" si="15"/>
        <v>Fagus-B3-P4-C1-B3</v>
      </c>
      <c r="K487" s="57" t="s">
        <v>64</v>
      </c>
      <c r="L487" s="57" t="s">
        <v>22</v>
      </c>
      <c r="M487" s="57" t="s">
        <v>202</v>
      </c>
      <c r="N487" s="37">
        <v>486</v>
      </c>
      <c r="O487" s="57">
        <v>9.4</v>
      </c>
      <c r="P487" s="57">
        <v>92</v>
      </c>
      <c r="Q487" s="57">
        <v>9.85</v>
      </c>
      <c r="R487" s="57">
        <v>102</v>
      </c>
      <c r="S487" s="57">
        <v>11.25</v>
      </c>
      <c r="T487" s="57">
        <v>104</v>
      </c>
      <c r="U487" s="57">
        <v>12.2</v>
      </c>
      <c r="V487" s="57">
        <v>105</v>
      </c>
      <c r="W487" s="57">
        <v>12.98</v>
      </c>
      <c r="X487" s="57">
        <v>105</v>
      </c>
      <c r="Y487" s="57">
        <v>13.51</v>
      </c>
      <c r="Z487" s="57">
        <v>103</v>
      </c>
      <c r="AA487" s="57">
        <v>13.89</v>
      </c>
      <c r="AB487" s="57">
        <v>103</v>
      </c>
      <c r="AC487" s="57"/>
      <c r="AD487" s="57"/>
    </row>
    <row r="488" spans="1:30" s="38" customFormat="1" x14ac:dyDescent="0.2">
      <c r="A488" s="57" t="s">
        <v>426</v>
      </c>
      <c r="B488" s="57" t="s">
        <v>131</v>
      </c>
      <c r="C488" s="57" t="s">
        <v>16</v>
      </c>
      <c r="D488" s="57" t="s">
        <v>17</v>
      </c>
      <c r="E488" s="57">
        <v>4</v>
      </c>
      <c r="F488" s="57" t="s">
        <v>529</v>
      </c>
      <c r="G488" s="57" t="s">
        <v>19</v>
      </c>
      <c r="H488" s="57" t="s">
        <v>133</v>
      </c>
      <c r="I488" s="57" t="str">
        <f t="shared" si="14"/>
        <v>B3-P4-C1</v>
      </c>
      <c r="J488" s="57" t="str">
        <f t="shared" si="15"/>
        <v>Fagus-B3-P4-C1-A4</v>
      </c>
      <c r="K488" s="57" t="s">
        <v>64</v>
      </c>
      <c r="L488" s="57" t="s">
        <v>22</v>
      </c>
      <c r="M488" s="57" t="s">
        <v>202</v>
      </c>
      <c r="N488" s="37">
        <v>487</v>
      </c>
      <c r="O488" s="57">
        <v>10.1</v>
      </c>
      <c r="P488" s="57">
        <v>59.5</v>
      </c>
      <c r="Q488" s="57">
        <v>10.73</v>
      </c>
      <c r="R488" s="57">
        <v>67</v>
      </c>
      <c r="S488" s="57">
        <v>11.85</v>
      </c>
      <c r="T488" s="57">
        <v>72</v>
      </c>
      <c r="U488" s="57">
        <v>13.35</v>
      </c>
      <c r="V488" s="57">
        <v>71</v>
      </c>
      <c r="W488" s="57">
        <v>14.82</v>
      </c>
      <c r="X488" s="57">
        <v>70.5</v>
      </c>
      <c r="Y488" s="57">
        <v>14.98</v>
      </c>
      <c r="Z488" s="57">
        <v>70</v>
      </c>
      <c r="AA488" s="57">
        <v>15.5</v>
      </c>
      <c r="AB488" s="57">
        <v>72</v>
      </c>
      <c r="AC488" s="57"/>
      <c r="AD488" s="57"/>
    </row>
    <row r="489" spans="1:30" s="38" customFormat="1" x14ac:dyDescent="0.2">
      <c r="A489" s="57" t="s">
        <v>426</v>
      </c>
      <c r="B489" s="57" t="s">
        <v>131</v>
      </c>
      <c r="C489" s="57" t="s">
        <v>16</v>
      </c>
      <c r="D489" s="57" t="s">
        <v>24</v>
      </c>
      <c r="E489" s="57">
        <v>4</v>
      </c>
      <c r="F489" s="57" t="s">
        <v>530</v>
      </c>
      <c r="G489" s="57" t="s">
        <v>19</v>
      </c>
      <c r="H489" s="57" t="s">
        <v>133</v>
      </c>
      <c r="I489" s="57" t="str">
        <f t="shared" si="14"/>
        <v>B3-P4-C1</v>
      </c>
      <c r="J489" s="57" t="str">
        <f t="shared" si="15"/>
        <v>Fagus-B3-P4-C1-B4</v>
      </c>
      <c r="K489" s="57" t="s">
        <v>64</v>
      </c>
      <c r="L489" s="57" t="s">
        <v>22</v>
      </c>
      <c r="M489" s="57" t="s">
        <v>202</v>
      </c>
      <c r="N489" s="37">
        <v>488</v>
      </c>
      <c r="O489" s="57">
        <v>9.6</v>
      </c>
      <c r="P489" s="57">
        <v>66</v>
      </c>
      <c r="Q489" s="57">
        <v>9.8699999999999992</v>
      </c>
      <c r="R489" s="57">
        <v>79</v>
      </c>
      <c r="S489" s="57">
        <v>12.29</v>
      </c>
      <c r="T489" s="57">
        <v>79</v>
      </c>
      <c r="U489" s="57">
        <v>13.32</v>
      </c>
      <c r="V489" s="57">
        <v>88</v>
      </c>
      <c r="W489" s="57">
        <v>13.88</v>
      </c>
      <c r="X489" s="57">
        <v>94</v>
      </c>
      <c r="Y489" s="57">
        <v>14.2</v>
      </c>
      <c r="Z489" s="57">
        <v>95</v>
      </c>
      <c r="AA489" s="57">
        <v>14.39</v>
      </c>
      <c r="AB489" s="57">
        <v>95</v>
      </c>
      <c r="AC489" s="57"/>
      <c r="AD489" s="57"/>
    </row>
    <row r="490" spans="1:30" x14ac:dyDescent="0.2">
      <c r="A490" s="60" t="s">
        <v>426</v>
      </c>
      <c r="B490" s="60" t="s">
        <v>131</v>
      </c>
      <c r="C490" s="60" t="s">
        <v>32</v>
      </c>
      <c r="D490" s="60" t="s">
        <v>17</v>
      </c>
      <c r="E490" s="60">
        <v>1</v>
      </c>
      <c r="F490" s="60" t="s">
        <v>531</v>
      </c>
      <c r="G490" s="60" t="s">
        <v>35</v>
      </c>
      <c r="H490" s="60" t="s">
        <v>133</v>
      </c>
      <c r="I490" s="60" t="str">
        <f t="shared" si="14"/>
        <v>B3-P4-C2</v>
      </c>
      <c r="J490" s="60" t="str">
        <f t="shared" si="15"/>
        <v>Quercus-B3-P4-C2-A1</v>
      </c>
      <c r="K490" s="60" t="s">
        <v>64</v>
      </c>
      <c r="L490" s="60" t="s">
        <v>22</v>
      </c>
      <c r="M490" s="60" t="s">
        <v>202</v>
      </c>
      <c r="N490" s="15">
        <v>489</v>
      </c>
      <c r="O490" s="60">
        <v>5.7</v>
      </c>
      <c r="P490" s="60">
        <v>36</v>
      </c>
      <c r="Q490" s="60">
        <v>6.41</v>
      </c>
      <c r="R490" s="60">
        <v>43.5</v>
      </c>
      <c r="S490" s="3">
        <v>7.51</v>
      </c>
      <c r="T490" s="3">
        <v>48</v>
      </c>
      <c r="U490" s="3">
        <v>8.56</v>
      </c>
      <c r="V490" s="3">
        <v>64</v>
      </c>
      <c r="W490" s="3">
        <v>10.53</v>
      </c>
      <c r="X490" s="3">
        <v>71</v>
      </c>
      <c r="Y490" s="3">
        <v>11.57</v>
      </c>
      <c r="Z490" s="3">
        <v>82</v>
      </c>
      <c r="AA490" s="3">
        <v>13.81</v>
      </c>
      <c r="AB490" s="3">
        <v>93</v>
      </c>
      <c r="AC490" s="3"/>
      <c r="AD490" s="3"/>
    </row>
    <row r="491" spans="1:30" x14ac:dyDescent="0.2">
      <c r="A491" s="60" t="s">
        <v>426</v>
      </c>
      <c r="B491" s="60" t="s">
        <v>131</v>
      </c>
      <c r="C491" s="60" t="s">
        <v>32</v>
      </c>
      <c r="D491" s="60" t="s">
        <v>24</v>
      </c>
      <c r="E491" s="60">
        <v>1</v>
      </c>
      <c r="F491" s="60" t="s">
        <v>532</v>
      </c>
      <c r="G491" s="60" t="s">
        <v>35</v>
      </c>
      <c r="H491" s="60" t="s">
        <v>133</v>
      </c>
      <c r="I491" s="60" t="str">
        <f t="shared" si="14"/>
        <v>B3-P4-C2</v>
      </c>
      <c r="J491" s="60" t="str">
        <f t="shared" si="15"/>
        <v>Quercus-B3-P4-C2-B1</v>
      </c>
      <c r="K491" s="60" t="s">
        <v>64</v>
      </c>
      <c r="L491" s="60" t="s">
        <v>22</v>
      </c>
      <c r="M491" s="60" t="s">
        <v>202</v>
      </c>
      <c r="N491" s="15">
        <v>490</v>
      </c>
      <c r="O491" s="60">
        <v>5.2</v>
      </c>
      <c r="P491" s="60">
        <v>47.5</v>
      </c>
      <c r="Q491" s="60">
        <v>5.79</v>
      </c>
      <c r="R491" s="60">
        <v>60</v>
      </c>
      <c r="S491" s="3">
        <v>6.75</v>
      </c>
      <c r="T491" s="3">
        <v>66</v>
      </c>
      <c r="U491" s="3">
        <v>9.3800000000000008</v>
      </c>
      <c r="V491" s="3">
        <v>79</v>
      </c>
      <c r="W491" s="3">
        <v>11.23</v>
      </c>
      <c r="X491" s="3">
        <v>81</v>
      </c>
      <c r="Y491" s="3">
        <v>13.21</v>
      </c>
      <c r="Z491" s="3">
        <v>88</v>
      </c>
      <c r="AA491" s="3">
        <v>16.489999999999998</v>
      </c>
      <c r="AB491" s="3">
        <v>99</v>
      </c>
      <c r="AC491" s="3"/>
      <c r="AD491" s="3"/>
    </row>
    <row r="492" spans="1:30" x14ac:dyDescent="0.2">
      <c r="A492" s="60" t="s">
        <v>426</v>
      </c>
      <c r="B492" s="60" t="s">
        <v>131</v>
      </c>
      <c r="C492" s="60" t="s">
        <v>32</v>
      </c>
      <c r="D492" s="60" t="s">
        <v>17</v>
      </c>
      <c r="E492" s="60">
        <v>2</v>
      </c>
      <c r="F492" s="60" t="s">
        <v>533</v>
      </c>
      <c r="G492" s="60" t="s">
        <v>35</v>
      </c>
      <c r="H492" s="60" t="s">
        <v>133</v>
      </c>
      <c r="I492" s="60" t="str">
        <f t="shared" si="14"/>
        <v>B3-P4-C2</v>
      </c>
      <c r="J492" s="60" t="str">
        <f t="shared" si="15"/>
        <v>Quercus-B3-P4-C2-A2</v>
      </c>
      <c r="K492" s="60" t="s">
        <v>64</v>
      </c>
      <c r="L492" s="60" t="s">
        <v>22</v>
      </c>
      <c r="M492" s="60" t="s">
        <v>202</v>
      </c>
      <c r="N492" s="15">
        <v>491</v>
      </c>
      <c r="O492" s="60">
        <v>5.9</v>
      </c>
      <c r="P492" s="60">
        <v>44</v>
      </c>
      <c r="Q492" s="60">
        <v>6.83</v>
      </c>
      <c r="R492" s="60">
        <v>53</v>
      </c>
      <c r="S492" s="3">
        <v>7.38</v>
      </c>
      <c r="T492" s="3">
        <v>70</v>
      </c>
      <c r="U492" s="3">
        <v>8.64</v>
      </c>
      <c r="V492" s="3">
        <v>82.5</v>
      </c>
      <c r="W492" s="3">
        <v>10.42</v>
      </c>
      <c r="X492" s="3">
        <v>87</v>
      </c>
      <c r="Y492" s="3">
        <v>11.34</v>
      </c>
      <c r="Z492" s="3">
        <v>86</v>
      </c>
      <c r="AA492" s="3">
        <v>14.06</v>
      </c>
      <c r="AB492" s="3">
        <v>97</v>
      </c>
      <c r="AC492" s="3"/>
      <c r="AD492" s="3"/>
    </row>
    <row r="493" spans="1:30" x14ac:dyDescent="0.2">
      <c r="A493" s="60" t="s">
        <v>426</v>
      </c>
      <c r="B493" s="60" t="s">
        <v>131</v>
      </c>
      <c r="C493" s="60" t="s">
        <v>32</v>
      </c>
      <c r="D493" s="60" t="s">
        <v>24</v>
      </c>
      <c r="E493" s="60">
        <v>2</v>
      </c>
      <c r="F493" s="60" t="s">
        <v>534</v>
      </c>
      <c r="G493" s="60" t="s">
        <v>35</v>
      </c>
      <c r="H493" s="60" t="s">
        <v>133</v>
      </c>
      <c r="I493" s="60" t="str">
        <f t="shared" si="14"/>
        <v>B3-P4-C2</v>
      </c>
      <c r="J493" s="60" t="str">
        <f t="shared" si="15"/>
        <v>Quercus-B3-P4-C2-B2</v>
      </c>
      <c r="K493" s="60" t="s">
        <v>64</v>
      </c>
      <c r="L493" s="60" t="s">
        <v>22</v>
      </c>
      <c r="M493" s="60" t="s">
        <v>202</v>
      </c>
      <c r="N493" s="15">
        <v>492</v>
      </c>
      <c r="O493" s="60">
        <v>5.6</v>
      </c>
      <c r="P493" s="60">
        <v>37</v>
      </c>
      <c r="Q493" s="60">
        <v>6.45</v>
      </c>
      <c r="R493" s="60">
        <v>42</v>
      </c>
      <c r="S493" s="3">
        <v>6.63</v>
      </c>
      <c r="T493" s="3">
        <v>47.5</v>
      </c>
      <c r="U493" s="3">
        <v>8.0500000000000007</v>
      </c>
      <c r="V493" s="3">
        <v>61</v>
      </c>
      <c r="W493" s="3">
        <v>9.2799999999999994</v>
      </c>
      <c r="X493" s="3">
        <v>62</v>
      </c>
      <c r="Y493" s="3">
        <v>10.220000000000001</v>
      </c>
      <c r="Z493" s="3">
        <v>79</v>
      </c>
      <c r="AA493" s="3">
        <v>12.48</v>
      </c>
      <c r="AB493" s="3">
        <v>79</v>
      </c>
      <c r="AC493" s="3"/>
      <c r="AD493" s="3"/>
    </row>
    <row r="494" spans="1:30" x14ac:dyDescent="0.2">
      <c r="A494" s="60" t="s">
        <v>426</v>
      </c>
      <c r="B494" s="60" t="s">
        <v>131</v>
      </c>
      <c r="C494" s="60" t="s">
        <v>32</v>
      </c>
      <c r="D494" s="60" t="s">
        <v>17</v>
      </c>
      <c r="E494" s="60">
        <v>3</v>
      </c>
      <c r="F494" s="60" t="s">
        <v>535</v>
      </c>
      <c r="G494" s="60" t="s">
        <v>35</v>
      </c>
      <c r="H494" s="60" t="s">
        <v>133</v>
      </c>
      <c r="I494" s="60" t="str">
        <f t="shared" si="14"/>
        <v>B3-P4-C2</v>
      </c>
      <c r="J494" s="60" t="str">
        <f t="shared" si="15"/>
        <v>Quercus-B3-P4-C2-A3</v>
      </c>
      <c r="K494" s="60" t="s">
        <v>64</v>
      </c>
      <c r="L494" s="60" t="s">
        <v>22</v>
      </c>
      <c r="M494" s="60" t="s">
        <v>202</v>
      </c>
      <c r="N494" s="15">
        <v>493</v>
      </c>
      <c r="O494" s="60">
        <v>5.2</v>
      </c>
      <c r="P494" s="60">
        <v>29</v>
      </c>
      <c r="Q494" s="60">
        <v>5.97</v>
      </c>
      <c r="R494" s="60">
        <v>36</v>
      </c>
      <c r="S494" s="3">
        <v>5.84</v>
      </c>
      <c r="T494" s="3">
        <v>37</v>
      </c>
      <c r="U494" s="3">
        <v>5.76</v>
      </c>
      <c r="V494" s="3">
        <v>50</v>
      </c>
      <c r="W494" s="3">
        <v>7.13</v>
      </c>
      <c r="X494" s="3">
        <v>54</v>
      </c>
      <c r="Y494" s="3">
        <v>7.94</v>
      </c>
      <c r="Z494" s="3">
        <v>59</v>
      </c>
      <c r="AA494" s="3">
        <v>10.02</v>
      </c>
      <c r="AB494" s="3">
        <v>69</v>
      </c>
      <c r="AC494" s="3"/>
      <c r="AD494" s="3"/>
    </row>
    <row r="495" spans="1:30" x14ac:dyDescent="0.2">
      <c r="A495" s="60" t="s">
        <v>426</v>
      </c>
      <c r="B495" s="60" t="s">
        <v>131</v>
      </c>
      <c r="C495" s="60" t="s">
        <v>32</v>
      </c>
      <c r="D495" s="60" t="s">
        <v>24</v>
      </c>
      <c r="E495" s="60">
        <v>3</v>
      </c>
      <c r="F495" s="60" t="s">
        <v>536</v>
      </c>
      <c r="G495" s="60" t="s">
        <v>35</v>
      </c>
      <c r="H495" s="60" t="s">
        <v>133</v>
      </c>
      <c r="I495" s="60" t="str">
        <f t="shared" si="14"/>
        <v>B3-P4-C2</v>
      </c>
      <c r="J495" s="60" t="str">
        <f t="shared" si="15"/>
        <v>Quercus-B3-P4-C2-B3</v>
      </c>
      <c r="K495" s="60" t="s">
        <v>64</v>
      </c>
      <c r="L495" s="60" t="s">
        <v>22</v>
      </c>
      <c r="M495" s="60" t="s">
        <v>202</v>
      </c>
      <c r="N495" s="15">
        <v>494</v>
      </c>
      <c r="O495" s="60">
        <v>4.3</v>
      </c>
      <c r="P495" s="60">
        <v>35</v>
      </c>
      <c r="Q495" s="60">
        <v>5.0199999999999996</v>
      </c>
      <c r="R495" s="60">
        <v>43</v>
      </c>
      <c r="S495" s="3">
        <v>5.07</v>
      </c>
      <c r="T495" s="3">
        <v>43</v>
      </c>
      <c r="U495" s="3">
        <v>5.4</v>
      </c>
      <c r="V495" s="3">
        <v>53</v>
      </c>
      <c r="W495" s="3">
        <v>7.21</v>
      </c>
      <c r="X495" s="3">
        <v>53</v>
      </c>
      <c r="Y495" s="3">
        <v>6.54</v>
      </c>
      <c r="Z495" s="3">
        <v>68</v>
      </c>
      <c r="AA495" s="3">
        <v>7.19</v>
      </c>
      <c r="AB495" s="3">
        <v>66</v>
      </c>
      <c r="AC495" s="3"/>
      <c r="AD495" s="3"/>
    </row>
    <row r="496" spans="1:30" x14ac:dyDescent="0.2">
      <c r="A496" s="60" t="s">
        <v>426</v>
      </c>
      <c r="B496" s="60" t="s">
        <v>131</v>
      </c>
      <c r="C496" s="60" t="s">
        <v>32</v>
      </c>
      <c r="D496" s="60" t="s">
        <v>17</v>
      </c>
      <c r="E496" s="60">
        <v>4</v>
      </c>
      <c r="F496" s="60" t="s">
        <v>537</v>
      </c>
      <c r="G496" s="60" t="s">
        <v>35</v>
      </c>
      <c r="H496" s="60" t="s">
        <v>133</v>
      </c>
      <c r="I496" s="60" t="str">
        <f t="shared" si="14"/>
        <v>B3-P4-C2</v>
      </c>
      <c r="J496" s="60" t="str">
        <f t="shared" si="15"/>
        <v>Quercus-B3-P4-C2-A4</v>
      </c>
      <c r="K496" s="60" t="s">
        <v>64</v>
      </c>
      <c r="L496" s="60" t="s">
        <v>22</v>
      </c>
      <c r="M496" s="60" t="s">
        <v>202</v>
      </c>
      <c r="N496" s="15">
        <v>495</v>
      </c>
      <c r="O496" s="60">
        <v>5.9</v>
      </c>
      <c r="P496" s="60">
        <v>41</v>
      </c>
      <c r="Q496" s="60">
        <v>6.7</v>
      </c>
      <c r="R496" s="60">
        <v>47</v>
      </c>
      <c r="S496" s="3">
        <v>6.92</v>
      </c>
      <c r="T496" s="3">
        <v>49</v>
      </c>
      <c r="U496" s="3">
        <v>7.97</v>
      </c>
      <c r="V496" s="3">
        <v>62</v>
      </c>
      <c r="W496" s="3">
        <v>9.64</v>
      </c>
      <c r="X496" s="3">
        <v>60.5</v>
      </c>
      <c r="Y496" s="3">
        <v>9.9</v>
      </c>
      <c r="Z496" s="3">
        <v>69</v>
      </c>
      <c r="AA496" s="3">
        <v>11.91</v>
      </c>
      <c r="AB496" s="3">
        <v>67</v>
      </c>
      <c r="AC496" s="3"/>
      <c r="AD496" s="3"/>
    </row>
    <row r="497" spans="1:30" x14ac:dyDescent="0.2">
      <c r="A497" s="60" t="s">
        <v>426</v>
      </c>
      <c r="B497" s="60" t="s">
        <v>131</v>
      </c>
      <c r="C497" s="60" t="s">
        <v>32</v>
      </c>
      <c r="D497" s="60" t="s">
        <v>24</v>
      </c>
      <c r="E497" s="60">
        <v>4</v>
      </c>
      <c r="F497" s="60" t="s">
        <v>538</v>
      </c>
      <c r="G497" s="60" t="s">
        <v>35</v>
      </c>
      <c r="H497" s="60" t="s">
        <v>133</v>
      </c>
      <c r="I497" s="60" t="str">
        <f t="shared" si="14"/>
        <v>B3-P4-C2</v>
      </c>
      <c r="J497" s="60" t="str">
        <f t="shared" si="15"/>
        <v>Quercus-B3-P4-C2-B4</v>
      </c>
      <c r="K497" s="60" t="s">
        <v>64</v>
      </c>
      <c r="L497" s="60" t="s">
        <v>22</v>
      </c>
      <c r="M497" s="60" t="s">
        <v>202</v>
      </c>
      <c r="N497" s="15">
        <v>496</v>
      </c>
      <c r="O497" s="60">
        <v>5.0999999999999996</v>
      </c>
      <c r="P497" s="60">
        <v>30</v>
      </c>
      <c r="Q497" s="60">
        <v>5.56</v>
      </c>
      <c r="R497" s="60">
        <v>41.5</v>
      </c>
      <c r="S497" s="3">
        <v>6.45</v>
      </c>
      <c r="T497" s="3">
        <v>43</v>
      </c>
      <c r="U497" s="3">
        <v>7.05</v>
      </c>
      <c r="V497" s="3">
        <v>56</v>
      </c>
      <c r="W497" s="3">
        <v>8.35</v>
      </c>
      <c r="X497" s="3">
        <v>57</v>
      </c>
      <c r="Y497" s="3">
        <v>9.61</v>
      </c>
      <c r="Z497" s="3">
        <v>64</v>
      </c>
      <c r="AA497" s="3">
        <v>11.48</v>
      </c>
      <c r="AB497" s="3">
        <v>63</v>
      </c>
      <c r="AC497" s="3"/>
      <c r="AD497" s="3"/>
    </row>
    <row r="498" spans="1:30" s="38" customFormat="1" x14ac:dyDescent="0.2">
      <c r="A498" s="57" t="s">
        <v>426</v>
      </c>
      <c r="B498" s="57" t="s">
        <v>131</v>
      </c>
      <c r="C498" s="57" t="s">
        <v>42</v>
      </c>
      <c r="D498" s="57" t="s">
        <v>17</v>
      </c>
      <c r="E498" s="57">
        <v>1</v>
      </c>
      <c r="F498" s="57" t="s">
        <v>539</v>
      </c>
      <c r="G498" s="57" t="s">
        <v>19</v>
      </c>
      <c r="H498" s="57" t="s">
        <v>133</v>
      </c>
      <c r="I498" s="57" t="str">
        <f t="shared" si="14"/>
        <v>B3-P4-C3</v>
      </c>
      <c r="J498" s="57" t="str">
        <f t="shared" si="15"/>
        <v>Fagus-B3-P4-C3-A1</v>
      </c>
      <c r="K498" s="57" t="s">
        <v>64</v>
      </c>
      <c r="L498" s="57" t="s">
        <v>22</v>
      </c>
      <c r="M498" s="57" t="s">
        <v>202</v>
      </c>
      <c r="N498" s="37">
        <v>497</v>
      </c>
      <c r="O498" s="57">
        <v>9.8000000000000007</v>
      </c>
      <c r="P498" s="57">
        <v>45.5</v>
      </c>
      <c r="Q498" s="57">
        <v>9.89</v>
      </c>
      <c r="R498" s="57">
        <v>66</v>
      </c>
      <c r="S498" s="57">
        <v>11.06</v>
      </c>
      <c r="T498" s="57">
        <v>72</v>
      </c>
      <c r="U498" s="57">
        <v>12.86</v>
      </c>
      <c r="V498" s="57">
        <v>88</v>
      </c>
      <c r="W498" s="57">
        <v>13.42</v>
      </c>
      <c r="X498" s="57">
        <v>103</v>
      </c>
      <c r="Y498" s="57">
        <v>13.51</v>
      </c>
      <c r="Z498" s="57">
        <v>112</v>
      </c>
      <c r="AA498" s="57">
        <v>14.2</v>
      </c>
      <c r="AB498" s="57">
        <v>112.5</v>
      </c>
      <c r="AC498" s="57"/>
      <c r="AD498" s="57"/>
    </row>
    <row r="499" spans="1:30" s="38" customFormat="1" x14ac:dyDescent="0.2">
      <c r="A499" s="57" t="s">
        <v>426</v>
      </c>
      <c r="B499" s="57" t="s">
        <v>131</v>
      </c>
      <c r="C499" s="57" t="s">
        <v>42</v>
      </c>
      <c r="D499" s="57" t="s">
        <v>24</v>
      </c>
      <c r="E499" s="57">
        <v>1</v>
      </c>
      <c r="F499" s="57" t="s">
        <v>540</v>
      </c>
      <c r="G499" s="57" t="s">
        <v>35</v>
      </c>
      <c r="H499" s="57" t="s">
        <v>133</v>
      </c>
      <c r="I499" s="57" t="str">
        <f t="shared" si="14"/>
        <v>B3-P4-C3</v>
      </c>
      <c r="J499" s="57" t="str">
        <f t="shared" si="15"/>
        <v>Quercus-B3-P4-C3-B1</v>
      </c>
      <c r="K499" s="57" t="s">
        <v>64</v>
      </c>
      <c r="L499" s="57" t="s">
        <v>22</v>
      </c>
      <c r="M499" s="57" t="s">
        <v>202</v>
      </c>
      <c r="N499" s="37">
        <v>498</v>
      </c>
      <c r="O499" s="57">
        <v>5.7</v>
      </c>
      <c r="P499" s="57">
        <v>37.5</v>
      </c>
      <c r="Q499" s="57">
        <v>6.41</v>
      </c>
      <c r="R499" s="57">
        <v>42</v>
      </c>
      <c r="S499" s="57">
        <v>7.04</v>
      </c>
      <c r="T499" s="57">
        <v>43</v>
      </c>
      <c r="U499" s="57">
        <v>7.88</v>
      </c>
      <c r="V499" s="57">
        <v>48</v>
      </c>
      <c r="W499" s="57">
        <v>9.0399999999999991</v>
      </c>
      <c r="X499" s="57">
        <v>50</v>
      </c>
      <c r="Y499" s="57">
        <v>9.82</v>
      </c>
      <c r="Z499" s="57">
        <v>52</v>
      </c>
      <c r="AA499" s="57">
        <v>11.42</v>
      </c>
      <c r="AB499" s="57">
        <v>50</v>
      </c>
      <c r="AC499" s="57"/>
      <c r="AD499" s="57"/>
    </row>
    <row r="500" spans="1:30" s="38" customFormat="1" x14ac:dyDescent="0.2">
      <c r="A500" s="57" t="s">
        <v>426</v>
      </c>
      <c r="B500" s="57" t="s">
        <v>131</v>
      </c>
      <c r="C500" s="57" t="s">
        <v>42</v>
      </c>
      <c r="D500" s="57" t="s">
        <v>17</v>
      </c>
      <c r="E500" s="57">
        <v>2</v>
      </c>
      <c r="F500" s="57" t="s">
        <v>541</v>
      </c>
      <c r="G500" s="57" t="s">
        <v>35</v>
      </c>
      <c r="H500" s="57" t="s">
        <v>133</v>
      </c>
      <c r="I500" s="57" t="str">
        <f t="shared" si="14"/>
        <v>B3-P4-C3</v>
      </c>
      <c r="J500" s="57" t="str">
        <f t="shared" si="15"/>
        <v>Quercus-B3-P4-C3-A2</v>
      </c>
      <c r="K500" s="57" t="s">
        <v>64</v>
      </c>
      <c r="L500" s="57" t="s">
        <v>22</v>
      </c>
      <c r="M500" s="57" t="s">
        <v>202</v>
      </c>
      <c r="N500" s="37">
        <v>499</v>
      </c>
      <c r="O500" s="57">
        <v>4.3</v>
      </c>
      <c r="P500" s="57">
        <v>46</v>
      </c>
      <c r="Q500" s="57">
        <v>4.9800000000000004</v>
      </c>
      <c r="R500" s="57">
        <v>46</v>
      </c>
      <c r="S500" s="57">
        <v>5.36</v>
      </c>
      <c r="T500" s="57">
        <v>52.5</v>
      </c>
      <c r="U500" s="57">
        <v>5.38</v>
      </c>
      <c r="V500" s="57">
        <v>53</v>
      </c>
      <c r="W500" s="57">
        <v>6.07</v>
      </c>
      <c r="X500" s="57">
        <v>58</v>
      </c>
      <c r="Y500" s="57">
        <v>6.41</v>
      </c>
      <c r="Z500" s="57">
        <v>65</v>
      </c>
      <c r="AA500" s="57">
        <v>6.67</v>
      </c>
      <c r="AB500" s="57">
        <v>67</v>
      </c>
      <c r="AC500" s="57"/>
      <c r="AD500" s="57"/>
    </row>
    <row r="501" spans="1:30" s="38" customFormat="1" x14ac:dyDescent="0.2">
      <c r="A501" s="57" t="s">
        <v>426</v>
      </c>
      <c r="B501" s="57" t="s">
        <v>131</v>
      </c>
      <c r="C501" s="57" t="s">
        <v>42</v>
      </c>
      <c r="D501" s="57" t="s">
        <v>24</v>
      </c>
      <c r="E501" s="57">
        <v>2</v>
      </c>
      <c r="F501" s="57" t="s">
        <v>542</v>
      </c>
      <c r="G501" s="57" t="s">
        <v>19</v>
      </c>
      <c r="H501" s="57" t="s">
        <v>133</v>
      </c>
      <c r="I501" s="57" t="str">
        <f t="shared" si="14"/>
        <v>B3-P4-C3</v>
      </c>
      <c r="J501" s="57" t="str">
        <f t="shared" si="15"/>
        <v>Fagus-B3-P4-C3-B2</v>
      </c>
      <c r="K501" s="57" t="s">
        <v>64</v>
      </c>
      <c r="L501" s="57" t="s">
        <v>22</v>
      </c>
      <c r="M501" s="57" t="s">
        <v>202</v>
      </c>
      <c r="N501" s="37">
        <v>500</v>
      </c>
      <c r="O501" s="57">
        <v>10.3</v>
      </c>
      <c r="P501" s="57">
        <v>74.5</v>
      </c>
      <c r="Q501" s="57">
        <v>10.62</v>
      </c>
      <c r="R501" s="57">
        <v>99</v>
      </c>
      <c r="S501" s="57">
        <v>11.37</v>
      </c>
      <c r="T501" s="57">
        <v>109</v>
      </c>
      <c r="U501" s="57">
        <v>12.85</v>
      </c>
      <c r="V501" s="57">
        <v>121</v>
      </c>
      <c r="W501" s="57">
        <v>14.76</v>
      </c>
      <c r="X501" s="57">
        <v>125.5</v>
      </c>
      <c r="Y501" s="57">
        <v>14.36</v>
      </c>
      <c r="Z501" s="57">
        <v>124</v>
      </c>
      <c r="AA501" s="57">
        <v>14.4</v>
      </c>
      <c r="AB501" s="57">
        <v>132</v>
      </c>
      <c r="AC501" s="57"/>
      <c r="AD501" s="57"/>
    </row>
    <row r="502" spans="1:30" s="38" customFormat="1" x14ac:dyDescent="0.2">
      <c r="A502" s="57" t="s">
        <v>426</v>
      </c>
      <c r="B502" s="57" t="s">
        <v>131</v>
      </c>
      <c r="C502" s="57" t="s">
        <v>42</v>
      </c>
      <c r="D502" s="57" t="s">
        <v>17</v>
      </c>
      <c r="E502" s="57">
        <v>3</v>
      </c>
      <c r="F502" s="57" t="s">
        <v>543</v>
      </c>
      <c r="G502" s="57" t="s">
        <v>19</v>
      </c>
      <c r="H502" s="57" t="s">
        <v>133</v>
      </c>
      <c r="I502" s="57" t="str">
        <f t="shared" si="14"/>
        <v>B3-P4-C3</v>
      </c>
      <c r="J502" s="57" t="str">
        <f t="shared" si="15"/>
        <v>Fagus-B3-P4-C3-A3</v>
      </c>
      <c r="K502" s="57" t="s">
        <v>64</v>
      </c>
      <c r="L502" s="57" t="s">
        <v>22</v>
      </c>
      <c r="M502" s="57" t="s">
        <v>202</v>
      </c>
      <c r="N502" s="37">
        <v>501</v>
      </c>
      <c r="O502" s="57">
        <v>9.5</v>
      </c>
      <c r="P502" s="57">
        <v>61</v>
      </c>
      <c r="Q502" s="57">
        <v>9.69</v>
      </c>
      <c r="R502" s="57">
        <v>79</v>
      </c>
      <c r="S502" s="57">
        <v>11.36</v>
      </c>
      <c r="T502" s="57">
        <v>87</v>
      </c>
      <c r="U502" s="57">
        <v>13.39</v>
      </c>
      <c r="V502" s="57">
        <v>101</v>
      </c>
      <c r="W502" s="57">
        <v>14.82</v>
      </c>
      <c r="X502" s="57">
        <v>103</v>
      </c>
      <c r="Y502" s="57">
        <v>14.89</v>
      </c>
      <c r="Z502" s="57">
        <v>103</v>
      </c>
      <c r="AA502" s="57">
        <v>15.1</v>
      </c>
      <c r="AB502" s="57">
        <v>108</v>
      </c>
      <c r="AC502" s="57"/>
      <c r="AD502" s="57"/>
    </row>
    <row r="503" spans="1:30" s="38" customFormat="1" x14ac:dyDescent="0.2">
      <c r="A503" s="57" t="s">
        <v>426</v>
      </c>
      <c r="B503" s="57" t="s">
        <v>131</v>
      </c>
      <c r="C503" s="57" t="s">
        <v>42</v>
      </c>
      <c r="D503" s="57" t="s">
        <v>24</v>
      </c>
      <c r="E503" s="57">
        <v>3</v>
      </c>
      <c r="F503" s="57" t="s">
        <v>544</v>
      </c>
      <c r="G503" s="57" t="s">
        <v>35</v>
      </c>
      <c r="H503" s="57" t="s">
        <v>133</v>
      </c>
      <c r="I503" s="57" t="str">
        <f t="shared" si="14"/>
        <v>B3-P4-C3</v>
      </c>
      <c r="J503" s="57" t="str">
        <f t="shared" si="15"/>
        <v>Quercus-B3-P4-C3-B3</v>
      </c>
      <c r="K503" s="57" t="s">
        <v>64</v>
      </c>
      <c r="L503" s="57" t="s">
        <v>22</v>
      </c>
      <c r="M503" s="57" t="s">
        <v>202</v>
      </c>
      <c r="N503" s="37">
        <v>502</v>
      </c>
      <c r="O503" s="57">
        <v>5.5</v>
      </c>
      <c r="P503" s="57">
        <v>43</v>
      </c>
      <c r="Q503" s="57">
        <v>6.25</v>
      </c>
      <c r="R503" s="57">
        <v>53</v>
      </c>
      <c r="S503" s="57">
        <v>6.3</v>
      </c>
      <c r="T503" s="57">
        <v>55</v>
      </c>
      <c r="U503" s="57">
        <v>7.2</v>
      </c>
      <c r="V503" s="57">
        <v>70.5</v>
      </c>
      <c r="W503" s="57">
        <v>7.37</v>
      </c>
      <c r="X503" s="57">
        <v>72</v>
      </c>
      <c r="Y503" s="57">
        <v>8.15</v>
      </c>
      <c r="Z503" s="57">
        <v>84</v>
      </c>
      <c r="AA503" s="57">
        <v>9.27</v>
      </c>
      <c r="AB503" s="57">
        <v>82</v>
      </c>
      <c r="AC503" s="57"/>
      <c r="AD503" s="57"/>
    </row>
    <row r="504" spans="1:30" s="38" customFormat="1" x14ac:dyDescent="0.2">
      <c r="A504" s="57" t="s">
        <v>426</v>
      </c>
      <c r="B504" s="57" t="s">
        <v>131</v>
      </c>
      <c r="C504" s="57" t="s">
        <v>42</v>
      </c>
      <c r="D504" s="57" t="s">
        <v>17</v>
      </c>
      <c r="E504" s="57">
        <v>4</v>
      </c>
      <c r="F504" s="57" t="s">
        <v>545</v>
      </c>
      <c r="G504" s="57" t="s">
        <v>35</v>
      </c>
      <c r="H504" s="57" t="s">
        <v>133</v>
      </c>
      <c r="I504" s="57" t="str">
        <f t="shared" si="14"/>
        <v>B3-P4-C3</v>
      </c>
      <c r="J504" s="57" t="str">
        <f t="shared" si="15"/>
        <v>Quercus-B3-P4-C3-A4</v>
      </c>
      <c r="K504" s="57" t="s">
        <v>64</v>
      </c>
      <c r="L504" s="57" t="s">
        <v>22</v>
      </c>
      <c r="M504" s="57" t="s">
        <v>202</v>
      </c>
      <c r="N504" s="37">
        <v>503</v>
      </c>
      <c r="O504" s="57">
        <v>5.6</v>
      </c>
      <c r="P504" s="57">
        <v>54.5</v>
      </c>
      <c r="Q504" s="57">
        <v>6.73</v>
      </c>
      <c r="R504" s="57">
        <v>66</v>
      </c>
      <c r="S504" s="57">
        <v>7.28</v>
      </c>
      <c r="T504" s="57">
        <v>71</v>
      </c>
      <c r="U504" s="57">
        <v>8.56</v>
      </c>
      <c r="V504" s="57">
        <v>82</v>
      </c>
      <c r="W504" s="57">
        <v>9.48</v>
      </c>
      <c r="X504" s="57">
        <v>81</v>
      </c>
      <c r="Y504" s="57">
        <v>11.6</v>
      </c>
      <c r="Z504" s="57">
        <v>97</v>
      </c>
      <c r="AA504" s="57">
        <v>13.6</v>
      </c>
      <c r="AB504" s="57">
        <v>97</v>
      </c>
      <c r="AC504" s="57"/>
      <c r="AD504" s="57"/>
    </row>
    <row r="505" spans="1:30" s="38" customFormat="1" x14ac:dyDescent="0.2">
      <c r="A505" s="57" t="s">
        <v>426</v>
      </c>
      <c r="B505" s="57" t="s">
        <v>131</v>
      </c>
      <c r="C505" s="57" t="s">
        <v>42</v>
      </c>
      <c r="D505" s="57" t="s">
        <v>24</v>
      </c>
      <c r="E505" s="57">
        <v>4</v>
      </c>
      <c r="F505" s="57" t="s">
        <v>546</v>
      </c>
      <c r="G505" s="57" t="s">
        <v>19</v>
      </c>
      <c r="H505" s="57" t="s">
        <v>133</v>
      </c>
      <c r="I505" s="57" t="str">
        <f t="shared" si="14"/>
        <v>B3-P4-C3</v>
      </c>
      <c r="J505" s="57" t="str">
        <f t="shared" si="15"/>
        <v>Fagus-B3-P4-C3-B4</v>
      </c>
      <c r="K505" s="57" t="s">
        <v>64</v>
      </c>
      <c r="L505" s="57" t="s">
        <v>22</v>
      </c>
      <c r="M505" s="57" t="s">
        <v>202</v>
      </c>
      <c r="N505" s="37">
        <v>504</v>
      </c>
      <c r="O505" s="57">
        <v>9.4</v>
      </c>
      <c r="P505" s="57">
        <v>57.5</v>
      </c>
      <c r="Q505" s="57">
        <v>9.59</v>
      </c>
      <c r="R505" s="57">
        <v>77</v>
      </c>
      <c r="S505" s="57">
        <v>11.98</v>
      </c>
      <c r="T505" s="57">
        <v>77</v>
      </c>
      <c r="U505" s="57">
        <v>13.73</v>
      </c>
      <c r="V505" s="57">
        <v>100</v>
      </c>
      <c r="W505" s="57">
        <v>14.75</v>
      </c>
      <c r="X505" s="57">
        <v>105</v>
      </c>
      <c r="Y505" s="57">
        <v>14.87</v>
      </c>
      <c r="Z505" s="57">
        <v>104</v>
      </c>
      <c r="AA505" s="57">
        <v>14.79</v>
      </c>
      <c r="AB505" s="57">
        <v>103</v>
      </c>
      <c r="AC505" s="57"/>
      <c r="AD505" s="57"/>
    </row>
    <row r="506" spans="1:30" x14ac:dyDescent="0.2">
      <c r="A506" s="60" t="s">
        <v>426</v>
      </c>
      <c r="B506" s="60" t="s">
        <v>131</v>
      </c>
      <c r="C506" s="60" t="s">
        <v>53</v>
      </c>
      <c r="D506" s="60" t="s">
        <v>17</v>
      </c>
      <c r="E506" s="60">
        <v>1</v>
      </c>
      <c r="F506" s="60" t="s">
        <v>547</v>
      </c>
      <c r="G506" s="60" t="s">
        <v>35</v>
      </c>
      <c r="H506" s="60" t="s">
        <v>133</v>
      </c>
      <c r="I506" s="60" t="str">
        <f t="shared" si="14"/>
        <v>B3-P4-C4</v>
      </c>
      <c r="J506" s="60" t="str">
        <f t="shared" si="15"/>
        <v>Quercus-B3-P4-C4-A1</v>
      </c>
      <c r="K506" s="60" t="s">
        <v>64</v>
      </c>
      <c r="L506" s="60" t="s">
        <v>44</v>
      </c>
      <c r="M506" s="60" t="s">
        <v>169</v>
      </c>
      <c r="N506" s="15">
        <v>505</v>
      </c>
      <c r="O506" s="60">
        <v>5</v>
      </c>
      <c r="P506" s="60">
        <v>28</v>
      </c>
      <c r="Q506" s="60">
        <v>5.35</v>
      </c>
      <c r="R506" s="60">
        <v>45</v>
      </c>
      <c r="S506" s="3">
        <v>6.05</v>
      </c>
      <c r="T506" s="3">
        <v>46</v>
      </c>
      <c r="U506" s="3">
        <v>6.84</v>
      </c>
      <c r="V506" s="3">
        <v>45</v>
      </c>
      <c r="W506" s="3">
        <v>6.79</v>
      </c>
      <c r="X506" s="3">
        <v>49</v>
      </c>
      <c r="Y506" s="3">
        <v>7.39</v>
      </c>
      <c r="Z506" s="3">
        <v>54</v>
      </c>
      <c r="AA506" s="3">
        <v>7.96</v>
      </c>
      <c r="AB506" s="3">
        <v>55</v>
      </c>
      <c r="AC506" s="3"/>
      <c r="AD506" s="3"/>
    </row>
    <row r="507" spans="1:30" x14ac:dyDescent="0.2">
      <c r="A507" s="60" t="s">
        <v>426</v>
      </c>
      <c r="B507" s="60" t="s">
        <v>131</v>
      </c>
      <c r="C507" s="60" t="s">
        <v>53</v>
      </c>
      <c r="D507" s="60" t="s">
        <v>24</v>
      </c>
      <c r="E507" s="60">
        <v>1</v>
      </c>
      <c r="F507" s="60" t="s">
        <v>548</v>
      </c>
      <c r="G507" s="60" t="s">
        <v>19</v>
      </c>
      <c r="H507" s="60" t="s">
        <v>133</v>
      </c>
      <c r="I507" s="60" t="str">
        <f t="shared" si="14"/>
        <v>B3-P4-C4</v>
      </c>
      <c r="J507" s="60" t="str">
        <f t="shared" si="15"/>
        <v>Fagus-B3-P4-C4-B1</v>
      </c>
      <c r="K507" s="60" t="s">
        <v>64</v>
      </c>
      <c r="L507" s="60" t="s">
        <v>44</v>
      </c>
      <c r="M507" s="60" t="s">
        <v>169</v>
      </c>
      <c r="N507" s="15">
        <v>506</v>
      </c>
      <c r="O507" s="60">
        <v>10.4</v>
      </c>
      <c r="P507" s="60">
        <v>67.5</v>
      </c>
      <c r="Q507" s="60">
        <v>10.74</v>
      </c>
      <c r="R507" s="60">
        <v>75.5</v>
      </c>
      <c r="S507" s="3">
        <v>10.79</v>
      </c>
      <c r="T507" s="3">
        <v>76</v>
      </c>
      <c r="U507" s="3">
        <v>11.54</v>
      </c>
      <c r="V507" s="3">
        <v>77</v>
      </c>
      <c r="W507" s="3">
        <v>11.64</v>
      </c>
      <c r="X507" s="3">
        <v>75.5</v>
      </c>
      <c r="Y507" s="3">
        <v>11.77</v>
      </c>
      <c r="Z507" s="3">
        <v>75</v>
      </c>
      <c r="AA507" s="3">
        <v>11.75</v>
      </c>
      <c r="AB507" s="3">
        <v>76</v>
      </c>
      <c r="AC507" s="3"/>
      <c r="AD507" s="3"/>
    </row>
    <row r="508" spans="1:30" x14ac:dyDescent="0.2">
      <c r="A508" s="60" t="s">
        <v>426</v>
      </c>
      <c r="B508" s="60" t="s">
        <v>131</v>
      </c>
      <c r="C508" s="60" t="s">
        <v>53</v>
      </c>
      <c r="D508" s="60" t="s">
        <v>17</v>
      </c>
      <c r="E508" s="60">
        <v>2</v>
      </c>
      <c r="F508" s="60" t="s">
        <v>549</v>
      </c>
      <c r="G508" s="60" t="s">
        <v>19</v>
      </c>
      <c r="H508" s="60" t="s">
        <v>133</v>
      </c>
      <c r="I508" s="60" t="str">
        <f t="shared" si="14"/>
        <v>B3-P4-C4</v>
      </c>
      <c r="J508" s="60" t="str">
        <f t="shared" si="15"/>
        <v>Fagus-B3-P4-C4-A2</v>
      </c>
      <c r="K508" s="60" t="s">
        <v>64</v>
      </c>
      <c r="L508" s="60" t="s">
        <v>44</v>
      </c>
      <c r="M508" s="60" t="s">
        <v>169</v>
      </c>
      <c r="N508" s="15">
        <v>507</v>
      </c>
      <c r="O508" s="60">
        <v>8.6999999999999993</v>
      </c>
      <c r="P508" s="60">
        <v>48</v>
      </c>
      <c r="Q508" s="60">
        <v>8.6999999999999993</v>
      </c>
      <c r="R508" s="60">
        <v>54</v>
      </c>
      <c r="S508" s="3">
        <v>9.15</v>
      </c>
      <c r="T508" s="3">
        <v>55.5</v>
      </c>
      <c r="U508" s="3">
        <v>9.43</v>
      </c>
      <c r="V508" s="3">
        <v>62</v>
      </c>
      <c r="W508" s="3">
        <v>9.3800000000000008</v>
      </c>
      <c r="X508" s="3">
        <v>55</v>
      </c>
      <c r="Y508" s="3">
        <v>9.69</v>
      </c>
      <c r="Z508" s="3">
        <v>61</v>
      </c>
      <c r="AA508" s="3">
        <v>9.85</v>
      </c>
      <c r="AB508" s="3">
        <v>59</v>
      </c>
      <c r="AC508" s="3"/>
      <c r="AD508" s="3"/>
    </row>
    <row r="509" spans="1:30" x14ac:dyDescent="0.2">
      <c r="A509" s="60" t="s">
        <v>426</v>
      </c>
      <c r="B509" s="60" t="s">
        <v>131</v>
      </c>
      <c r="C509" s="60" t="s">
        <v>53</v>
      </c>
      <c r="D509" s="60" t="s">
        <v>24</v>
      </c>
      <c r="E509" s="60">
        <v>2</v>
      </c>
      <c r="F509" s="60" t="s">
        <v>550</v>
      </c>
      <c r="G509" s="60" t="s">
        <v>35</v>
      </c>
      <c r="H509" s="60" t="s">
        <v>133</v>
      </c>
      <c r="I509" s="60" t="str">
        <f t="shared" si="14"/>
        <v>B3-P4-C4</v>
      </c>
      <c r="J509" s="60" t="str">
        <f t="shared" si="15"/>
        <v>Quercus-B3-P4-C4-B2</v>
      </c>
      <c r="K509" s="60" t="s">
        <v>64</v>
      </c>
      <c r="L509" s="60" t="s">
        <v>44</v>
      </c>
      <c r="M509" s="60" t="s">
        <v>169</v>
      </c>
      <c r="N509" s="15">
        <v>508</v>
      </c>
      <c r="O509" s="60">
        <v>4.4000000000000004</v>
      </c>
      <c r="P509" s="60">
        <v>28.5</v>
      </c>
      <c r="Q509" s="60">
        <v>4.92</v>
      </c>
      <c r="R509" s="60">
        <v>37</v>
      </c>
      <c r="S509" s="3">
        <v>4.67</v>
      </c>
      <c r="T509" s="3">
        <v>37</v>
      </c>
      <c r="U509" s="3">
        <v>4.55</v>
      </c>
      <c r="V509" s="3">
        <v>37</v>
      </c>
      <c r="W509" s="3">
        <v>5.27</v>
      </c>
      <c r="X509" s="3">
        <v>37</v>
      </c>
      <c r="Y509" s="3">
        <v>5.73</v>
      </c>
      <c r="Z509" s="3">
        <v>36</v>
      </c>
      <c r="AA509" s="3">
        <v>6.65</v>
      </c>
      <c r="AB509" s="3">
        <v>38</v>
      </c>
      <c r="AC509" s="3"/>
      <c r="AD509" s="3"/>
    </row>
    <row r="510" spans="1:30" x14ac:dyDescent="0.2">
      <c r="A510" s="60" t="s">
        <v>426</v>
      </c>
      <c r="B510" s="60" t="s">
        <v>131</v>
      </c>
      <c r="C510" s="60" t="s">
        <v>53</v>
      </c>
      <c r="D510" s="60" t="s">
        <v>17</v>
      </c>
      <c r="E510" s="60">
        <v>3</v>
      </c>
      <c r="F510" s="60" t="s">
        <v>551</v>
      </c>
      <c r="G510" s="60" t="s">
        <v>35</v>
      </c>
      <c r="H510" s="60" t="s">
        <v>133</v>
      </c>
      <c r="I510" s="60" t="str">
        <f t="shared" si="14"/>
        <v>B3-P4-C4</v>
      </c>
      <c r="J510" s="60" t="str">
        <f t="shared" si="15"/>
        <v>Quercus-B3-P4-C4-A3</v>
      </c>
      <c r="K510" s="60" t="s">
        <v>64</v>
      </c>
      <c r="L510" s="60" t="s">
        <v>44</v>
      </c>
      <c r="M510" s="60" t="s">
        <v>169</v>
      </c>
      <c r="N510" s="15">
        <v>509</v>
      </c>
      <c r="O510" s="60">
        <v>4.4000000000000004</v>
      </c>
      <c r="P510" s="60">
        <v>31</v>
      </c>
      <c r="Q510" s="60">
        <v>4.87</v>
      </c>
      <c r="R510" s="60">
        <v>43.5</v>
      </c>
      <c r="S510" s="3">
        <v>4.78</v>
      </c>
      <c r="T510" s="3">
        <v>46</v>
      </c>
      <c r="U510" s="3">
        <v>4.71</v>
      </c>
      <c r="V510" s="3">
        <v>46</v>
      </c>
      <c r="W510" s="3">
        <v>4.93</v>
      </c>
      <c r="X510" s="3">
        <v>45</v>
      </c>
      <c r="Y510" s="3">
        <v>5.55</v>
      </c>
      <c r="Z510" s="3">
        <v>43</v>
      </c>
      <c r="AA510" s="3">
        <v>6.23</v>
      </c>
      <c r="AB510" s="3">
        <v>55</v>
      </c>
      <c r="AC510" s="3"/>
      <c r="AD510" s="3"/>
    </row>
    <row r="511" spans="1:30" x14ac:dyDescent="0.2">
      <c r="A511" s="60" t="s">
        <v>426</v>
      </c>
      <c r="B511" s="60" t="s">
        <v>131</v>
      </c>
      <c r="C511" s="60" t="s">
        <v>53</v>
      </c>
      <c r="D511" s="60" t="s">
        <v>24</v>
      </c>
      <c r="E511" s="60">
        <v>3</v>
      </c>
      <c r="F511" s="60" t="s">
        <v>552</v>
      </c>
      <c r="G511" s="60" t="s">
        <v>19</v>
      </c>
      <c r="H511" s="60" t="s">
        <v>133</v>
      </c>
      <c r="I511" s="60" t="str">
        <f t="shared" si="14"/>
        <v>B3-P4-C4</v>
      </c>
      <c r="J511" s="60" t="str">
        <f t="shared" si="15"/>
        <v>Fagus-B3-P4-C4-B3</v>
      </c>
      <c r="K511" s="60" t="s">
        <v>64</v>
      </c>
      <c r="L511" s="60" t="s">
        <v>44</v>
      </c>
      <c r="M511" s="60" t="s">
        <v>169</v>
      </c>
      <c r="N511" s="15">
        <v>510</v>
      </c>
      <c r="O511" s="60">
        <v>12</v>
      </c>
      <c r="P511" s="60">
        <v>81</v>
      </c>
      <c r="Q511" s="60">
        <v>12.15</v>
      </c>
      <c r="R511" s="60">
        <v>104</v>
      </c>
      <c r="S511" s="3">
        <v>12.53</v>
      </c>
      <c r="T511" s="3">
        <v>105</v>
      </c>
      <c r="U511" s="3">
        <v>12.94</v>
      </c>
      <c r="V511" s="3">
        <v>106</v>
      </c>
      <c r="W511" s="3">
        <v>13.03</v>
      </c>
      <c r="X511" s="3">
        <v>107</v>
      </c>
      <c r="Y511" s="3">
        <v>12.74</v>
      </c>
      <c r="Z511" s="3">
        <v>105</v>
      </c>
      <c r="AA511" s="3">
        <v>12.93</v>
      </c>
      <c r="AB511" s="3">
        <v>105</v>
      </c>
      <c r="AC511" s="3"/>
      <c r="AD511" s="3"/>
    </row>
    <row r="512" spans="1:30" x14ac:dyDescent="0.2">
      <c r="A512" s="60" t="s">
        <v>426</v>
      </c>
      <c r="B512" s="60" t="s">
        <v>131</v>
      </c>
      <c r="C512" s="60" t="s">
        <v>53</v>
      </c>
      <c r="D512" s="60" t="s">
        <v>17</v>
      </c>
      <c r="E512" s="60">
        <v>4</v>
      </c>
      <c r="F512" s="60" t="s">
        <v>553</v>
      </c>
      <c r="G512" s="60" t="s">
        <v>19</v>
      </c>
      <c r="H512" s="60" t="s">
        <v>133</v>
      </c>
      <c r="I512" s="60" t="str">
        <f t="shared" si="14"/>
        <v>B3-P4-C4</v>
      </c>
      <c r="J512" s="60" t="str">
        <f t="shared" si="15"/>
        <v>Fagus-B3-P4-C4-A4</v>
      </c>
      <c r="K512" s="60" t="s">
        <v>64</v>
      </c>
      <c r="L512" s="60" t="s">
        <v>44</v>
      </c>
      <c r="M512" s="60" t="s">
        <v>169</v>
      </c>
      <c r="N512" s="15">
        <v>511</v>
      </c>
      <c r="O512" s="60">
        <v>10.3</v>
      </c>
      <c r="P512" s="60">
        <v>69</v>
      </c>
      <c r="Q512" s="60">
        <v>10.53</v>
      </c>
      <c r="R512" s="60">
        <v>85</v>
      </c>
      <c r="S512" s="3">
        <v>11.9</v>
      </c>
      <c r="T512" s="3">
        <v>89.5</v>
      </c>
      <c r="U512" s="3">
        <v>11.73</v>
      </c>
      <c r="V512" s="3">
        <v>90</v>
      </c>
      <c r="W512" s="3">
        <v>11.44</v>
      </c>
      <c r="X512" s="3">
        <v>90</v>
      </c>
      <c r="Y512" s="3">
        <v>11.39</v>
      </c>
      <c r="Z512" s="3">
        <v>86</v>
      </c>
      <c r="AA512" s="3">
        <v>13.18</v>
      </c>
      <c r="AB512" s="3">
        <v>89</v>
      </c>
      <c r="AC512" s="3"/>
      <c r="AD512" s="3"/>
    </row>
    <row r="513" spans="1:30" x14ac:dyDescent="0.2">
      <c r="A513" s="60" t="s">
        <v>426</v>
      </c>
      <c r="B513" s="60" t="s">
        <v>131</v>
      </c>
      <c r="C513" s="60" t="s">
        <v>53</v>
      </c>
      <c r="D513" s="60" t="s">
        <v>24</v>
      </c>
      <c r="E513" s="60">
        <v>4</v>
      </c>
      <c r="F513" s="60" t="s">
        <v>554</v>
      </c>
      <c r="G513" s="60" t="s">
        <v>35</v>
      </c>
      <c r="H513" s="60" t="s">
        <v>133</v>
      </c>
      <c r="I513" s="60" t="str">
        <f t="shared" si="14"/>
        <v>B3-P4-C4</v>
      </c>
      <c r="J513" s="60" t="str">
        <f t="shared" si="15"/>
        <v>Quercus-B3-P4-C4-B4</v>
      </c>
      <c r="K513" s="60" t="s">
        <v>64</v>
      </c>
      <c r="L513" s="60" t="s">
        <v>44</v>
      </c>
      <c r="M513" s="60" t="s">
        <v>169</v>
      </c>
      <c r="N513" s="15">
        <v>512</v>
      </c>
      <c r="O513" s="60">
        <v>5.2</v>
      </c>
      <c r="P513" s="60">
        <v>27</v>
      </c>
      <c r="Q513" s="60">
        <v>5.87</v>
      </c>
      <c r="R513" s="60">
        <v>37</v>
      </c>
      <c r="S513" s="3">
        <v>6.01</v>
      </c>
      <c r="T513" s="3">
        <v>38</v>
      </c>
      <c r="U513" s="3">
        <v>6.19</v>
      </c>
      <c r="V513" s="3">
        <v>38</v>
      </c>
      <c r="W513" s="3">
        <v>6.09</v>
      </c>
      <c r="X513" s="3">
        <v>39</v>
      </c>
      <c r="Y513" s="3">
        <v>6.98</v>
      </c>
      <c r="Z513" s="3">
        <v>42</v>
      </c>
      <c r="AA513" s="3">
        <v>9.6199999999999992</v>
      </c>
      <c r="AB513" s="3">
        <v>41</v>
      </c>
      <c r="AC513" s="3"/>
      <c r="AD513" s="3"/>
    </row>
    <row r="514" spans="1:30" s="38" customFormat="1" x14ac:dyDescent="0.2">
      <c r="A514" s="57" t="s">
        <v>426</v>
      </c>
      <c r="B514" s="57" t="s">
        <v>167</v>
      </c>
      <c r="C514" s="57" t="s">
        <v>16</v>
      </c>
      <c r="D514" s="57" t="s">
        <v>17</v>
      </c>
      <c r="E514" s="57">
        <v>1</v>
      </c>
      <c r="F514" s="57" t="s">
        <v>555</v>
      </c>
      <c r="G514" s="57" t="s">
        <v>35</v>
      </c>
      <c r="H514" s="57" t="s">
        <v>133</v>
      </c>
      <c r="I514" s="57" t="str">
        <f t="shared" si="14"/>
        <v>B3-P5-C1</v>
      </c>
      <c r="J514" s="57" t="str">
        <f t="shared" si="15"/>
        <v>Quercus-B3-P5-C1-A1</v>
      </c>
      <c r="K514" s="57" t="s">
        <v>64</v>
      </c>
      <c r="L514" s="57" t="s">
        <v>44</v>
      </c>
      <c r="M514" s="57" t="s">
        <v>169</v>
      </c>
      <c r="N514" s="37">
        <v>513</v>
      </c>
      <c r="O514" s="57">
        <v>6.3</v>
      </c>
      <c r="P514" s="57">
        <v>48</v>
      </c>
      <c r="Q514" s="57">
        <v>8.02</v>
      </c>
      <c r="R514" s="57">
        <v>59.5</v>
      </c>
      <c r="S514" s="57">
        <v>8.49</v>
      </c>
      <c r="T514" s="57">
        <v>64</v>
      </c>
      <c r="U514" s="57">
        <v>8.4</v>
      </c>
      <c r="V514" s="57">
        <v>70</v>
      </c>
      <c r="W514" s="57">
        <v>8.99</v>
      </c>
      <c r="X514" s="57">
        <v>69</v>
      </c>
      <c r="Y514" s="57">
        <v>10.38</v>
      </c>
      <c r="Z514" s="57">
        <v>67</v>
      </c>
      <c r="AA514" s="57">
        <v>11.41</v>
      </c>
      <c r="AB514" s="57">
        <v>70</v>
      </c>
      <c r="AC514" s="57"/>
      <c r="AD514" s="57"/>
    </row>
    <row r="515" spans="1:30" s="38" customFormat="1" x14ac:dyDescent="0.2">
      <c r="A515" s="57" t="s">
        <v>426</v>
      </c>
      <c r="B515" s="57" t="s">
        <v>167</v>
      </c>
      <c r="C515" s="57" t="s">
        <v>16</v>
      </c>
      <c r="D515" s="57" t="s">
        <v>24</v>
      </c>
      <c r="E515" s="57">
        <v>1</v>
      </c>
      <c r="F515" s="57" t="s">
        <v>556</v>
      </c>
      <c r="G515" s="57" t="s">
        <v>35</v>
      </c>
      <c r="H515" s="57" t="s">
        <v>133</v>
      </c>
      <c r="I515" s="57" t="str">
        <f t="shared" ref="I515:I577" si="16">A515&amp;"-"&amp;B515&amp;"-"&amp;C515</f>
        <v>B3-P5-C1</v>
      </c>
      <c r="J515" s="57" t="str">
        <f t="shared" ref="J515:J577" si="17">G515&amp;"-"&amp;A515&amp;"-"&amp;B515&amp;"-"&amp;C515&amp;"-"&amp;D515&amp;E515</f>
        <v>Quercus-B3-P5-C1-B1</v>
      </c>
      <c r="K515" s="57" t="s">
        <v>64</v>
      </c>
      <c r="L515" s="57" t="s">
        <v>44</v>
      </c>
      <c r="M515" s="57" t="s">
        <v>169</v>
      </c>
      <c r="N515" s="37">
        <v>514</v>
      </c>
      <c r="O515" s="57">
        <v>6.2</v>
      </c>
      <c r="P515" s="57">
        <v>42.5</v>
      </c>
      <c r="Q515" s="57">
        <v>7.04</v>
      </c>
      <c r="R515" s="57">
        <v>52.5</v>
      </c>
      <c r="S515" s="57">
        <v>7.35</v>
      </c>
      <c r="T515" s="57">
        <v>56</v>
      </c>
      <c r="U515" s="57">
        <v>7.61</v>
      </c>
      <c r="V515" s="57">
        <v>57</v>
      </c>
      <c r="W515" s="57">
        <v>8.49</v>
      </c>
      <c r="X515" s="57">
        <v>58</v>
      </c>
      <c r="Y515" s="57">
        <v>8.16</v>
      </c>
      <c r="Z515" s="57">
        <v>57</v>
      </c>
      <c r="AA515" s="57">
        <v>9.52</v>
      </c>
      <c r="AB515" s="57">
        <v>57</v>
      </c>
      <c r="AC515" s="57"/>
      <c r="AD515" s="57"/>
    </row>
    <row r="516" spans="1:30" s="38" customFormat="1" x14ac:dyDescent="0.2">
      <c r="A516" s="57" t="s">
        <v>426</v>
      </c>
      <c r="B516" s="57" t="s">
        <v>167</v>
      </c>
      <c r="C516" s="57" t="s">
        <v>16</v>
      </c>
      <c r="D516" s="57" t="s">
        <v>17</v>
      </c>
      <c r="E516" s="57">
        <v>2</v>
      </c>
      <c r="F516" s="57" t="s">
        <v>557</v>
      </c>
      <c r="G516" s="57" t="s">
        <v>35</v>
      </c>
      <c r="H516" s="57" t="s">
        <v>133</v>
      </c>
      <c r="I516" s="57" t="str">
        <f t="shared" si="16"/>
        <v>B3-P5-C1</v>
      </c>
      <c r="J516" s="57" t="str">
        <f t="shared" si="17"/>
        <v>Quercus-B3-P5-C1-A2</v>
      </c>
      <c r="K516" s="57" t="s">
        <v>64</v>
      </c>
      <c r="L516" s="57" t="s">
        <v>44</v>
      </c>
      <c r="M516" s="57" t="s">
        <v>169</v>
      </c>
      <c r="N516" s="37">
        <v>515</v>
      </c>
      <c r="O516" s="57">
        <v>4.5</v>
      </c>
      <c r="P516" s="57">
        <v>28</v>
      </c>
      <c r="Q516" s="57">
        <v>5.34</v>
      </c>
      <c r="R516" s="57">
        <v>39</v>
      </c>
      <c r="S516" s="57">
        <v>5.58</v>
      </c>
      <c r="T516" s="57">
        <v>41</v>
      </c>
      <c r="U516" s="57">
        <v>6.08</v>
      </c>
      <c r="V516" s="57">
        <v>40</v>
      </c>
      <c r="W516" s="57">
        <v>6.08</v>
      </c>
      <c r="X516" s="57">
        <v>40.5</v>
      </c>
      <c r="Y516" s="57">
        <v>6.74</v>
      </c>
      <c r="Z516" s="57">
        <v>39</v>
      </c>
      <c r="AA516" s="57">
        <v>6.95</v>
      </c>
      <c r="AB516" s="57">
        <v>42</v>
      </c>
      <c r="AC516" s="57"/>
      <c r="AD516" s="57"/>
    </row>
    <row r="517" spans="1:30" s="38" customFormat="1" x14ac:dyDescent="0.2">
      <c r="A517" s="57" t="s">
        <v>426</v>
      </c>
      <c r="B517" s="57" t="s">
        <v>167</v>
      </c>
      <c r="C517" s="57" t="s">
        <v>16</v>
      </c>
      <c r="D517" s="57" t="s">
        <v>24</v>
      </c>
      <c r="E517" s="57">
        <v>2</v>
      </c>
      <c r="F517" s="57" t="s">
        <v>558</v>
      </c>
      <c r="G517" s="57" t="s">
        <v>35</v>
      </c>
      <c r="H517" s="57" t="s">
        <v>133</v>
      </c>
      <c r="I517" s="57" t="str">
        <f t="shared" si="16"/>
        <v>B3-P5-C1</v>
      </c>
      <c r="J517" s="57" t="str">
        <f t="shared" si="17"/>
        <v>Quercus-B3-P5-C1-B2</v>
      </c>
      <c r="K517" s="57" t="s">
        <v>64</v>
      </c>
      <c r="L517" s="57" t="s">
        <v>44</v>
      </c>
      <c r="M517" s="57" t="s">
        <v>169</v>
      </c>
      <c r="N517" s="37">
        <v>516</v>
      </c>
      <c r="O517" s="57">
        <v>4.4000000000000004</v>
      </c>
      <c r="P517" s="57">
        <v>39</v>
      </c>
      <c r="Q517" s="57">
        <v>5.31</v>
      </c>
      <c r="R517" s="57">
        <v>50.5</v>
      </c>
      <c r="S517" s="57">
        <v>5.28</v>
      </c>
      <c r="T517" s="57">
        <v>60</v>
      </c>
      <c r="U517" s="57">
        <v>5.42</v>
      </c>
      <c r="V517" s="57">
        <v>61</v>
      </c>
      <c r="W517" s="57">
        <v>6.11</v>
      </c>
      <c r="X517" s="57">
        <v>59.5</v>
      </c>
      <c r="Y517" s="57">
        <v>6.5</v>
      </c>
      <c r="Z517" s="57">
        <v>62</v>
      </c>
      <c r="AA517" s="57">
        <v>6.36</v>
      </c>
      <c r="AB517" s="57">
        <v>62</v>
      </c>
      <c r="AC517" s="57"/>
      <c r="AD517" s="57"/>
    </row>
    <row r="518" spans="1:30" s="38" customFormat="1" x14ac:dyDescent="0.2">
      <c r="A518" s="57" t="s">
        <v>426</v>
      </c>
      <c r="B518" s="57" t="s">
        <v>167</v>
      </c>
      <c r="C518" s="57" t="s">
        <v>16</v>
      </c>
      <c r="D518" s="57" t="s">
        <v>17</v>
      </c>
      <c r="E518" s="57">
        <v>3</v>
      </c>
      <c r="F518" s="57" t="s">
        <v>559</v>
      </c>
      <c r="G518" s="57" t="s">
        <v>35</v>
      </c>
      <c r="H518" s="57" t="s">
        <v>133</v>
      </c>
      <c r="I518" s="57" t="str">
        <f t="shared" si="16"/>
        <v>B3-P5-C1</v>
      </c>
      <c r="J518" s="57" t="str">
        <f t="shared" si="17"/>
        <v>Quercus-B3-P5-C1-A3</v>
      </c>
      <c r="K518" s="57" t="s">
        <v>64</v>
      </c>
      <c r="L518" s="57" t="s">
        <v>44</v>
      </c>
      <c r="M518" s="57" t="s">
        <v>169</v>
      </c>
      <c r="N518" s="37">
        <v>517</v>
      </c>
      <c r="O518" s="57">
        <v>6.9</v>
      </c>
      <c r="P518" s="57">
        <v>49</v>
      </c>
      <c r="Q518" s="57">
        <v>7.91</v>
      </c>
      <c r="R518" s="57">
        <v>49</v>
      </c>
      <c r="S518" s="57">
        <v>8.02</v>
      </c>
      <c r="T518" s="57">
        <v>55</v>
      </c>
      <c r="U518" s="57">
        <v>8.1999999999999993</v>
      </c>
      <c r="V518" s="57">
        <v>55</v>
      </c>
      <c r="W518" s="57">
        <v>8.4</v>
      </c>
      <c r="X518" s="57">
        <v>55</v>
      </c>
      <c r="Y518" s="57">
        <v>9.43</v>
      </c>
      <c r="Z518" s="57">
        <v>55</v>
      </c>
      <c r="AA518" s="57">
        <v>9.8000000000000007</v>
      </c>
      <c r="AB518" s="57">
        <v>54</v>
      </c>
      <c r="AC518" s="57"/>
      <c r="AD518" s="57"/>
    </row>
    <row r="519" spans="1:30" s="38" customFormat="1" x14ac:dyDescent="0.2">
      <c r="A519" s="57" t="s">
        <v>426</v>
      </c>
      <c r="B519" s="57" t="s">
        <v>167</v>
      </c>
      <c r="C519" s="57" t="s">
        <v>16</v>
      </c>
      <c r="D519" s="57" t="s">
        <v>24</v>
      </c>
      <c r="E519" s="57">
        <v>3</v>
      </c>
      <c r="F519" s="57" t="s">
        <v>560</v>
      </c>
      <c r="G519" s="57" t="s">
        <v>35</v>
      </c>
      <c r="H519" s="57" t="s">
        <v>133</v>
      </c>
      <c r="I519" s="57" t="str">
        <f t="shared" si="16"/>
        <v>B3-P5-C1</v>
      </c>
      <c r="J519" s="57" t="str">
        <f t="shared" si="17"/>
        <v>Quercus-B3-P5-C1-B3</v>
      </c>
      <c r="K519" s="57" t="s">
        <v>64</v>
      </c>
      <c r="L519" s="57" t="s">
        <v>44</v>
      </c>
      <c r="M519" s="57" t="s">
        <v>169</v>
      </c>
      <c r="N519" s="37">
        <v>518</v>
      </c>
      <c r="O519" s="57">
        <v>4.0999999999999996</v>
      </c>
      <c r="P519" s="57">
        <v>31</v>
      </c>
      <c r="Q519" s="57">
        <v>4.3499999999999996</v>
      </c>
      <c r="R519" s="57">
        <v>38</v>
      </c>
      <c r="S519" s="57">
        <v>4.1100000000000003</v>
      </c>
      <c r="T519" s="57">
        <v>42</v>
      </c>
      <c r="U519" s="57">
        <v>4</v>
      </c>
      <c r="V519" s="57">
        <v>42</v>
      </c>
      <c r="W519" s="57">
        <v>3.96</v>
      </c>
      <c r="X519" s="57">
        <v>42</v>
      </c>
      <c r="Y519" s="57">
        <v>4.21</v>
      </c>
      <c r="Z519" s="57">
        <v>42</v>
      </c>
      <c r="AA519" s="57">
        <v>4.2699999999999996</v>
      </c>
      <c r="AB519" s="57">
        <v>42</v>
      </c>
      <c r="AC519" s="57"/>
      <c r="AD519" s="57"/>
    </row>
    <row r="520" spans="1:30" s="38" customFormat="1" x14ac:dyDescent="0.2">
      <c r="A520" s="57" t="s">
        <v>426</v>
      </c>
      <c r="B520" s="57" t="s">
        <v>167</v>
      </c>
      <c r="C520" s="57" t="s">
        <v>16</v>
      </c>
      <c r="D520" s="57" t="s">
        <v>17</v>
      </c>
      <c r="E520" s="57">
        <v>4</v>
      </c>
      <c r="F520" s="57" t="s">
        <v>561</v>
      </c>
      <c r="G520" s="57" t="s">
        <v>35</v>
      </c>
      <c r="H520" s="57" t="s">
        <v>133</v>
      </c>
      <c r="I520" s="57" t="str">
        <f t="shared" si="16"/>
        <v>B3-P5-C1</v>
      </c>
      <c r="J520" s="57" t="str">
        <f t="shared" si="17"/>
        <v>Quercus-B3-P5-C1-A4</v>
      </c>
      <c r="K520" s="57" t="s">
        <v>64</v>
      </c>
      <c r="L520" s="57" t="s">
        <v>44</v>
      </c>
      <c r="M520" s="57" t="s">
        <v>169</v>
      </c>
      <c r="N520" s="37">
        <v>519</v>
      </c>
      <c r="O520" s="57">
        <v>5</v>
      </c>
      <c r="P520" s="57">
        <v>41.5</v>
      </c>
      <c r="Q520" s="57">
        <v>5.22</v>
      </c>
      <c r="R520" s="57">
        <v>47.5</v>
      </c>
      <c r="S520" s="57">
        <v>5.4</v>
      </c>
      <c r="T520" s="57">
        <v>49</v>
      </c>
      <c r="U520" s="57">
        <v>5.53</v>
      </c>
      <c r="V520" s="57">
        <v>49</v>
      </c>
      <c r="W520" s="57">
        <v>5.89</v>
      </c>
      <c r="X520" s="57">
        <v>51</v>
      </c>
      <c r="Y520" s="57">
        <v>6.67</v>
      </c>
      <c r="Z520" s="57">
        <v>51</v>
      </c>
      <c r="AA520" s="57">
        <v>6.12</v>
      </c>
      <c r="AB520" s="57">
        <v>55</v>
      </c>
      <c r="AC520" s="57"/>
      <c r="AD520" s="57"/>
    </row>
    <row r="521" spans="1:30" s="38" customFormat="1" x14ac:dyDescent="0.2">
      <c r="A521" s="57" t="s">
        <v>426</v>
      </c>
      <c r="B521" s="57" t="s">
        <v>167</v>
      </c>
      <c r="C521" s="57" t="s">
        <v>16</v>
      </c>
      <c r="D521" s="57" t="s">
        <v>24</v>
      </c>
      <c r="E521" s="57">
        <v>4</v>
      </c>
      <c r="F521" s="57" t="s">
        <v>562</v>
      </c>
      <c r="G521" s="57" t="s">
        <v>35</v>
      </c>
      <c r="H521" s="57" t="s">
        <v>133</v>
      </c>
      <c r="I521" s="57" t="str">
        <f t="shared" si="16"/>
        <v>B3-P5-C1</v>
      </c>
      <c r="J521" s="57" t="str">
        <f t="shared" si="17"/>
        <v>Quercus-B3-P5-C1-B4</v>
      </c>
      <c r="K521" s="57" t="s">
        <v>64</v>
      </c>
      <c r="L521" s="57" t="s">
        <v>44</v>
      </c>
      <c r="M521" s="57" t="s">
        <v>169</v>
      </c>
      <c r="N521" s="37">
        <v>520</v>
      </c>
      <c r="O521" s="57">
        <v>3.3</v>
      </c>
      <c r="P521" s="57">
        <v>27</v>
      </c>
      <c r="Q521" s="57">
        <v>3.3</v>
      </c>
      <c r="R521" s="57">
        <v>27</v>
      </c>
      <c r="S521" s="57">
        <v>3.1</v>
      </c>
      <c r="T521" s="57">
        <v>27</v>
      </c>
      <c r="U521" s="57">
        <v>3</v>
      </c>
      <c r="V521" s="57">
        <v>28</v>
      </c>
      <c r="W521" s="57">
        <v>2.21</v>
      </c>
      <c r="X521" s="57">
        <v>28</v>
      </c>
      <c r="Y521" s="57">
        <v>3.05</v>
      </c>
      <c r="Z521" s="57">
        <v>28</v>
      </c>
      <c r="AA521" s="57">
        <v>2.98</v>
      </c>
      <c r="AB521" s="57">
        <v>28</v>
      </c>
      <c r="AC521" s="57"/>
      <c r="AD521" s="57"/>
    </row>
    <row r="522" spans="1:30" x14ac:dyDescent="0.2">
      <c r="A522" s="60" t="s">
        <v>426</v>
      </c>
      <c r="B522" s="60" t="s">
        <v>167</v>
      </c>
      <c r="C522" s="60" t="s">
        <v>32</v>
      </c>
      <c r="D522" s="60" t="s">
        <v>17</v>
      </c>
      <c r="E522" s="60">
        <v>1</v>
      </c>
      <c r="F522" s="60" t="s">
        <v>563</v>
      </c>
      <c r="G522" s="60" t="s">
        <v>19</v>
      </c>
      <c r="H522" s="60" t="s">
        <v>133</v>
      </c>
      <c r="I522" s="60" t="str">
        <f t="shared" si="16"/>
        <v>B3-P5-C2</v>
      </c>
      <c r="J522" s="60" t="str">
        <f t="shared" si="17"/>
        <v>Fagus-B3-P5-C2-A1</v>
      </c>
      <c r="K522" s="60" t="s">
        <v>64</v>
      </c>
      <c r="L522" s="60" t="s">
        <v>44</v>
      </c>
      <c r="M522" s="60" t="s">
        <v>169</v>
      </c>
      <c r="N522" s="15">
        <v>521</v>
      </c>
      <c r="O522" s="60">
        <v>10</v>
      </c>
      <c r="P522" s="60">
        <v>68</v>
      </c>
      <c r="Q522" s="60">
        <v>10</v>
      </c>
      <c r="R522" s="60">
        <v>83</v>
      </c>
      <c r="S522" s="3">
        <v>11.19</v>
      </c>
      <c r="T522" s="3">
        <v>89</v>
      </c>
      <c r="U522" s="3">
        <v>11.5</v>
      </c>
      <c r="V522" s="3">
        <v>90</v>
      </c>
      <c r="W522" s="3">
        <v>11.05</v>
      </c>
      <c r="X522" s="3">
        <v>91</v>
      </c>
      <c r="Y522" s="3">
        <v>11.18</v>
      </c>
      <c r="Z522" s="3">
        <v>89</v>
      </c>
      <c r="AA522" s="3">
        <v>12.71</v>
      </c>
      <c r="AB522" s="3">
        <v>90</v>
      </c>
      <c r="AC522" s="3"/>
      <c r="AD522" s="3"/>
    </row>
    <row r="523" spans="1:30" x14ac:dyDescent="0.2">
      <c r="A523" s="60" t="s">
        <v>426</v>
      </c>
      <c r="B523" s="60" t="s">
        <v>167</v>
      </c>
      <c r="C523" s="60" t="s">
        <v>32</v>
      </c>
      <c r="D523" s="60" t="s">
        <v>24</v>
      </c>
      <c r="E523" s="60">
        <v>1</v>
      </c>
      <c r="F523" s="60" t="s">
        <v>564</v>
      </c>
      <c r="G523" s="60" t="s">
        <v>19</v>
      </c>
      <c r="H523" s="60" t="s">
        <v>133</v>
      </c>
      <c r="I523" s="60" t="str">
        <f t="shared" si="16"/>
        <v>B3-P5-C2</v>
      </c>
      <c r="J523" s="60" t="str">
        <f t="shared" si="17"/>
        <v>Fagus-B3-P5-C2-B1</v>
      </c>
      <c r="K523" s="60" t="s">
        <v>64</v>
      </c>
      <c r="L523" s="60" t="s">
        <v>44</v>
      </c>
      <c r="M523" s="60" t="s">
        <v>169</v>
      </c>
      <c r="N523" s="15">
        <v>522</v>
      </c>
      <c r="O523" s="60">
        <v>10.3</v>
      </c>
      <c r="P523" s="60">
        <v>77</v>
      </c>
      <c r="Q523" s="60">
        <v>11.79</v>
      </c>
      <c r="R523" s="60">
        <v>91.5</v>
      </c>
      <c r="S523" s="3">
        <v>12.54</v>
      </c>
      <c r="T523" s="3">
        <v>99</v>
      </c>
      <c r="U523" s="3">
        <v>12.39</v>
      </c>
      <c r="V523" s="3">
        <v>100</v>
      </c>
      <c r="W523" s="3">
        <v>12.83</v>
      </c>
      <c r="X523" s="3">
        <v>101</v>
      </c>
      <c r="Y523" s="3">
        <v>13.15</v>
      </c>
      <c r="Z523" s="3">
        <v>98</v>
      </c>
      <c r="AA523" s="3">
        <v>13.51</v>
      </c>
      <c r="AB523" s="3">
        <v>98</v>
      </c>
      <c r="AC523" s="3"/>
      <c r="AD523" s="3"/>
    </row>
    <row r="524" spans="1:30" x14ac:dyDescent="0.2">
      <c r="A524" s="60" t="s">
        <v>426</v>
      </c>
      <c r="B524" s="60" t="s">
        <v>167</v>
      </c>
      <c r="C524" s="60" t="s">
        <v>32</v>
      </c>
      <c r="D524" s="60" t="s">
        <v>17</v>
      </c>
      <c r="E524" s="60">
        <v>2</v>
      </c>
      <c r="F524" s="60" t="s">
        <v>565</v>
      </c>
      <c r="G524" s="60" t="s">
        <v>19</v>
      </c>
      <c r="H524" s="60" t="s">
        <v>133</v>
      </c>
      <c r="I524" s="60" t="str">
        <f t="shared" si="16"/>
        <v>B3-P5-C2</v>
      </c>
      <c r="J524" s="60" t="str">
        <f t="shared" si="17"/>
        <v>Fagus-B3-P5-C2-A2</v>
      </c>
      <c r="K524" s="60" t="s">
        <v>64</v>
      </c>
      <c r="L524" s="60" t="s">
        <v>44</v>
      </c>
      <c r="M524" s="60" t="s">
        <v>169</v>
      </c>
      <c r="N524" s="15">
        <v>523</v>
      </c>
      <c r="O524" s="60">
        <v>10.7</v>
      </c>
      <c r="P524" s="60">
        <v>75.5</v>
      </c>
      <c r="Q524" s="60">
        <v>10.97</v>
      </c>
      <c r="R524" s="60">
        <v>103</v>
      </c>
      <c r="S524" s="3">
        <v>11.41</v>
      </c>
      <c r="T524" s="3">
        <v>103</v>
      </c>
      <c r="U524" s="3">
        <v>11.51</v>
      </c>
      <c r="V524" s="3">
        <v>103</v>
      </c>
      <c r="W524" s="3">
        <v>12.45</v>
      </c>
      <c r="X524" s="3">
        <v>103</v>
      </c>
      <c r="Y524" s="3">
        <v>12.86</v>
      </c>
      <c r="Z524" s="3">
        <v>100</v>
      </c>
      <c r="AA524" s="3">
        <v>12.85</v>
      </c>
      <c r="AB524" s="3">
        <v>100</v>
      </c>
      <c r="AC524" s="3"/>
      <c r="AD524" s="3"/>
    </row>
    <row r="525" spans="1:30" x14ac:dyDescent="0.2">
      <c r="A525" s="60" t="s">
        <v>426</v>
      </c>
      <c r="B525" s="60" t="s">
        <v>167</v>
      </c>
      <c r="C525" s="60" t="s">
        <v>32</v>
      </c>
      <c r="D525" s="60" t="s">
        <v>24</v>
      </c>
      <c r="E525" s="60">
        <v>2</v>
      </c>
      <c r="F525" s="60" t="s">
        <v>566</v>
      </c>
      <c r="G525" s="60" t="s">
        <v>19</v>
      </c>
      <c r="H525" s="60" t="s">
        <v>133</v>
      </c>
      <c r="I525" s="60" t="str">
        <f t="shared" si="16"/>
        <v>B3-P5-C2</v>
      </c>
      <c r="J525" s="60" t="str">
        <f t="shared" si="17"/>
        <v>Fagus-B3-P5-C2-B2</v>
      </c>
      <c r="K525" s="60" t="s">
        <v>64</v>
      </c>
      <c r="L525" s="60" t="s">
        <v>44</v>
      </c>
      <c r="M525" s="60" t="s">
        <v>169</v>
      </c>
      <c r="N525" s="15">
        <v>524</v>
      </c>
      <c r="O525" s="60">
        <v>10.1</v>
      </c>
      <c r="P525" s="60">
        <v>75</v>
      </c>
      <c r="Q525" s="60">
        <v>10.119999999999999</v>
      </c>
      <c r="R525" s="60">
        <v>100</v>
      </c>
      <c r="S525" s="3">
        <v>10.45</v>
      </c>
      <c r="T525" s="3">
        <v>114</v>
      </c>
      <c r="U525" s="3">
        <v>10.82</v>
      </c>
      <c r="V525" s="3">
        <v>117</v>
      </c>
      <c r="W525" s="3">
        <v>11.5</v>
      </c>
      <c r="X525" s="3">
        <v>116</v>
      </c>
      <c r="Y525" s="3">
        <v>11.96</v>
      </c>
      <c r="Z525" s="3">
        <v>115</v>
      </c>
      <c r="AA525" s="3">
        <v>11.81</v>
      </c>
      <c r="AB525" s="3">
        <v>115</v>
      </c>
      <c r="AC525" s="3"/>
      <c r="AD525" s="3"/>
    </row>
    <row r="526" spans="1:30" x14ac:dyDescent="0.2">
      <c r="A526" s="60" t="s">
        <v>426</v>
      </c>
      <c r="B526" s="60" t="s">
        <v>167</v>
      </c>
      <c r="C526" s="60" t="s">
        <v>32</v>
      </c>
      <c r="D526" s="60" t="s">
        <v>17</v>
      </c>
      <c r="E526" s="60">
        <v>3</v>
      </c>
      <c r="F526" s="60" t="s">
        <v>567</v>
      </c>
      <c r="G526" s="60" t="s">
        <v>19</v>
      </c>
      <c r="H526" s="60" t="s">
        <v>133</v>
      </c>
      <c r="I526" s="60" t="str">
        <f t="shared" si="16"/>
        <v>B3-P5-C2</v>
      </c>
      <c r="J526" s="60" t="str">
        <f t="shared" si="17"/>
        <v>Fagus-B3-P5-C2-A3</v>
      </c>
      <c r="K526" s="60" t="s">
        <v>64</v>
      </c>
      <c r="L526" s="60" t="s">
        <v>44</v>
      </c>
      <c r="M526" s="60" t="s">
        <v>169</v>
      </c>
      <c r="N526" s="15">
        <v>525</v>
      </c>
      <c r="O526" s="60">
        <v>9</v>
      </c>
      <c r="P526" s="60">
        <v>74.5</v>
      </c>
      <c r="Q526" s="60">
        <v>9.02</v>
      </c>
      <c r="R526" s="60">
        <v>87</v>
      </c>
      <c r="S526" s="3">
        <v>10.72</v>
      </c>
      <c r="T526" s="3">
        <v>89</v>
      </c>
      <c r="U526" s="3">
        <v>10.02</v>
      </c>
      <c r="V526" s="3">
        <v>91</v>
      </c>
      <c r="W526" s="3">
        <v>9.6199999999999992</v>
      </c>
      <c r="X526" s="3">
        <v>90</v>
      </c>
      <c r="Y526" s="3">
        <v>9.86</v>
      </c>
      <c r="Z526" s="3">
        <v>90</v>
      </c>
      <c r="AA526" s="3">
        <v>10.06</v>
      </c>
      <c r="AB526" s="3">
        <v>89</v>
      </c>
      <c r="AC526" s="3"/>
      <c r="AD526" s="3"/>
    </row>
    <row r="527" spans="1:30" x14ac:dyDescent="0.2">
      <c r="A527" s="60" t="s">
        <v>426</v>
      </c>
      <c r="B527" s="60" t="s">
        <v>167</v>
      </c>
      <c r="C527" s="60" t="s">
        <v>32</v>
      </c>
      <c r="D527" s="60" t="s">
        <v>24</v>
      </c>
      <c r="E527" s="60">
        <v>3</v>
      </c>
      <c r="F527" s="60" t="s">
        <v>568</v>
      </c>
      <c r="G527" s="60" t="s">
        <v>19</v>
      </c>
      <c r="H527" s="60" t="s">
        <v>133</v>
      </c>
      <c r="I527" s="60" t="str">
        <f t="shared" si="16"/>
        <v>B3-P5-C2</v>
      </c>
      <c r="J527" s="60" t="str">
        <f t="shared" si="17"/>
        <v>Fagus-B3-P5-C2-B3</v>
      </c>
      <c r="K527" s="60" t="s">
        <v>64</v>
      </c>
      <c r="L527" s="60" t="s">
        <v>44</v>
      </c>
      <c r="M527" s="60" t="s">
        <v>169</v>
      </c>
      <c r="N527" s="15">
        <v>526</v>
      </c>
      <c r="O527" s="60">
        <v>11.8</v>
      </c>
      <c r="P527" s="60">
        <v>92</v>
      </c>
      <c r="Q527" s="60">
        <v>11.82</v>
      </c>
      <c r="R527" s="60">
        <v>115</v>
      </c>
      <c r="S527" s="3">
        <v>12.42</v>
      </c>
      <c r="T527" s="3">
        <v>113</v>
      </c>
      <c r="U527" s="3">
        <v>13.12</v>
      </c>
      <c r="V527" s="3">
        <v>106</v>
      </c>
      <c r="W527" s="3">
        <v>13.74</v>
      </c>
      <c r="X527" s="3">
        <v>121</v>
      </c>
      <c r="Y527" s="3">
        <v>13.48</v>
      </c>
      <c r="Z527" s="3">
        <v>121</v>
      </c>
      <c r="AA527" s="3">
        <v>14.4</v>
      </c>
      <c r="AB527" s="3">
        <v>121</v>
      </c>
      <c r="AC527" s="3"/>
      <c r="AD527" s="3"/>
    </row>
    <row r="528" spans="1:30" x14ac:dyDescent="0.2">
      <c r="A528" s="60" t="s">
        <v>426</v>
      </c>
      <c r="B528" s="60" t="s">
        <v>167</v>
      </c>
      <c r="C528" s="60" t="s">
        <v>32</v>
      </c>
      <c r="D528" s="60" t="s">
        <v>17</v>
      </c>
      <c r="E528" s="60">
        <v>4</v>
      </c>
      <c r="F528" s="60" t="s">
        <v>569</v>
      </c>
      <c r="G528" s="60" t="s">
        <v>19</v>
      </c>
      <c r="H528" s="60" t="s">
        <v>133</v>
      </c>
      <c r="I528" s="60" t="str">
        <f t="shared" si="16"/>
        <v>B3-P5-C2</v>
      </c>
      <c r="J528" s="60" t="str">
        <f t="shared" si="17"/>
        <v>Fagus-B3-P5-C2-A4</v>
      </c>
      <c r="K528" s="60" t="s">
        <v>64</v>
      </c>
      <c r="L528" s="60" t="s">
        <v>44</v>
      </c>
      <c r="M528" s="60" t="s">
        <v>169</v>
      </c>
      <c r="N528" s="15">
        <v>527</v>
      </c>
      <c r="O528" s="60">
        <v>8.8000000000000007</v>
      </c>
      <c r="P528" s="60">
        <v>88</v>
      </c>
      <c r="Q528" s="60">
        <v>9.2799999999999994</v>
      </c>
      <c r="R528" s="60">
        <v>99</v>
      </c>
      <c r="S528" s="3">
        <v>10.09</v>
      </c>
      <c r="T528" s="3">
        <v>100</v>
      </c>
      <c r="U528" s="3">
        <v>10.48</v>
      </c>
      <c r="V528" s="3">
        <v>100</v>
      </c>
      <c r="W528" s="3">
        <v>11.83</v>
      </c>
      <c r="X528" s="3">
        <v>102</v>
      </c>
      <c r="Y528" s="3">
        <v>11.98</v>
      </c>
      <c r="Z528" s="3">
        <v>101</v>
      </c>
      <c r="AA528" s="3">
        <v>11.11</v>
      </c>
      <c r="AB528" s="3">
        <v>100</v>
      </c>
      <c r="AC528" s="3"/>
      <c r="AD528" s="3"/>
    </row>
    <row r="529" spans="1:30" x14ac:dyDescent="0.2">
      <c r="A529" s="60" t="s">
        <v>426</v>
      </c>
      <c r="B529" s="60" t="s">
        <v>167</v>
      </c>
      <c r="C529" s="60" t="s">
        <v>32</v>
      </c>
      <c r="D529" s="60" t="s">
        <v>24</v>
      </c>
      <c r="E529" s="60">
        <v>4</v>
      </c>
      <c r="F529" s="60" t="s">
        <v>570</v>
      </c>
      <c r="G529" s="60" t="s">
        <v>19</v>
      </c>
      <c r="H529" s="60" t="s">
        <v>133</v>
      </c>
      <c r="I529" s="60" t="str">
        <f t="shared" si="16"/>
        <v>B3-P5-C2</v>
      </c>
      <c r="J529" s="60" t="str">
        <f t="shared" si="17"/>
        <v>Fagus-B3-P5-C2-B4</v>
      </c>
      <c r="K529" s="60" t="s">
        <v>64</v>
      </c>
      <c r="L529" s="60" t="s">
        <v>44</v>
      </c>
      <c r="M529" s="60" t="s">
        <v>169</v>
      </c>
      <c r="N529" s="15">
        <v>528</v>
      </c>
      <c r="O529" s="60">
        <v>11.4</v>
      </c>
      <c r="P529" s="60">
        <v>94.5</v>
      </c>
      <c r="Q529" s="60">
        <v>11.43</v>
      </c>
      <c r="R529" s="60">
        <v>131</v>
      </c>
      <c r="S529" s="3">
        <v>13.2</v>
      </c>
      <c r="T529" s="3">
        <v>135</v>
      </c>
      <c r="U529" s="3">
        <v>13.12</v>
      </c>
      <c r="V529" s="3">
        <v>140</v>
      </c>
      <c r="W529" s="3">
        <v>13.73</v>
      </c>
      <c r="X529" s="3">
        <v>141</v>
      </c>
      <c r="Y529" s="3">
        <v>14</v>
      </c>
      <c r="Z529" s="3">
        <v>139</v>
      </c>
      <c r="AA529" s="3">
        <v>13.88</v>
      </c>
      <c r="AB529" s="3">
        <v>135</v>
      </c>
      <c r="AC529" s="3"/>
      <c r="AD529" s="3"/>
    </row>
    <row r="530" spans="1:30" s="38" customFormat="1" x14ac:dyDescent="0.2">
      <c r="A530" s="57" t="s">
        <v>426</v>
      </c>
      <c r="B530" s="57" t="s">
        <v>167</v>
      </c>
      <c r="C530" s="57" t="s">
        <v>42</v>
      </c>
      <c r="D530" s="57" t="s">
        <v>17</v>
      </c>
      <c r="E530" s="57">
        <v>1</v>
      </c>
      <c r="F530" s="57" t="s">
        <v>571</v>
      </c>
      <c r="G530" s="57" t="s">
        <v>19</v>
      </c>
      <c r="H530" s="57" t="s">
        <v>133</v>
      </c>
      <c r="I530" s="57" t="str">
        <f t="shared" si="16"/>
        <v>B3-P5-C3</v>
      </c>
      <c r="J530" s="57" t="str">
        <f t="shared" si="17"/>
        <v>Fagus-B3-P5-C3-A1</v>
      </c>
      <c r="K530" s="57" t="s">
        <v>21</v>
      </c>
      <c r="L530" s="57" t="s">
        <v>44</v>
      </c>
      <c r="M530" s="57" t="s">
        <v>143</v>
      </c>
      <c r="N530" s="37">
        <v>529</v>
      </c>
      <c r="O530" s="57">
        <v>9.8000000000000007</v>
      </c>
      <c r="P530" s="57">
        <v>59</v>
      </c>
      <c r="Q530" s="57">
        <v>10.15</v>
      </c>
      <c r="R530" s="57">
        <v>67</v>
      </c>
      <c r="S530" s="57">
        <v>11.38</v>
      </c>
      <c r="T530" s="57">
        <v>71</v>
      </c>
      <c r="U530" s="57">
        <v>11.95</v>
      </c>
      <c r="V530" s="57">
        <v>74</v>
      </c>
      <c r="W530" s="57">
        <v>12.4</v>
      </c>
      <c r="X530" s="57">
        <v>82.5</v>
      </c>
      <c r="Y530" s="57">
        <v>12.86</v>
      </c>
      <c r="Z530" s="57">
        <v>82</v>
      </c>
      <c r="AA530" s="57">
        <v>12.87</v>
      </c>
      <c r="AB530" s="57">
        <v>80</v>
      </c>
      <c r="AC530" s="57"/>
      <c r="AD530" s="57"/>
    </row>
    <row r="531" spans="1:30" s="38" customFormat="1" x14ac:dyDescent="0.2">
      <c r="A531" s="57" t="s">
        <v>426</v>
      </c>
      <c r="B531" s="57" t="s">
        <v>167</v>
      </c>
      <c r="C531" s="57" t="s">
        <v>42</v>
      </c>
      <c r="D531" s="57" t="s">
        <v>24</v>
      </c>
      <c r="E531" s="57">
        <v>1</v>
      </c>
      <c r="F531" s="57" t="s">
        <v>572</v>
      </c>
      <c r="G531" s="57" t="s">
        <v>19</v>
      </c>
      <c r="H531" s="57" t="s">
        <v>133</v>
      </c>
      <c r="I531" s="57" t="str">
        <f t="shared" si="16"/>
        <v>B3-P5-C3</v>
      </c>
      <c r="J531" s="57" t="str">
        <f t="shared" si="17"/>
        <v>Fagus-B3-P5-C3-B1</v>
      </c>
      <c r="K531" s="57" t="s">
        <v>21</v>
      </c>
      <c r="L531" s="57" t="s">
        <v>44</v>
      </c>
      <c r="M531" s="57" t="s">
        <v>143</v>
      </c>
      <c r="N531" s="37">
        <v>530</v>
      </c>
      <c r="O531" s="57">
        <v>11.2</v>
      </c>
      <c r="P531" s="57">
        <v>94</v>
      </c>
      <c r="Q531" s="57">
        <v>11.84</v>
      </c>
      <c r="R531" s="57">
        <v>118</v>
      </c>
      <c r="S531" s="57">
        <v>12.92</v>
      </c>
      <c r="T531" s="57">
        <v>121</v>
      </c>
      <c r="U531" s="57">
        <v>14.2</v>
      </c>
      <c r="V531" s="57">
        <v>120</v>
      </c>
      <c r="W531" s="57">
        <v>14.92</v>
      </c>
      <c r="X531" s="57">
        <v>118</v>
      </c>
      <c r="Y531" s="57">
        <v>14.97</v>
      </c>
      <c r="Z531" s="57">
        <v>118</v>
      </c>
      <c r="AA531" s="57">
        <v>15.05</v>
      </c>
      <c r="AB531" s="57">
        <v>116</v>
      </c>
      <c r="AC531" s="57"/>
      <c r="AD531" s="57"/>
    </row>
    <row r="532" spans="1:30" s="38" customFormat="1" x14ac:dyDescent="0.2">
      <c r="A532" s="57" t="s">
        <v>426</v>
      </c>
      <c r="B532" s="57" t="s">
        <v>167</v>
      </c>
      <c r="C532" s="57" t="s">
        <v>42</v>
      </c>
      <c r="D532" s="57" t="s">
        <v>17</v>
      </c>
      <c r="E532" s="57">
        <v>2</v>
      </c>
      <c r="F532" s="57" t="s">
        <v>573</v>
      </c>
      <c r="G532" s="57" t="s">
        <v>19</v>
      </c>
      <c r="H532" s="57" t="s">
        <v>133</v>
      </c>
      <c r="I532" s="57" t="str">
        <f t="shared" si="16"/>
        <v>B3-P5-C3</v>
      </c>
      <c r="J532" s="57" t="str">
        <f t="shared" si="17"/>
        <v>Fagus-B3-P5-C3-A2</v>
      </c>
      <c r="K532" s="57" t="s">
        <v>21</v>
      </c>
      <c r="L532" s="57" t="s">
        <v>44</v>
      </c>
      <c r="M532" s="57" t="s">
        <v>143</v>
      </c>
      <c r="N532" s="37">
        <v>531</v>
      </c>
      <c r="O532" s="57">
        <v>8.6999999999999993</v>
      </c>
      <c r="P532" s="57">
        <v>64</v>
      </c>
      <c r="Q532" s="57">
        <v>8.6999999999999993</v>
      </c>
      <c r="R532" s="57">
        <v>93</v>
      </c>
      <c r="S532" s="57">
        <v>9.36</v>
      </c>
      <c r="T532" s="57">
        <v>107</v>
      </c>
      <c r="U532" s="57">
        <v>9.6</v>
      </c>
      <c r="V532" s="57">
        <v>120</v>
      </c>
      <c r="W532" s="57">
        <v>11.09</v>
      </c>
      <c r="X532" s="57">
        <v>121</v>
      </c>
      <c r="Y532" s="57">
        <v>10.26</v>
      </c>
      <c r="Z532" s="57">
        <v>120</v>
      </c>
      <c r="AA532" s="57">
        <v>10.55</v>
      </c>
      <c r="AB532" s="57">
        <v>120</v>
      </c>
      <c r="AC532" s="57"/>
      <c r="AD532" s="57"/>
    </row>
    <row r="533" spans="1:30" s="38" customFormat="1" x14ac:dyDescent="0.2">
      <c r="A533" s="57" t="s">
        <v>426</v>
      </c>
      <c r="B533" s="57" t="s">
        <v>167</v>
      </c>
      <c r="C533" s="57" t="s">
        <v>42</v>
      </c>
      <c r="D533" s="57" t="s">
        <v>24</v>
      </c>
      <c r="E533" s="57">
        <v>2</v>
      </c>
      <c r="F533" s="57" t="s">
        <v>574</v>
      </c>
      <c r="G533" s="57" t="s">
        <v>19</v>
      </c>
      <c r="H533" s="57" t="s">
        <v>133</v>
      </c>
      <c r="I533" s="57" t="str">
        <f t="shared" si="16"/>
        <v>B3-P5-C3</v>
      </c>
      <c r="J533" s="57" t="str">
        <f t="shared" si="17"/>
        <v>Fagus-B3-P5-C3-B2</v>
      </c>
      <c r="K533" s="57" t="s">
        <v>21</v>
      </c>
      <c r="L533" s="57" t="s">
        <v>44</v>
      </c>
      <c r="M533" s="57" t="s">
        <v>143</v>
      </c>
      <c r="N533" s="37">
        <v>532</v>
      </c>
      <c r="O533" s="57">
        <v>10.3</v>
      </c>
      <c r="P533" s="57">
        <v>77</v>
      </c>
      <c r="Q533" s="57">
        <v>10.3</v>
      </c>
      <c r="R533" s="57">
        <v>87</v>
      </c>
      <c r="S533" s="57">
        <v>11.3</v>
      </c>
      <c r="T533" s="57">
        <v>97</v>
      </c>
      <c r="U533" s="57">
        <v>11.17</v>
      </c>
      <c r="V533" s="57">
        <v>104</v>
      </c>
      <c r="W533" s="57">
        <v>11.52</v>
      </c>
      <c r="X533" s="57">
        <v>104.5</v>
      </c>
      <c r="Y533" s="57">
        <v>11.86</v>
      </c>
      <c r="Z533" s="57">
        <v>104</v>
      </c>
      <c r="AA533" s="57">
        <v>11.95</v>
      </c>
      <c r="AB533" s="57">
        <v>104</v>
      </c>
      <c r="AC533" s="57"/>
      <c r="AD533" s="57"/>
    </row>
    <row r="534" spans="1:30" s="38" customFormat="1" x14ac:dyDescent="0.2">
      <c r="A534" s="57" t="s">
        <v>426</v>
      </c>
      <c r="B534" s="57" t="s">
        <v>167</v>
      </c>
      <c r="C534" s="57" t="s">
        <v>42</v>
      </c>
      <c r="D534" s="57" t="s">
        <v>17</v>
      </c>
      <c r="E534" s="57">
        <v>3</v>
      </c>
      <c r="F534" s="57" t="s">
        <v>575</v>
      </c>
      <c r="G534" s="57" t="s">
        <v>19</v>
      </c>
      <c r="H534" s="57" t="s">
        <v>133</v>
      </c>
      <c r="I534" s="57" t="str">
        <f t="shared" si="16"/>
        <v>B3-P5-C3</v>
      </c>
      <c r="J534" s="57" t="str">
        <f t="shared" si="17"/>
        <v>Fagus-B3-P5-C3-A3</v>
      </c>
      <c r="K534" s="57" t="s">
        <v>21</v>
      </c>
      <c r="L534" s="57" t="s">
        <v>44</v>
      </c>
      <c r="M534" s="57" t="s">
        <v>143</v>
      </c>
      <c r="N534" s="37">
        <v>533</v>
      </c>
      <c r="O534" s="57">
        <v>9.6</v>
      </c>
      <c r="P534" s="57">
        <v>73.5</v>
      </c>
      <c r="Q534" s="57">
        <v>9.9499999999999993</v>
      </c>
      <c r="R534" s="57">
        <v>77</v>
      </c>
      <c r="S534" s="57">
        <v>11.45</v>
      </c>
      <c r="T534" s="57">
        <v>76</v>
      </c>
      <c r="U534" s="57">
        <v>10.69</v>
      </c>
      <c r="V534" s="57">
        <v>87</v>
      </c>
      <c r="W534" s="57">
        <v>11.79</v>
      </c>
      <c r="X534" s="57">
        <v>85</v>
      </c>
      <c r="Y534" s="57">
        <v>11.14</v>
      </c>
      <c r="Z534" s="57">
        <v>85</v>
      </c>
      <c r="AA534" s="57">
        <v>11.17</v>
      </c>
      <c r="AB534" s="57">
        <v>85</v>
      </c>
      <c r="AC534" s="57"/>
      <c r="AD534" s="57"/>
    </row>
    <row r="535" spans="1:30" s="38" customFormat="1" x14ac:dyDescent="0.2">
      <c r="A535" s="57" t="s">
        <v>426</v>
      </c>
      <c r="B535" s="57" t="s">
        <v>167</v>
      </c>
      <c r="C535" s="57" t="s">
        <v>42</v>
      </c>
      <c r="D535" s="57" t="s">
        <v>24</v>
      </c>
      <c r="E535" s="57">
        <v>3</v>
      </c>
      <c r="F535" s="57" t="s">
        <v>576</v>
      </c>
      <c r="G535" s="57" t="s">
        <v>19</v>
      </c>
      <c r="H535" s="57" t="s">
        <v>133</v>
      </c>
      <c r="I535" s="57" t="str">
        <f t="shared" si="16"/>
        <v>B3-P5-C3</v>
      </c>
      <c r="J535" s="57" t="str">
        <f t="shared" si="17"/>
        <v>Fagus-B3-P5-C3-B3</v>
      </c>
      <c r="K535" s="57" t="s">
        <v>21</v>
      </c>
      <c r="L535" s="57" t="s">
        <v>44</v>
      </c>
      <c r="M535" s="57" t="s">
        <v>143</v>
      </c>
      <c r="N535" s="37">
        <v>534</v>
      </c>
      <c r="O535" s="57">
        <v>9.6</v>
      </c>
      <c r="P535" s="57">
        <v>78</v>
      </c>
      <c r="Q535" s="57">
        <v>9.61</v>
      </c>
      <c r="R535" s="57">
        <v>89</v>
      </c>
      <c r="S535" s="57">
        <v>11.21</v>
      </c>
      <c r="T535" s="57">
        <v>88</v>
      </c>
      <c r="U535" s="57">
        <v>11.16</v>
      </c>
      <c r="V535" s="57">
        <v>103</v>
      </c>
      <c r="W535" s="57">
        <v>12.45</v>
      </c>
      <c r="X535" s="57">
        <v>104</v>
      </c>
      <c r="Y535" s="57">
        <v>12.36</v>
      </c>
      <c r="Z535" s="57">
        <v>107</v>
      </c>
      <c r="AA535" s="57">
        <v>12.72</v>
      </c>
      <c r="AB535" s="57">
        <v>107</v>
      </c>
      <c r="AC535" s="57"/>
      <c r="AD535" s="57"/>
    </row>
    <row r="536" spans="1:30" s="38" customFormat="1" x14ac:dyDescent="0.2">
      <c r="A536" s="57" t="s">
        <v>426</v>
      </c>
      <c r="B536" s="57" t="s">
        <v>167</v>
      </c>
      <c r="C536" s="57" t="s">
        <v>42</v>
      </c>
      <c r="D536" s="57" t="s">
        <v>17</v>
      </c>
      <c r="E536" s="57">
        <v>4</v>
      </c>
      <c r="F536" s="57" t="s">
        <v>577</v>
      </c>
      <c r="G536" s="57" t="s">
        <v>19</v>
      </c>
      <c r="H536" s="57" t="s">
        <v>133</v>
      </c>
      <c r="I536" s="57" t="str">
        <f t="shared" si="16"/>
        <v>B3-P5-C3</v>
      </c>
      <c r="J536" s="57" t="str">
        <f t="shared" si="17"/>
        <v>Fagus-B3-P5-C3-A4</v>
      </c>
      <c r="K536" s="57" t="s">
        <v>21</v>
      </c>
      <c r="L536" s="57" t="s">
        <v>44</v>
      </c>
      <c r="M536" s="57" t="s">
        <v>143</v>
      </c>
      <c r="N536" s="37">
        <v>535</v>
      </c>
      <c r="O536" s="57">
        <v>9.8000000000000007</v>
      </c>
      <c r="P536" s="57">
        <v>105.5</v>
      </c>
      <c r="Q536" s="57">
        <v>9.85</v>
      </c>
      <c r="R536" s="57">
        <v>122</v>
      </c>
      <c r="S536" s="57">
        <v>11.05</v>
      </c>
      <c r="T536" s="57">
        <v>130</v>
      </c>
      <c r="U536" s="57">
        <v>12.45</v>
      </c>
      <c r="V536" s="57">
        <v>108</v>
      </c>
      <c r="W536" s="57">
        <v>13.88</v>
      </c>
      <c r="X536" s="57">
        <v>146</v>
      </c>
      <c r="Y536" s="57">
        <v>13.14</v>
      </c>
      <c r="Z536" s="57">
        <v>143</v>
      </c>
      <c r="AA536" s="57">
        <v>13.44</v>
      </c>
      <c r="AB536" s="57">
        <v>141</v>
      </c>
      <c r="AC536" s="57"/>
      <c r="AD536" s="57"/>
    </row>
    <row r="537" spans="1:30" s="38" customFormat="1" x14ac:dyDescent="0.2">
      <c r="A537" s="57" t="s">
        <v>426</v>
      </c>
      <c r="B537" s="57" t="s">
        <v>167</v>
      </c>
      <c r="C537" s="57" t="s">
        <v>42</v>
      </c>
      <c r="D537" s="57" t="s">
        <v>24</v>
      </c>
      <c r="E537" s="57">
        <v>4</v>
      </c>
      <c r="F537" s="57" t="s">
        <v>578</v>
      </c>
      <c r="G537" s="57" t="s">
        <v>19</v>
      </c>
      <c r="H537" s="57" t="s">
        <v>133</v>
      </c>
      <c r="I537" s="57" t="str">
        <f t="shared" si="16"/>
        <v>B3-P5-C3</v>
      </c>
      <c r="J537" s="57" t="str">
        <f t="shared" si="17"/>
        <v>Fagus-B3-P5-C3-B4</v>
      </c>
      <c r="K537" s="57" t="s">
        <v>21</v>
      </c>
      <c r="L537" s="57" t="s">
        <v>44</v>
      </c>
      <c r="M537" s="57" t="s">
        <v>143</v>
      </c>
      <c r="N537" s="37">
        <v>536</v>
      </c>
      <c r="O537" s="57">
        <v>8.4</v>
      </c>
      <c r="P537" s="57">
        <v>72</v>
      </c>
      <c r="Q537" s="57">
        <v>8.61</v>
      </c>
      <c r="R537" s="57">
        <v>83</v>
      </c>
      <c r="S537" s="57">
        <v>9.31</v>
      </c>
      <c r="T537" s="57">
        <v>83</v>
      </c>
      <c r="U537" s="57">
        <v>10.75</v>
      </c>
      <c r="V537" s="57">
        <v>93</v>
      </c>
      <c r="W537" s="57">
        <v>10.75</v>
      </c>
      <c r="X537" s="57">
        <v>94</v>
      </c>
      <c r="Y537" s="57">
        <v>10.73</v>
      </c>
      <c r="Z537" s="57">
        <v>95</v>
      </c>
      <c r="AA537" s="57">
        <v>10.38</v>
      </c>
      <c r="AB537" s="57">
        <v>95</v>
      </c>
      <c r="AC537" s="57"/>
      <c r="AD537" s="57"/>
    </row>
    <row r="538" spans="1:30" x14ac:dyDescent="0.2">
      <c r="A538" s="60" t="s">
        <v>426</v>
      </c>
      <c r="B538" s="60" t="s">
        <v>167</v>
      </c>
      <c r="C538" s="60" t="s">
        <v>53</v>
      </c>
      <c r="D538" s="60" t="s">
        <v>17</v>
      </c>
      <c r="E538" s="60">
        <v>1</v>
      </c>
      <c r="F538" s="60" t="s">
        <v>579</v>
      </c>
      <c r="G538" s="60" t="s">
        <v>35</v>
      </c>
      <c r="H538" s="60" t="s">
        <v>133</v>
      </c>
      <c r="I538" s="60" t="str">
        <f t="shared" si="16"/>
        <v>B3-P5-C4</v>
      </c>
      <c r="J538" s="60" t="str">
        <f t="shared" si="17"/>
        <v>Quercus-B3-P5-C4-A1</v>
      </c>
      <c r="K538" s="60" t="s">
        <v>21</v>
      </c>
      <c r="L538" s="60" t="s">
        <v>44</v>
      </c>
      <c r="M538" s="60" t="s">
        <v>143</v>
      </c>
      <c r="N538" s="15">
        <v>537</v>
      </c>
      <c r="O538" s="60">
        <v>5.6</v>
      </c>
      <c r="P538" s="60">
        <v>36</v>
      </c>
      <c r="Q538" s="60">
        <v>6.21</v>
      </c>
      <c r="R538" s="60">
        <v>42</v>
      </c>
      <c r="S538" s="3">
        <v>6.36</v>
      </c>
      <c r="T538" s="3">
        <v>45</v>
      </c>
      <c r="U538" s="3">
        <v>6.73</v>
      </c>
      <c r="V538" s="3">
        <v>45</v>
      </c>
      <c r="W538" s="3">
        <v>6.96</v>
      </c>
      <c r="X538" s="3">
        <v>45</v>
      </c>
      <c r="Y538" s="3">
        <v>7.44</v>
      </c>
      <c r="Z538" s="3">
        <v>45</v>
      </c>
      <c r="AA538" s="3">
        <v>8.86</v>
      </c>
      <c r="AB538" s="3">
        <v>57</v>
      </c>
      <c r="AC538" s="3"/>
      <c r="AD538" s="3"/>
    </row>
    <row r="539" spans="1:30" x14ac:dyDescent="0.2">
      <c r="A539" s="60" t="s">
        <v>426</v>
      </c>
      <c r="B539" s="60" t="s">
        <v>167</v>
      </c>
      <c r="C539" s="60" t="s">
        <v>53</v>
      </c>
      <c r="D539" s="60" t="s">
        <v>24</v>
      </c>
      <c r="E539" s="60">
        <v>1</v>
      </c>
      <c r="F539" s="60" t="s">
        <v>580</v>
      </c>
      <c r="G539" s="60" t="s">
        <v>35</v>
      </c>
      <c r="H539" s="60" t="s">
        <v>133</v>
      </c>
      <c r="I539" s="60" t="str">
        <f t="shared" si="16"/>
        <v>B3-P5-C4</v>
      </c>
      <c r="J539" s="60" t="str">
        <f t="shared" si="17"/>
        <v>Quercus-B3-P5-C4-B1</v>
      </c>
      <c r="K539" s="60" t="s">
        <v>21</v>
      </c>
      <c r="L539" s="60" t="s">
        <v>44</v>
      </c>
      <c r="M539" s="60" t="s">
        <v>143</v>
      </c>
      <c r="N539" s="15">
        <v>538</v>
      </c>
      <c r="O539" s="60">
        <v>3.6</v>
      </c>
      <c r="P539" s="60">
        <v>33</v>
      </c>
      <c r="Q539" s="60">
        <v>4.08</v>
      </c>
      <c r="R539" s="60">
        <v>33</v>
      </c>
      <c r="S539" s="3">
        <v>4.43</v>
      </c>
      <c r="T539" s="3">
        <v>37</v>
      </c>
      <c r="U539" s="3">
        <v>4.53</v>
      </c>
      <c r="V539" s="3">
        <v>40</v>
      </c>
      <c r="W539" s="3">
        <v>4.87</v>
      </c>
      <c r="X539" s="3">
        <v>41</v>
      </c>
      <c r="Y539" s="3">
        <v>5.62</v>
      </c>
      <c r="Z539" s="3">
        <v>46</v>
      </c>
      <c r="AA539" s="3">
        <v>6.08</v>
      </c>
      <c r="AB539" s="3">
        <v>46</v>
      </c>
      <c r="AC539" s="3"/>
      <c r="AD539" s="3"/>
    </row>
    <row r="540" spans="1:30" x14ac:dyDescent="0.2">
      <c r="A540" s="60" t="s">
        <v>426</v>
      </c>
      <c r="B540" s="60" t="s">
        <v>167</v>
      </c>
      <c r="C540" s="60" t="s">
        <v>53</v>
      </c>
      <c r="D540" s="60" t="s">
        <v>17</v>
      </c>
      <c r="E540" s="60">
        <v>2</v>
      </c>
      <c r="F540" s="60" t="s">
        <v>581</v>
      </c>
      <c r="G540" s="60" t="s">
        <v>35</v>
      </c>
      <c r="H540" s="60" t="s">
        <v>133</v>
      </c>
      <c r="I540" s="60" t="str">
        <f t="shared" si="16"/>
        <v>B3-P5-C4</v>
      </c>
      <c r="J540" s="60" t="str">
        <f t="shared" si="17"/>
        <v>Quercus-B3-P5-C4-A2</v>
      </c>
      <c r="K540" s="60" t="s">
        <v>21</v>
      </c>
      <c r="L540" s="60" t="s">
        <v>44</v>
      </c>
      <c r="M540" s="60" t="s">
        <v>143</v>
      </c>
      <c r="N540" s="15">
        <v>539</v>
      </c>
      <c r="O540" s="60">
        <v>4.8</v>
      </c>
      <c r="P540" s="60">
        <v>41</v>
      </c>
      <c r="Q540" s="60">
        <v>5.32</v>
      </c>
      <c r="R540" s="60">
        <v>41</v>
      </c>
      <c r="S540" s="3">
        <v>5.64</v>
      </c>
      <c r="T540" s="3">
        <v>52</v>
      </c>
      <c r="U540" s="3">
        <v>5.68</v>
      </c>
      <c r="V540" s="3">
        <v>56</v>
      </c>
      <c r="W540" s="3">
        <v>6.1</v>
      </c>
      <c r="X540" s="3">
        <v>50</v>
      </c>
      <c r="Y540" s="3">
        <v>6.34</v>
      </c>
      <c r="Z540" s="3">
        <v>54</v>
      </c>
      <c r="AA540" s="3">
        <v>6.94</v>
      </c>
      <c r="AB540" s="3">
        <v>51</v>
      </c>
      <c r="AC540" s="3"/>
      <c r="AD540" s="3"/>
    </row>
    <row r="541" spans="1:30" x14ac:dyDescent="0.2">
      <c r="A541" s="60" t="s">
        <v>426</v>
      </c>
      <c r="B541" s="60" t="s">
        <v>167</v>
      </c>
      <c r="C541" s="60" t="s">
        <v>53</v>
      </c>
      <c r="D541" s="60" t="s">
        <v>24</v>
      </c>
      <c r="E541" s="60">
        <v>2</v>
      </c>
      <c r="F541" s="60" t="s">
        <v>582</v>
      </c>
      <c r="G541" s="60" t="s">
        <v>35</v>
      </c>
      <c r="H541" s="60" t="s">
        <v>133</v>
      </c>
      <c r="I541" s="60" t="str">
        <f t="shared" si="16"/>
        <v>B3-P5-C4</v>
      </c>
      <c r="J541" s="60" t="str">
        <f t="shared" si="17"/>
        <v>Quercus-B3-P5-C4-B2</v>
      </c>
      <c r="K541" s="60" t="s">
        <v>21</v>
      </c>
      <c r="L541" s="60" t="s">
        <v>44</v>
      </c>
      <c r="M541" s="60" t="s">
        <v>143</v>
      </c>
      <c r="N541" s="15">
        <v>540</v>
      </c>
      <c r="O541" s="3">
        <v>4.7</v>
      </c>
      <c r="P541" s="60">
        <v>37</v>
      </c>
      <c r="Q541" s="60">
        <v>5.88</v>
      </c>
      <c r="R541" s="60">
        <v>37</v>
      </c>
      <c r="S541" s="3">
        <v>5.63</v>
      </c>
      <c r="T541" s="3">
        <v>40</v>
      </c>
      <c r="U541" s="3">
        <v>5.66</v>
      </c>
      <c r="V541" s="3">
        <v>42</v>
      </c>
      <c r="W541" s="3">
        <v>6.49</v>
      </c>
      <c r="X541" s="3">
        <v>41.5</v>
      </c>
      <c r="Y541" s="3">
        <v>6.19</v>
      </c>
      <c r="Z541" s="3">
        <v>44</v>
      </c>
      <c r="AA541" s="3">
        <v>8.5500000000000007</v>
      </c>
      <c r="AB541" s="3">
        <v>47</v>
      </c>
      <c r="AC541" s="3"/>
      <c r="AD541" s="3"/>
    </row>
    <row r="542" spans="1:30" x14ac:dyDescent="0.2">
      <c r="A542" s="60" t="s">
        <v>426</v>
      </c>
      <c r="B542" s="60" t="s">
        <v>167</v>
      </c>
      <c r="C542" s="60" t="s">
        <v>53</v>
      </c>
      <c r="D542" s="60" t="s">
        <v>17</v>
      </c>
      <c r="E542" s="60">
        <v>3</v>
      </c>
      <c r="F542" s="60" t="s">
        <v>583</v>
      </c>
      <c r="G542" s="60" t="s">
        <v>35</v>
      </c>
      <c r="H542" s="60" t="s">
        <v>133</v>
      </c>
      <c r="I542" s="60" t="str">
        <f t="shared" si="16"/>
        <v>B3-P5-C4</v>
      </c>
      <c r="J542" s="60" t="str">
        <f t="shared" si="17"/>
        <v>Quercus-B3-P5-C4-A3</v>
      </c>
      <c r="K542" s="60" t="s">
        <v>21</v>
      </c>
      <c r="L542" s="60" t="s">
        <v>44</v>
      </c>
      <c r="M542" s="60" t="s">
        <v>143</v>
      </c>
      <c r="N542" s="15">
        <v>541</v>
      </c>
      <c r="O542" s="60">
        <v>4.0999999999999996</v>
      </c>
      <c r="P542" s="60">
        <v>44</v>
      </c>
      <c r="Q542" s="60">
        <v>4.3</v>
      </c>
      <c r="R542" s="60">
        <v>49</v>
      </c>
      <c r="S542" s="3">
        <v>4.59</v>
      </c>
      <c r="T542" s="3">
        <v>55</v>
      </c>
      <c r="U542" s="3">
        <v>4.6399999999999997</v>
      </c>
      <c r="V542" s="3">
        <v>56</v>
      </c>
      <c r="W542" s="3">
        <v>4.93</v>
      </c>
      <c r="X542" s="3">
        <v>69</v>
      </c>
      <c r="Y542" s="3">
        <v>4.3600000000000003</v>
      </c>
      <c r="Z542" s="3">
        <v>75</v>
      </c>
      <c r="AA542" s="3">
        <v>5.92</v>
      </c>
      <c r="AB542" s="3">
        <v>74</v>
      </c>
      <c r="AC542" s="3"/>
      <c r="AD542" s="3"/>
    </row>
    <row r="543" spans="1:30" x14ac:dyDescent="0.2">
      <c r="A543" s="60" t="s">
        <v>426</v>
      </c>
      <c r="B543" s="60" t="s">
        <v>167</v>
      </c>
      <c r="C543" s="60" t="s">
        <v>53</v>
      </c>
      <c r="D543" s="60" t="s">
        <v>24</v>
      </c>
      <c r="E543" s="60">
        <v>3</v>
      </c>
      <c r="F543" s="60" t="s">
        <v>584</v>
      </c>
      <c r="G543" s="60" t="s">
        <v>35</v>
      </c>
      <c r="H543" s="60" t="s">
        <v>133</v>
      </c>
      <c r="I543" s="60" t="str">
        <f t="shared" si="16"/>
        <v>B3-P5-C4</v>
      </c>
      <c r="J543" s="60" t="str">
        <f t="shared" si="17"/>
        <v>Quercus-B3-P5-C4-B3</v>
      </c>
      <c r="K543" s="60" t="s">
        <v>21</v>
      </c>
      <c r="L543" s="60" t="s">
        <v>44</v>
      </c>
      <c r="M543" s="60" t="s">
        <v>143</v>
      </c>
      <c r="N543" s="15">
        <v>542</v>
      </c>
      <c r="O543" s="60">
        <v>4.8</v>
      </c>
      <c r="P543" s="60">
        <v>31</v>
      </c>
      <c r="Q543" s="60">
        <v>5.31</v>
      </c>
      <c r="R543" s="60">
        <v>39</v>
      </c>
      <c r="S543" s="3">
        <v>5.46</v>
      </c>
      <c r="T543" s="3">
        <v>40</v>
      </c>
      <c r="U543" s="3">
        <v>5.8</v>
      </c>
      <c r="V543" s="3">
        <v>40</v>
      </c>
      <c r="W543" s="3">
        <v>6.62</v>
      </c>
      <c r="X543" s="3">
        <v>39</v>
      </c>
      <c r="Y543" s="3">
        <v>6.72</v>
      </c>
      <c r="Z543" s="3">
        <v>42</v>
      </c>
      <c r="AA543" s="3">
        <v>7.69</v>
      </c>
      <c r="AB543" s="3">
        <v>47</v>
      </c>
      <c r="AC543" s="3"/>
      <c r="AD543" s="3"/>
    </row>
    <row r="544" spans="1:30" x14ac:dyDescent="0.2">
      <c r="A544" s="60" t="s">
        <v>426</v>
      </c>
      <c r="B544" s="60" t="s">
        <v>167</v>
      </c>
      <c r="C544" s="60" t="s">
        <v>53</v>
      </c>
      <c r="D544" s="60" t="s">
        <v>17</v>
      </c>
      <c r="E544" s="60">
        <v>4</v>
      </c>
      <c r="F544" s="60" t="s">
        <v>585</v>
      </c>
      <c r="G544" s="60" t="s">
        <v>35</v>
      </c>
      <c r="H544" s="60" t="s">
        <v>133</v>
      </c>
      <c r="I544" s="60" t="str">
        <f t="shared" si="16"/>
        <v>B3-P5-C4</v>
      </c>
      <c r="J544" s="60" t="str">
        <f t="shared" si="17"/>
        <v>Quercus-B3-P5-C4-A4</v>
      </c>
      <c r="K544" s="60" t="s">
        <v>21</v>
      </c>
      <c r="L544" s="60" t="s">
        <v>44</v>
      </c>
      <c r="M544" s="60" t="s">
        <v>143</v>
      </c>
      <c r="N544" s="15">
        <v>543</v>
      </c>
      <c r="O544" s="60">
        <v>5.0999999999999996</v>
      </c>
      <c r="P544" s="60">
        <v>45</v>
      </c>
      <c r="Q544" s="60">
        <v>5.81</v>
      </c>
      <c r="R544" s="60">
        <v>47</v>
      </c>
      <c r="S544" s="3">
        <v>6.24</v>
      </c>
      <c r="T544" s="3">
        <v>60</v>
      </c>
      <c r="U544" s="3">
        <v>6.51</v>
      </c>
      <c r="V544" s="3">
        <v>60</v>
      </c>
      <c r="W544" s="3">
        <v>6.92</v>
      </c>
      <c r="X544" s="3">
        <v>60.5</v>
      </c>
      <c r="Y544" s="3">
        <v>7.57</v>
      </c>
      <c r="Z544" s="3">
        <v>62</v>
      </c>
      <c r="AA544" s="3">
        <v>9.56</v>
      </c>
      <c r="AB544" s="3">
        <v>69</v>
      </c>
      <c r="AC544" s="3"/>
      <c r="AD544" s="3"/>
    </row>
    <row r="545" spans="1:30" x14ac:dyDescent="0.2">
      <c r="A545" s="60" t="s">
        <v>426</v>
      </c>
      <c r="B545" s="60" t="s">
        <v>167</v>
      </c>
      <c r="C545" s="60" t="s">
        <v>53</v>
      </c>
      <c r="D545" s="60" t="s">
        <v>24</v>
      </c>
      <c r="E545" s="60">
        <v>4</v>
      </c>
      <c r="F545" s="60" t="s">
        <v>584</v>
      </c>
      <c r="G545" s="60" t="s">
        <v>35</v>
      </c>
      <c r="H545" s="60" t="s">
        <v>133</v>
      </c>
      <c r="I545" s="60" t="str">
        <f t="shared" si="16"/>
        <v>B3-P5-C4</v>
      </c>
      <c r="J545" s="60" t="str">
        <f t="shared" si="17"/>
        <v>Quercus-B3-P5-C4-B4</v>
      </c>
      <c r="K545" s="60" t="s">
        <v>21</v>
      </c>
      <c r="L545" s="60" t="s">
        <v>44</v>
      </c>
      <c r="M545" s="60" t="s">
        <v>143</v>
      </c>
      <c r="N545" s="15">
        <v>544</v>
      </c>
      <c r="O545" s="60">
        <v>6.9</v>
      </c>
      <c r="P545" s="60">
        <v>43.5</v>
      </c>
      <c r="Q545" s="60">
        <v>7.77</v>
      </c>
      <c r="R545" s="60">
        <v>52.5</v>
      </c>
      <c r="S545" s="3">
        <v>8.66</v>
      </c>
      <c r="T545" s="3">
        <v>60</v>
      </c>
      <c r="U545" s="3">
        <v>8.9600000000000009</v>
      </c>
      <c r="V545" s="3">
        <v>58</v>
      </c>
      <c r="W545" s="3">
        <v>9.9</v>
      </c>
      <c r="X545" s="3">
        <v>58</v>
      </c>
      <c r="Y545" s="3">
        <v>10.52</v>
      </c>
      <c r="Z545" s="3">
        <v>59</v>
      </c>
      <c r="AA545" s="3">
        <v>10.79</v>
      </c>
      <c r="AB545" s="3">
        <v>61</v>
      </c>
      <c r="AC545" s="3"/>
      <c r="AD545" s="3"/>
    </row>
    <row r="546" spans="1:30" s="38" customFormat="1" x14ac:dyDescent="0.2">
      <c r="A546" s="57" t="s">
        <v>426</v>
      </c>
      <c r="B546" s="57" t="s">
        <v>200</v>
      </c>
      <c r="C546" s="57" t="s">
        <v>16</v>
      </c>
      <c r="D546" s="57" t="s">
        <v>17</v>
      </c>
      <c r="E546" s="57">
        <v>1</v>
      </c>
      <c r="F546" s="57" t="s">
        <v>586</v>
      </c>
      <c r="G546" s="57" t="s">
        <v>19</v>
      </c>
      <c r="H546" s="57" t="s">
        <v>133</v>
      </c>
      <c r="I546" s="57" t="str">
        <f t="shared" si="16"/>
        <v>B3-P6-C1</v>
      </c>
      <c r="J546" s="57" t="str">
        <f t="shared" si="17"/>
        <v>Fagus-B3-P6-C1-A1</v>
      </c>
      <c r="K546" s="57" t="s">
        <v>21</v>
      </c>
      <c r="L546" s="57" t="s">
        <v>22</v>
      </c>
      <c r="M546" s="57" t="s">
        <v>134</v>
      </c>
      <c r="N546" s="37">
        <v>545</v>
      </c>
      <c r="O546" s="57">
        <v>10</v>
      </c>
      <c r="P546" s="57">
        <v>76.5</v>
      </c>
      <c r="Q546" s="57">
        <v>10</v>
      </c>
      <c r="R546" s="57">
        <v>109</v>
      </c>
      <c r="S546" s="57">
        <v>12.14</v>
      </c>
      <c r="T546" s="57">
        <v>115</v>
      </c>
      <c r="U546" s="57">
        <v>13.95</v>
      </c>
      <c r="V546" s="57">
        <v>123</v>
      </c>
      <c r="W546" s="57">
        <v>15.39</v>
      </c>
      <c r="X546" s="57">
        <v>131</v>
      </c>
      <c r="Y546" s="57">
        <v>16.100000000000001</v>
      </c>
      <c r="Z546" s="57">
        <v>138</v>
      </c>
      <c r="AA546" s="57">
        <v>16.12</v>
      </c>
      <c r="AB546" s="57">
        <v>139</v>
      </c>
      <c r="AC546" s="57"/>
      <c r="AD546" s="57"/>
    </row>
    <row r="547" spans="1:30" s="38" customFormat="1" x14ac:dyDescent="0.2">
      <c r="A547" s="57" t="s">
        <v>426</v>
      </c>
      <c r="B547" s="57" t="s">
        <v>200</v>
      </c>
      <c r="C547" s="57" t="s">
        <v>16</v>
      </c>
      <c r="D547" s="57" t="s">
        <v>24</v>
      </c>
      <c r="E547" s="57">
        <v>1</v>
      </c>
      <c r="F547" s="57" t="s">
        <v>587</v>
      </c>
      <c r="G547" s="57" t="s">
        <v>35</v>
      </c>
      <c r="H547" s="57" t="s">
        <v>133</v>
      </c>
      <c r="I547" s="57" t="str">
        <f t="shared" si="16"/>
        <v>B3-P6-C1</v>
      </c>
      <c r="J547" s="57" t="str">
        <f t="shared" si="17"/>
        <v>Quercus-B3-P6-C1-B1</v>
      </c>
      <c r="K547" s="57" t="s">
        <v>21</v>
      </c>
      <c r="L547" s="57" t="s">
        <v>22</v>
      </c>
      <c r="M547" s="57" t="s">
        <v>134</v>
      </c>
      <c r="N547" s="37">
        <v>546</v>
      </c>
      <c r="O547" s="57">
        <v>5.4</v>
      </c>
      <c r="P547" s="57">
        <v>37</v>
      </c>
      <c r="Q547" s="57">
        <v>6.45</v>
      </c>
      <c r="R547" s="57">
        <v>46</v>
      </c>
      <c r="S547" s="57">
        <v>7.06</v>
      </c>
      <c r="T547" s="57">
        <v>49.5</v>
      </c>
      <c r="U547" s="57">
        <v>7.85</v>
      </c>
      <c r="V547" s="57">
        <v>65</v>
      </c>
      <c r="W547" s="57">
        <v>9</v>
      </c>
      <c r="X547" s="57">
        <v>64</v>
      </c>
      <c r="Y547" s="57">
        <v>10.15</v>
      </c>
      <c r="Z547" s="57">
        <v>69</v>
      </c>
      <c r="AA547" s="57">
        <v>12.11</v>
      </c>
      <c r="AB547" s="57">
        <v>78</v>
      </c>
      <c r="AC547" s="57"/>
      <c r="AD547" s="57"/>
    </row>
    <row r="548" spans="1:30" s="38" customFormat="1" x14ac:dyDescent="0.2">
      <c r="A548" s="57" t="s">
        <v>426</v>
      </c>
      <c r="B548" s="57" t="s">
        <v>200</v>
      </c>
      <c r="C548" s="57" t="s">
        <v>16</v>
      </c>
      <c r="D548" s="57" t="s">
        <v>17</v>
      </c>
      <c r="E548" s="57">
        <v>2</v>
      </c>
      <c r="F548" s="57" t="s">
        <v>588</v>
      </c>
      <c r="G548" s="57" t="s">
        <v>35</v>
      </c>
      <c r="H548" s="57" t="s">
        <v>133</v>
      </c>
      <c r="I548" s="57" t="str">
        <f t="shared" si="16"/>
        <v>B3-P6-C1</v>
      </c>
      <c r="J548" s="57" t="str">
        <f t="shared" si="17"/>
        <v>Quercus-B3-P6-C1-A2</v>
      </c>
      <c r="K548" s="57" t="s">
        <v>21</v>
      </c>
      <c r="L548" s="57" t="s">
        <v>22</v>
      </c>
      <c r="M548" s="57" t="s">
        <v>134</v>
      </c>
      <c r="N548" s="37">
        <v>547</v>
      </c>
      <c r="O548" s="57">
        <v>6.2</v>
      </c>
      <c r="P548" s="57">
        <v>44</v>
      </c>
      <c r="Q548" s="57">
        <v>7.15</v>
      </c>
      <c r="R548" s="57">
        <v>57.5</v>
      </c>
      <c r="S548" s="57">
        <v>8.1</v>
      </c>
      <c r="T548" s="57">
        <v>62</v>
      </c>
      <c r="U548" s="57">
        <v>9.39</v>
      </c>
      <c r="V548" s="57">
        <v>85</v>
      </c>
      <c r="W548" s="57">
        <v>9.9600000000000009</v>
      </c>
      <c r="X548" s="57">
        <v>83</v>
      </c>
      <c r="Y548" s="57">
        <v>10.61</v>
      </c>
      <c r="Z548" s="57">
        <v>91</v>
      </c>
      <c r="AA548" s="57">
        <v>12.73</v>
      </c>
      <c r="AB548" s="57">
        <v>106</v>
      </c>
      <c r="AC548" s="57"/>
      <c r="AD548" s="57"/>
    </row>
    <row r="549" spans="1:30" s="38" customFormat="1" x14ac:dyDescent="0.2">
      <c r="A549" s="57" t="s">
        <v>426</v>
      </c>
      <c r="B549" s="57" t="s">
        <v>200</v>
      </c>
      <c r="C549" s="57" t="s">
        <v>16</v>
      </c>
      <c r="D549" s="57" t="s">
        <v>24</v>
      </c>
      <c r="E549" s="57">
        <v>2</v>
      </c>
      <c r="F549" s="57" t="s">
        <v>589</v>
      </c>
      <c r="G549" s="57" t="s">
        <v>19</v>
      </c>
      <c r="H549" s="57" t="s">
        <v>133</v>
      </c>
      <c r="I549" s="57" t="str">
        <f t="shared" si="16"/>
        <v>B3-P6-C1</v>
      </c>
      <c r="J549" s="57" t="str">
        <f t="shared" si="17"/>
        <v>Fagus-B3-P6-C1-B2</v>
      </c>
      <c r="K549" s="57" t="s">
        <v>21</v>
      </c>
      <c r="L549" s="57" t="s">
        <v>22</v>
      </c>
      <c r="M549" s="57" t="s">
        <v>134</v>
      </c>
      <c r="N549" s="37">
        <v>548</v>
      </c>
      <c r="O549" s="57">
        <v>7.5</v>
      </c>
      <c r="P549" s="57">
        <v>76</v>
      </c>
      <c r="Q549" s="57">
        <v>7.79</v>
      </c>
      <c r="R549" s="57">
        <v>79</v>
      </c>
      <c r="S549" s="57">
        <v>10.9</v>
      </c>
      <c r="T549" s="57">
        <v>79</v>
      </c>
      <c r="U549" s="57">
        <v>12.8</v>
      </c>
      <c r="V549" s="57">
        <v>108</v>
      </c>
      <c r="W549" s="57">
        <v>13.17</v>
      </c>
      <c r="X549" s="57">
        <v>117.5</v>
      </c>
      <c r="Y549" s="57">
        <v>12.87</v>
      </c>
      <c r="Z549" s="57">
        <v>117</v>
      </c>
      <c r="AA549" s="57">
        <v>13.43</v>
      </c>
      <c r="AB549" s="57">
        <v>115</v>
      </c>
      <c r="AC549" s="57"/>
      <c r="AD549" s="57"/>
    </row>
    <row r="550" spans="1:30" s="38" customFormat="1" x14ac:dyDescent="0.2">
      <c r="A550" s="57" t="s">
        <v>426</v>
      </c>
      <c r="B550" s="57" t="s">
        <v>200</v>
      </c>
      <c r="C550" s="57" t="s">
        <v>16</v>
      </c>
      <c r="D550" s="57" t="s">
        <v>17</v>
      </c>
      <c r="E550" s="57">
        <v>3</v>
      </c>
      <c r="F550" s="57" t="s">
        <v>590</v>
      </c>
      <c r="G550" s="57" t="s">
        <v>19</v>
      </c>
      <c r="H550" s="57" t="s">
        <v>133</v>
      </c>
      <c r="I550" s="57" t="str">
        <f t="shared" si="16"/>
        <v>B3-P6-C1</v>
      </c>
      <c r="J550" s="57" t="str">
        <f t="shared" si="17"/>
        <v>Fagus-B3-P6-C1-A3</v>
      </c>
      <c r="K550" s="57" t="s">
        <v>21</v>
      </c>
      <c r="L550" s="57" t="s">
        <v>22</v>
      </c>
      <c r="M550" s="57" t="s">
        <v>134</v>
      </c>
      <c r="N550" s="37">
        <v>549</v>
      </c>
      <c r="O550" s="57">
        <v>9.1</v>
      </c>
      <c r="P550" s="57">
        <v>88</v>
      </c>
      <c r="Q550" s="57">
        <v>9.2200000000000006</v>
      </c>
      <c r="R550" s="57">
        <v>115</v>
      </c>
      <c r="S550" s="57">
        <v>11.2</v>
      </c>
      <c r="T550" s="57">
        <v>121</v>
      </c>
      <c r="U550" s="57">
        <v>13.43</v>
      </c>
      <c r="V550" s="57">
        <v>165</v>
      </c>
      <c r="W550" s="57">
        <v>14.24</v>
      </c>
      <c r="X550" s="57">
        <v>171</v>
      </c>
      <c r="Y550" s="57">
        <v>14.59</v>
      </c>
      <c r="Z550" s="57">
        <v>170</v>
      </c>
      <c r="AA550" s="57">
        <v>14.85</v>
      </c>
      <c r="AB550" s="57">
        <v>171</v>
      </c>
      <c r="AC550" s="57"/>
      <c r="AD550" s="57"/>
    </row>
    <row r="551" spans="1:30" s="38" customFormat="1" x14ac:dyDescent="0.2">
      <c r="A551" s="57" t="s">
        <v>426</v>
      </c>
      <c r="B551" s="57" t="s">
        <v>200</v>
      </c>
      <c r="C551" s="57" t="s">
        <v>16</v>
      </c>
      <c r="D551" s="57" t="s">
        <v>24</v>
      </c>
      <c r="E551" s="57">
        <v>3</v>
      </c>
      <c r="F551" s="57" t="s">
        <v>591</v>
      </c>
      <c r="G551" s="57" t="s">
        <v>35</v>
      </c>
      <c r="H551" s="57" t="s">
        <v>133</v>
      </c>
      <c r="I551" s="57" t="str">
        <f t="shared" si="16"/>
        <v>B3-P6-C1</v>
      </c>
      <c r="J551" s="57" t="str">
        <f t="shared" si="17"/>
        <v>Quercus-B3-P6-C1-B3</v>
      </c>
      <c r="K551" s="57" t="s">
        <v>21</v>
      </c>
      <c r="L551" s="57" t="s">
        <v>22</v>
      </c>
      <c r="M551" s="57" t="s">
        <v>134</v>
      </c>
      <c r="N551" s="37">
        <v>550</v>
      </c>
      <c r="O551" s="57">
        <v>3.9</v>
      </c>
      <c r="P551" s="57">
        <v>40</v>
      </c>
      <c r="Q551" s="57">
        <v>4.8</v>
      </c>
      <c r="R551" s="57">
        <v>51</v>
      </c>
      <c r="S551" s="57">
        <v>5.44</v>
      </c>
      <c r="T551" s="57">
        <v>54</v>
      </c>
      <c r="U551" s="57">
        <v>6.13</v>
      </c>
      <c r="V551" s="57">
        <v>59</v>
      </c>
      <c r="W551" s="57">
        <v>6.38</v>
      </c>
      <c r="X551" s="57">
        <v>56.5</v>
      </c>
      <c r="Y551" s="57">
        <v>8.44</v>
      </c>
      <c r="Z551" s="57">
        <v>60</v>
      </c>
      <c r="AA551" s="57">
        <v>8.15</v>
      </c>
      <c r="AB551" s="57">
        <v>58</v>
      </c>
      <c r="AC551" s="57"/>
      <c r="AD551" s="57"/>
    </row>
    <row r="552" spans="1:30" s="38" customFormat="1" x14ac:dyDescent="0.2">
      <c r="A552" s="57" t="s">
        <v>426</v>
      </c>
      <c r="B552" s="57" t="s">
        <v>200</v>
      </c>
      <c r="C552" s="57" t="s">
        <v>16</v>
      </c>
      <c r="D552" s="57" t="s">
        <v>17</v>
      </c>
      <c r="E552" s="57">
        <v>4</v>
      </c>
      <c r="F552" s="57" t="s">
        <v>592</v>
      </c>
      <c r="G552" s="57" t="s">
        <v>35</v>
      </c>
      <c r="H552" s="57" t="s">
        <v>133</v>
      </c>
      <c r="I552" s="57" t="str">
        <f t="shared" si="16"/>
        <v>B3-P6-C1</v>
      </c>
      <c r="J552" s="57" t="str">
        <f t="shared" si="17"/>
        <v>Quercus-B3-P6-C1-A4</v>
      </c>
      <c r="K552" s="57" t="s">
        <v>21</v>
      </c>
      <c r="L552" s="57" t="s">
        <v>22</v>
      </c>
      <c r="M552" s="57" t="s">
        <v>134</v>
      </c>
      <c r="N552" s="37">
        <v>551</v>
      </c>
      <c r="O552" s="57">
        <v>6.8</v>
      </c>
      <c r="P552" s="57">
        <v>49</v>
      </c>
      <c r="Q552" s="57">
        <v>8.16</v>
      </c>
      <c r="R552" s="57">
        <v>55</v>
      </c>
      <c r="S552" s="57">
        <v>8.89</v>
      </c>
      <c r="T552" s="57">
        <v>59</v>
      </c>
      <c r="U552" s="57">
        <v>10.029999999999999</v>
      </c>
      <c r="V552" s="57">
        <v>75</v>
      </c>
      <c r="W552" s="57">
        <v>11.24</v>
      </c>
      <c r="X552" s="57">
        <v>75</v>
      </c>
      <c r="Y552" s="57">
        <v>12.63</v>
      </c>
      <c r="Z552" s="57">
        <v>77</v>
      </c>
      <c r="AA552" s="57">
        <v>15.19</v>
      </c>
      <c r="AB552" s="57">
        <v>86</v>
      </c>
      <c r="AC552" s="57"/>
      <c r="AD552" s="57"/>
    </row>
    <row r="553" spans="1:30" s="38" customFormat="1" x14ac:dyDescent="0.2">
      <c r="A553" s="57" t="s">
        <v>426</v>
      </c>
      <c r="B553" s="57" t="s">
        <v>200</v>
      </c>
      <c r="C553" s="57" t="s">
        <v>16</v>
      </c>
      <c r="D553" s="57" t="s">
        <v>24</v>
      </c>
      <c r="E553" s="57">
        <v>4</v>
      </c>
      <c r="F553" s="57" t="s">
        <v>593</v>
      </c>
      <c r="G553" s="57" t="s">
        <v>19</v>
      </c>
      <c r="H553" s="57" t="s">
        <v>133</v>
      </c>
      <c r="I553" s="57" t="str">
        <f t="shared" si="16"/>
        <v>B3-P6-C1</v>
      </c>
      <c r="J553" s="57" t="str">
        <f t="shared" si="17"/>
        <v>Fagus-B3-P6-C1-B4</v>
      </c>
      <c r="K553" s="57" t="s">
        <v>21</v>
      </c>
      <c r="L553" s="57" t="s">
        <v>22</v>
      </c>
      <c r="M553" s="57" t="s">
        <v>134</v>
      </c>
      <c r="N553" s="37">
        <v>552</v>
      </c>
      <c r="O553" s="57">
        <v>6.8</v>
      </c>
      <c r="P553" s="57">
        <v>68.5</v>
      </c>
      <c r="Q553" s="57">
        <v>7.2</v>
      </c>
      <c r="R553" s="57">
        <v>78</v>
      </c>
      <c r="S553" s="57">
        <v>10.08</v>
      </c>
      <c r="T553" s="57">
        <v>78</v>
      </c>
      <c r="U553" s="57">
        <v>10.88</v>
      </c>
      <c r="V553" s="57">
        <v>108</v>
      </c>
      <c r="W553" s="57">
        <v>11.4</v>
      </c>
      <c r="X553" s="57">
        <v>111</v>
      </c>
      <c r="Y553" s="57">
        <v>11.51</v>
      </c>
      <c r="Z553" s="57">
        <v>114</v>
      </c>
      <c r="AA553" s="57">
        <v>11.91</v>
      </c>
      <c r="AB553" s="57">
        <v>111</v>
      </c>
      <c r="AC553" s="57"/>
      <c r="AD553" s="57"/>
    </row>
    <row r="554" spans="1:30" x14ac:dyDescent="0.2">
      <c r="A554" s="60" t="s">
        <v>426</v>
      </c>
      <c r="B554" s="60" t="s">
        <v>200</v>
      </c>
      <c r="C554" s="60" t="s">
        <v>32</v>
      </c>
      <c r="D554" s="60" t="s">
        <v>17</v>
      </c>
      <c r="E554" s="60">
        <v>1</v>
      </c>
      <c r="F554" s="60" t="s">
        <v>594</v>
      </c>
      <c r="G554" s="60" t="s">
        <v>19</v>
      </c>
      <c r="H554" s="60" t="s">
        <v>133</v>
      </c>
      <c r="I554" s="60" t="str">
        <f t="shared" si="16"/>
        <v>B3-P6-C2</v>
      </c>
      <c r="J554" s="60" t="str">
        <f t="shared" si="17"/>
        <v>Fagus-B3-P6-C2-A1</v>
      </c>
      <c r="K554" s="60" t="s">
        <v>21</v>
      </c>
      <c r="L554" s="60" t="s">
        <v>22</v>
      </c>
      <c r="M554" s="60" t="s">
        <v>134</v>
      </c>
      <c r="N554" s="15">
        <v>553</v>
      </c>
      <c r="O554" s="60">
        <v>9.5</v>
      </c>
      <c r="P554" s="60">
        <v>57</v>
      </c>
      <c r="Q554" s="60">
        <v>9.6</v>
      </c>
      <c r="R554" s="60">
        <v>70</v>
      </c>
      <c r="S554" s="3">
        <v>11.36</v>
      </c>
      <c r="T554" s="3">
        <v>79</v>
      </c>
      <c r="U554" s="3">
        <v>12.68</v>
      </c>
      <c r="V554" s="3">
        <v>94</v>
      </c>
      <c r="W554" s="3">
        <v>14.12</v>
      </c>
      <c r="X554" s="3">
        <v>95</v>
      </c>
      <c r="Y554" s="3">
        <v>13.4</v>
      </c>
      <c r="Z554" s="3">
        <v>96</v>
      </c>
      <c r="AA554" s="3">
        <v>14.45</v>
      </c>
      <c r="AB554" s="3">
        <v>94</v>
      </c>
      <c r="AC554" s="3"/>
      <c r="AD554" s="3"/>
    </row>
    <row r="555" spans="1:30" x14ac:dyDescent="0.2">
      <c r="A555" s="60" t="s">
        <v>426</v>
      </c>
      <c r="B555" s="60" t="s">
        <v>200</v>
      </c>
      <c r="C555" s="60" t="s">
        <v>32</v>
      </c>
      <c r="D555" s="60" t="s">
        <v>24</v>
      </c>
      <c r="E555" s="60">
        <v>1</v>
      </c>
      <c r="F555" s="60" t="s">
        <v>595</v>
      </c>
      <c r="G555" s="60" t="s">
        <v>19</v>
      </c>
      <c r="H555" s="60" t="s">
        <v>133</v>
      </c>
      <c r="I555" s="60" t="str">
        <f t="shared" si="16"/>
        <v>B3-P6-C2</v>
      </c>
      <c r="J555" s="60" t="str">
        <f t="shared" si="17"/>
        <v>Fagus-B3-P6-C2-B1</v>
      </c>
      <c r="K555" s="60" t="s">
        <v>21</v>
      </c>
      <c r="L555" s="60" t="s">
        <v>22</v>
      </c>
      <c r="M555" s="60" t="s">
        <v>134</v>
      </c>
      <c r="N555" s="15">
        <v>554</v>
      </c>
      <c r="O555" s="60">
        <v>10.8</v>
      </c>
      <c r="P555" s="60">
        <v>80.5</v>
      </c>
      <c r="Q555" s="60">
        <v>11.8</v>
      </c>
      <c r="R555" s="60">
        <v>96</v>
      </c>
      <c r="S555" s="3">
        <v>12.41</v>
      </c>
      <c r="T555" s="3">
        <v>119</v>
      </c>
      <c r="U555" s="3">
        <v>14.36</v>
      </c>
      <c r="V555" s="3">
        <v>127</v>
      </c>
      <c r="W555" s="3">
        <v>16.29</v>
      </c>
      <c r="X555" s="3">
        <v>129</v>
      </c>
      <c r="Y555" s="3">
        <v>15.87</v>
      </c>
      <c r="Z555" s="3">
        <v>133</v>
      </c>
      <c r="AA555" s="3">
        <v>15.85</v>
      </c>
      <c r="AB555" s="3">
        <v>143</v>
      </c>
      <c r="AC555" s="3"/>
      <c r="AD555" s="3"/>
    </row>
    <row r="556" spans="1:30" x14ac:dyDescent="0.2">
      <c r="A556" s="60" t="s">
        <v>426</v>
      </c>
      <c r="B556" s="60" t="s">
        <v>200</v>
      </c>
      <c r="C556" s="60" t="s">
        <v>32</v>
      </c>
      <c r="D556" s="60" t="s">
        <v>17</v>
      </c>
      <c r="E556" s="60">
        <v>2</v>
      </c>
      <c r="F556" s="60" t="s">
        <v>596</v>
      </c>
      <c r="G556" s="60" t="s">
        <v>19</v>
      </c>
      <c r="H556" s="60" t="s">
        <v>133</v>
      </c>
      <c r="I556" s="60" t="str">
        <f t="shared" si="16"/>
        <v>B3-P6-C2</v>
      </c>
      <c r="J556" s="60" t="str">
        <f t="shared" si="17"/>
        <v>Fagus-B3-P6-C2-A2</v>
      </c>
      <c r="K556" s="60" t="s">
        <v>21</v>
      </c>
      <c r="L556" s="60" t="s">
        <v>22</v>
      </c>
      <c r="M556" s="60" t="s">
        <v>134</v>
      </c>
      <c r="N556" s="15">
        <v>555</v>
      </c>
      <c r="O556" s="60">
        <v>9.6</v>
      </c>
      <c r="P556" s="60">
        <v>88</v>
      </c>
      <c r="Q556" s="60">
        <v>9.6300000000000008</v>
      </c>
      <c r="R556" s="60">
        <v>114</v>
      </c>
      <c r="S556" s="3">
        <v>11.4</v>
      </c>
      <c r="T556" s="3">
        <v>118</v>
      </c>
      <c r="U556" s="3">
        <v>12.44</v>
      </c>
      <c r="V556" s="3">
        <v>133</v>
      </c>
      <c r="W556" s="3">
        <v>13.17</v>
      </c>
      <c r="X556" s="3">
        <v>145.5</v>
      </c>
      <c r="Y556" s="3">
        <v>13.01</v>
      </c>
      <c r="Z556" s="3">
        <v>149</v>
      </c>
      <c r="AA556" s="3">
        <v>15.24</v>
      </c>
      <c r="AB556" s="3">
        <v>147</v>
      </c>
      <c r="AC556" s="3"/>
      <c r="AD556" s="3"/>
    </row>
    <row r="557" spans="1:30" x14ac:dyDescent="0.2">
      <c r="A557" s="60" t="s">
        <v>426</v>
      </c>
      <c r="B557" s="60" t="s">
        <v>200</v>
      </c>
      <c r="C557" s="60" t="s">
        <v>32</v>
      </c>
      <c r="D557" s="60" t="s">
        <v>24</v>
      </c>
      <c r="E557" s="60">
        <v>2</v>
      </c>
      <c r="F557" s="60" t="s">
        <v>597</v>
      </c>
      <c r="G557" s="60" t="s">
        <v>19</v>
      </c>
      <c r="H557" s="60" t="s">
        <v>133</v>
      </c>
      <c r="I557" s="60" t="str">
        <f t="shared" si="16"/>
        <v>B3-P6-C2</v>
      </c>
      <c r="J557" s="60" t="str">
        <f t="shared" si="17"/>
        <v>Fagus-B3-P6-C2-B2</v>
      </c>
      <c r="K557" s="60" t="s">
        <v>21</v>
      </c>
      <c r="L557" s="60" t="s">
        <v>22</v>
      </c>
      <c r="M557" s="60" t="s">
        <v>134</v>
      </c>
      <c r="N557" s="15">
        <v>556</v>
      </c>
      <c r="O557" s="60">
        <v>8.5</v>
      </c>
      <c r="P557" s="60">
        <v>51</v>
      </c>
      <c r="Q557" s="60">
        <v>8.5</v>
      </c>
      <c r="R557" s="60">
        <v>74</v>
      </c>
      <c r="S557" s="3">
        <v>9.65</v>
      </c>
      <c r="T557" s="3">
        <v>79</v>
      </c>
      <c r="U557" s="3">
        <v>10.65</v>
      </c>
      <c r="V557" s="3">
        <v>92</v>
      </c>
      <c r="W557" s="3">
        <v>11.35</v>
      </c>
      <c r="X557" s="3">
        <v>95</v>
      </c>
      <c r="Y557" s="3">
        <v>11.33</v>
      </c>
      <c r="Z557" s="3">
        <v>96</v>
      </c>
      <c r="AA557" s="3">
        <v>12.09</v>
      </c>
      <c r="AB557" s="3">
        <v>96</v>
      </c>
      <c r="AC557" s="3"/>
      <c r="AD557" s="3"/>
    </row>
    <row r="558" spans="1:30" x14ac:dyDescent="0.2">
      <c r="A558" s="60" t="s">
        <v>426</v>
      </c>
      <c r="B558" s="60" t="s">
        <v>200</v>
      </c>
      <c r="C558" s="60" t="s">
        <v>32</v>
      </c>
      <c r="D558" s="60" t="s">
        <v>17</v>
      </c>
      <c r="E558" s="60">
        <v>3</v>
      </c>
      <c r="F558" s="60" t="s">
        <v>598</v>
      </c>
      <c r="G558" s="60" t="s">
        <v>19</v>
      </c>
      <c r="H558" s="60" t="s">
        <v>133</v>
      </c>
      <c r="I558" s="60" t="str">
        <f t="shared" si="16"/>
        <v>B3-P6-C2</v>
      </c>
      <c r="J558" s="60" t="str">
        <f t="shared" si="17"/>
        <v>Fagus-B3-P6-C2-A3</v>
      </c>
      <c r="K558" s="60" t="s">
        <v>21</v>
      </c>
      <c r="L558" s="60" t="s">
        <v>22</v>
      </c>
      <c r="M558" s="60" t="s">
        <v>134</v>
      </c>
      <c r="N558" s="15">
        <v>557</v>
      </c>
      <c r="O558" s="60">
        <v>9.3000000000000007</v>
      </c>
      <c r="P558" s="60">
        <v>57</v>
      </c>
      <c r="Q558" s="60">
        <v>9.4</v>
      </c>
      <c r="R558" s="60">
        <v>73</v>
      </c>
      <c r="S558" s="3">
        <v>10.8</v>
      </c>
      <c r="T558" s="3">
        <v>80</v>
      </c>
      <c r="U558" s="3">
        <v>12.12</v>
      </c>
      <c r="V558" s="3">
        <v>100</v>
      </c>
      <c r="W558" s="3">
        <v>13.43</v>
      </c>
      <c r="X558" s="3">
        <v>101</v>
      </c>
      <c r="Y558" s="3">
        <v>12.58</v>
      </c>
      <c r="Z558" s="3">
        <v>103</v>
      </c>
      <c r="AA558" s="3">
        <v>13.5</v>
      </c>
      <c r="AB558" s="3">
        <v>101</v>
      </c>
      <c r="AC558" s="3"/>
      <c r="AD558" s="3"/>
    </row>
    <row r="559" spans="1:30" x14ac:dyDescent="0.2">
      <c r="A559" s="60" t="s">
        <v>426</v>
      </c>
      <c r="B559" s="60" t="s">
        <v>200</v>
      </c>
      <c r="C559" s="60" t="s">
        <v>32</v>
      </c>
      <c r="D559" s="60" t="s">
        <v>24</v>
      </c>
      <c r="E559" s="60">
        <v>3</v>
      </c>
      <c r="F559" s="60" t="s">
        <v>599</v>
      </c>
      <c r="G559" s="60" t="s">
        <v>19</v>
      </c>
      <c r="H559" s="60" t="s">
        <v>133</v>
      </c>
      <c r="I559" s="60" t="str">
        <f t="shared" si="16"/>
        <v>B3-P6-C2</v>
      </c>
      <c r="J559" s="60" t="str">
        <f t="shared" si="17"/>
        <v>Fagus-B3-P6-C2-B3</v>
      </c>
      <c r="K559" s="60" t="s">
        <v>21</v>
      </c>
      <c r="L559" s="60" t="s">
        <v>22</v>
      </c>
      <c r="M559" s="60" t="s">
        <v>134</v>
      </c>
      <c r="N559" s="15">
        <v>558</v>
      </c>
      <c r="O559" s="60">
        <v>9.1</v>
      </c>
      <c r="P559" s="60">
        <v>84.5</v>
      </c>
      <c r="Q559" s="60">
        <v>9.26</v>
      </c>
      <c r="R559" s="60">
        <v>101</v>
      </c>
      <c r="S559" s="3">
        <v>10.66</v>
      </c>
      <c r="T559" s="3">
        <v>115</v>
      </c>
      <c r="U559" s="3">
        <v>12.8</v>
      </c>
      <c r="V559" s="3">
        <v>134</v>
      </c>
      <c r="W559" s="3">
        <v>14.66</v>
      </c>
      <c r="X559" s="3">
        <v>135</v>
      </c>
      <c r="Y559" s="3">
        <v>15.26</v>
      </c>
      <c r="Z559" s="3">
        <v>132</v>
      </c>
      <c r="AA559" s="3">
        <v>14.55</v>
      </c>
      <c r="AB559" s="3">
        <v>134.5</v>
      </c>
      <c r="AC559" s="3"/>
      <c r="AD559" s="3"/>
    </row>
    <row r="560" spans="1:30" x14ac:dyDescent="0.2">
      <c r="A560" s="60" t="s">
        <v>426</v>
      </c>
      <c r="B560" s="60" t="s">
        <v>200</v>
      </c>
      <c r="C560" s="60" t="s">
        <v>32</v>
      </c>
      <c r="D560" s="60" t="s">
        <v>17</v>
      </c>
      <c r="E560" s="60">
        <v>4</v>
      </c>
      <c r="F560" s="60" t="s">
        <v>600</v>
      </c>
      <c r="G560" s="60" t="s">
        <v>19</v>
      </c>
      <c r="H560" s="60" t="s">
        <v>133</v>
      </c>
      <c r="I560" s="60" t="str">
        <f t="shared" si="16"/>
        <v>B3-P6-C2</v>
      </c>
      <c r="J560" s="60" t="str">
        <f t="shared" si="17"/>
        <v>Fagus-B3-P6-C2-A4</v>
      </c>
      <c r="K560" s="60" t="s">
        <v>21</v>
      </c>
      <c r="L560" s="60" t="s">
        <v>22</v>
      </c>
      <c r="M560" s="60" t="s">
        <v>134</v>
      </c>
      <c r="N560" s="15">
        <v>559</v>
      </c>
      <c r="O560" s="60">
        <v>8</v>
      </c>
      <c r="P560" s="60">
        <v>42.5</v>
      </c>
      <c r="Q560" s="60">
        <v>8.1999999999999993</v>
      </c>
      <c r="R560" s="60">
        <v>47</v>
      </c>
      <c r="S560" s="3">
        <v>10.15</v>
      </c>
      <c r="T560" s="3">
        <v>48</v>
      </c>
      <c r="U560" s="3">
        <v>12.27</v>
      </c>
      <c r="V560" s="3">
        <v>82</v>
      </c>
      <c r="W560" s="3">
        <v>12.24</v>
      </c>
      <c r="X560" s="3">
        <v>86</v>
      </c>
      <c r="Y560" s="3">
        <v>12.93</v>
      </c>
      <c r="Z560" s="3">
        <v>86</v>
      </c>
      <c r="AA560" s="3">
        <v>13.39</v>
      </c>
      <c r="AB560" s="3">
        <v>88</v>
      </c>
      <c r="AC560" s="3"/>
      <c r="AD560" s="3"/>
    </row>
    <row r="561" spans="1:30" x14ac:dyDescent="0.2">
      <c r="A561" s="60" t="s">
        <v>426</v>
      </c>
      <c r="B561" s="60" t="s">
        <v>200</v>
      </c>
      <c r="C561" s="60" t="s">
        <v>32</v>
      </c>
      <c r="D561" s="60" t="s">
        <v>24</v>
      </c>
      <c r="E561" s="60">
        <v>4</v>
      </c>
      <c r="F561" s="60" t="s">
        <v>601</v>
      </c>
      <c r="G561" s="60" t="s">
        <v>19</v>
      </c>
      <c r="H561" s="60" t="s">
        <v>133</v>
      </c>
      <c r="I561" s="60" t="str">
        <f t="shared" si="16"/>
        <v>B3-P6-C2</v>
      </c>
      <c r="J561" s="60" t="str">
        <f t="shared" si="17"/>
        <v>Fagus-B3-P6-C2-B4</v>
      </c>
      <c r="K561" s="60" t="s">
        <v>21</v>
      </c>
      <c r="L561" s="60" t="s">
        <v>22</v>
      </c>
      <c r="M561" s="60" t="s">
        <v>134</v>
      </c>
      <c r="N561" s="15">
        <v>560</v>
      </c>
      <c r="O561" s="60">
        <v>12.7</v>
      </c>
      <c r="P561" s="60">
        <v>101</v>
      </c>
      <c r="Q561" s="60">
        <v>12.72</v>
      </c>
      <c r="R561" s="60">
        <v>118</v>
      </c>
      <c r="S561" s="3">
        <v>14.79</v>
      </c>
      <c r="T561" s="3">
        <v>123</v>
      </c>
      <c r="U561" s="3">
        <v>17.399999999999999</v>
      </c>
      <c r="V561" s="3">
        <v>153</v>
      </c>
      <c r="W561" s="3">
        <v>18.600000000000001</v>
      </c>
      <c r="X561" s="3">
        <v>151</v>
      </c>
      <c r="Y561" s="3">
        <v>19.600000000000001</v>
      </c>
      <c r="Z561" s="3">
        <v>150</v>
      </c>
      <c r="AA561" s="3">
        <v>19.68</v>
      </c>
      <c r="AB561" s="3">
        <v>152</v>
      </c>
      <c r="AC561" s="3"/>
      <c r="AD561" s="3"/>
    </row>
    <row r="562" spans="1:30" s="38" customFormat="1" x14ac:dyDescent="0.2">
      <c r="A562" s="57" t="s">
        <v>426</v>
      </c>
      <c r="B562" s="57" t="s">
        <v>200</v>
      </c>
      <c r="C562" s="57" t="s">
        <v>42</v>
      </c>
      <c r="D562" s="57" t="s">
        <v>17</v>
      </c>
      <c r="E562" s="57">
        <v>1</v>
      </c>
      <c r="F562" s="57" t="s">
        <v>602</v>
      </c>
      <c r="G562" s="57" t="s">
        <v>19</v>
      </c>
      <c r="H562" s="57" t="s">
        <v>133</v>
      </c>
      <c r="I562" s="57" t="str">
        <f t="shared" si="16"/>
        <v>B3-P6-C3</v>
      </c>
      <c r="J562" s="57" t="str">
        <f t="shared" si="17"/>
        <v>Fagus-B3-P6-C3-A1</v>
      </c>
      <c r="K562" s="57" t="s">
        <v>21</v>
      </c>
      <c r="L562" s="57" t="s">
        <v>44</v>
      </c>
      <c r="M562" s="57" t="s">
        <v>143</v>
      </c>
      <c r="N562" s="37">
        <v>561</v>
      </c>
      <c r="O562" s="57">
        <v>8.4</v>
      </c>
      <c r="P562" s="57">
        <v>70</v>
      </c>
      <c r="Q562" s="57">
        <v>8.5</v>
      </c>
      <c r="R562" s="57">
        <v>91.5</v>
      </c>
      <c r="S562" s="57">
        <v>10.16</v>
      </c>
      <c r="T562" s="57">
        <v>92</v>
      </c>
      <c r="U562" s="57">
        <v>10.35</v>
      </c>
      <c r="V562" s="57">
        <v>92</v>
      </c>
      <c r="W562" s="57">
        <v>11.13</v>
      </c>
      <c r="X562" s="57">
        <v>92</v>
      </c>
      <c r="Y562" s="57">
        <v>11.4</v>
      </c>
      <c r="Z562" s="57">
        <v>90</v>
      </c>
      <c r="AA562" s="57">
        <v>12.8</v>
      </c>
      <c r="AB562" s="57">
        <v>88</v>
      </c>
      <c r="AC562" s="57"/>
      <c r="AD562" s="57"/>
    </row>
    <row r="563" spans="1:30" s="38" customFormat="1" x14ac:dyDescent="0.2">
      <c r="A563" s="57" t="s">
        <v>426</v>
      </c>
      <c r="B563" s="57" t="s">
        <v>200</v>
      </c>
      <c r="C563" s="57" t="s">
        <v>42</v>
      </c>
      <c r="D563" s="57" t="s">
        <v>24</v>
      </c>
      <c r="E563" s="57">
        <v>1</v>
      </c>
      <c r="F563" s="57" t="s">
        <v>603</v>
      </c>
      <c r="G563" s="57" t="s">
        <v>35</v>
      </c>
      <c r="H563" s="57" t="s">
        <v>133</v>
      </c>
      <c r="I563" s="57" t="str">
        <f t="shared" si="16"/>
        <v>B3-P6-C3</v>
      </c>
      <c r="J563" s="57" t="str">
        <f t="shared" si="17"/>
        <v>Quercus-B3-P6-C3-B1</v>
      </c>
      <c r="K563" s="57" t="s">
        <v>21</v>
      </c>
      <c r="L563" s="57" t="s">
        <v>44</v>
      </c>
      <c r="M563" s="57" t="s">
        <v>143</v>
      </c>
      <c r="N563" s="37">
        <v>562</v>
      </c>
      <c r="O563" s="57">
        <v>3.4</v>
      </c>
      <c r="P563" s="57">
        <v>32</v>
      </c>
      <c r="Q563" s="57">
        <v>4</v>
      </c>
      <c r="R563" s="57">
        <v>37.5</v>
      </c>
      <c r="S563" s="57">
        <v>4.13</v>
      </c>
      <c r="T563" s="57">
        <v>40</v>
      </c>
      <c r="U563" s="57">
        <v>4.53</v>
      </c>
      <c r="V563" s="57">
        <v>40</v>
      </c>
      <c r="W563" s="57">
        <v>4.8099999999999996</v>
      </c>
      <c r="X563" s="57">
        <v>51</v>
      </c>
      <c r="Y563" s="57">
        <v>6.25</v>
      </c>
      <c r="Z563" s="57">
        <v>52</v>
      </c>
      <c r="AA563" s="57">
        <v>6.04</v>
      </c>
      <c r="AB563" s="57">
        <v>51</v>
      </c>
      <c r="AC563" s="57"/>
      <c r="AD563" s="57"/>
    </row>
    <row r="564" spans="1:30" s="38" customFormat="1" x14ac:dyDescent="0.2">
      <c r="A564" s="57" t="s">
        <v>426</v>
      </c>
      <c r="B564" s="57" t="s">
        <v>200</v>
      </c>
      <c r="C564" s="57" t="s">
        <v>42</v>
      </c>
      <c r="D564" s="57" t="s">
        <v>17</v>
      </c>
      <c r="E564" s="57">
        <v>2</v>
      </c>
      <c r="F564" s="57" t="s">
        <v>604</v>
      </c>
      <c r="G564" s="57" t="s">
        <v>35</v>
      </c>
      <c r="H564" s="57" t="s">
        <v>133</v>
      </c>
      <c r="I564" s="57" t="str">
        <f t="shared" si="16"/>
        <v>B3-P6-C3</v>
      </c>
      <c r="J564" s="57" t="str">
        <f t="shared" si="17"/>
        <v>Quercus-B3-P6-C3-A2</v>
      </c>
      <c r="K564" s="57" t="s">
        <v>21</v>
      </c>
      <c r="L564" s="57" t="s">
        <v>44</v>
      </c>
      <c r="M564" s="57" t="s">
        <v>143</v>
      </c>
      <c r="N564" s="37">
        <v>563</v>
      </c>
      <c r="O564" s="57">
        <v>4.7</v>
      </c>
      <c r="P564" s="57">
        <v>48</v>
      </c>
      <c r="Q564" s="57">
        <v>5.5</v>
      </c>
      <c r="R564" s="57">
        <v>54</v>
      </c>
      <c r="S564" s="57">
        <v>5.81</v>
      </c>
      <c r="T564" s="57">
        <v>61.5</v>
      </c>
      <c r="U564" s="57">
        <v>5.84</v>
      </c>
      <c r="V564" s="57">
        <v>62</v>
      </c>
      <c r="W564" s="57">
        <v>6.48</v>
      </c>
      <c r="X564" s="57">
        <v>62</v>
      </c>
      <c r="Y564" s="57">
        <v>6.85</v>
      </c>
      <c r="Z564" s="57">
        <v>70</v>
      </c>
      <c r="AA564" s="57">
        <v>7.86</v>
      </c>
      <c r="AB564" s="57">
        <v>72</v>
      </c>
      <c r="AC564" s="57"/>
      <c r="AD564" s="57"/>
    </row>
    <row r="565" spans="1:30" s="38" customFormat="1" x14ac:dyDescent="0.2">
      <c r="A565" s="57" t="s">
        <v>426</v>
      </c>
      <c r="B565" s="57" t="s">
        <v>200</v>
      </c>
      <c r="C565" s="57" t="s">
        <v>42</v>
      </c>
      <c r="D565" s="57" t="s">
        <v>24</v>
      </c>
      <c r="E565" s="57">
        <v>2</v>
      </c>
      <c r="F565" s="57" t="s">
        <v>605</v>
      </c>
      <c r="G565" s="57" t="s">
        <v>19</v>
      </c>
      <c r="H565" s="57" t="s">
        <v>133</v>
      </c>
      <c r="I565" s="57" t="str">
        <f t="shared" si="16"/>
        <v>B3-P6-C3</v>
      </c>
      <c r="J565" s="57" t="str">
        <f t="shared" si="17"/>
        <v>Fagus-B3-P6-C3-B2</v>
      </c>
      <c r="K565" s="57" t="s">
        <v>21</v>
      </c>
      <c r="L565" s="57" t="s">
        <v>44</v>
      </c>
      <c r="M565" s="57" t="s">
        <v>143</v>
      </c>
      <c r="N565" s="37">
        <v>564</v>
      </c>
      <c r="O565" s="57">
        <v>8.8000000000000007</v>
      </c>
      <c r="P565" s="57">
        <v>49</v>
      </c>
      <c r="Q565" s="57">
        <v>8.85</v>
      </c>
      <c r="R565" s="57">
        <v>49</v>
      </c>
      <c r="S565" s="57">
        <v>10.08</v>
      </c>
      <c r="T565" s="57">
        <v>51</v>
      </c>
      <c r="U565" s="57">
        <v>10.01</v>
      </c>
      <c r="V565" s="57">
        <v>54</v>
      </c>
      <c r="W565" s="57">
        <v>10.42</v>
      </c>
      <c r="X565" s="57">
        <v>55.5</v>
      </c>
      <c r="Y565" s="57">
        <v>10.25</v>
      </c>
      <c r="Z565" s="57">
        <v>54</v>
      </c>
      <c r="AA565" s="57">
        <v>11.65</v>
      </c>
      <c r="AB565" s="57">
        <v>55</v>
      </c>
      <c r="AC565" s="57"/>
      <c r="AD565" s="57"/>
    </row>
    <row r="566" spans="1:30" s="38" customFormat="1" x14ac:dyDescent="0.2">
      <c r="A566" s="57" t="s">
        <v>426</v>
      </c>
      <c r="B566" s="57" t="s">
        <v>200</v>
      </c>
      <c r="C566" s="57" t="s">
        <v>42</v>
      </c>
      <c r="D566" s="57" t="s">
        <v>17</v>
      </c>
      <c r="E566" s="57">
        <v>3</v>
      </c>
      <c r="F566" s="57" t="s">
        <v>606</v>
      </c>
      <c r="G566" s="57" t="s">
        <v>19</v>
      </c>
      <c r="H566" s="57" t="s">
        <v>133</v>
      </c>
      <c r="I566" s="57" t="str">
        <f t="shared" si="16"/>
        <v>B3-P6-C3</v>
      </c>
      <c r="J566" s="57" t="str">
        <f t="shared" si="17"/>
        <v>Fagus-B3-P6-C3-A3</v>
      </c>
      <c r="K566" s="57" t="s">
        <v>21</v>
      </c>
      <c r="L566" s="57" t="s">
        <v>44</v>
      </c>
      <c r="M566" s="57" t="s">
        <v>143</v>
      </c>
      <c r="N566" s="37">
        <v>565</v>
      </c>
      <c r="O566" s="57">
        <v>10.3</v>
      </c>
      <c r="P566" s="57">
        <v>99</v>
      </c>
      <c r="Q566" s="57">
        <v>10.9</v>
      </c>
      <c r="R566" s="57">
        <v>108</v>
      </c>
      <c r="S566" s="57">
        <v>12.02</v>
      </c>
      <c r="T566" s="57">
        <v>112</v>
      </c>
      <c r="U566" s="57">
        <v>11.85</v>
      </c>
      <c r="V566" s="57">
        <v>110</v>
      </c>
      <c r="W566" s="57">
        <v>12.32</v>
      </c>
      <c r="X566" s="57">
        <v>114</v>
      </c>
      <c r="Y566" s="57">
        <v>12.41</v>
      </c>
      <c r="Z566" s="57">
        <v>110</v>
      </c>
      <c r="AA566" s="57">
        <v>12.48</v>
      </c>
      <c r="AB566" s="57">
        <v>110</v>
      </c>
      <c r="AC566" s="57"/>
      <c r="AD566" s="57"/>
    </row>
    <row r="567" spans="1:30" s="38" customFormat="1" x14ac:dyDescent="0.2">
      <c r="A567" s="57" t="s">
        <v>426</v>
      </c>
      <c r="B567" s="57" t="s">
        <v>200</v>
      </c>
      <c r="C567" s="57" t="s">
        <v>42</v>
      </c>
      <c r="D567" s="57" t="s">
        <v>24</v>
      </c>
      <c r="E567" s="57">
        <v>3</v>
      </c>
      <c r="F567" s="57" t="s">
        <v>607</v>
      </c>
      <c r="G567" s="57" t="s">
        <v>35</v>
      </c>
      <c r="H567" s="57" t="s">
        <v>133</v>
      </c>
      <c r="I567" s="57" t="str">
        <f t="shared" si="16"/>
        <v>B3-P6-C3</v>
      </c>
      <c r="J567" s="57" t="str">
        <f t="shared" si="17"/>
        <v>Quercus-B3-P6-C3-B3</v>
      </c>
      <c r="K567" s="57" t="s">
        <v>21</v>
      </c>
      <c r="L567" s="57" t="s">
        <v>44</v>
      </c>
      <c r="M567" s="57" t="s">
        <v>143</v>
      </c>
      <c r="N567" s="37">
        <v>566</v>
      </c>
      <c r="O567" s="57">
        <v>5.2</v>
      </c>
      <c r="P567" s="57">
        <v>35</v>
      </c>
      <c r="Q567" s="57">
        <v>6.14</v>
      </c>
      <c r="R567" s="57">
        <v>40.5</v>
      </c>
      <c r="S567" s="57">
        <v>6.58</v>
      </c>
      <c r="T567" s="57">
        <v>48.5</v>
      </c>
      <c r="U567" s="57">
        <v>6.65</v>
      </c>
      <c r="V567" s="57">
        <v>49</v>
      </c>
      <c r="W567" s="57">
        <v>7.23</v>
      </c>
      <c r="X567" s="57">
        <v>47</v>
      </c>
      <c r="Y567" s="57">
        <v>7.25</v>
      </c>
      <c r="Z567" s="57">
        <v>53</v>
      </c>
      <c r="AA567" s="57">
        <v>9.14</v>
      </c>
      <c r="AB567" s="57">
        <v>54</v>
      </c>
      <c r="AC567" s="57"/>
      <c r="AD567" s="57"/>
    </row>
    <row r="568" spans="1:30" s="38" customFormat="1" x14ac:dyDescent="0.2">
      <c r="A568" s="57" t="s">
        <v>426</v>
      </c>
      <c r="B568" s="57" t="s">
        <v>200</v>
      </c>
      <c r="C568" s="57" t="s">
        <v>42</v>
      </c>
      <c r="D568" s="57" t="s">
        <v>17</v>
      </c>
      <c r="E568" s="57">
        <v>4</v>
      </c>
      <c r="F568" s="57" t="s">
        <v>608</v>
      </c>
      <c r="G568" s="57" t="s">
        <v>35</v>
      </c>
      <c r="H568" s="57" t="s">
        <v>133</v>
      </c>
      <c r="I568" s="57" t="str">
        <f t="shared" si="16"/>
        <v>B3-P6-C3</v>
      </c>
      <c r="J568" s="57" t="str">
        <f t="shared" si="17"/>
        <v>Quercus-B3-P6-C3-A4</v>
      </c>
      <c r="K568" s="57" t="s">
        <v>21</v>
      </c>
      <c r="L568" s="57" t="s">
        <v>44</v>
      </c>
      <c r="M568" s="57" t="s">
        <v>143</v>
      </c>
      <c r="N568" s="37">
        <v>567</v>
      </c>
      <c r="O568" s="57">
        <v>6.6</v>
      </c>
      <c r="P568" s="57">
        <v>46</v>
      </c>
      <c r="Q568" s="57">
        <v>7.3</v>
      </c>
      <c r="R568" s="57">
        <v>48</v>
      </c>
      <c r="S568" s="57">
        <v>7.96</v>
      </c>
      <c r="T568" s="57">
        <v>55</v>
      </c>
      <c r="U568" s="57">
        <v>7.99</v>
      </c>
      <c r="V568" s="57">
        <v>55</v>
      </c>
      <c r="W568" s="57">
        <v>8.4700000000000006</v>
      </c>
      <c r="X568" s="57">
        <v>55.5</v>
      </c>
      <c r="Y568" s="57">
        <v>8.9700000000000006</v>
      </c>
      <c r="Z568" s="57">
        <v>58</v>
      </c>
      <c r="AA568" s="57">
        <v>9.84</v>
      </c>
      <c r="AB568" s="57">
        <v>57</v>
      </c>
      <c r="AC568" s="57"/>
      <c r="AD568" s="57"/>
    </row>
    <row r="569" spans="1:30" s="38" customFormat="1" x14ac:dyDescent="0.2">
      <c r="A569" s="57" t="s">
        <v>426</v>
      </c>
      <c r="B569" s="57" t="s">
        <v>200</v>
      </c>
      <c r="C569" s="57" t="s">
        <v>42</v>
      </c>
      <c r="D569" s="57" t="s">
        <v>24</v>
      </c>
      <c r="E569" s="57">
        <v>4</v>
      </c>
      <c r="F569" s="57" t="s">
        <v>609</v>
      </c>
      <c r="G569" s="57" t="s">
        <v>19</v>
      </c>
      <c r="H569" s="57" t="s">
        <v>133</v>
      </c>
      <c r="I569" s="57" t="str">
        <f t="shared" si="16"/>
        <v>B3-P6-C3</v>
      </c>
      <c r="J569" s="57" t="str">
        <f t="shared" si="17"/>
        <v>Fagus-B3-P6-C3-B4</v>
      </c>
      <c r="K569" s="57" t="s">
        <v>21</v>
      </c>
      <c r="L569" s="57" t="s">
        <v>44</v>
      </c>
      <c r="M569" s="57" t="s">
        <v>143</v>
      </c>
      <c r="N569" s="37">
        <v>568</v>
      </c>
      <c r="O569" s="57">
        <v>12.7</v>
      </c>
      <c r="P569" s="57">
        <v>107</v>
      </c>
      <c r="Q569" s="57">
        <v>12.96</v>
      </c>
      <c r="R569" s="57">
        <v>127</v>
      </c>
      <c r="S569" s="57">
        <v>15.16</v>
      </c>
      <c r="T569" s="57">
        <v>137</v>
      </c>
      <c r="U569" s="57">
        <v>15.35</v>
      </c>
      <c r="V569" s="57">
        <v>136</v>
      </c>
      <c r="W569" s="57">
        <v>15.72</v>
      </c>
      <c r="X569" s="57">
        <v>134</v>
      </c>
      <c r="Y569" s="57">
        <v>15.3</v>
      </c>
      <c r="Z569" s="57">
        <v>138</v>
      </c>
      <c r="AA569" s="57">
        <v>15.92</v>
      </c>
      <c r="AB569" s="57">
        <v>136</v>
      </c>
      <c r="AC569" s="57"/>
      <c r="AD569" s="57"/>
    </row>
    <row r="570" spans="1:30" x14ac:dyDescent="0.2">
      <c r="A570" s="60" t="s">
        <v>426</v>
      </c>
      <c r="B570" s="60" t="s">
        <v>200</v>
      </c>
      <c r="C570" s="60" t="s">
        <v>53</v>
      </c>
      <c r="D570" s="60" t="s">
        <v>17</v>
      </c>
      <c r="E570" s="60">
        <v>1</v>
      </c>
      <c r="F570" s="60" t="s">
        <v>610</v>
      </c>
      <c r="G570" s="60" t="s">
        <v>35</v>
      </c>
      <c r="H570" s="60" t="s">
        <v>133</v>
      </c>
      <c r="I570" s="60" t="str">
        <f t="shared" si="16"/>
        <v>B3-P6-C4</v>
      </c>
      <c r="J570" s="60" t="str">
        <f t="shared" si="17"/>
        <v>Quercus-B3-P6-C4-A1</v>
      </c>
      <c r="K570" s="60" t="s">
        <v>21</v>
      </c>
      <c r="L570" s="60" t="s">
        <v>22</v>
      </c>
      <c r="M570" s="60" t="s">
        <v>134</v>
      </c>
      <c r="N570" s="15">
        <v>569</v>
      </c>
      <c r="O570" s="60">
        <v>4.5</v>
      </c>
      <c r="P570" s="60">
        <v>27</v>
      </c>
      <c r="Q570" s="60">
        <v>5.4</v>
      </c>
      <c r="R570" s="60">
        <v>30</v>
      </c>
      <c r="S570" s="3">
        <v>5.87</v>
      </c>
      <c r="T570" s="3">
        <v>31</v>
      </c>
      <c r="U570" s="3">
        <v>6.62</v>
      </c>
      <c r="V570" s="3">
        <v>42</v>
      </c>
      <c r="W570" s="3">
        <v>6.85</v>
      </c>
      <c r="X570" s="3">
        <v>40</v>
      </c>
      <c r="Y570" s="3">
        <v>6.85</v>
      </c>
      <c r="Z570" s="3">
        <v>51</v>
      </c>
      <c r="AA570" s="3">
        <v>8.8800000000000008</v>
      </c>
      <c r="AB570" s="3">
        <v>50</v>
      </c>
      <c r="AC570" s="3"/>
      <c r="AD570" s="3"/>
    </row>
    <row r="571" spans="1:30" x14ac:dyDescent="0.2">
      <c r="A571" s="60" t="s">
        <v>426</v>
      </c>
      <c r="B571" s="60" t="s">
        <v>200</v>
      </c>
      <c r="C571" s="60" t="s">
        <v>53</v>
      </c>
      <c r="D571" s="60" t="s">
        <v>24</v>
      </c>
      <c r="E571" s="60">
        <v>1</v>
      </c>
      <c r="F571" s="60" t="s">
        <v>611</v>
      </c>
      <c r="G571" s="60" t="s">
        <v>35</v>
      </c>
      <c r="H571" s="60" t="s">
        <v>133</v>
      </c>
      <c r="I571" s="60" t="str">
        <f t="shared" si="16"/>
        <v>B3-P6-C4</v>
      </c>
      <c r="J571" s="60" t="str">
        <f t="shared" si="17"/>
        <v>Quercus-B3-P6-C4-B1</v>
      </c>
      <c r="K571" s="60" t="s">
        <v>21</v>
      </c>
      <c r="L571" s="60" t="s">
        <v>22</v>
      </c>
      <c r="M571" s="60" t="s">
        <v>134</v>
      </c>
      <c r="N571" s="15">
        <v>570</v>
      </c>
      <c r="O571" s="60">
        <v>5</v>
      </c>
      <c r="P571" s="60">
        <v>37.5</v>
      </c>
      <c r="Q571" s="60">
        <v>5.84</v>
      </c>
      <c r="R571" s="60">
        <v>47</v>
      </c>
      <c r="S571" s="3">
        <v>6.79</v>
      </c>
      <c r="T571" s="3">
        <v>55</v>
      </c>
      <c r="U571" s="3">
        <v>8.0500000000000007</v>
      </c>
      <c r="V571" s="3">
        <v>72</v>
      </c>
      <c r="W571" s="3">
        <v>9.75</v>
      </c>
      <c r="X571" s="3">
        <v>73</v>
      </c>
      <c r="Y571" s="3">
        <v>9.6999999999999993</v>
      </c>
      <c r="Z571" s="3">
        <v>82</v>
      </c>
      <c r="AA571" s="3">
        <v>12.63</v>
      </c>
      <c r="AB571" s="3">
        <v>79</v>
      </c>
      <c r="AC571" s="3"/>
      <c r="AD571" s="3"/>
    </row>
    <row r="572" spans="1:30" x14ac:dyDescent="0.2">
      <c r="A572" s="60" t="s">
        <v>426</v>
      </c>
      <c r="B572" s="60" t="s">
        <v>200</v>
      </c>
      <c r="C572" s="60" t="s">
        <v>53</v>
      </c>
      <c r="D572" s="60" t="s">
        <v>17</v>
      </c>
      <c r="E572" s="60">
        <v>2</v>
      </c>
      <c r="F572" s="60" t="s">
        <v>612</v>
      </c>
      <c r="G572" s="60" t="s">
        <v>35</v>
      </c>
      <c r="H572" s="60" t="s">
        <v>133</v>
      </c>
      <c r="I572" s="60" t="str">
        <f t="shared" si="16"/>
        <v>B3-P6-C4</v>
      </c>
      <c r="J572" s="60" t="str">
        <f t="shared" si="17"/>
        <v>Quercus-B3-P6-C4-A2</v>
      </c>
      <c r="K572" s="60" t="s">
        <v>21</v>
      </c>
      <c r="L572" s="60" t="s">
        <v>22</v>
      </c>
      <c r="M572" s="60" t="s">
        <v>134</v>
      </c>
      <c r="N572" s="15">
        <v>571</v>
      </c>
      <c r="O572" s="60">
        <v>4.5999999999999996</v>
      </c>
      <c r="P572" s="60">
        <v>37.5</v>
      </c>
      <c r="Q572" s="60">
        <v>4.84</v>
      </c>
      <c r="R572" s="60">
        <v>40</v>
      </c>
      <c r="S572" s="3">
        <v>5.59</v>
      </c>
      <c r="T572" s="3">
        <v>46</v>
      </c>
      <c r="U572" s="3">
        <v>6.54</v>
      </c>
      <c r="V572" s="3">
        <v>67</v>
      </c>
      <c r="W572" s="3">
        <v>7.2</v>
      </c>
      <c r="X572" s="3">
        <v>68</v>
      </c>
      <c r="Y572" s="3">
        <v>8.33</v>
      </c>
      <c r="Z572" s="3">
        <v>73</v>
      </c>
      <c r="AA572" s="3">
        <v>9.43</v>
      </c>
      <c r="AB572" s="3">
        <v>79</v>
      </c>
      <c r="AC572" s="3"/>
      <c r="AD572" s="3"/>
    </row>
    <row r="573" spans="1:30" x14ac:dyDescent="0.2">
      <c r="A573" s="60" t="s">
        <v>426</v>
      </c>
      <c r="B573" s="60" t="s">
        <v>200</v>
      </c>
      <c r="C573" s="60" t="s">
        <v>53</v>
      </c>
      <c r="D573" s="60" t="s">
        <v>24</v>
      </c>
      <c r="E573" s="60">
        <v>2</v>
      </c>
      <c r="F573" s="60" t="s">
        <v>613</v>
      </c>
      <c r="G573" s="60" t="s">
        <v>35</v>
      </c>
      <c r="H573" s="60" t="s">
        <v>133</v>
      </c>
      <c r="I573" s="60" t="str">
        <f t="shared" si="16"/>
        <v>B3-P6-C4</v>
      </c>
      <c r="J573" s="60" t="str">
        <f t="shared" si="17"/>
        <v>Quercus-B3-P6-C4-B2</v>
      </c>
      <c r="K573" s="60" t="s">
        <v>21</v>
      </c>
      <c r="L573" s="60" t="s">
        <v>22</v>
      </c>
      <c r="M573" s="60" t="s">
        <v>134</v>
      </c>
      <c r="N573" s="15">
        <v>572</v>
      </c>
      <c r="O573" s="60">
        <v>6</v>
      </c>
      <c r="P573" s="60">
        <v>47</v>
      </c>
      <c r="Q573" s="60">
        <v>7.02</v>
      </c>
      <c r="R573" s="60">
        <v>51.5</v>
      </c>
      <c r="S573" s="3">
        <v>8.57</v>
      </c>
      <c r="T573" s="3">
        <v>55</v>
      </c>
      <c r="U573" s="3">
        <v>9.3000000000000007</v>
      </c>
      <c r="V573" s="3">
        <v>63.5</v>
      </c>
      <c r="W573" s="3">
        <v>10.1</v>
      </c>
      <c r="X573" s="3">
        <v>64</v>
      </c>
      <c r="Y573" s="3">
        <v>11.42</v>
      </c>
      <c r="Z573" s="3">
        <v>77</v>
      </c>
      <c r="AA573" s="3">
        <v>12.77</v>
      </c>
      <c r="AB573" s="3">
        <v>79</v>
      </c>
      <c r="AC573" s="3"/>
      <c r="AD573" s="3"/>
    </row>
    <row r="574" spans="1:30" x14ac:dyDescent="0.2">
      <c r="A574" s="60" t="s">
        <v>426</v>
      </c>
      <c r="B574" s="60" t="s">
        <v>200</v>
      </c>
      <c r="C574" s="60" t="s">
        <v>53</v>
      </c>
      <c r="D574" s="60" t="s">
        <v>17</v>
      </c>
      <c r="E574" s="60">
        <v>3</v>
      </c>
      <c r="F574" s="60" t="s">
        <v>614</v>
      </c>
      <c r="G574" s="60" t="s">
        <v>35</v>
      </c>
      <c r="H574" s="60" t="s">
        <v>133</v>
      </c>
      <c r="I574" s="60" t="str">
        <f t="shared" si="16"/>
        <v>B3-P6-C4</v>
      </c>
      <c r="J574" s="60" t="str">
        <f t="shared" si="17"/>
        <v>Quercus-B3-P6-C4-A3</v>
      </c>
      <c r="K574" s="60" t="s">
        <v>21</v>
      </c>
      <c r="L574" s="60" t="s">
        <v>22</v>
      </c>
      <c r="M574" s="60" t="s">
        <v>134</v>
      </c>
      <c r="N574" s="15">
        <v>573</v>
      </c>
      <c r="O574" s="60">
        <v>6</v>
      </c>
      <c r="P574" s="60">
        <v>38</v>
      </c>
      <c r="Q574" s="60">
        <v>6</v>
      </c>
      <c r="R574" s="60">
        <v>36</v>
      </c>
      <c r="S574" s="3">
        <v>7.02</v>
      </c>
      <c r="T574" s="3">
        <v>42</v>
      </c>
      <c r="U574" s="3">
        <v>7.38</v>
      </c>
      <c r="V574" s="3">
        <v>59</v>
      </c>
      <c r="W574" s="3">
        <v>8.33</v>
      </c>
      <c r="X574" s="3">
        <v>58</v>
      </c>
      <c r="Y574" s="3">
        <v>9.44</v>
      </c>
      <c r="Z574" s="3">
        <v>70</v>
      </c>
      <c r="AA574" s="3">
        <v>11.51</v>
      </c>
      <c r="AB574" s="3">
        <v>71</v>
      </c>
      <c r="AC574" s="3"/>
      <c r="AD574" s="3"/>
    </row>
    <row r="575" spans="1:30" x14ac:dyDescent="0.2">
      <c r="A575" s="60" t="s">
        <v>426</v>
      </c>
      <c r="B575" s="60" t="s">
        <v>200</v>
      </c>
      <c r="C575" s="60" t="s">
        <v>53</v>
      </c>
      <c r="D575" s="60" t="s">
        <v>24</v>
      </c>
      <c r="E575" s="60">
        <v>3</v>
      </c>
      <c r="F575" s="60" t="s">
        <v>615</v>
      </c>
      <c r="G575" s="60" t="s">
        <v>35</v>
      </c>
      <c r="H575" s="60" t="s">
        <v>133</v>
      </c>
      <c r="I575" s="60" t="str">
        <f t="shared" si="16"/>
        <v>B3-P6-C4</v>
      </c>
      <c r="J575" s="60" t="str">
        <f t="shared" si="17"/>
        <v>Quercus-B3-P6-C4-B3</v>
      </c>
      <c r="K575" s="60" t="s">
        <v>21</v>
      </c>
      <c r="L575" s="60" t="s">
        <v>22</v>
      </c>
      <c r="M575" s="60" t="s">
        <v>134</v>
      </c>
      <c r="N575" s="15">
        <v>574</v>
      </c>
      <c r="O575" s="60">
        <v>7.4</v>
      </c>
      <c r="P575" s="60">
        <v>44</v>
      </c>
      <c r="Q575" s="60">
        <v>8.14</v>
      </c>
      <c r="R575" s="60">
        <v>53.5</v>
      </c>
      <c r="S575" s="3">
        <v>8.89</v>
      </c>
      <c r="T575" s="3">
        <v>56</v>
      </c>
      <c r="U575" s="3">
        <v>10.38</v>
      </c>
      <c r="V575" s="3">
        <v>70</v>
      </c>
      <c r="W575" s="3">
        <v>11.56</v>
      </c>
      <c r="X575" s="3">
        <v>72</v>
      </c>
      <c r="Y575" s="3">
        <v>13.1</v>
      </c>
      <c r="Z575" s="3">
        <v>90</v>
      </c>
      <c r="AA575" s="3">
        <v>14.6</v>
      </c>
      <c r="AB575" s="3">
        <v>89</v>
      </c>
      <c r="AC575" s="3"/>
      <c r="AD575" s="3"/>
    </row>
    <row r="576" spans="1:30" x14ac:dyDescent="0.2">
      <c r="A576" s="60" t="s">
        <v>426</v>
      </c>
      <c r="B576" s="60" t="s">
        <v>200</v>
      </c>
      <c r="C576" s="60" t="s">
        <v>53</v>
      </c>
      <c r="D576" s="60" t="s">
        <v>17</v>
      </c>
      <c r="E576" s="60">
        <v>4</v>
      </c>
      <c r="F576" s="60" t="s">
        <v>616</v>
      </c>
      <c r="G576" s="60" t="s">
        <v>35</v>
      </c>
      <c r="H576" s="60" t="s">
        <v>133</v>
      </c>
      <c r="I576" s="60" t="str">
        <f t="shared" si="16"/>
        <v>B3-P6-C4</v>
      </c>
      <c r="J576" s="60" t="str">
        <f t="shared" si="17"/>
        <v>Quercus-B3-P6-C4-A4</v>
      </c>
      <c r="K576" s="60" t="s">
        <v>21</v>
      </c>
      <c r="L576" s="60" t="s">
        <v>22</v>
      </c>
      <c r="M576" s="60" t="s">
        <v>134</v>
      </c>
      <c r="N576" s="15">
        <v>575</v>
      </c>
      <c r="O576" s="60">
        <v>5.6</v>
      </c>
      <c r="P576" s="60">
        <v>35</v>
      </c>
      <c r="Q576" s="60">
        <v>6.88</v>
      </c>
      <c r="R576" s="60">
        <v>43</v>
      </c>
      <c r="S576" s="3">
        <v>7.07</v>
      </c>
      <c r="T576" s="3">
        <v>44</v>
      </c>
      <c r="U576" s="3">
        <v>7.83</v>
      </c>
      <c r="V576" s="3">
        <v>63</v>
      </c>
      <c r="W576" s="3">
        <v>8.73</v>
      </c>
      <c r="X576" s="3">
        <v>61</v>
      </c>
      <c r="Y576" s="3">
        <v>9.7100000000000009</v>
      </c>
      <c r="Z576" s="3">
        <v>79</v>
      </c>
      <c r="AA576" s="3">
        <v>12.22</v>
      </c>
      <c r="AB576" s="3">
        <v>82</v>
      </c>
      <c r="AC576" s="3"/>
      <c r="AD576" s="3"/>
    </row>
    <row r="577" spans="1:30" x14ac:dyDescent="0.2">
      <c r="A577" s="60" t="s">
        <v>426</v>
      </c>
      <c r="B577" s="60" t="s">
        <v>200</v>
      </c>
      <c r="C577" s="60" t="s">
        <v>53</v>
      </c>
      <c r="D577" s="60" t="s">
        <v>24</v>
      </c>
      <c r="E577" s="60">
        <v>4</v>
      </c>
      <c r="F577" s="60" t="s">
        <v>617</v>
      </c>
      <c r="G577" s="60" t="s">
        <v>35</v>
      </c>
      <c r="H577" s="60" t="s">
        <v>133</v>
      </c>
      <c r="I577" s="60" t="str">
        <f t="shared" si="16"/>
        <v>B3-P6-C4</v>
      </c>
      <c r="J577" s="60" t="str">
        <f t="shared" si="17"/>
        <v>Quercus-B3-P6-C4-B4</v>
      </c>
      <c r="K577" s="60" t="s">
        <v>21</v>
      </c>
      <c r="L577" s="60" t="s">
        <v>22</v>
      </c>
      <c r="M577" s="60" t="s">
        <v>134</v>
      </c>
      <c r="N577" s="15">
        <v>576</v>
      </c>
      <c r="O577" s="60">
        <v>5.0999999999999996</v>
      </c>
      <c r="P577" s="60">
        <v>43</v>
      </c>
      <c r="Q577" s="60">
        <v>6.8</v>
      </c>
      <c r="R577" s="60">
        <v>53.5</v>
      </c>
      <c r="S577" s="3">
        <v>6.92</v>
      </c>
      <c r="T577" s="3">
        <v>54</v>
      </c>
      <c r="U577" s="3">
        <v>7.75</v>
      </c>
      <c r="V577" s="3">
        <v>64</v>
      </c>
      <c r="W577" s="3">
        <v>9.58</v>
      </c>
      <c r="X577" s="3">
        <v>63.5</v>
      </c>
      <c r="Y577" s="3">
        <v>10.75</v>
      </c>
      <c r="Z577" s="3">
        <v>79</v>
      </c>
      <c r="AA577" s="3">
        <v>12.19</v>
      </c>
      <c r="AB577" s="3">
        <v>79</v>
      </c>
      <c r="AC577" s="3"/>
      <c r="AD577" s="3"/>
    </row>
    <row r="578" spans="1:30" x14ac:dyDescent="0.2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9"/>
      <c r="T578" s="59"/>
      <c r="U578" s="59"/>
      <c r="V578" s="59"/>
      <c r="W578" s="59"/>
      <c r="Y578" s="59"/>
      <c r="AA578" s="59"/>
      <c r="AC578" s="59"/>
    </row>
    <row r="579" spans="1:30" x14ac:dyDescent="0.2">
      <c r="A579" s="60" t="s">
        <v>14</v>
      </c>
      <c r="B579" s="60" t="s">
        <v>15</v>
      </c>
      <c r="C579" s="60" t="s">
        <v>42</v>
      </c>
      <c r="D579" s="60" t="s">
        <v>618</v>
      </c>
      <c r="E579" s="60">
        <v>1</v>
      </c>
      <c r="F579" s="60" t="str">
        <f>A579&amp;"_"&amp;B579&amp;"_"&amp;C579&amp;"_"&amp;D579&amp;E579</f>
        <v>B1_P1_C3_D1</v>
      </c>
      <c r="G579" s="60" t="s">
        <v>11</v>
      </c>
      <c r="H579" s="60" t="s">
        <v>20</v>
      </c>
      <c r="I579" s="60" t="str">
        <f t="shared" ref="I579:I642" si="18">A579&amp;"-"&amp;B579&amp;"-"&amp;C579</f>
        <v>B1-P1-C3</v>
      </c>
      <c r="J579" s="60" t="str">
        <f t="shared" ref="J579:J620" si="19">G579&amp;"-"&amp;A579&amp;"-"&amp;B579&amp;"-"&amp;C579&amp;"-"&amp;D579&amp;E579</f>
        <v>Robinia-B1-P1-C3-D1</v>
      </c>
      <c r="K579" s="60" t="s">
        <v>21</v>
      </c>
      <c r="L579" s="60" t="s">
        <v>44</v>
      </c>
      <c r="M579" s="60" t="str">
        <f>H579&amp;"_"&amp;K579&amp;"_"&amp;L579</f>
        <v>Drought_Yellow_Yes</v>
      </c>
      <c r="N579" s="15">
        <v>601</v>
      </c>
      <c r="O579" s="60">
        <v>3.2</v>
      </c>
      <c r="P579" s="60">
        <v>19</v>
      </c>
      <c r="Q579" s="60">
        <v>3.2</v>
      </c>
      <c r="R579" s="60">
        <v>18.5</v>
      </c>
      <c r="S579" s="3">
        <v>3.83</v>
      </c>
      <c r="T579" s="3">
        <v>31</v>
      </c>
      <c r="U579" s="3">
        <v>3.9</v>
      </c>
      <c r="V579" s="3">
        <v>33</v>
      </c>
      <c r="W579" s="3">
        <v>4.32</v>
      </c>
      <c r="X579" s="3">
        <v>36</v>
      </c>
      <c r="Y579" s="3">
        <v>4.3</v>
      </c>
      <c r="Z579" s="3"/>
      <c r="AA579" s="3">
        <v>5.44</v>
      </c>
      <c r="AB579" s="3"/>
      <c r="AC579" s="3"/>
      <c r="AD579" s="3"/>
    </row>
    <row r="580" spans="1:30" x14ac:dyDescent="0.2">
      <c r="A580" s="60" t="s">
        <v>14</v>
      </c>
      <c r="B580" s="60" t="s">
        <v>15</v>
      </c>
      <c r="C580" s="60" t="s">
        <v>42</v>
      </c>
      <c r="D580" s="60" t="s">
        <v>619</v>
      </c>
      <c r="E580" s="60">
        <v>1</v>
      </c>
      <c r="F580" s="60" t="str">
        <f t="shared" ref="F580:F643" si="20">A580&amp;"_"&amp;B580&amp;"_"&amp;C580&amp;"_"&amp;D580&amp;E580</f>
        <v>B1_P1_C3_E1</v>
      </c>
      <c r="G580" s="60" t="s">
        <v>11</v>
      </c>
      <c r="H580" s="60" t="s">
        <v>20</v>
      </c>
      <c r="I580" s="60" t="str">
        <f t="shared" si="18"/>
        <v>B1-P1-C3</v>
      </c>
      <c r="J580" s="60" t="str">
        <f t="shared" si="19"/>
        <v>Robinia-B1-P1-C3-E1</v>
      </c>
      <c r="K580" s="60" t="s">
        <v>21</v>
      </c>
      <c r="L580" s="60" t="s">
        <v>44</v>
      </c>
      <c r="M580" s="60" t="str">
        <f t="shared" ref="M580:M643" si="21">H580&amp;"_"&amp;K580&amp;"_"&amp;L580</f>
        <v>Drought_Yellow_Yes</v>
      </c>
      <c r="N580" s="15">
        <v>602</v>
      </c>
      <c r="O580" s="60">
        <v>4.5</v>
      </c>
      <c r="P580" s="60">
        <v>36</v>
      </c>
      <c r="Q580" s="60">
        <v>4.5999999999999996</v>
      </c>
      <c r="R580" s="60">
        <v>41</v>
      </c>
      <c r="S580" s="3">
        <v>7.61</v>
      </c>
      <c r="T580" s="3">
        <v>77</v>
      </c>
      <c r="U580" s="3">
        <v>7.97</v>
      </c>
      <c r="V580" s="3">
        <v>82</v>
      </c>
      <c r="W580" s="3">
        <v>8.8000000000000007</v>
      </c>
      <c r="X580" s="3">
        <v>85.5</v>
      </c>
      <c r="Y580" s="3">
        <v>9.58</v>
      </c>
      <c r="Z580" s="3"/>
      <c r="AA580" s="3">
        <v>11.57</v>
      </c>
      <c r="AB580" s="3"/>
      <c r="AC580" s="3"/>
      <c r="AD580" s="3"/>
    </row>
    <row r="581" spans="1:30" x14ac:dyDescent="0.2">
      <c r="A581" s="60" t="s">
        <v>14</v>
      </c>
      <c r="B581" s="60" t="s">
        <v>15</v>
      </c>
      <c r="C581" s="60" t="s">
        <v>42</v>
      </c>
      <c r="D581" s="60" t="s">
        <v>620</v>
      </c>
      <c r="E581" s="60">
        <v>1</v>
      </c>
      <c r="F581" s="60" t="str">
        <f t="shared" si="20"/>
        <v>B1_P1_C3_F1</v>
      </c>
      <c r="G581" s="60" t="s">
        <v>11</v>
      </c>
      <c r="H581" s="60" t="s">
        <v>20</v>
      </c>
      <c r="I581" s="60" t="str">
        <f t="shared" si="18"/>
        <v>B1-P1-C3</v>
      </c>
      <c r="J581" s="60" t="str">
        <f t="shared" si="19"/>
        <v>Robinia-B1-P1-C3-F1</v>
      </c>
      <c r="K581" s="60" t="s">
        <v>21</v>
      </c>
      <c r="L581" s="60" t="s">
        <v>44</v>
      </c>
      <c r="M581" s="60" t="str">
        <f t="shared" si="21"/>
        <v>Drought_Yellow_Yes</v>
      </c>
      <c r="N581" s="15">
        <v>603</v>
      </c>
      <c r="O581" s="60">
        <v>4.8</v>
      </c>
      <c r="P581" s="60">
        <v>45</v>
      </c>
      <c r="Q581" s="60">
        <v>5.53</v>
      </c>
      <c r="R581" s="60">
        <v>54.3</v>
      </c>
      <c r="S581" s="3">
        <v>7.33</v>
      </c>
      <c r="T581" s="3">
        <v>95</v>
      </c>
      <c r="U581" s="3">
        <v>7.7</v>
      </c>
      <c r="V581" s="3">
        <v>97</v>
      </c>
      <c r="W581" s="3">
        <v>9.64</v>
      </c>
      <c r="X581" s="3">
        <v>103</v>
      </c>
      <c r="Y581" s="3">
        <v>10.23</v>
      </c>
      <c r="Z581" s="3"/>
      <c r="AA581" s="3">
        <v>10.99</v>
      </c>
      <c r="AB581" s="3"/>
      <c r="AC581" s="3"/>
      <c r="AD581" s="3"/>
    </row>
    <row r="582" spans="1:30" x14ac:dyDescent="0.2">
      <c r="A582" s="60" t="s">
        <v>14</v>
      </c>
      <c r="B582" s="60" t="s">
        <v>15</v>
      </c>
      <c r="C582" s="60" t="s">
        <v>42</v>
      </c>
      <c r="D582" s="60" t="s">
        <v>618</v>
      </c>
      <c r="E582" s="60">
        <v>2</v>
      </c>
      <c r="F582" s="60" t="str">
        <f t="shared" si="20"/>
        <v>B1_P1_C3_D2</v>
      </c>
      <c r="G582" s="60" t="s">
        <v>11</v>
      </c>
      <c r="H582" s="60" t="s">
        <v>20</v>
      </c>
      <c r="I582" s="60" t="str">
        <f t="shared" si="18"/>
        <v>B1-P1-C3</v>
      </c>
      <c r="J582" s="60" t="str">
        <f t="shared" si="19"/>
        <v>Robinia-B1-P1-C3-D2</v>
      </c>
      <c r="K582" s="60" t="s">
        <v>21</v>
      </c>
      <c r="L582" s="60" t="s">
        <v>44</v>
      </c>
      <c r="M582" s="60" t="str">
        <f t="shared" si="21"/>
        <v>Drought_Yellow_Yes</v>
      </c>
      <c r="N582" s="15">
        <v>604</v>
      </c>
      <c r="O582" s="60">
        <v>1.8</v>
      </c>
      <c r="P582" s="60">
        <v>8</v>
      </c>
      <c r="Q582" s="60">
        <v>1.91</v>
      </c>
      <c r="R582" s="60">
        <v>12.5</v>
      </c>
      <c r="S582" s="3">
        <v>1.88</v>
      </c>
      <c r="T582" s="3">
        <v>31</v>
      </c>
      <c r="U582" s="3">
        <v>1.62</v>
      </c>
      <c r="V582" s="3">
        <v>35</v>
      </c>
      <c r="W582" s="3">
        <v>3.53</v>
      </c>
      <c r="X582" s="3">
        <v>37</v>
      </c>
      <c r="Y582" s="3">
        <v>4.1399999999999997</v>
      </c>
      <c r="Z582" s="3"/>
      <c r="AA582" s="3">
        <v>3.91</v>
      </c>
      <c r="AB582" s="3"/>
      <c r="AC582" s="3"/>
      <c r="AD582" s="3"/>
    </row>
    <row r="583" spans="1:30" x14ac:dyDescent="0.2">
      <c r="A583" s="60" t="s">
        <v>14</v>
      </c>
      <c r="B583" s="60" t="s">
        <v>15</v>
      </c>
      <c r="C583" s="60" t="s">
        <v>42</v>
      </c>
      <c r="D583" s="60" t="s">
        <v>619</v>
      </c>
      <c r="E583" s="60">
        <v>2</v>
      </c>
      <c r="F583" s="60" t="str">
        <f t="shared" si="20"/>
        <v>B1_P1_C3_E2</v>
      </c>
      <c r="G583" s="60" t="s">
        <v>11</v>
      </c>
      <c r="H583" s="60" t="s">
        <v>20</v>
      </c>
      <c r="I583" s="60" t="str">
        <f t="shared" si="18"/>
        <v>B1-P1-C3</v>
      </c>
      <c r="J583" s="60" t="str">
        <f t="shared" si="19"/>
        <v>Robinia-B1-P1-C3-E2</v>
      </c>
      <c r="K583" s="60" t="s">
        <v>21</v>
      </c>
      <c r="L583" s="60" t="s">
        <v>44</v>
      </c>
      <c r="M583" s="60" t="str">
        <f t="shared" si="21"/>
        <v>Drought_Yellow_Yes</v>
      </c>
      <c r="N583" s="15">
        <v>605</v>
      </c>
      <c r="O583" s="60">
        <v>6.9</v>
      </c>
      <c r="P583" s="60">
        <v>66</v>
      </c>
      <c r="Q583" s="60">
        <v>7.27</v>
      </c>
      <c r="R583" s="60">
        <v>67.5</v>
      </c>
      <c r="S583" s="3">
        <v>11.23</v>
      </c>
      <c r="T583" s="3">
        <v>150</v>
      </c>
      <c r="U583" s="3">
        <v>12.66</v>
      </c>
      <c r="V583" s="3">
        <v>128</v>
      </c>
      <c r="W583" s="3">
        <v>14.85</v>
      </c>
      <c r="X583" s="3">
        <v>135</v>
      </c>
      <c r="Y583" s="3">
        <v>17.25</v>
      </c>
      <c r="Z583" s="3"/>
      <c r="AA583" s="3">
        <v>18.87</v>
      </c>
      <c r="AB583" s="3"/>
      <c r="AC583" s="3"/>
      <c r="AD583" s="3"/>
    </row>
    <row r="584" spans="1:30" x14ac:dyDescent="0.2">
      <c r="A584" s="60" t="s">
        <v>14</v>
      </c>
      <c r="B584" s="60" t="s">
        <v>15</v>
      </c>
      <c r="C584" s="60" t="s">
        <v>42</v>
      </c>
      <c r="D584" s="60" t="s">
        <v>620</v>
      </c>
      <c r="E584" s="60">
        <v>2</v>
      </c>
      <c r="F584" s="60" t="str">
        <f t="shared" si="20"/>
        <v>B1_P1_C3_F2</v>
      </c>
      <c r="G584" s="60" t="s">
        <v>11</v>
      </c>
      <c r="H584" s="60" t="s">
        <v>20</v>
      </c>
      <c r="I584" s="60" t="str">
        <f t="shared" si="18"/>
        <v>B1-P1-C3</v>
      </c>
      <c r="J584" s="60" t="str">
        <f t="shared" si="19"/>
        <v>Robinia-B1-P1-C3-F2</v>
      </c>
      <c r="K584" s="60" t="s">
        <v>21</v>
      </c>
      <c r="L584" s="60" t="s">
        <v>44</v>
      </c>
      <c r="M584" s="60" t="str">
        <f t="shared" si="21"/>
        <v>Drought_Yellow_Yes</v>
      </c>
      <c r="N584" s="15">
        <v>606</v>
      </c>
      <c r="O584" s="60">
        <v>3.2</v>
      </c>
      <c r="P584" s="60">
        <v>27</v>
      </c>
      <c r="Q584" s="60">
        <v>3.58</v>
      </c>
      <c r="R584" s="60">
        <v>27.6</v>
      </c>
      <c r="S584" s="3">
        <v>3.44</v>
      </c>
      <c r="T584" s="3">
        <v>41</v>
      </c>
      <c r="U584" s="3">
        <v>3.73</v>
      </c>
      <c r="V584" s="3">
        <v>40</v>
      </c>
      <c r="W584" s="3">
        <v>4.67</v>
      </c>
      <c r="X584" s="3">
        <v>44</v>
      </c>
      <c r="Y584" s="3">
        <v>5.26</v>
      </c>
      <c r="Z584" s="3"/>
      <c r="AA584" s="3">
        <v>3.9</v>
      </c>
      <c r="AB584" s="3"/>
      <c r="AC584" s="3"/>
      <c r="AD584" s="3"/>
    </row>
    <row r="585" spans="1:30" s="38" customFormat="1" x14ac:dyDescent="0.2">
      <c r="A585" s="57" t="s">
        <v>14</v>
      </c>
      <c r="B585" s="57" t="s">
        <v>15</v>
      </c>
      <c r="C585" s="57" t="s">
        <v>53</v>
      </c>
      <c r="D585" s="57" t="s">
        <v>618</v>
      </c>
      <c r="E585" s="57">
        <v>1</v>
      </c>
      <c r="F585" s="57" t="str">
        <f t="shared" si="20"/>
        <v>B1_P1_C4_D1</v>
      </c>
      <c r="G585" s="57" t="s">
        <v>11</v>
      </c>
      <c r="H585" s="57" t="s">
        <v>20</v>
      </c>
      <c r="I585" s="57" t="str">
        <f t="shared" si="18"/>
        <v>B1-P1-C4</v>
      </c>
      <c r="J585" s="57" t="str">
        <f t="shared" si="19"/>
        <v>Robinia-B1-P1-C4-D1</v>
      </c>
      <c r="K585" s="57" t="s">
        <v>21</v>
      </c>
      <c r="L585" s="57" t="s">
        <v>44</v>
      </c>
      <c r="M585" s="57" t="str">
        <f t="shared" si="21"/>
        <v>Drought_Yellow_Yes</v>
      </c>
      <c r="N585" s="37">
        <v>607</v>
      </c>
      <c r="O585" s="57">
        <v>6.6</v>
      </c>
      <c r="P585" s="57">
        <v>48</v>
      </c>
      <c r="Q585" s="57">
        <v>7.11</v>
      </c>
      <c r="R585" s="57">
        <v>54.1</v>
      </c>
      <c r="S585" s="57">
        <v>8.75</v>
      </c>
      <c r="T585" s="57">
        <v>94</v>
      </c>
      <c r="U585" s="57">
        <v>9.3000000000000007</v>
      </c>
      <c r="V585" s="57">
        <v>95</v>
      </c>
      <c r="W585" s="57">
        <v>10.07</v>
      </c>
      <c r="X585" s="57">
        <v>98</v>
      </c>
      <c r="Y585" s="57">
        <v>11.16</v>
      </c>
      <c r="Z585" s="57"/>
      <c r="AA585" s="57">
        <v>11.91</v>
      </c>
      <c r="AB585" s="57"/>
      <c r="AC585" s="57"/>
      <c r="AD585" s="57"/>
    </row>
    <row r="586" spans="1:30" s="38" customFormat="1" x14ac:dyDescent="0.2">
      <c r="A586" s="57" t="s">
        <v>14</v>
      </c>
      <c r="B586" s="57" t="s">
        <v>15</v>
      </c>
      <c r="C586" s="57" t="s">
        <v>53</v>
      </c>
      <c r="D586" s="57" t="s">
        <v>619</v>
      </c>
      <c r="E586" s="57">
        <v>1</v>
      </c>
      <c r="F586" s="57" t="str">
        <f t="shared" si="20"/>
        <v>B1_P1_C4_E1</v>
      </c>
      <c r="G586" s="57" t="s">
        <v>11</v>
      </c>
      <c r="H586" s="57" t="s">
        <v>20</v>
      </c>
      <c r="I586" s="57" t="str">
        <f t="shared" si="18"/>
        <v>B1-P1-C4</v>
      </c>
      <c r="J586" s="57" t="str">
        <f t="shared" si="19"/>
        <v>Robinia-B1-P1-C4-E1</v>
      </c>
      <c r="K586" s="57" t="s">
        <v>21</v>
      </c>
      <c r="L586" s="57" t="s">
        <v>44</v>
      </c>
      <c r="M586" s="57" t="str">
        <f t="shared" si="21"/>
        <v>Drought_Yellow_Yes</v>
      </c>
      <c r="N586" s="37">
        <v>608</v>
      </c>
      <c r="O586" s="57">
        <v>4.2</v>
      </c>
      <c r="P586" s="57">
        <v>31</v>
      </c>
      <c r="Q586" s="57">
        <v>4.4000000000000004</v>
      </c>
      <c r="R586" s="57">
        <v>36.200000000000003</v>
      </c>
      <c r="S586" s="57">
        <v>6.23</v>
      </c>
      <c r="T586" s="57">
        <v>73</v>
      </c>
      <c r="U586" s="57">
        <v>6.51</v>
      </c>
      <c r="V586" s="57">
        <v>73</v>
      </c>
      <c r="W586" s="57">
        <v>8.17</v>
      </c>
      <c r="X586" s="57">
        <v>78.5</v>
      </c>
      <c r="Y586" s="57">
        <v>8.3000000000000007</v>
      </c>
      <c r="Z586" s="57"/>
      <c r="AA586" s="57">
        <v>9.51</v>
      </c>
      <c r="AB586" s="57"/>
      <c r="AC586" s="57"/>
      <c r="AD586" s="57"/>
    </row>
    <row r="587" spans="1:30" s="38" customFormat="1" x14ac:dyDescent="0.2">
      <c r="A587" s="57" t="s">
        <v>14</v>
      </c>
      <c r="B587" s="57" t="s">
        <v>15</v>
      </c>
      <c r="C587" s="57" t="s">
        <v>53</v>
      </c>
      <c r="D587" s="57" t="s">
        <v>620</v>
      </c>
      <c r="E587" s="57">
        <v>1</v>
      </c>
      <c r="F587" s="57" t="str">
        <f t="shared" si="20"/>
        <v>B1_P1_C4_F1</v>
      </c>
      <c r="G587" s="57" t="s">
        <v>11</v>
      </c>
      <c r="H587" s="57" t="s">
        <v>20</v>
      </c>
      <c r="I587" s="57" t="str">
        <f t="shared" si="18"/>
        <v>B1-P1-C4</v>
      </c>
      <c r="J587" s="57" t="str">
        <f t="shared" si="19"/>
        <v>Robinia-B1-P1-C4-F1</v>
      </c>
      <c r="K587" s="57" t="s">
        <v>21</v>
      </c>
      <c r="L587" s="57" t="s">
        <v>44</v>
      </c>
      <c r="M587" s="57" t="str">
        <f t="shared" si="21"/>
        <v>Drought_Yellow_Yes</v>
      </c>
      <c r="N587" s="37">
        <v>609</v>
      </c>
      <c r="O587" s="57">
        <v>8.9</v>
      </c>
      <c r="P587" s="57">
        <v>97</v>
      </c>
      <c r="Q587" s="57">
        <v>10.07</v>
      </c>
      <c r="R587" s="57">
        <v>106.4</v>
      </c>
      <c r="S587" s="57">
        <v>14.13</v>
      </c>
      <c r="T587" s="57">
        <v>164</v>
      </c>
      <c r="U587" s="57">
        <v>14.68</v>
      </c>
      <c r="V587" s="57">
        <v>164</v>
      </c>
      <c r="W587" s="57">
        <v>16.190000000000001</v>
      </c>
      <c r="X587" s="57">
        <v>174</v>
      </c>
      <c r="Y587" s="57">
        <v>16.350000000000001</v>
      </c>
      <c r="Z587" s="57"/>
      <c r="AA587" s="57">
        <v>18.14</v>
      </c>
      <c r="AB587" s="57"/>
      <c r="AC587" s="57"/>
      <c r="AD587" s="57"/>
    </row>
    <row r="588" spans="1:30" s="38" customFormat="1" x14ac:dyDescent="0.2">
      <c r="A588" s="57" t="s">
        <v>14</v>
      </c>
      <c r="B588" s="57" t="s">
        <v>15</v>
      </c>
      <c r="C588" s="57" t="s">
        <v>53</v>
      </c>
      <c r="D588" s="57" t="s">
        <v>618</v>
      </c>
      <c r="E588" s="57">
        <v>2</v>
      </c>
      <c r="F588" s="57" t="str">
        <f t="shared" si="20"/>
        <v>B1_P1_C4_D2</v>
      </c>
      <c r="G588" s="57" t="s">
        <v>11</v>
      </c>
      <c r="H588" s="57" t="s">
        <v>20</v>
      </c>
      <c r="I588" s="57" t="str">
        <f t="shared" si="18"/>
        <v>B1-P1-C4</v>
      </c>
      <c r="J588" s="57" t="str">
        <f t="shared" si="19"/>
        <v>Robinia-B1-P1-C4-D2</v>
      </c>
      <c r="K588" s="57" t="s">
        <v>21</v>
      </c>
      <c r="L588" s="57" t="s">
        <v>44</v>
      </c>
      <c r="M588" s="57" t="str">
        <f t="shared" si="21"/>
        <v>Drought_Yellow_Yes</v>
      </c>
      <c r="N588" s="37">
        <v>610</v>
      </c>
      <c r="O588" s="57">
        <v>5.5</v>
      </c>
      <c r="P588" s="57">
        <v>50</v>
      </c>
      <c r="Q588" s="57">
        <v>5.86</v>
      </c>
      <c r="R588" s="57">
        <v>54.3</v>
      </c>
      <c r="S588" s="57">
        <v>7.99</v>
      </c>
      <c r="T588" s="57">
        <v>93</v>
      </c>
      <c r="U588" s="57">
        <v>8.2799999999999994</v>
      </c>
      <c r="V588" s="57">
        <v>94</v>
      </c>
      <c r="W588" s="57">
        <v>9.36</v>
      </c>
      <c r="X588" s="57">
        <v>100</v>
      </c>
      <c r="Y588" s="57">
        <v>9.42</v>
      </c>
      <c r="Z588" s="57"/>
      <c r="AA588" s="57">
        <v>10.56</v>
      </c>
      <c r="AB588" s="57"/>
      <c r="AC588" s="57"/>
      <c r="AD588" s="57"/>
    </row>
    <row r="589" spans="1:30" s="38" customFormat="1" x14ac:dyDescent="0.2">
      <c r="A589" s="57" t="s">
        <v>14</v>
      </c>
      <c r="B589" s="57" t="s">
        <v>15</v>
      </c>
      <c r="C589" s="57" t="s">
        <v>53</v>
      </c>
      <c r="D589" s="57" t="s">
        <v>619</v>
      </c>
      <c r="E589" s="57">
        <v>2</v>
      </c>
      <c r="F589" s="57" t="str">
        <f t="shared" si="20"/>
        <v>B1_P1_C4_E2</v>
      </c>
      <c r="G589" s="57" t="s">
        <v>11</v>
      </c>
      <c r="H589" s="57" t="s">
        <v>20</v>
      </c>
      <c r="I589" s="57" t="str">
        <f t="shared" si="18"/>
        <v>B1-P1-C4</v>
      </c>
      <c r="J589" s="57" t="str">
        <f t="shared" si="19"/>
        <v>Robinia-B1-P1-C4-E2</v>
      </c>
      <c r="K589" s="57" t="s">
        <v>21</v>
      </c>
      <c r="L589" s="57" t="s">
        <v>44</v>
      </c>
      <c r="M589" s="57" t="str">
        <f t="shared" si="21"/>
        <v>Drought_Yellow_Yes</v>
      </c>
      <c r="N589" s="37">
        <v>611</v>
      </c>
      <c r="O589" s="57">
        <v>4.4000000000000004</v>
      </c>
      <c r="P589" s="57">
        <v>38</v>
      </c>
      <c r="Q589" s="57">
        <v>4.74</v>
      </c>
      <c r="R589" s="57">
        <v>44.2</v>
      </c>
      <c r="S589" s="57">
        <v>6.52</v>
      </c>
      <c r="T589" s="57">
        <v>91</v>
      </c>
      <c r="U589" s="57">
        <v>6.6</v>
      </c>
      <c r="V589" s="57">
        <v>90</v>
      </c>
      <c r="W589" s="57">
        <v>6.53</v>
      </c>
      <c r="X589" s="57">
        <v>91</v>
      </c>
      <c r="Y589" s="57">
        <v>6.7</v>
      </c>
      <c r="Z589" s="57"/>
      <c r="AA589" s="57">
        <v>7.48</v>
      </c>
      <c r="AB589" s="57"/>
      <c r="AC589" s="57"/>
      <c r="AD589" s="57"/>
    </row>
    <row r="590" spans="1:30" s="38" customFormat="1" x14ac:dyDescent="0.2">
      <c r="A590" s="57" t="s">
        <v>14</v>
      </c>
      <c r="B590" s="57" t="s">
        <v>15</v>
      </c>
      <c r="C590" s="57" t="s">
        <v>53</v>
      </c>
      <c r="D590" s="57" t="s">
        <v>620</v>
      </c>
      <c r="E590" s="57">
        <v>2</v>
      </c>
      <c r="F590" s="57" t="str">
        <f t="shared" si="20"/>
        <v>B1_P1_C4_F2</v>
      </c>
      <c r="G590" s="57" t="s">
        <v>11</v>
      </c>
      <c r="H590" s="57" t="s">
        <v>20</v>
      </c>
      <c r="I590" s="57" t="str">
        <f t="shared" si="18"/>
        <v>B1-P1-C4</v>
      </c>
      <c r="J590" s="57" t="str">
        <f t="shared" si="19"/>
        <v>Robinia-B1-P1-C4-F2</v>
      </c>
      <c r="K590" s="57" t="s">
        <v>21</v>
      </c>
      <c r="L590" s="57" t="s">
        <v>44</v>
      </c>
      <c r="M590" s="57" t="str">
        <f t="shared" si="21"/>
        <v>Drought_Yellow_Yes</v>
      </c>
      <c r="N590" s="37">
        <v>612</v>
      </c>
      <c r="O590" s="57">
        <v>5.8</v>
      </c>
      <c r="P590" s="57">
        <v>61</v>
      </c>
      <c r="Q590" s="57">
        <v>6.23</v>
      </c>
      <c r="R590" s="57">
        <v>64.099999999999994</v>
      </c>
      <c r="S590" s="57">
        <v>9.44</v>
      </c>
      <c r="T590" s="57">
        <v>101</v>
      </c>
      <c r="U590" s="57">
        <v>9.77</v>
      </c>
      <c r="V590" s="57">
        <v>102</v>
      </c>
      <c r="W590" s="57">
        <v>10.7</v>
      </c>
      <c r="X590" s="57">
        <v>114</v>
      </c>
      <c r="Y590" s="57">
        <v>11.5</v>
      </c>
      <c r="Z590" s="57"/>
      <c r="AA590" s="57">
        <v>13.15</v>
      </c>
      <c r="AB590" s="57"/>
      <c r="AC590" s="57"/>
      <c r="AD590" s="57"/>
    </row>
    <row r="591" spans="1:30" x14ac:dyDescent="0.2">
      <c r="A591" s="60" t="s">
        <v>14</v>
      </c>
      <c r="B591" s="60" t="s">
        <v>62</v>
      </c>
      <c r="C591" s="60" t="s">
        <v>16</v>
      </c>
      <c r="D591" s="60" t="s">
        <v>618</v>
      </c>
      <c r="E591" s="60">
        <v>1</v>
      </c>
      <c r="F591" s="60" t="str">
        <f t="shared" si="20"/>
        <v>B1_P2_C1_D1</v>
      </c>
      <c r="G591" s="60" t="s">
        <v>11</v>
      </c>
      <c r="H591" s="60" t="s">
        <v>20</v>
      </c>
      <c r="I591" s="60" t="str">
        <f t="shared" si="18"/>
        <v>B1-P2-C1</v>
      </c>
      <c r="J591" s="60" t="str">
        <f t="shared" si="19"/>
        <v>Robinia-B1-P2-C1-D1</v>
      </c>
      <c r="K591" s="60" t="s">
        <v>64</v>
      </c>
      <c r="L591" s="60" t="s">
        <v>44</v>
      </c>
      <c r="M591" s="60" t="str">
        <f t="shared" si="21"/>
        <v>Drought_Grey_Yes</v>
      </c>
      <c r="N591" s="15">
        <v>613</v>
      </c>
      <c r="O591" s="60">
        <v>9.9</v>
      </c>
      <c r="P591" s="60">
        <v>93</v>
      </c>
      <c r="Q591" s="60">
        <v>10.74</v>
      </c>
      <c r="R591" s="60">
        <v>95.9</v>
      </c>
      <c r="S591" s="3">
        <v>12</v>
      </c>
      <c r="T591" s="3">
        <v>120</v>
      </c>
      <c r="U591" s="3">
        <v>12.38</v>
      </c>
      <c r="V591" s="3">
        <v>117</v>
      </c>
      <c r="W591" s="3">
        <v>12.75</v>
      </c>
      <c r="X591" s="3">
        <v>127</v>
      </c>
      <c r="Y591" s="3">
        <v>13.07</v>
      </c>
      <c r="Z591" s="3"/>
      <c r="AA591" s="3">
        <v>13.75</v>
      </c>
      <c r="AB591" s="3"/>
      <c r="AC591" s="3"/>
      <c r="AD591" s="3"/>
    </row>
    <row r="592" spans="1:30" x14ac:dyDescent="0.2">
      <c r="A592" s="60" t="s">
        <v>14</v>
      </c>
      <c r="B592" s="60" t="s">
        <v>62</v>
      </c>
      <c r="C592" s="60" t="s">
        <v>16</v>
      </c>
      <c r="D592" s="60" t="s">
        <v>619</v>
      </c>
      <c r="E592" s="60">
        <v>1</v>
      </c>
      <c r="F592" s="60" t="str">
        <f t="shared" si="20"/>
        <v>B1_P2_C1_E1</v>
      </c>
      <c r="G592" s="60" t="s">
        <v>11</v>
      </c>
      <c r="H592" s="60" t="s">
        <v>20</v>
      </c>
      <c r="I592" s="60" t="str">
        <f t="shared" si="18"/>
        <v>B1-P2-C1</v>
      </c>
      <c r="J592" s="60" t="str">
        <f t="shared" si="19"/>
        <v>Robinia-B1-P2-C1-E1</v>
      </c>
      <c r="K592" s="60" t="s">
        <v>64</v>
      </c>
      <c r="L592" s="60" t="s">
        <v>44</v>
      </c>
      <c r="M592" s="60" t="str">
        <f t="shared" si="21"/>
        <v>Drought_Grey_Yes</v>
      </c>
      <c r="N592" s="15">
        <v>614</v>
      </c>
      <c r="O592" s="60">
        <v>12.2</v>
      </c>
      <c r="P592" s="60">
        <v>111</v>
      </c>
      <c r="Q592" s="60">
        <v>13.17</v>
      </c>
      <c r="R592" s="60">
        <v>119</v>
      </c>
      <c r="S592" s="3">
        <v>14.37</v>
      </c>
      <c r="T592" s="3">
        <v>142</v>
      </c>
      <c r="U592" s="3">
        <v>14.76</v>
      </c>
      <c r="V592" s="3">
        <v>138</v>
      </c>
      <c r="W592" s="3">
        <v>14.68</v>
      </c>
      <c r="X592" s="3">
        <v>136</v>
      </c>
      <c r="Y592" s="3">
        <v>14.53</v>
      </c>
      <c r="Z592" s="3"/>
      <c r="AA592" s="3">
        <v>14.1</v>
      </c>
      <c r="AB592" s="3"/>
      <c r="AC592" s="3"/>
      <c r="AD592" s="3"/>
    </row>
    <row r="593" spans="1:30" x14ac:dyDescent="0.2">
      <c r="A593" s="60" t="s">
        <v>14</v>
      </c>
      <c r="B593" s="60" t="s">
        <v>62</v>
      </c>
      <c r="C593" s="60" t="s">
        <v>16</v>
      </c>
      <c r="D593" s="60" t="s">
        <v>620</v>
      </c>
      <c r="E593" s="60">
        <v>1</v>
      </c>
      <c r="F593" s="60" t="str">
        <f t="shared" si="20"/>
        <v>B1_P2_C1_F1</v>
      </c>
      <c r="G593" s="60" t="s">
        <v>11</v>
      </c>
      <c r="H593" s="60" t="s">
        <v>20</v>
      </c>
      <c r="I593" s="60" t="str">
        <f t="shared" si="18"/>
        <v>B1-P2-C1</v>
      </c>
      <c r="J593" s="60" t="str">
        <f t="shared" si="19"/>
        <v>Robinia-B1-P2-C1-F1</v>
      </c>
      <c r="K593" s="60" t="s">
        <v>64</v>
      </c>
      <c r="L593" s="60" t="s">
        <v>44</v>
      </c>
      <c r="M593" s="60" t="str">
        <f t="shared" si="21"/>
        <v>Drought_Grey_Yes</v>
      </c>
      <c r="N593" s="15">
        <v>615</v>
      </c>
      <c r="O593" s="60">
        <v>10.9</v>
      </c>
      <c r="P593" s="60">
        <v>122</v>
      </c>
      <c r="Q593" s="60">
        <v>11.83</v>
      </c>
      <c r="R593" s="60">
        <v>130.5</v>
      </c>
      <c r="S593" s="3">
        <v>13</v>
      </c>
      <c r="T593" s="3">
        <v>151</v>
      </c>
      <c r="U593" s="3">
        <v>13.53</v>
      </c>
      <c r="V593" s="3">
        <v>146</v>
      </c>
      <c r="W593" s="3">
        <v>14.3</v>
      </c>
      <c r="X593" s="3">
        <v>157</v>
      </c>
      <c r="Y593" s="3">
        <v>14.85</v>
      </c>
      <c r="Z593" s="3"/>
      <c r="AA593" s="3">
        <v>16.11</v>
      </c>
      <c r="AB593" s="3"/>
      <c r="AC593" s="3"/>
      <c r="AD593" s="3"/>
    </row>
    <row r="594" spans="1:30" x14ac:dyDescent="0.2">
      <c r="A594" s="60" t="s">
        <v>14</v>
      </c>
      <c r="B594" s="60" t="s">
        <v>62</v>
      </c>
      <c r="C594" s="60" t="s">
        <v>16</v>
      </c>
      <c r="D594" s="60" t="s">
        <v>618</v>
      </c>
      <c r="E594" s="60">
        <v>2</v>
      </c>
      <c r="F594" s="60" t="str">
        <f t="shared" si="20"/>
        <v>B1_P2_C1_D2</v>
      </c>
      <c r="G594" s="60" t="s">
        <v>11</v>
      </c>
      <c r="H594" s="60" t="s">
        <v>20</v>
      </c>
      <c r="I594" s="60" t="str">
        <f t="shared" si="18"/>
        <v>B1-P2-C1</v>
      </c>
      <c r="J594" s="60" t="str">
        <f t="shared" si="19"/>
        <v>Robinia-B1-P2-C1-D2</v>
      </c>
      <c r="K594" s="60" t="s">
        <v>64</v>
      </c>
      <c r="L594" s="60" t="s">
        <v>44</v>
      </c>
      <c r="M594" s="60" t="str">
        <f t="shared" si="21"/>
        <v>Drought_Grey_Yes</v>
      </c>
      <c r="N594" s="15">
        <v>616</v>
      </c>
      <c r="O594" s="60">
        <v>14.2</v>
      </c>
      <c r="P594" s="60">
        <v>132</v>
      </c>
      <c r="Q594" s="60">
        <v>15.25</v>
      </c>
      <c r="R594" s="60">
        <v>132.5</v>
      </c>
      <c r="S594" s="3">
        <v>16.75</v>
      </c>
      <c r="T594" s="3">
        <v>150</v>
      </c>
      <c r="U594" s="3">
        <v>17.16</v>
      </c>
      <c r="V594" s="3">
        <v>150</v>
      </c>
      <c r="W594" s="3">
        <v>17.989999999999998</v>
      </c>
      <c r="X594" s="3">
        <v>159</v>
      </c>
      <c r="Y594" s="3">
        <v>17.88</v>
      </c>
      <c r="Z594" s="3"/>
      <c r="AA594" s="3">
        <v>8.1999999999999993</v>
      </c>
      <c r="AB594" s="3"/>
      <c r="AC594" s="3"/>
      <c r="AD594" s="3"/>
    </row>
    <row r="595" spans="1:30" x14ac:dyDescent="0.2">
      <c r="A595" s="60" t="s">
        <v>14</v>
      </c>
      <c r="B595" s="60" t="s">
        <v>62</v>
      </c>
      <c r="C595" s="60" t="s">
        <v>16</v>
      </c>
      <c r="D595" s="60" t="s">
        <v>619</v>
      </c>
      <c r="E595" s="60">
        <v>2</v>
      </c>
      <c r="F595" s="60" t="str">
        <f t="shared" si="20"/>
        <v>B1_P2_C1_E2</v>
      </c>
      <c r="G595" s="60" t="s">
        <v>11</v>
      </c>
      <c r="H595" s="60" t="s">
        <v>20</v>
      </c>
      <c r="I595" s="60" t="str">
        <f t="shared" si="18"/>
        <v>B1-P2-C1</v>
      </c>
      <c r="J595" s="60" t="str">
        <f t="shared" si="19"/>
        <v>Robinia-B1-P2-C1-E2</v>
      </c>
      <c r="K595" s="60" t="s">
        <v>64</v>
      </c>
      <c r="L595" s="60" t="s">
        <v>44</v>
      </c>
      <c r="M595" s="60" t="str">
        <f t="shared" si="21"/>
        <v>Drought_Grey_Yes</v>
      </c>
      <c r="N595" s="15">
        <v>617</v>
      </c>
      <c r="O595" s="60">
        <v>12.5</v>
      </c>
      <c r="P595" s="60">
        <v>111</v>
      </c>
      <c r="Q595" s="60">
        <v>13.65</v>
      </c>
      <c r="R595" s="60">
        <v>124</v>
      </c>
      <c r="S595" s="3">
        <v>14.76</v>
      </c>
      <c r="T595" s="3">
        <v>152</v>
      </c>
      <c r="U595" s="3">
        <v>15.47</v>
      </c>
      <c r="V595" s="3">
        <v>150</v>
      </c>
      <c r="W595" s="3">
        <v>17.72</v>
      </c>
      <c r="X595" s="3">
        <v>157</v>
      </c>
      <c r="Y595" s="3">
        <v>19.45</v>
      </c>
      <c r="Z595" s="3"/>
      <c r="AA595" s="3">
        <v>21.68</v>
      </c>
      <c r="AB595" s="3"/>
      <c r="AC595" s="3"/>
      <c r="AD595" s="3"/>
    </row>
    <row r="596" spans="1:30" x14ac:dyDescent="0.2">
      <c r="A596" s="60" t="s">
        <v>14</v>
      </c>
      <c r="B596" s="60" t="s">
        <v>62</v>
      </c>
      <c r="C596" s="60" t="s">
        <v>16</v>
      </c>
      <c r="D596" s="60" t="s">
        <v>620</v>
      </c>
      <c r="E596" s="60">
        <v>2</v>
      </c>
      <c r="F596" s="60" t="str">
        <f t="shared" si="20"/>
        <v>B1_P2_C1_F2</v>
      </c>
      <c r="G596" s="60" t="s">
        <v>11</v>
      </c>
      <c r="H596" s="60" t="s">
        <v>20</v>
      </c>
      <c r="I596" s="60" t="str">
        <f t="shared" si="18"/>
        <v>B1-P2-C1</v>
      </c>
      <c r="J596" s="60" t="str">
        <f t="shared" si="19"/>
        <v>Robinia-B1-P2-C1-F2</v>
      </c>
      <c r="K596" s="60" t="s">
        <v>64</v>
      </c>
      <c r="L596" s="60" t="s">
        <v>44</v>
      </c>
      <c r="M596" s="60" t="str">
        <f t="shared" si="21"/>
        <v>Drought_Grey_Yes</v>
      </c>
      <c r="N596" s="15">
        <v>618</v>
      </c>
      <c r="O596" s="60">
        <v>6.1</v>
      </c>
      <c r="P596" s="60">
        <v>47</v>
      </c>
      <c r="Q596" s="60">
        <v>6.51</v>
      </c>
      <c r="R596" s="60">
        <v>54.2</v>
      </c>
      <c r="S596" s="3">
        <v>7.25</v>
      </c>
      <c r="T596" s="3">
        <v>69</v>
      </c>
      <c r="U596" s="3">
        <v>7.58</v>
      </c>
      <c r="V596" s="3">
        <v>70</v>
      </c>
      <c r="W596" s="3">
        <v>7.79</v>
      </c>
      <c r="X596" s="3">
        <v>69</v>
      </c>
      <c r="Y596" s="3">
        <v>8.3000000000000007</v>
      </c>
      <c r="Z596" s="3"/>
      <c r="AA596" s="3">
        <v>9.08</v>
      </c>
      <c r="AB596" s="3"/>
      <c r="AC596" s="3"/>
      <c r="AD596" s="3"/>
    </row>
    <row r="597" spans="1:30" s="38" customFormat="1" x14ac:dyDescent="0.2">
      <c r="A597" s="57" t="s">
        <v>14</v>
      </c>
      <c r="B597" s="57" t="s">
        <v>62</v>
      </c>
      <c r="C597" s="57" t="s">
        <v>42</v>
      </c>
      <c r="D597" s="57" t="s">
        <v>618</v>
      </c>
      <c r="E597" s="57">
        <v>1</v>
      </c>
      <c r="F597" s="57" t="str">
        <f t="shared" si="20"/>
        <v>B1_P2_C3_D1</v>
      </c>
      <c r="G597" s="57" t="s">
        <v>11</v>
      </c>
      <c r="H597" s="57" t="s">
        <v>20</v>
      </c>
      <c r="I597" s="57" t="str">
        <f t="shared" si="18"/>
        <v>B1-P2-C3</v>
      </c>
      <c r="J597" s="57" t="str">
        <f t="shared" si="19"/>
        <v>Robinia-B1-P2-C3-D1</v>
      </c>
      <c r="K597" s="57" t="s">
        <v>21</v>
      </c>
      <c r="L597" s="57" t="s">
        <v>44</v>
      </c>
      <c r="M597" s="57" t="str">
        <f t="shared" si="21"/>
        <v>Drought_Yellow_Yes</v>
      </c>
      <c r="N597" s="37">
        <v>619</v>
      </c>
      <c r="O597" s="57">
        <v>9.1</v>
      </c>
      <c r="P597" s="57">
        <v>94</v>
      </c>
      <c r="Q597" s="57">
        <v>9.42</v>
      </c>
      <c r="R597" s="57">
        <v>98.5</v>
      </c>
      <c r="S597" s="57">
        <v>10.8</v>
      </c>
      <c r="T597" s="57">
        <v>122</v>
      </c>
      <c r="U597" s="57">
        <v>10.81</v>
      </c>
      <c r="V597" s="57">
        <v>122</v>
      </c>
      <c r="W597" s="57">
        <v>11.96</v>
      </c>
      <c r="X597" s="57">
        <v>130</v>
      </c>
      <c r="Y597" s="57">
        <v>12.67</v>
      </c>
      <c r="Z597" s="57"/>
      <c r="AA597" s="57">
        <v>13.56</v>
      </c>
      <c r="AB597" s="57"/>
      <c r="AC597" s="57"/>
      <c r="AD597" s="57"/>
    </row>
    <row r="598" spans="1:30" s="38" customFormat="1" x14ac:dyDescent="0.2">
      <c r="A598" s="57" t="s">
        <v>14</v>
      </c>
      <c r="B598" s="57" t="s">
        <v>62</v>
      </c>
      <c r="C598" s="57" t="s">
        <v>42</v>
      </c>
      <c r="D598" s="57" t="s">
        <v>619</v>
      </c>
      <c r="E598" s="57">
        <v>1</v>
      </c>
      <c r="F598" s="57" t="str">
        <f t="shared" si="20"/>
        <v>B1_P2_C3_E1</v>
      </c>
      <c r="G598" s="57" t="s">
        <v>11</v>
      </c>
      <c r="H598" s="57" t="s">
        <v>20</v>
      </c>
      <c r="I598" s="57" t="str">
        <f t="shared" si="18"/>
        <v>B1-P2-C3</v>
      </c>
      <c r="J598" s="57" t="str">
        <f t="shared" si="19"/>
        <v>Robinia-B1-P2-C3-E1</v>
      </c>
      <c r="K598" s="57" t="s">
        <v>21</v>
      </c>
      <c r="L598" s="57" t="s">
        <v>44</v>
      </c>
      <c r="M598" s="57" t="str">
        <f t="shared" si="21"/>
        <v>Drought_Yellow_Yes</v>
      </c>
      <c r="N598" s="37">
        <v>620</v>
      </c>
      <c r="O598" s="57">
        <v>4.9000000000000004</v>
      </c>
      <c r="P598" s="57">
        <v>37</v>
      </c>
      <c r="Q598" s="57">
        <v>5</v>
      </c>
      <c r="R598" s="57">
        <v>43.4</v>
      </c>
      <c r="S598" s="57">
        <v>5.9</v>
      </c>
      <c r="T598" s="57">
        <v>73</v>
      </c>
      <c r="U598" s="57">
        <v>6.33</v>
      </c>
      <c r="V598" s="57">
        <v>75</v>
      </c>
      <c r="W598" s="57">
        <v>6.91</v>
      </c>
      <c r="X598" s="57">
        <v>77</v>
      </c>
      <c r="Y598" s="57">
        <v>7.16</v>
      </c>
      <c r="Z598" s="57"/>
      <c r="AA598" s="57">
        <v>8.5299999999999994</v>
      </c>
      <c r="AB598" s="57"/>
      <c r="AC598" s="57"/>
      <c r="AD598" s="57"/>
    </row>
    <row r="599" spans="1:30" s="38" customFormat="1" x14ac:dyDescent="0.2">
      <c r="A599" s="57" t="s">
        <v>14</v>
      </c>
      <c r="B599" s="57" t="s">
        <v>62</v>
      </c>
      <c r="C599" s="57" t="s">
        <v>42</v>
      </c>
      <c r="D599" s="57" t="s">
        <v>620</v>
      </c>
      <c r="E599" s="57">
        <v>1</v>
      </c>
      <c r="F599" s="57" t="str">
        <f t="shared" si="20"/>
        <v>B1_P2_C3_F1</v>
      </c>
      <c r="G599" s="57" t="s">
        <v>11</v>
      </c>
      <c r="H599" s="57" t="s">
        <v>20</v>
      </c>
      <c r="I599" s="57" t="str">
        <f t="shared" si="18"/>
        <v>B1-P2-C3</v>
      </c>
      <c r="J599" s="57" t="str">
        <f t="shared" si="19"/>
        <v>Robinia-B1-P2-C3-F1</v>
      </c>
      <c r="K599" s="57" t="s">
        <v>21</v>
      </c>
      <c r="L599" s="57" t="s">
        <v>44</v>
      </c>
      <c r="M599" s="57" t="str">
        <f t="shared" si="21"/>
        <v>Drought_Yellow_Yes</v>
      </c>
      <c r="N599" s="37">
        <v>621</v>
      </c>
      <c r="O599" s="57">
        <v>4.2</v>
      </c>
      <c r="P599" s="57">
        <v>33</v>
      </c>
      <c r="Q599" s="57">
        <v>4.29</v>
      </c>
      <c r="R599" s="57">
        <v>34.200000000000003</v>
      </c>
      <c r="S599" s="57">
        <v>4.9000000000000004</v>
      </c>
      <c r="T599" s="57">
        <v>48</v>
      </c>
      <c r="U599" s="57">
        <v>4.99</v>
      </c>
      <c r="V599" s="57">
        <v>49</v>
      </c>
      <c r="W599" s="57">
        <v>5.28</v>
      </c>
      <c r="X599" s="57">
        <v>47</v>
      </c>
      <c r="Y599" s="57">
        <v>6.09</v>
      </c>
      <c r="Z599" s="57"/>
      <c r="AA599" s="57">
        <v>6.8</v>
      </c>
      <c r="AB599" s="57"/>
      <c r="AC599" s="57"/>
      <c r="AD599" s="57"/>
    </row>
    <row r="600" spans="1:30" s="38" customFormat="1" x14ac:dyDescent="0.2">
      <c r="A600" s="57" t="s">
        <v>14</v>
      </c>
      <c r="B600" s="57" t="s">
        <v>62</v>
      </c>
      <c r="C600" s="57" t="s">
        <v>42</v>
      </c>
      <c r="D600" s="57" t="s">
        <v>618</v>
      </c>
      <c r="E600" s="57">
        <v>2</v>
      </c>
      <c r="F600" s="57" t="str">
        <f t="shared" si="20"/>
        <v>B1_P2_C3_D2</v>
      </c>
      <c r="G600" s="57" t="s">
        <v>11</v>
      </c>
      <c r="H600" s="57" t="s">
        <v>20</v>
      </c>
      <c r="I600" s="57" t="str">
        <f t="shared" si="18"/>
        <v>B1-P2-C3</v>
      </c>
      <c r="J600" s="57" t="str">
        <f t="shared" si="19"/>
        <v>Robinia-B1-P2-C3-D2</v>
      </c>
      <c r="K600" s="57" t="s">
        <v>21</v>
      </c>
      <c r="L600" s="57" t="s">
        <v>44</v>
      </c>
      <c r="M600" s="57" t="str">
        <f t="shared" si="21"/>
        <v>Drought_Yellow_Yes</v>
      </c>
      <c r="N600" s="37">
        <v>622</v>
      </c>
      <c r="O600" s="57">
        <v>6</v>
      </c>
      <c r="P600" s="57">
        <v>66</v>
      </c>
      <c r="Q600" s="57">
        <v>7.12</v>
      </c>
      <c r="R600" s="57">
        <v>78</v>
      </c>
      <c r="S600" s="57">
        <v>8.66</v>
      </c>
      <c r="T600" s="57">
        <v>122</v>
      </c>
      <c r="U600" s="57">
        <v>8.6999999999999993</v>
      </c>
      <c r="V600" s="57">
        <v>117</v>
      </c>
      <c r="W600" s="57">
        <v>9.93</v>
      </c>
      <c r="X600" s="57">
        <v>121</v>
      </c>
      <c r="Y600" s="57">
        <v>10.67</v>
      </c>
      <c r="Z600" s="57"/>
      <c r="AA600" s="57">
        <v>12.71</v>
      </c>
      <c r="AB600" s="57"/>
      <c r="AC600" s="57"/>
      <c r="AD600" s="57"/>
    </row>
    <row r="601" spans="1:30" s="38" customFormat="1" x14ac:dyDescent="0.2">
      <c r="A601" s="57" t="s">
        <v>14</v>
      </c>
      <c r="B601" s="57" t="s">
        <v>62</v>
      </c>
      <c r="C601" s="57" t="s">
        <v>42</v>
      </c>
      <c r="D601" s="57" t="s">
        <v>619</v>
      </c>
      <c r="E601" s="57">
        <v>2</v>
      </c>
      <c r="F601" s="57" t="str">
        <f t="shared" si="20"/>
        <v>B1_P2_C3_E2</v>
      </c>
      <c r="G601" s="57" t="s">
        <v>11</v>
      </c>
      <c r="H601" s="57" t="s">
        <v>20</v>
      </c>
      <c r="I601" s="57" t="str">
        <f t="shared" si="18"/>
        <v>B1-P2-C3</v>
      </c>
      <c r="J601" s="57" t="str">
        <f t="shared" si="19"/>
        <v>Robinia-B1-P2-C3-E2</v>
      </c>
      <c r="K601" s="57" t="s">
        <v>21</v>
      </c>
      <c r="L601" s="57" t="s">
        <v>44</v>
      </c>
      <c r="M601" s="57" t="str">
        <f t="shared" si="21"/>
        <v>Drought_Yellow_Yes</v>
      </c>
      <c r="N601" s="37">
        <v>623</v>
      </c>
      <c r="O601" s="57">
        <v>10.6</v>
      </c>
      <c r="P601" s="57">
        <v>120</v>
      </c>
      <c r="Q601" s="57">
        <v>11.33</v>
      </c>
      <c r="R601" s="57">
        <v>122</v>
      </c>
      <c r="S601" s="57">
        <v>14.35</v>
      </c>
      <c r="T601" s="57">
        <v>157</v>
      </c>
      <c r="U601" s="57">
        <v>14.22</v>
      </c>
      <c r="V601" s="57">
        <v>160</v>
      </c>
      <c r="W601" s="57">
        <v>16.149999999999999</v>
      </c>
      <c r="X601" s="57">
        <v>163</v>
      </c>
      <c r="Y601" s="57">
        <v>16.97</v>
      </c>
      <c r="Z601" s="57"/>
      <c r="AA601" s="57">
        <v>18.260000000000002</v>
      </c>
      <c r="AB601" s="57"/>
      <c r="AC601" s="57"/>
      <c r="AD601" s="57"/>
    </row>
    <row r="602" spans="1:30" s="38" customFormat="1" x14ac:dyDescent="0.2">
      <c r="A602" s="57" t="s">
        <v>14</v>
      </c>
      <c r="B602" s="57" t="s">
        <v>62</v>
      </c>
      <c r="C602" s="57" t="s">
        <v>42</v>
      </c>
      <c r="D602" s="57" t="s">
        <v>620</v>
      </c>
      <c r="E602" s="57">
        <v>2</v>
      </c>
      <c r="F602" s="57" t="str">
        <f t="shared" si="20"/>
        <v>B1_P2_C3_F2</v>
      </c>
      <c r="G602" s="57" t="s">
        <v>11</v>
      </c>
      <c r="H602" s="57" t="s">
        <v>20</v>
      </c>
      <c r="I602" s="57" t="str">
        <f t="shared" si="18"/>
        <v>B1-P2-C3</v>
      </c>
      <c r="J602" s="57" t="str">
        <f t="shared" si="19"/>
        <v>Robinia-B1-P2-C3-F2</v>
      </c>
      <c r="K602" s="57" t="s">
        <v>21</v>
      </c>
      <c r="L602" s="57" t="s">
        <v>44</v>
      </c>
      <c r="M602" s="57" t="str">
        <f t="shared" si="21"/>
        <v>Drought_Yellow_Yes</v>
      </c>
      <c r="N602" s="37">
        <v>624</v>
      </c>
      <c r="O602" s="57">
        <v>10.7</v>
      </c>
      <c r="P602" s="57">
        <v>101</v>
      </c>
      <c r="Q602" s="57">
        <v>12.28</v>
      </c>
      <c r="R602" s="57">
        <v>109</v>
      </c>
      <c r="S602" s="57">
        <v>15.01</v>
      </c>
      <c r="T602" s="57">
        <v>145</v>
      </c>
      <c r="U602" s="57">
        <v>15.15</v>
      </c>
      <c r="V602" s="57">
        <v>143</v>
      </c>
      <c r="W602" s="57">
        <v>17.25</v>
      </c>
      <c r="X602" s="57">
        <v>153</v>
      </c>
      <c r="Y602" s="57">
        <v>18.18</v>
      </c>
      <c r="Z602" s="57"/>
      <c r="AA602" s="57">
        <v>19.54</v>
      </c>
      <c r="AB602" s="57"/>
      <c r="AC602" s="57"/>
      <c r="AD602" s="57"/>
    </row>
    <row r="603" spans="1:30" x14ac:dyDescent="0.2">
      <c r="A603" s="60" t="s">
        <v>14</v>
      </c>
      <c r="B603" s="60" t="s">
        <v>98</v>
      </c>
      <c r="C603" s="60" t="s">
        <v>42</v>
      </c>
      <c r="D603" s="60" t="s">
        <v>618</v>
      </c>
      <c r="E603" s="60">
        <v>1</v>
      </c>
      <c r="F603" s="60" t="str">
        <f t="shared" si="20"/>
        <v>B1_P3_C3_D1</v>
      </c>
      <c r="G603" s="60" t="s">
        <v>11</v>
      </c>
      <c r="H603" s="60" t="s">
        <v>20</v>
      </c>
      <c r="I603" s="60" t="str">
        <f t="shared" si="18"/>
        <v>B1-P3-C3</v>
      </c>
      <c r="J603" s="60" t="str">
        <f t="shared" si="19"/>
        <v>Robinia-B1-P3-C3-D1</v>
      </c>
      <c r="K603" s="60" t="s">
        <v>64</v>
      </c>
      <c r="L603" s="60" t="s">
        <v>44</v>
      </c>
      <c r="M603" s="60" t="str">
        <f t="shared" si="21"/>
        <v>Drought_Grey_Yes</v>
      </c>
      <c r="N603" s="15">
        <v>625</v>
      </c>
      <c r="O603" s="60">
        <v>10.1</v>
      </c>
      <c r="P603" s="60">
        <v>116</v>
      </c>
      <c r="Q603" s="60">
        <v>11.81</v>
      </c>
      <c r="R603" s="60">
        <v>124.3</v>
      </c>
      <c r="S603" s="3">
        <v>13.51</v>
      </c>
      <c r="T603" s="3">
        <v>154</v>
      </c>
      <c r="U603" s="3">
        <v>13.88</v>
      </c>
      <c r="V603" s="3">
        <v>150</v>
      </c>
      <c r="W603" s="3">
        <v>15.93</v>
      </c>
      <c r="X603" s="3">
        <v>161</v>
      </c>
      <c r="Y603" s="3">
        <v>16.63</v>
      </c>
      <c r="Z603" s="3"/>
      <c r="AA603" s="3">
        <v>17.54</v>
      </c>
      <c r="AB603" s="3"/>
      <c r="AC603" s="3"/>
      <c r="AD603" s="3"/>
    </row>
    <row r="604" spans="1:30" x14ac:dyDescent="0.2">
      <c r="A604" s="60" t="s">
        <v>14</v>
      </c>
      <c r="B604" s="60" t="s">
        <v>98</v>
      </c>
      <c r="C604" s="60" t="s">
        <v>42</v>
      </c>
      <c r="D604" s="60" t="s">
        <v>619</v>
      </c>
      <c r="E604" s="60">
        <v>1</v>
      </c>
      <c r="F604" s="60" t="str">
        <f t="shared" si="20"/>
        <v>B1_P3_C3_E1</v>
      </c>
      <c r="G604" s="60" t="s">
        <v>11</v>
      </c>
      <c r="H604" s="60" t="s">
        <v>20</v>
      </c>
      <c r="I604" s="60" t="str">
        <f t="shared" si="18"/>
        <v>B1-P3-C3</v>
      </c>
      <c r="J604" s="60" t="str">
        <f t="shared" si="19"/>
        <v>Robinia-B1-P3-C3-E1</v>
      </c>
      <c r="K604" s="60" t="s">
        <v>64</v>
      </c>
      <c r="L604" s="60" t="s">
        <v>44</v>
      </c>
      <c r="M604" s="60" t="str">
        <f t="shared" si="21"/>
        <v>Drought_Grey_Yes</v>
      </c>
      <c r="N604" s="15">
        <v>626</v>
      </c>
      <c r="O604" s="60">
        <v>7</v>
      </c>
      <c r="P604" s="60">
        <v>79</v>
      </c>
      <c r="Q604" s="60">
        <v>7.45</v>
      </c>
      <c r="R604" s="60">
        <v>87.2</v>
      </c>
      <c r="S604" s="3">
        <v>8.39</v>
      </c>
      <c r="T604" s="3">
        <v>107</v>
      </c>
      <c r="U604" s="3">
        <v>8.6</v>
      </c>
      <c r="V604" s="3">
        <v>112</v>
      </c>
      <c r="W604" s="3">
        <v>8.52</v>
      </c>
      <c r="X604" s="3">
        <v>114</v>
      </c>
      <c r="Y604" s="3">
        <v>8.65</v>
      </c>
      <c r="Z604" s="3"/>
      <c r="AA604" s="3">
        <v>8.77</v>
      </c>
      <c r="AB604" s="3"/>
      <c r="AC604" s="3"/>
      <c r="AD604" s="3"/>
    </row>
    <row r="605" spans="1:30" x14ac:dyDescent="0.2">
      <c r="A605" s="60" t="s">
        <v>14</v>
      </c>
      <c r="B605" s="60" t="s">
        <v>98</v>
      </c>
      <c r="C605" s="60" t="s">
        <v>42</v>
      </c>
      <c r="D605" s="60" t="s">
        <v>620</v>
      </c>
      <c r="E605" s="60">
        <v>1</v>
      </c>
      <c r="F605" s="60" t="str">
        <f t="shared" si="20"/>
        <v>B1_P3_C3_F1</v>
      </c>
      <c r="G605" s="60" t="s">
        <v>11</v>
      </c>
      <c r="H605" s="60" t="s">
        <v>20</v>
      </c>
      <c r="I605" s="60" t="str">
        <f t="shared" si="18"/>
        <v>B1-P3-C3</v>
      </c>
      <c r="J605" s="60" t="str">
        <f t="shared" si="19"/>
        <v>Robinia-B1-P3-C3-F1</v>
      </c>
      <c r="K605" s="60" t="s">
        <v>64</v>
      </c>
      <c r="L605" s="60" t="s">
        <v>44</v>
      </c>
      <c r="M605" s="60" t="str">
        <f t="shared" si="21"/>
        <v>Drought_Grey_Yes</v>
      </c>
      <c r="N605" s="15">
        <v>627</v>
      </c>
      <c r="O605" s="60">
        <v>9.1999999999999993</v>
      </c>
      <c r="P605" s="60">
        <v>110</v>
      </c>
      <c r="Q605" s="60">
        <v>9.98</v>
      </c>
      <c r="R605" s="60">
        <v>117.5</v>
      </c>
      <c r="S605" s="3">
        <v>11.46</v>
      </c>
      <c r="T605" s="3">
        <v>133</v>
      </c>
      <c r="U605" s="3">
        <v>12</v>
      </c>
      <c r="V605" s="3">
        <v>135</v>
      </c>
      <c r="W605" s="3">
        <v>12.63</v>
      </c>
      <c r="X605" s="3">
        <v>147</v>
      </c>
      <c r="Y605" s="3">
        <v>12.87</v>
      </c>
      <c r="Z605" s="3"/>
      <c r="AA605" s="3">
        <v>14.51</v>
      </c>
      <c r="AB605" s="3"/>
      <c r="AC605" s="3"/>
      <c r="AD605" s="3"/>
    </row>
    <row r="606" spans="1:30" x14ac:dyDescent="0.2">
      <c r="A606" s="60" t="s">
        <v>14</v>
      </c>
      <c r="B606" s="60" t="s">
        <v>98</v>
      </c>
      <c r="C606" s="60" t="s">
        <v>42</v>
      </c>
      <c r="D606" s="60" t="s">
        <v>618</v>
      </c>
      <c r="E606" s="60">
        <v>2</v>
      </c>
      <c r="F606" s="60" t="str">
        <f t="shared" si="20"/>
        <v>B1_P3_C3_D2</v>
      </c>
      <c r="G606" s="60" t="s">
        <v>11</v>
      </c>
      <c r="H606" s="60" t="s">
        <v>20</v>
      </c>
      <c r="I606" s="60" t="str">
        <f t="shared" si="18"/>
        <v>B1-P3-C3</v>
      </c>
      <c r="J606" s="60" t="str">
        <f t="shared" si="19"/>
        <v>Robinia-B1-P3-C3-D2</v>
      </c>
      <c r="K606" s="60" t="s">
        <v>64</v>
      </c>
      <c r="L606" s="60" t="s">
        <v>44</v>
      </c>
      <c r="M606" s="60" t="str">
        <f t="shared" si="21"/>
        <v>Drought_Grey_Yes</v>
      </c>
      <c r="N606" s="15">
        <v>628</v>
      </c>
      <c r="O606" s="60">
        <v>9.9</v>
      </c>
      <c r="P606" s="60">
        <v>110</v>
      </c>
      <c r="Q606" s="60">
        <v>10.85</v>
      </c>
      <c r="R606" s="60">
        <v>120</v>
      </c>
      <c r="S606" s="3">
        <v>12.7</v>
      </c>
      <c r="T606" s="3">
        <v>143</v>
      </c>
      <c r="U606" s="3">
        <v>12.96</v>
      </c>
      <c r="V606" s="3">
        <v>144</v>
      </c>
      <c r="W606" s="3">
        <v>15.12</v>
      </c>
      <c r="X606" s="3">
        <v>152</v>
      </c>
      <c r="Y606" s="3">
        <v>16.09</v>
      </c>
      <c r="Z606" s="3"/>
      <c r="AA606" s="3">
        <v>16.760000000000002</v>
      </c>
      <c r="AB606" s="3"/>
      <c r="AC606" s="3"/>
      <c r="AD606" s="3"/>
    </row>
    <row r="607" spans="1:30" x14ac:dyDescent="0.2">
      <c r="A607" s="60" t="s">
        <v>14</v>
      </c>
      <c r="B607" s="60" t="s">
        <v>98</v>
      </c>
      <c r="C607" s="60" t="s">
        <v>42</v>
      </c>
      <c r="D607" s="60" t="s">
        <v>619</v>
      </c>
      <c r="E607" s="60">
        <v>2</v>
      </c>
      <c r="F607" s="60" t="str">
        <f t="shared" si="20"/>
        <v>B1_P3_C3_E2</v>
      </c>
      <c r="G607" s="60" t="s">
        <v>11</v>
      </c>
      <c r="H607" s="60" t="s">
        <v>20</v>
      </c>
      <c r="I607" s="60" t="str">
        <f t="shared" si="18"/>
        <v>B1-P3-C3</v>
      </c>
      <c r="J607" s="60" t="str">
        <f t="shared" si="19"/>
        <v>Robinia-B1-P3-C3-E2</v>
      </c>
      <c r="K607" s="60" t="s">
        <v>64</v>
      </c>
      <c r="L607" s="60" t="s">
        <v>44</v>
      </c>
      <c r="M607" s="60" t="str">
        <f t="shared" si="21"/>
        <v>Drought_Grey_Yes</v>
      </c>
      <c r="N607" s="15">
        <v>629</v>
      </c>
      <c r="O607" s="60">
        <v>10.1</v>
      </c>
      <c r="P607" s="60">
        <v>120</v>
      </c>
      <c r="Q607" s="60">
        <v>11.98</v>
      </c>
      <c r="R607" s="60">
        <v>128</v>
      </c>
      <c r="S607" s="3">
        <v>14.04</v>
      </c>
      <c r="T607" s="3">
        <v>143</v>
      </c>
      <c r="U607" s="3">
        <v>13.96</v>
      </c>
      <c r="V607" s="3">
        <v>150</v>
      </c>
      <c r="W607" s="3">
        <v>16.079999999999998</v>
      </c>
      <c r="X607" s="3">
        <v>152</v>
      </c>
      <c r="Y607" s="3">
        <v>16.5</v>
      </c>
      <c r="Z607" s="3"/>
      <c r="AA607" s="3">
        <v>16.739999999999998</v>
      </c>
      <c r="AB607" s="3"/>
      <c r="AC607" s="3"/>
      <c r="AD607" s="3"/>
    </row>
    <row r="608" spans="1:30" x14ac:dyDescent="0.2">
      <c r="A608" s="60" t="s">
        <v>14</v>
      </c>
      <c r="B608" s="60" t="s">
        <v>98</v>
      </c>
      <c r="C608" s="60" t="s">
        <v>42</v>
      </c>
      <c r="D608" s="60" t="s">
        <v>620</v>
      </c>
      <c r="E608" s="60">
        <v>2</v>
      </c>
      <c r="F608" s="60" t="str">
        <f t="shared" si="20"/>
        <v>B1_P3_C3_F2</v>
      </c>
      <c r="G608" s="60" t="s">
        <v>11</v>
      </c>
      <c r="H608" s="60" t="s">
        <v>20</v>
      </c>
      <c r="I608" s="60" t="str">
        <f t="shared" si="18"/>
        <v>B1-P3-C3</v>
      </c>
      <c r="J608" s="60" t="str">
        <f t="shared" si="19"/>
        <v>Robinia-B1-P3-C3-F2</v>
      </c>
      <c r="K608" s="60" t="s">
        <v>64</v>
      </c>
      <c r="L608" s="60" t="s">
        <v>44</v>
      </c>
      <c r="M608" s="60" t="str">
        <f t="shared" si="21"/>
        <v>Drought_Grey_Yes</v>
      </c>
      <c r="N608" s="15">
        <v>630</v>
      </c>
      <c r="O608" s="60">
        <v>14.9</v>
      </c>
      <c r="P608" s="60">
        <v>147</v>
      </c>
      <c r="Q608" s="60">
        <v>16.940000000000001</v>
      </c>
      <c r="R608" s="60">
        <v>157</v>
      </c>
      <c r="S608" s="3">
        <v>17.760000000000002</v>
      </c>
      <c r="T608" s="3">
        <v>175</v>
      </c>
      <c r="U608" s="3">
        <v>17.96</v>
      </c>
      <c r="V608" s="3">
        <v>173</v>
      </c>
      <c r="W608" s="3">
        <v>19.07</v>
      </c>
      <c r="X608" s="3">
        <v>182</v>
      </c>
      <c r="Y608" s="3">
        <v>19.63</v>
      </c>
      <c r="Z608" s="3"/>
      <c r="AA608" s="3">
        <v>20.399999999999999</v>
      </c>
      <c r="AB608" s="3"/>
      <c r="AC608" s="3"/>
      <c r="AD608" s="3"/>
    </row>
    <row r="609" spans="1:30" s="38" customFormat="1" x14ac:dyDescent="0.2">
      <c r="A609" s="57" t="s">
        <v>14</v>
      </c>
      <c r="B609" s="57" t="s">
        <v>98</v>
      </c>
      <c r="C609" s="57" t="s">
        <v>53</v>
      </c>
      <c r="D609" s="57" t="s">
        <v>618</v>
      </c>
      <c r="E609" s="57">
        <v>1</v>
      </c>
      <c r="F609" s="57" t="str">
        <f t="shared" si="20"/>
        <v>B1_P3_C4_D1</v>
      </c>
      <c r="G609" s="57" t="s">
        <v>11</v>
      </c>
      <c r="H609" s="57" t="s">
        <v>20</v>
      </c>
      <c r="I609" s="57" t="str">
        <f t="shared" si="18"/>
        <v>B1-P3-C4</v>
      </c>
      <c r="J609" s="57" t="str">
        <f t="shared" si="19"/>
        <v>Robinia-B1-P3-C4-D1</v>
      </c>
      <c r="K609" s="57" t="s">
        <v>64</v>
      </c>
      <c r="L609" s="57" t="s">
        <v>44</v>
      </c>
      <c r="M609" s="57" t="str">
        <f t="shared" si="21"/>
        <v>Drought_Grey_Yes</v>
      </c>
      <c r="N609" s="37">
        <v>631</v>
      </c>
      <c r="O609" s="57">
        <v>10.7</v>
      </c>
      <c r="P609" s="57">
        <v>75</v>
      </c>
      <c r="Q609" s="57">
        <v>11.32</v>
      </c>
      <c r="R609" s="57">
        <v>86</v>
      </c>
      <c r="S609" s="57">
        <v>12.13</v>
      </c>
      <c r="T609" s="57">
        <v>111</v>
      </c>
      <c r="U609" s="57">
        <v>12.3</v>
      </c>
      <c r="V609" s="57">
        <v>114</v>
      </c>
      <c r="W609" s="57">
        <v>12.34</v>
      </c>
      <c r="X609" s="57">
        <v>116</v>
      </c>
      <c r="Y609" s="57">
        <v>12.71</v>
      </c>
      <c r="Z609" s="57"/>
      <c r="AA609" s="57">
        <v>13.84</v>
      </c>
      <c r="AB609" s="57"/>
      <c r="AC609" s="57"/>
      <c r="AD609" s="57"/>
    </row>
    <row r="610" spans="1:30" s="38" customFormat="1" x14ac:dyDescent="0.2">
      <c r="A610" s="57" t="s">
        <v>14</v>
      </c>
      <c r="B610" s="57" t="s">
        <v>98</v>
      </c>
      <c r="C610" s="57" t="s">
        <v>53</v>
      </c>
      <c r="D610" s="57" t="s">
        <v>619</v>
      </c>
      <c r="E610" s="57">
        <v>1</v>
      </c>
      <c r="F610" s="57" t="str">
        <f t="shared" si="20"/>
        <v>B1_P3_C4_E1</v>
      </c>
      <c r="G610" s="57" t="s">
        <v>11</v>
      </c>
      <c r="H610" s="57" t="s">
        <v>20</v>
      </c>
      <c r="I610" s="57" t="str">
        <f t="shared" si="18"/>
        <v>B1-P3-C4</v>
      </c>
      <c r="J610" s="57" t="str">
        <f t="shared" si="19"/>
        <v>Robinia-B1-P3-C4-E1</v>
      </c>
      <c r="K610" s="57" t="s">
        <v>64</v>
      </c>
      <c r="L610" s="57" t="s">
        <v>44</v>
      </c>
      <c r="M610" s="57" t="str">
        <f t="shared" si="21"/>
        <v>Drought_Grey_Yes</v>
      </c>
      <c r="N610" s="37">
        <v>632</v>
      </c>
      <c r="O610" s="57">
        <v>13</v>
      </c>
      <c r="P610" s="57">
        <v>130</v>
      </c>
      <c r="Q610" s="57">
        <v>13.64</v>
      </c>
      <c r="R610" s="57">
        <v>143.5</v>
      </c>
      <c r="S610" s="57">
        <v>15.04</v>
      </c>
      <c r="T610" s="57">
        <v>164</v>
      </c>
      <c r="U610" s="57">
        <v>15.35</v>
      </c>
      <c r="V610" s="57">
        <v>166</v>
      </c>
      <c r="W610" s="57">
        <v>16.48</v>
      </c>
      <c r="X610" s="57">
        <v>172</v>
      </c>
      <c r="Y610" s="57">
        <v>16.510000000000002</v>
      </c>
      <c r="Z610" s="57"/>
      <c r="AA610" s="57">
        <v>15.9</v>
      </c>
      <c r="AB610" s="57"/>
      <c r="AC610" s="57"/>
      <c r="AD610" s="57"/>
    </row>
    <row r="611" spans="1:30" s="38" customFormat="1" x14ac:dyDescent="0.2">
      <c r="A611" s="57" t="s">
        <v>14</v>
      </c>
      <c r="B611" s="57" t="s">
        <v>98</v>
      </c>
      <c r="C611" s="57" t="s">
        <v>53</v>
      </c>
      <c r="D611" s="57" t="s">
        <v>620</v>
      </c>
      <c r="E611" s="57">
        <v>1</v>
      </c>
      <c r="F611" s="57" t="str">
        <f t="shared" si="20"/>
        <v>B1_P3_C4_F1</v>
      </c>
      <c r="G611" s="57" t="s">
        <v>11</v>
      </c>
      <c r="H611" s="57" t="s">
        <v>20</v>
      </c>
      <c r="I611" s="57" t="str">
        <f t="shared" si="18"/>
        <v>B1-P3-C4</v>
      </c>
      <c r="J611" s="57" t="str">
        <f t="shared" si="19"/>
        <v>Robinia-B1-P3-C4-F1</v>
      </c>
      <c r="K611" s="57" t="s">
        <v>64</v>
      </c>
      <c r="L611" s="57" t="s">
        <v>44</v>
      </c>
      <c r="M611" s="57" t="str">
        <f t="shared" si="21"/>
        <v>Drought_Grey_Yes</v>
      </c>
      <c r="N611" s="37">
        <v>633</v>
      </c>
      <c r="O611" s="57">
        <v>11.9</v>
      </c>
      <c r="P611" s="57">
        <v>140</v>
      </c>
      <c r="Q611" s="57">
        <v>12.83</v>
      </c>
      <c r="R611" s="57">
        <v>145.5</v>
      </c>
      <c r="S611" s="57">
        <v>14.09</v>
      </c>
      <c r="T611" s="57">
        <v>167</v>
      </c>
      <c r="U611" s="57">
        <v>14.24</v>
      </c>
      <c r="V611" s="57">
        <v>160</v>
      </c>
      <c r="W611" s="57">
        <v>14.13</v>
      </c>
      <c r="X611" s="57">
        <v>163</v>
      </c>
      <c r="Y611" s="57">
        <v>14.61</v>
      </c>
      <c r="Z611" s="57"/>
      <c r="AA611" s="57">
        <v>15.41</v>
      </c>
      <c r="AB611" s="57"/>
      <c r="AC611" s="57"/>
      <c r="AD611" s="57"/>
    </row>
    <row r="612" spans="1:30" s="38" customFormat="1" x14ac:dyDescent="0.2">
      <c r="A612" s="57" t="s">
        <v>14</v>
      </c>
      <c r="B612" s="57" t="s">
        <v>98</v>
      </c>
      <c r="C612" s="57" t="s">
        <v>53</v>
      </c>
      <c r="D612" s="57" t="s">
        <v>618</v>
      </c>
      <c r="E612" s="57">
        <v>2</v>
      </c>
      <c r="F612" s="57" t="str">
        <f t="shared" si="20"/>
        <v>B1_P3_C4_D2</v>
      </c>
      <c r="G612" s="57" t="s">
        <v>11</v>
      </c>
      <c r="H612" s="57" t="s">
        <v>20</v>
      </c>
      <c r="I612" s="57" t="str">
        <f t="shared" si="18"/>
        <v>B1-P3-C4</v>
      </c>
      <c r="J612" s="57" t="str">
        <f t="shared" si="19"/>
        <v>Robinia-B1-P3-C4-D2</v>
      </c>
      <c r="K612" s="57" t="s">
        <v>64</v>
      </c>
      <c r="L612" s="57" t="s">
        <v>44</v>
      </c>
      <c r="M612" s="57" t="str">
        <f t="shared" si="21"/>
        <v>Drought_Grey_Yes</v>
      </c>
      <c r="N612" s="37">
        <v>634</v>
      </c>
      <c r="O612" s="57">
        <v>9</v>
      </c>
      <c r="P612" s="57">
        <v>93</v>
      </c>
      <c r="Q612" s="57">
        <v>10.4</v>
      </c>
      <c r="R612" s="57">
        <v>99.6</v>
      </c>
      <c r="S612" s="57">
        <v>11.73</v>
      </c>
      <c r="T612" s="57">
        <v>122</v>
      </c>
      <c r="U612" s="57">
        <v>12.27</v>
      </c>
      <c r="V612" s="57">
        <v>123</v>
      </c>
      <c r="W612" s="57">
        <v>14.68</v>
      </c>
      <c r="X612" s="57">
        <v>135</v>
      </c>
      <c r="Y612" s="57">
        <v>16.88</v>
      </c>
      <c r="Z612" s="57"/>
      <c r="AA612" s="57">
        <v>18.34</v>
      </c>
      <c r="AB612" s="57"/>
      <c r="AC612" s="57"/>
      <c r="AD612" s="57"/>
    </row>
    <row r="613" spans="1:30" s="38" customFormat="1" x14ac:dyDescent="0.2">
      <c r="A613" s="57" t="s">
        <v>14</v>
      </c>
      <c r="B613" s="57" t="s">
        <v>98</v>
      </c>
      <c r="C613" s="57" t="s">
        <v>53</v>
      </c>
      <c r="D613" s="57" t="s">
        <v>619</v>
      </c>
      <c r="E613" s="57">
        <v>2</v>
      </c>
      <c r="F613" s="57" t="str">
        <f t="shared" si="20"/>
        <v>B1_P3_C4_E2</v>
      </c>
      <c r="G613" s="57" t="s">
        <v>11</v>
      </c>
      <c r="H613" s="57" t="s">
        <v>20</v>
      </c>
      <c r="I613" s="57" t="str">
        <f t="shared" si="18"/>
        <v>B1-P3-C4</v>
      </c>
      <c r="J613" s="57" t="str">
        <f t="shared" si="19"/>
        <v>Robinia-B1-P3-C4-E2</v>
      </c>
      <c r="K613" s="57" t="s">
        <v>64</v>
      </c>
      <c r="L613" s="57" t="s">
        <v>44</v>
      </c>
      <c r="M613" s="57" t="str">
        <f t="shared" si="21"/>
        <v>Drought_Grey_Yes</v>
      </c>
      <c r="N613" s="37">
        <v>635</v>
      </c>
      <c r="O613" s="57">
        <v>14.4</v>
      </c>
      <c r="P613" s="57">
        <v>117</v>
      </c>
      <c r="Q613" s="57">
        <v>15.73</v>
      </c>
      <c r="R613" s="57">
        <v>124</v>
      </c>
      <c r="S613" s="57">
        <v>17.5</v>
      </c>
      <c r="T613" s="57">
        <v>127</v>
      </c>
      <c r="U613" s="57">
        <v>17.03</v>
      </c>
      <c r="V613" s="57">
        <v>143</v>
      </c>
      <c r="W613" s="57">
        <v>17.649999999999999</v>
      </c>
      <c r="X613" s="57">
        <v>144</v>
      </c>
      <c r="Y613" s="57">
        <v>14.65</v>
      </c>
      <c r="Z613" s="57"/>
      <c r="AA613" s="57">
        <v>16.86</v>
      </c>
      <c r="AB613" s="57"/>
      <c r="AC613" s="57"/>
      <c r="AD613" s="57"/>
    </row>
    <row r="614" spans="1:30" s="38" customFormat="1" x14ac:dyDescent="0.2">
      <c r="A614" s="57" t="s">
        <v>14</v>
      </c>
      <c r="B614" s="57" t="s">
        <v>98</v>
      </c>
      <c r="C614" s="57" t="s">
        <v>53</v>
      </c>
      <c r="D614" s="57" t="s">
        <v>620</v>
      </c>
      <c r="E614" s="57">
        <v>2</v>
      </c>
      <c r="F614" s="57" t="str">
        <f t="shared" si="20"/>
        <v>B1_P3_C4_F2</v>
      </c>
      <c r="G614" s="57" t="s">
        <v>11</v>
      </c>
      <c r="H614" s="57" t="s">
        <v>20</v>
      </c>
      <c r="I614" s="57" t="str">
        <f t="shared" si="18"/>
        <v>B1-P3-C4</v>
      </c>
      <c r="J614" s="57" t="str">
        <f t="shared" si="19"/>
        <v>Robinia-B1-P3-C4-F2</v>
      </c>
      <c r="K614" s="57" t="s">
        <v>64</v>
      </c>
      <c r="L614" s="57" t="s">
        <v>44</v>
      </c>
      <c r="M614" s="57" t="str">
        <f t="shared" si="21"/>
        <v>Drought_Grey_Yes</v>
      </c>
      <c r="N614" s="37">
        <v>636</v>
      </c>
      <c r="O614" s="57">
        <v>9.3000000000000007</v>
      </c>
      <c r="P614" s="57">
        <v>95</v>
      </c>
      <c r="Q614" s="57">
        <v>10.35</v>
      </c>
      <c r="R614" s="57">
        <v>100.5</v>
      </c>
      <c r="S614" s="57">
        <v>12.2</v>
      </c>
      <c r="T614" s="57">
        <v>133</v>
      </c>
      <c r="U614" s="57">
        <v>12.31</v>
      </c>
      <c r="V614" s="57">
        <v>125</v>
      </c>
      <c r="W614" s="57">
        <v>14.03</v>
      </c>
      <c r="X614" s="57">
        <v>150</v>
      </c>
      <c r="Y614" s="57">
        <v>15.73</v>
      </c>
      <c r="Z614" s="57"/>
      <c r="AA614" s="57">
        <v>16.61</v>
      </c>
      <c r="AB614" s="57"/>
      <c r="AC614" s="57"/>
      <c r="AD614" s="57"/>
    </row>
    <row r="615" spans="1:30" x14ac:dyDescent="0.2">
      <c r="A615" s="60" t="s">
        <v>14</v>
      </c>
      <c r="B615" s="60" t="s">
        <v>131</v>
      </c>
      <c r="C615" s="60" t="s">
        <v>32</v>
      </c>
      <c r="D615" s="60" t="s">
        <v>618</v>
      </c>
      <c r="E615" s="60">
        <v>1</v>
      </c>
      <c r="F615" s="60" t="str">
        <f t="shared" si="20"/>
        <v>B1_P4_C2_D1</v>
      </c>
      <c r="G615" s="60" t="s">
        <v>11</v>
      </c>
      <c r="H615" s="60" t="s">
        <v>133</v>
      </c>
      <c r="I615" s="60" t="str">
        <f t="shared" si="18"/>
        <v>B1-P4-C2</v>
      </c>
      <c r="J615" s="60" t="str">
        <f t="shared" si="19"/>
        <v>Robinia-B1-P4-C2-D1</v>
      </c>
      <c r="K615" s="60" t="s">
        <v>21</v>
      </c>
      <c r="L615" s="60" t="s">
        <v>44</v>
      </c>
      <c r="M615" s="60" t="str">
        <f t="shared" si="21"/>
        <v>Control_Yellow_Yes</v>
      </c>
      <c r="N615" s="15">
        <v>637</v>
      </c>
      <c r="O615" s="60">
        <v>4.0999999999999996</v>
      </c>
      <c r="P615" s="60">
        <v>26</v>
      </c>
      <c r="Q615" s="60">
        <v>4.92</v>
      </c>
      <c r="R615" s="60">
        <v>32.1</v>
      </c>
      <c r="S615" s="3">
        <v>6.35</v>
      </c>
      <c r="T615" s="3">
        <v>65</v>
      </c>
      <c r="U615" s="3">
        <v>6.68</v>
      </c>
      <c r="V615" s="3">
        <v>69</v>
      </c>
      <c r="W615" s="3">
        <v>8.35</v>
      </c>
      <c r="X615" s="3">
        <v>87</v>
      </c>
      <c r="Y615" s="3">
        <v>9.31</v>
      </c>
      <c r="Z615" s="3"/>
      <c r="AA615" s="3">
        <v>10.76</v>
      </c>
      <c r="AB615" s="3"/>
      <c r="AC615" s="3"/>
      <c r="AD615" s="3"/>
    </row>
    <row r="616" spans="1:30" x14ac:dyDescent="0.2">
      <c r="A616" s="60" t="s">
        <v>14</v>
      </c>
      <c r="B616" s="60" t="s">
        <v>131</v>
      </c>
      <c r="C616" s="60" t="s">
        <v>32</v>
      </c>
      <c r="D616" s="60" t="s">
        <v>619</v>
      </c>
      <c r="E616" s="60">
        <v>1</v>
      </c>
      <c r="F616" s="60" t="str">
        <f t="shared" si="20"/>
        <v>B1_P4_C2_E1</v>
      </c>
      <c r="G616" s="60" t="s">
        <v>11</v>
      </c>
      <c r="H616" s="60" t="s">
        <v>133</v>
      </c>
      <c r="I616" s="60" t="str">
        <f t="shared" si="18"/>
        <v>B1-P4-C2</v>
      </c>
      <c r="J616" s="60" t="str">
        <f t="shared" si="19"/>
        <v>Robinia-B1-P4-C2-E1</v>
      </c>
      <c r="K616" s="60" t="s">
        <v>21</v>
      </c>
      <c r="L616" s="60" t="s">
        <v>44</v>
      </c>
      <c r="M616" s="60" t="str">
        <f t="shared" si="21"/>
        <v>Control_Yellow_Yes</v>
      </c>
      <c r="N616" s="15">
        <v>638</v>
      </c>
      <c r="O616" s="60">
        <v>8.6</v>
      </c>
      <c r="P616" s="60">
        <v>66</v>
      </c>
      <c r="Q616" s="60">
        <v>9.1300000000000008</v>
      </c>
      <c r="R616" s="60">
        <v>73.2</v>
      </c>
      <c r="S616" s="3">
        <v>11.17</v>
      </c>
      <c r="T616" s="3">
        <v>123</v>
      </c>
      <c r="U616" s="3">
        <v>12.24</v>
      </c>
      <c r="V616" s="3">
        <v>130</v>
      </c>
      <c r="W616" s="3">
        <v>13.98</v>
      </c>
      <c r="X616" s="3">
        <v>157</v>
      </c>
      <c r="Y616" s="3">
        <v>15.26</v>
      </c>
      <c r="Z616" s="3"/>
      <c r="AA616" s="3">
        <v>15.84</v>
      </c>
      <c r="AB616" s="3"/>
      <c r="AC616" s="3"/>
      <c r="AD616" s="3"/>
    </row>
    <row r="617" spans="1:30" x14ac:dyDescent="0.2">
      <c r="A617" s="60" t="s">
        <v>14</v>
      </c>
      <c r="B617" s="60" t="s">
        <v>131</v>
      </c>
      <c r="C617" s="60" t="s">
        <v>32</v>
      </c>
      <c r="D617" s="60" t="s">
        <v>620</v>
      </c>
      <c r="E617" s="60">
        <v>1</v>
      </c>
      <c r="F617" s="60" t="str">
        <f t="shared" si="20"/>
        <v>B1_P4_C2_F1</v>
      </c>
      <c r="G617" s="60" t="s">
        <v>11</v>
      </c>
      <c r="H617" s="60" t="s">
        <v>133</v>
      </c>
      <c r="I617" s="60" t="str">
        <f t="shared" si="18"/>
        <v>B1-P4-C2</v>
      </c>
      <c r="J617" s="60" t="str">
        <f t="shared" si="19"/>
        <v>Robinia-B1-P4-C2-F1</v>
      </c>
      <c r="K617" s="60" t="s">
        <v>21</v>
      </c>
      <c r="L617" s="60" t="s">
        <v>44</v>
      </c>
      <c r="M617" s="60" t="str">
        <f t="shared" si="21"/>
        <v>Control_Yellow_Yes</v>
      </c>
      <c r="N617" s="15">
        <v>639</v>
      </c>
      <c r="O617" s="60">
        <v>12.1</v>
      </c>
      <c r="P617" s="60">
        <v>99</v>
      </c>
      <c r="Q617" s="60">
        <v>13.09</v>
      </c>
      <c r="R617" s="60">
        <v>111.9</v>
      </c>
      <c r="S617" s="3">
        <v>18.28</v>
      </c>
      <c r="T617" s="3">
        <v>155</v>
      </c>
      <c r="U617" s="3">
        <v>20.059999999999999</v>
      </c>
      <c r="V617" s="3">
        <v>163</v>
      </c>
      <c r="W617" s="3">
        <v>23.29</v>
      </c>
      <c r="X617" s="3">
        <v>172</v>
      </c>
      <c r="Y617" s="3">
        <v>23.66</v>
      </c>
      <c r="Z617" s="3"/>
      <c r="AA617" s="3">
        <v>25.85</v>
      </c>
      <c r="AB617" s="3"/>
      <c r="AC617" s="3"/>
      <c r="AD617" s="3"/>
    </row>
    <row r="618" spans="1:30" x14ac:dyDescent="0.2">
      <c r="A618" s="60" t="s">
        <v>14</v>
      </c>
      <c r="B618" s="60" t="s">
        <v>131</v>
      </c>
      <c r="C618" s="60" t="s">
        <v>32</v>
      </c>
      <c r="D618" s="60" t="s">
        <v>618</v>
      </c>
      <c r="E618" s="60">
        <v>2</v>
      </c>
      <c r="F618" s="60" t="str">
        <f t="shared" si="20"/>
        <v>B1_P4_C2_D2</v>
      </c>
      <c r="G618" s="60" t="s">
        <v>11</v>
      </c>
      <c r="H618" s="60" t="s">
        <v>133</v>
      </c>
      <c r="I618" s="60" t="str">
        <f t="shared" si="18"/>
        <v>B1-P4-C2</v>
      </c>
      <c r="J618" s="60" t="str">
        <f t="shared" si="19"/>
        <v>Robinia-B1-P4-C2-D2</v>
      </c>
      <c r="K618" s="60" t="s">
        <v>21</v>
      </c>
      <c r="L618" s="60" t="s">
        <v>44</v>
      </c>
      <c r="M618" s="60" t="str">
        <f t="shared" si="21"/>
        <v>Control_Yellow_Yes</v>
      </c>
      <c r="N618" s="15">
        <v>640</v>
      </c>
      <c r="O618" s="60">
        <v>8.3000000000000007</v>
      </c>
      <c r="P618" s="60">
        <v>81</v>
      </c>
      <c r="Q618" s="60">
        <v>8.85</v>
      </c>
      <c r="R618" s="60">
        <v>86.9</v>
      </c>
      <c r="S618" s="3">
        <v>12.79</v>
      </c>
      <c r="T618" s="3">
        <v>117</v>
      </c>
      <c r="U618" s="3">
        <v>13</v>
      </c>
      <c r="V618" s="3">
        <v>125</v>
      </c>
      <c r="W618" s="3">
        <v>14.88</v>
      </c>
      <c r="X618" s="3">
        <v>134</v>
      </c>
      <c r="Y618" s="3">
        <v>16.100000000000001</v>
      </c>
      <c r="Z618" s="3"/>
      <c r="AA618" s="3">
        <v>16.760000000000002</v>
      </c>
      <c r="AB618" s="3"/>
      <c r="AC618" s="3"/>
      <c r="AD618" s="3"/>
    </row>
    <row r="619" spans="1:30" x14ac:dyDescent="0.2">
      <c r="A619" s="60" t="s">
        <v>14</v>
      </c>
      <c r="B619" s="60" t="s">
        <v>131</v>
      </c>
      <c r="C619" s="60" t="s">
        <v>32</v>
      </c>
      <c r="D619" s="60" t="s">
        <v>619</v>
      </c>
      <c r="E619" s="60">
        <v>2</v>
      </c>
      <c r="F619" s="60" t="str">
        <f t="shared" si="20"/>
        <v>B1_P4_C2_E2</v>
      </c>
      <c r="G619" s="60" t="s">
        <v>11</v>
      </c>
      <c r="H619" s="60" t="s">
        <v>133</v>
      </c>
      <c r="I619" s="60" t="str">
        <f t="shared" si="18"/>
        <v>B1-P4-C2</v>
      </c>
      <c r="J619" s="60" t="str">
        <f t="shared" si="19"/>
        <v>Robinia-B1-P4-C2-E2</v>
      </c>
      <c r="K619" s="60" t="s">
        <v>21</v>
      </c>
      <c r="L619" s="60" t="s">
        <v>44</v>
      </c>
      <c r="M619" s="60" t="str">
        <f t="shared" si="21"/>
        <v>Control_Yellow_Yes</v>
      </c>
      <c r="N619" s="15">
        <v>641</v>
      </c>
      <c r="O619" s="60">
        <v>7.9</v>
      </c>
      <c r="P619" s="60">
        <v>75</v>
      </c>
      <c r="Q619" s="60">
        <v>8.9499999999999993</v>
      </c>
      <c r="R619" s="60">
        <v>83</v>
      </c>
      <c r="S619" s="3">
        <v>11.3</v>
      </c>
      <c r="T619" s="3">
        <v>125</v>
      </c>
      <c r="U619" s="3">
        <v>12.04</v>
      </c>
      <c r="V619" s="3">
        <v>135</v>
      </c>
      <c r="W619" s="3">
        <v>14.79</v>
      </c>
      <c r="X619" s="3">
        <v>151</v>
      </c>
      <c r="Y619" s="3">
        <v>15.64</v>
      </c>
      <c r="Z619" s="3"/>
      <c r="AA619" s="3">
        <v>16.91</v>
      </c>
      <c r="AB619" s="3"/>
      <c r="AC619" s="3"/>
      <c r="AD619" s="3"/>
    </row>
    <row r="620" spans="1:30" x14ac:dyDescent="0.2">
      <c r="A620" s="60" t="s">
        <v>14</v>
      </c>
      <c r="B620" s="60" t="s">
        <v>131</v>
      </c>
      <c r="C620" s="60" t="s">
        <v>32</v>
      </c>
      <c r="D620" s="60" t="s">
        <v>620</v>
      </c>
      <c r="E620" s="60">
        <v>2</v>
      </c>
      <c r="F620" s="60" t="str">
        <f t="shared" si="20"/>
        <v>B1_P4_C2_F2</v>
      </c>
      <c r="G620" s="60" t="s">
        <v>11</v>
      </c>
      <c r="H620" s="60" t="s">
        <v>133</v>
      </c>
      <c r="I620" s="60" t="str">
        <f t="shared" si="18"/>
        <v>B1-P4-C2</v>
      </c>
      <c r="J620" s="60" t="str">
        <f t="shared" si="19"/>
        <v>Robinia-B1-P4-C2-F2</v>
      </c>
      <c r="K620" s="60" t="s">
        <v>21</v>
      </c>
      <c r="L620" s="60" t="s">
        <v>44</v>
      </c>
      <c r="M620" s="60" t="str">
        <f t="shared" si="21"/>
        <v>Control_Yellow_Yes</v>
      </c>
      <c r="N620" s="15">
        <v>642</v>
      </c>
      <c r="O620" s="60">
        <v>9.4</v>
      </c>
      <c r="P620" s="60">
        <v>72</v>
      </c>
      <c r="Q620" s="60">
        <v>9.85</v>
      </c>
      <c r="R620" s="60">
        <v>73.2</v>
      </c>
      <c r="S620" s="3">
        <v>12.83</v>
      </c>
      <c r="T620" s="3">
        <v>135</v>
      </c>
      <c r="U620" s="3">
        <v>13.59</v>
      </c>
      <c r="V620" s="3">
        <v>143</v>
      </c>
      <c r="W620" s="3">
        <v>16.899999999999999</v>
      </c>
      <c r="X620" s="3">
        <v>167</v>
      </c>
      <c r="Y620" s="3">
        <v>18.77</v>
      </c>
      <c r="Z620" s="3"/>
      <c r="AA620" s="3">
        <v>19.309999999999999</v>
      </c>
      <c r="AB620" s="3"/>
      <c r="AC620" s="3"/>
      <c r="AD620" s="3"/>
    </row>
    <row r="621" spans="1:30" s="38" customFormat="1" x14ac:dyDescent="0.2">
      <c r="A621" s="57" t="s">
        <v>14</v>
      </c>
      <c r="B621" s="57" t="s">
        <v>131</v>
      </c>
      <c r="C621" s="57" t="s">
        <v>42</v>
      </c>
      <c r="D621" s="57" t="s">
        <v>618</v>
      </c>
      <c r="E621" s="57">
        <v>1</v>
      </c>
      <c r="F621" s="57" t="str">
        <f t="shared" si="20"/>
        <v>B1_P4_C3_D1</v>
      </c>
      <c r="G621" s="57" t="s">
        <v>11</v>
      </c>
      <c r="H621" s="57" t="s">
        <v>133</v>
      </c>
      <c r="I621" s="57" t="str">
        <f t="shared" si="18"/>
        <v>B1-P4-C3</v>
      </c>
      <c r="J621" s="57" t="str">
        <f t="shared" ref="J621:J684" si="22">G621&amp;"-"&amp;A621&amp;"-"&amp;B621&amp;"-"&amp;C621&amp;"-"&amp;D621&amp;E621</f>
        <v>Robinia-B1-P4-C3-D1</v>
      </c>
      <c r="K621" s="57" t="s">
        <v>21</v>
      </c>
      <c r="L621" s="57" t="s">
        <v>44</v>
      </c>
      <c r="M621" s="57" t="str">
        <f t="shared" si="21"/>
        <v>Control_Yellow_Yes</v>
      </c>
      <c r="N621" s="37">
        <v>643</v>
      </c>
      <c r="O621" s="57">
        <v>2.4</v>
      </c>
      <c r="P621" s="57">
        <v>15</v>
      </c>
      <c r="Q621" s="57">
        <v>2.7</v>
      </c>
      <c r="R621" s="57">
        <v>15.5</v>
      </c>
      <c r="S621" s="57">
        <v>2.99</v>
      </c>
      <c r="T621" s="57">
        <v>15</v>
      </c>
      <c r="U621" s="57">
        <v>2.46</v>
      </c>
      <c r="V621" s="57">
        <v>15</v>
      </c>
      <c r="W621" s="57">
        <v>2.13</v>
      </c>
      <c r="X621" s="57">
        <v>18</v>
      </c>
      <c r="Y621" s="57">
        <v>2.54</v>
      </c>
      <c r="Z621" s="57"/>
      <c r="AA621" s="57">
        <v>3.08</v>
      </c>
      <c r="AB621" s="57"/>
      <c r="AC621" s="57"/>
      <c r="AD621" s="57"/>
    </row>
    <row r="622" spans="1:30" s="38" customFormat="1" x14ac:dyDescent="0.2">
      <c r="A622" s="57" t="s">
        <v>14</v>
      </c>
      <c r="B622" s="57" t="s">
        <v>131</v>
      </c>
      <c r="C622" s="57" t="s">
        <v>42</v>
      </c>
      <c r="D622" s="57" t="s">
        <v>619</v>
      </c>
      <c r="E622" s="57">
        <v>1</v>
      </c>
      <c r="F622" s="57" t="str">
        <f t="shared" si="20"/>
        <v>B1_P4_C3_E1</v>
      </c>
      <c r="G622" s="57" t="s">
        <v>11</v>
      </c>
      <c r="H622" s="57" t="s">
        <v>133</v>
      </c>
      <c r="I622" s="57" t="str">
        <f t="shared" si="18"/>
        <v>B1-P4-C3</v>
      </c>
      <c r="J622" s="57" t="str">
        <f t="shared" si="22"/>
        <v>Robinia-B1-P4-C3-E1</v>
      </c>
      <c r="K622" s="57" t="s">
        <v>21</v>
      </c>
      <c r="L622" s="57" t="s">
        <v>44</v>
      </c>
      <c r="M622" s="57" t="str">
        <f t="shared" si="21"/>
        <v>Control_Yellow_Yes</v>
      </c>
      <c r="N622" s="37">
        <v>644</v>
      </c>
      <c r="O622" s="57">
        <v>4.2</v>
      </c>
      <c r="P622" s="57">
        <v>26</v>
      </c>
      <c r="Q622" s="57">
        <v>4.22</v>
      </c>
      <c r="R622" s="57">
        <v>26</v>
      </c>
      <c r="S622" s="57">
        <v>4.76</v>
      </c>
      <c r="T622" s="57">
        <v>50</v>
      </c>
      <c r="U622" s="57">
        <v>5.33</v>
      </c>
      <c r="V622" s="57">
        <v>60</v>
      </c>
      <c r="W622" s="57">
        <v>6.77</v>
      </c>
      <c r="X622" s="57">
        <v>78</v>
      </c>
      <c r="Y622" s="57">
        <v>7.13</v>
      </c>
      <c r="Z622" s="57"/>
      <c r="AA622" s="57">
        <v>9.11</v>
      </c>
      <c r="AB622" s="57"/>
      <c r="AC622" s="57"/>
      <c r="AD622" s="57"/>
    </row>
    <row r="623" spans="1:30" s="38" customFormat="1" x14ac:dyDescent="0.2">
      <c r="A623" s="57" t="s">
        <v>14</v>
      </c>
      <c r="B623" s="57" t="s">
        <v>131</v>
      </c>
      <c r="C623" s="57" t="s">
        <v>42</v>
      </c>
      <c r="D623" s="57" t="s">
        <v>620</v>
      </c>
      <c r="E623" s="57">
        <v>1</v>
      </c>
      <c r="F623" s="57" t="str">
        <f t="shared" si="20"/>
        <v>B1_P4_C3_F1</v>
      </c>
      <c r="G623" s="57" t="s">
        <v>11</v>
      </c>
      <c r="H623" s="57" t="s">
        <v>133</v>
      </c>
      <c r="I623" s="57" t="str">
        <f t="shared" si="18"/>
        <v>B1-P4-C3</v>
      </c>
      <c r="J623" s="57" t="str">
        <f t="shared" si="22"/>
        <v>Robinia-B1-P4-C3-F1</v>
      </c>
      <c r="K623" s="57" t="s">
        <v>21</v>
      </c>
      <c r="L623" s="57" t="s">
        <v>44</v>
      </c>
      <c r="M623" s="57" t="str">
        <f t="shared" si="21"/>
        <v>Control_Yellow_Yes</v>
      </c>
      <c r="N623" s="37">
        <v>645</v>
      </c>
      <c r="O623" s="57">
        <v>10</v>
      </c>
      <c r="P623" s="57">
        <v>100</v>
      </c>
      <c r="Q623" s="57">
        <v>10.77</v>
      </c>
      <c r="R623" s="57">
        <v>99.5</v>
      </c>
      <c r="S623" s="57">
        <v>14.33</v>
      </c>
      <c r="T623" s="57">
        <v>162</v>
      </c>
      <c r="U623" s="57">
        <v>16.57</v>
      </c>
      <c r="V623" s="57">
        <v>168</v>
      </c>
      <c r="W623" s="57">
        <v>20.85</v>
      </c>
      <c r="X623" s="57">
        <v>201</v>
      </c>
      <c r="Y623" s="57">
        <v>21.87</v>
      </c>
      <c r="Z623" s="57"/>
      <c r="AA623" s="57">
        <v>24.09</v>
      </c>
      <c r="AB623" s="57"/>
      <c r="AC623" s="57"/>
      <c r="AD623" s="57"/>
    </row>
    <row r="624" spans="1:30" s="38" customFormat="1" x14ac:dyDescent="0.2">
      <c r="A624" s="57" t="s">
        <v>14</v>
      </c>
      <c r="B624" s="57" t="s">
        <v>131</v>
      </c>
      <c r="C624" s="57" t="s">
        <v>42</v>
      </c>
      <c r="D624" s="57" t="s">
        <v>618</v>
      </c>
      <c r="E624" s="57">
        <v>2</v>
      </c>
      <c r="F624" s="57" t="str">
        <f t="shared" si="20"/>
        <v>B1_P4_C3_D2</v>
      </c>
      <c r="G624" s="57" t="s">
        <v>11</v>
      </c>
      <c r="H624" s="57" t="s">
        <v>133</v>
      </c>
      <c r="I624" s="57" t="str">
        <f t="shared" si="18"/>
        <v>B1-P4-C3</v>
      </c>
      <c r="J624" s="57" t="str">
        <f t="shared" si="22"/>
        <v>Robinia-B1-P4-C3-D2</v>
      </c>
      <c r="K624" s="57" t="s">
        <v>21</v>
      </c>
      <c r="L624" s="57" t="s">
        <v>44</v>
      </c>
      <c r="M624" s="57" t="str">
        <f t="shared" si="21"/>
        <v>Control_Yellow_Yes</v>
      </c>
      <c r="N624" s="37">
        <v>646</v>
      </c>
      <c r="O624" s="57">
        <v>2.9</v>
      </c>
      <c r="P624" s="57">
        <v>30</v>
      </c>
      <c r="Q624" s="57">
        <v>3.19</v>
      </c>
      <c r="R624" s="57">
        <v>30</v>
      </c>
      <c r="S624" s="57">
        <v>3.27</v>
      </c>
      <c r="T624" s="57">
        <v>31</v>
      </c>
      <c r="U624" s="57">
        <v>3.44</v>
      </c>
      <c r="V624" s="57">
        <v>34</v>
      </c>
      <c r="W624" s="57">
        <v>3.24</v>
      </c>
      <c r="X624" s="57">
        <v>51</v>
      </c>
      <c r="Y624" s="57">
        <v>4.28</v>
      </c>
      <c r="Z624" s="57"/>
      <c r="AA624" s="57">
        <v>4.6900000000000004</v>
      </c>
      <c r="AB624" s="57"/>
      <c r="AC624" s="57"/>
      <c r="AD624" s="57"/>
    </row>
    <row r="625" spans="1:30" s="38" customFormat="1" x14ac:dyDescent="0.2">
      <c r="A625" s="57" t="s">
        <v>14</v>
      </c>
      <c r="B625" s="57" t="s">
        <v>131</v>
      </c>
      <c r="C625" s="57" t="s">
        <v>42</v>
      </c>
      <c r="D625" s="57" t="s">
        <v>619</v>
      </c>
      <c r="E625" s="57">
        <v>2</v>
      </c>
      <c r="F625" s="57" t="str">
        <f t="shared" si="20"/>
        <v>B1_P4_C3_E2</v>
      </c>
      <c r="G625" s="57" t="s">
        <v>11</v>
      </c>
      <c r="H625" s="57" t="s">
        <v>133</v>
      </c>
      <c r="I625" s="57" t="str">
        <f t="shared" si="18"/>
        <v>B1-P4-C3</v>
      </c>
      <c r="J625" s="57" t="str">
        <f t="shared" si="22"/>
        <v>Robinia-B1-P4-C3-E2</v>
      </c>
      <c r="K625" s="57" t="s">
        <v>21</v>
      </c>
      <c r="L625" s="57" t="s">
        <v>44</v>
      </c>
      <c r="M625" s="57" t="str">
        <f t="shared" si="21"/>
        <v>Control_Yellow_Yes</v>
      </c>
      <c r="N625" s="37">
        <v>647</v>
      </c>
      <c r="O625" s="57">
        <v>6.4</v>
      </c>
      <c r="P625" s="57">
        <v>52</v>
      </c>
      <c r="Q625" s="57">
        <v>6.72</v>
      </c>
      <c r="R625" s="57">
        <v>51.2</v>
      </c>
      <c r="S625" s="57">
        <v>9.68</v>
      </c>
      <c r="T625" s="57">
        <v>88</v>
      </c>
      <c r="U625" s="57">
        <v>11.66</v>
      </c>
      <c r="V625" s="57">
        <v>124</v>
      </c>
      <c r="W625" s="57">
        <v>16.28</v>
      </c>
      <c r="X625" s="57">
        <v>157</v>
      </c>
      <c r="Y625" s="57">
        <v>18.12</v>
      </c>
      <c r="Z625" s="57"/>
      <c r="AA625" s="57">
        <v>19.68</v>
      </c>
      <c r="AB625" s="57"/>
      <c r="AC625" s="57"/>
      <c r="AD625" s="57"/>
    </row>
    <row r="626" spans="1:30" s="38" customFormat="1" x14ac:dyDescent="0.2">
      <c r="A626" s="57" t="s">
        <v>14</v>
      </c>
      <c r="B626" s="57" t="s">
        <v>131</v>
      </c>
      <c r="C626" s="57" t="s">
        <v>42</v>
      </c>
      <c r="D626" s="57" t="s">
        <v>620</v>
      </c>
      <c r="E626" s="57">
        <v>2</v>
      </c>
      <c r="F626" s="57" t="str">
        <f t="shared" si="20"/>
        <v>B1_P4_C3_F2</v>
      </c>
      <c r="G626" s="57" t="s">
        <v>11</v>
      </c>
      <c r="H626" s="57" t="s">
        <v>133</v>
      </c>
      <c r="I626" s="57" t="str">
        <f t="shared" si="18"/>
        <v>B1-P4-C3</v>
      </c>
      <c r="J626" s="57" t="str">
        <f t="shared" si="22"/>
        <v>Robinia-B1-P4-C3-F2</v>
      </c>
      <c r="K626" s="57" t="s">
        <v>21</v>
      </c>
      <c r="L626" s="57" t="s">
        <v>44</v>
      </c>
      <c r="M626" s="57" t="str">
        <f t="shared" si="21"/>
        <v>Control_Yellow_Yes</v>
      </c>
      <c r="N626" s="37">
        <v>648</v>
      </c>
      <c r="O626" s="57">
        <v>9</v>
      </c>
      <c r="P626" s="57">
        <v>82</v>
      </c>
      <c r="Q626" s="57">
        <v>9.32</v>
      </c>
      <c r="R626" s="57">
        <v>86.5</v>
      </c>
      <c r="S626" s="57">
        <v>14</v>
      </c>
      <c r="T626" s="57">
        <v>141</v>
      </c>
      <c r="U626" s="57">
        <v>16.46</v>
      </c>
      <c r="V626" s="57" t="s">
        <v>1799</v>
      </c>
      <c r="W626" s="57">
        <v>20.66</v>
      </c>
      <c r="X626" s="57">
        <v>174</v>
      </c>
      <c r="Y626" s="57">
        <v>22.74</v>
      </c>
      <c r="Z626" s="57"/>
      <c r="AA626" s="57">
        <v>23.3</v>
      </c>
      <c r="AB626" s="57"/>
      <c r="AC626" s="57"/>
      <c r="AD626" s="57"/>
    </row>
    <row r="627" spans="1:30" x14ac:dyDescent="0.2">
      <c r="A627" s="60" t="s">
        <v>14</v>
      </c>
      <c r="B627" s="60" t="s">
        <v>131</v>
      </c>
      <c r="C627" s="60" t="s">
        <v>53</v>
      </c>
      <c r="D627" s="60" t="s">
        <v>618</v>
      </c>
      <c r="E627" s="60">
        <v>1</v>
      </c>
      <c r="F627" s="60" t="str">
        <f t="shared" si="20"/>
        <v>B1_P4_C4_D1</v>
      </c>
      <c r="G627" s="60" t="s">
        <v>11</v>
      </c>
      <c r="H627" s="60" t="s">
        <v>133</v>
      </c>
      <c r="I627" s="60" t="str">
        <f t="shared" si="18"/>
        <v>B1-P4-C4</v>
      </c>
      <c r="J627" s="60" t="str">
        <f t="shared" si="22"/>
        <v>Robinia-B1-P4-C4-D1</v>
      </c>
      <c r="K627" s="60" t="s">
        <v>21</v>
      </c>
      <c r="L627" s="60" t="s">
        <v>44</v>
      </c>
      <c r="M627" s="60" t="str">
        <f t="shared" si="21"/>
        <v>Control_Yellow_Yes</v>
      </c>
      <c r="N627" s="15">
        <v>649</v>
      </c>
      <c r="O627" s="60">
        <v>9.8000000000000007</v>
      </c>
      <c r="P627" s="60">
        <v>103</v>
      </c>
      <c r="Q627" s="60">
        <v>10.14</v>
      </c>
      <c r="R627" s="60">
        <v>102.1</v>
      </c>
      <c r="S627" s="3">
        <v>13.75</v>
      </c>
      <c r="T627" s="3">
        <v>155</v>
      </c>
      <c r="U627" s="3">
        <v>14.7</v>
      </c>
      <c r="V627" s="3">
        <v>150</v>
      </c>
      <c r="W627" s="3">
        <v>17.059999999999999</v>
      </c>
      <c r="X627" s="3">
        <v>178</v>
      </c>
      <c r="Y627" s="3">
        <v>18.38</v>
      </c>
      <c r="Z627" s="3"/>
      <c r="AA627" s="3">
        <v>18.57</v>
      </c>
      <c r="AB627" s="3"/>
      <c r="AC627" s="3"/>
      <c r="AD627" s="3"/>
    </row>
    <row r="628" spans="1:30" x14ac:dyDescent="0.2">
      <c r="A628" s="60" t="s">
        <v>14</v>
      </c>
      <c r="B628" s="60" t="s">
        <v>131</v>
      </c>
      <c r="C628" s="60" t="s">
        <v>53</v>
      </c>
      <c r="D628" s="60" t="s">
        <v>619</v>
      </c>
      <c r="E628" s="60">
        <v>1</v>
      </c>
      <c r="F628" s="60" t="str">
        <f t="shared" si="20"/>
        <v>B1_P4_C4_E1</v>
      </c>
      <c r="G628" s="60" t="s">
        <v>11</v>
      </c>
      <c r="H628" s="60" t="s">
        <v>133</v>
      </c>
      <c r="I628" s="60" t="str">
        <f t="shared" si="18"/>
        <v>B1-P4-C4</v>
      </c>
      <c r="J628" s="60" t="str">
        <f t="shared" si="22"/>
        <v>Robinia-B1-P4-C4-E1</v>
      </c>
      <c r="K628" s="60" t="s">
        <v>21</v>
      </c>
      <c r="L628" s="60" t="s">
        <v>44</v>
      </c>
      <c r="M628" s="60" t="str">
        <f t="shared" si="21"/>
        <v>Control_Yellow_Yes</v>
      </c>
      <c r="N628" s="15">
        <v>650</v>
      </c>
      <c r="O628" s="60">
        <v>6.3</v>
      </c>
      <c r="P628" s="60">
        <v>66</v>
      </c>
      <c r="Q628" s="60">
        <v>7.23</v>
      </c>
      <c r="R628" s="60">
        <v>70.099999999999994</v>
      </c>
      <c r="S628" s="3">
        <v>9.8000000000000007</v>
      </c>
      <c r="T628" s="3">
        <v>98</v>
      </c>
      <c r="U628" s="3">
        <v>11.55</v>
      </c>
      <c r="V628" s="3">
        <v>103</v>
      </c>
      <c r="W628" s="3">
        <v>13.28</v>
      </c>
      <c r="X628" s="3">
        <v>115</v>
      </c>
      <c r="Y628" s="3">
        <v>14.71</v>
      </c>
      <c r="Z628" s="3"/>
      <c r="AA628" s="3">
        <v>15.81</v>
      </c>
      <c r="AB628" s="3"/>
      <c r="AC628" s="3"/>
      <c r="AD628" s="3"/>
    </row>
    <row r="629" spans="1:30" x14ac:dyDescent="0.2">
      <c r="A629" s="60" t="s">
        <v>14</v>
      </c>
      <c r="B629" s="60" t="s">
        <v>131</v>
      </c>
      <c r="C629" s="60" t="s">
        <v>53</v>
      </c>
      <c r="D629" s="60" t="s">
        <v>620</v>
      </c>
      <c r="E629" s="60">
        <v>1</v>
      </c>
      <c r="F629" s="60" t="str">
        <f t="shared" si="20"/>
        <v>B1_P4_C4_F1</v>
      </c>
      <c r="G629" s="60" t="s">
        <v>11</v>
      </c>
      <c r="H629" s="60" t="s">
        <v>133</v>
      </c>
      <c r="I629" s="60" t="str">
        <f t="shared" si="18"/>
        <v>B1-P4-C4</v>
      </c>
      <c r="J629" s="60" t="str">
        <f t="shared" si="22"/>
        <v>Robinia-B1-P4-C4-F1</v>
      </c>
      <c r="K629" s="60" t="s">
        <v>21</v>
      </c>
      <c r="L629" s="60" t="s">
        <v>44</v>
      </c>
      <c r="M629" s="60" t="str">
        <f t="shared" si="21"/>
        <v>Control_Yellow_Yes</v>
      </c>
      <c r="N629" s="15">
        <v>651</v>
      </c>
      <c r="O629" s="60">
        <v>3.2</v>
      </c>
      <c r="P629" s="60">
        <v>30</v>
      </c>
      <c r="Q629" s="60">
        <v>3.87</v>
      </c>
      <c r="R629" s="60">
        <v>29</v>
      </c>
      <c r="S629" s="3">
        <v>5.62</v>
      </c>
      <c r="T629" s="3">
        <v>62</v>
      </c>
      <c r="U629" s="3">
        <v>6.25</v>
      </c>
      <c r="V629" s="3">
        <v>64</v>
      </c>
      <c r="W629" s="3">
        <v>7.84</v>
      </c>
      <c r="X629" s="3">
        <v>84</v>
      </c>
      <c r="Y629" s="3">
        <v>8.2899999999999991</v>
      </c>
      <c r="Z629" s="3"/>
      <c r="AA629" s="3">
        <v>9.23</v>
      </c>
      <c r="AB629" s="3"/>
      <c r="AC629" s="3"/>
      <c r="AD629" s="3"/>
    </row>
    <row r="630" spans="1:30" x14ac:dyDescent="0.2">
      <c r="A630" s="60" t="s">
        <v>14</v>
      </c>
      <c r="B630" s="60" t="s">
        <v>131</v>
      </c>
      <c r="C630" s="60" t="s">
        <v>53</v>
      </c>
      <c r="D630" s="60" t="s">
        <v>618</v>
      </c>
      <c r="E630" s="60">
        <v>2</v>
      </c>
      <c r="F630" s="60" t="str">
        <f t="shared" si="20"/>
        <v>B1_P4_C4_D2</v>
      </c>
      <c r="G630" s="60" t="s">
        <v>11</v>
      </c>
      <c r="H630" s="60" t="s">
        <v>133</v>
      </c>
      <c r="I630" s="60" t="str">
        <f t="shared" si="18"/>
        <v>B1-P4-C4</v>
      </c>
      <c r="J630" s="60" t="str">
        <f t="shared" si="22"/>
        <v>Robinia-B1-P4-C4-D2</v>
      </c>
      <c r="K630" s="60" t="s">
        <v>21</v>
      </c>
      <c r="L630" s="60" t="s">
        <v>44</v>
      </c>
      <c r="M630" s="60" t="str">
        <f t="shared" si="21"/>
        <v>Control_Yellow_Yes</v>
      </c>
      <c r="N630" s="15">
        <v>652</v>
      </c>
      <c r="O630" s="60">
        <v>8.9</v>
      </c>
      <c r="P630" s="60">
        <v>82</v>
      </c>
      <c r="Q630" s="60">
        <v>9.4700000000000006</v>
      </c>
      <c r="R630" s="60">
        <v>84.6</v>
      </c>
      <c r="S630" s="3">
        <v>12.37</v>
      </c>
      <c r="T630" s="3">
        <v>140</v>
      </c>
      <c r="U630" s="3">
        <v>12.72</v>
      </c>
      <c r="V630" s="3">
        <v>160</v>
      </c>
      <c r="W630" s="3">
        <v>16</v>
      </c>
      <c r="X630" s="3">
        <v>177</v>
      </c>
      <c r="Y630" s="3">
        <v>16.989999999999998</v>
      </c>
      <c r="Z630" s="3"/>
      <c r="AA630" s="3">
        <v>16.73</v>
      </c>
      <c r="AB630" s="3"/>
      <c r="AC630" s="3"/>
      <c r="AD630" s="3"/>
    </row>
    <row r="631" spans="1:30" x14ac:dyDescent="0.2">
      <c r="A631" s="60" t="s">
        <v>14</v>
      </c>
      <c r="B631" s="60" t="s">
        <v>131</v>
      </c>
      <c r="C631" s="60" t="s">
        <v>53</v>
      </c>
      <c r="D631" s="60" t="s">
        <v>619</v>
      </c>
      <c r="E631" s="60">
        <v>2</v>
      </c>
      <c r="F631" s="60" t="str">
        <f t="shared" si="20"/>
        <v>B1_P4_C4_E2</v>
      </c>
      <c r="G631" s="60" t="s">
        <v>11</v>
      </c>
      <c r="H631" s="60" t="s">
        <v>133</v>
      </c>
      <c r="I631" s="60" t="str">
        <f t="shared" si="18"/>
        <v>B1-P4-C4</v>
      </c>
      <c r="J631" s="60" t="str">
        <f t="shared" si="22"/>
        <v>Robinia-B1-P4-C4-E2</v>
      </c>
      <c r="K631" s="60" t="s">
        <v>21</v>
      </c>
      <c r="L631" s="60" t="s">
        <v>44</v>
      </c>
      <c r="M631" s="60" t="str">
        <f t="shared" si="21"/>
        <v>Control_Yellow_Yes</v>
      </c>
      <c r="N631" s="15">
        <v>653</v>
      </c>
      <c r="O631" s="60">
        <v>16.2</v>
      </c>
      <c r="P631" s="60">
        <v>153</v>
      </c>
      <c r="Q631" s="60">
        <v>18.149999999999999</v>
      </c>
      <c r="R631" s="60">
        <v>157</v>
      </c>
      <c r="S631" s="3">
        <v>23.75</v>
      </c>
      <c r="T631" s="3">
        <v>232</v>
      </c>
      <c r="U631" s="3">
        <v>24.48</v>
      </c>
      <c r="V631" s="3">
        <v>230</v>
      </c>
      <c r="W631" s="3">
        <v>27.64</v>
      </c>
      <c r="X631" s="3">
        <v>280</v>
      </c>
      <c r="Y631" s="3">
        <v>29.27</v>
      </c>
      <c r="Z631" s="3"/>
      <c r="AA631" s="3">
        <v>29.57</v>
      </c>
      <c r="AB631" s="3"/>
      <c r="AC631" s="3"/>
      <c r="AD631" s="3"/>
    </row>
    <row r="632" spans="1:30" x14ac:dyDescent="0.2">
      <c r="A632" s="60" t="s">
        <v>14</v>
      </c>
      <c r="B632" s="60" t="s">
        <v>131</v>
      </c>
      <c r="C632" s="60" t="s">
        <v>53</v>
      </c>
      <c r="D632" s="60" t="s">
        <v>620</v>
      </c>
      <c r="E632" s="60">
        <v>2</v>
      </c>
      <c r="F632" s="60" t="str">
        <f t="shared" si="20"/>
        <v>B1_P4_C4_F2</v>
      </c>
      <c r="G632" s="60" t="s">
        <v>11</v>
      </c>
      <c r="H632" s="60" t="s">
        <v>133</v>
      </c>
      <c r="I632" s="60" t="str">
        <f t="shared" si="18"/>
        <v>B1-P4-C4</v>
      </c>
      <c r="J632" s="60" t="str">
        <f t="shared" si="22"/>
        <v>Robinia-B1-P4-C4-F2</v>
      </c>
      <c r="K632" s="60" t="s">
        <v>21</v>
      </c>
      <c r="L632" s="60" t="s">
        <v>44</v>
      </c>
      <c r="M632" s="60" t="str">
        <f t="shared" si="21"/>
        <v>Control_Yellow_Yes</v>
      </c>
      <c r="N632" s="15">
        <v>654</v>
      </c>
      <c r="O632" s="60">
        <v>7.3</v>
      </c>
      <c r="P632" s="60">
        <v>90</v>
      </c>
      <c r="Q632" s="60">
        <v>7.3</v>
      </c>
      <c r="R632" s="60">
        <v>90</v>
      </c>
      <c r="S632" s="3">
        <v>6.53</v>
      </c>
      <c r="T632" s="3">
        <v>90</v>
      </c>
      <c r="U632" s="3">
        <v>6.56</v>
      </c>
      <c r="V632" s="3">
        <v>85</v>
      </c>
      <c r="W632" s="3">
        <v>6.23</v>
      </c>
      <c r="X632" s="3">
        <v>88</v>
      </c>
      <c r="Y632" s="3">
        <v>6.73</v>
      </c>
      <c r="Z632" s="3"/>
      <c r="AA632" s="3">
        <v>6.17</v>
      </c>
      <c r="AB632" s="3"/>
      <c r="AC632" s="3"/>
      <c r="AD632" s="3"/>
    </row>
    <row r="633" spans="1:30" s="38" customFormat="1" x14ac:dyDescent="0.2">
      <c r="A633" s="57" t="s">
        <v>14</v>
      </c>
      <c r="B633" s="57" t="s">
        <v>167</v>
      </c>
      <c r="C633" s="57" t="s">
        <v>16</v>
      </c>
      <c r="D633" s="57" t="s">
        <v>618</v>
      </c>
      <c r="E633" s="57">
        <v>1</v>
      </c>
      <c r="F633" s="57" t="str">
        <f t="shared" si="20"/>
        <v>B1_P5_C1_D1</v>
      </c>
      <c r="G633" s="57" t="s">
        <v>11</v>
      </c>
      <c r="H633" s="57" t="s">
        <v>133</v>
      </c>
      <c r="I633" s="57" t="str">
        <f t="shared" si="18"/>
        <v>B1-P5-C1</v>
      </c>
      <c r="J633" s="57" t="str">
        <f t="shared" si="22"/>
        <v>Robinia-B1-P5-C1-D1</v>
      </c>
      <c r="K633" s="57" t="s">
        <v>64</v>
      </c>
      <c r="L633" s="57" t="s">
        <v>44</v>
      </c>
      <c r="M633" s="57" t="str">
        <f t="shared" si="21"/>
        <v>Control_Grey_Yes</v>
      </c>
      <c r="N633" s="37">
        <v>655</v>
      </c>
      <c r="O633" s="57">
        <v>11.2</v>
      </c>
      <c r="P633" s="57">
        <v>110</v>
      </c>
      <c r="Q633" s="57">
        <v>11.75</v>
      </c>
      <c r="R633" s="57">
        <v>118</v>
      </c>
      <c r="S633" s="57">
        <v>15.3</v>
      </c>
      <c r="T633" s="57">
        <v>162</v>
      </c>
      <c r="U633" s="57">
        <v>15.9</v>
      </c>
      <c r="V633" s="57">
        <v>159.5</v>
      </c>
      <c r="W633" s="57">
        <v>17.02</v>
      </c>
      <c r="X633" s="57">
        <v>158</v>
      </c>
      <c r="Y633" s="57">
        <v>17.079999999999998</v>
      </c>
      <c r="Z633" s="57"/>
      <c r="AA633" s="57">
        <v>16.68</v>
      </c>
      <c r="AB633" s="57"/>
      <c r="AC633" s="57"/>
      <c r="AD633" s="57"/>
    </row>
    <row r="634" spans="1:30" s="38" customFormat="1" x14ac:dyDescent="0.2">
      <c r="A634" s="57" t="s">
        <v>14</v>
      </c>
      <c r="B634" s="57" t="s">
        <v>167</v>
      </c>
      <c r="C634" s="57" t="s">
        <v>16</v>
      </c>
      <c r="D634" s="57" t="s">
        <v>619</v>
      </c>
      <c r="E634" s="57">
        <v>1</v>
      </c>
      <c r="F634" s="57" t="str">
        <f t="shared" si="20"/>
        <v>B1_P5_C1_E1</v>
      </c>
      <c r="G634" s="57" t="s">
        <v>11</v>
      </c>
      <c r="H634" s="57" t="s">
        <v>133</v>
      </c>
      <c r="I634" s="57" t="str">
        <f t="shared" si="18"/>
        <v>B1-P5-C1</v>
      </c>
      <c r="J634" s="57" t="str">
        <f t="shared" si="22"/>
        <v>Robinia-B1-P5-C1-E1</v>
      </c>
      <c r="K634" s="57" t="s">
        <v>64</v>
      </c>
      <c r="L634" s="57" t="s">
        <v>44</v>
      </c>
      <c r="M634" s="57" t="str">
        <f t="shared" si="21"/>
        <v>Control_Grey_Yes</v>
      </c>
      <c r="N634" s="37">
        <v>656</v>
      </c>
      <c r="O634" s="57">
        <v>10.4</v>
      </c>
      <c r="P634" s="57">
        <v>115</v>
      </c>
      <c r="Q634" s="57">
        <v>10.96</v>
      </c>
      <c r="R634" s="57">
        <v>123</v>
      </c>
      <c r="S634" s="57">
        <v>13.94</v>
      </c>
      <c r="T634" s="57">
        <v>166</v>
      </c>
      <c r="U634" s="57">
        <v>14.5</v>
      </c>
      <c r="V634" s="57">
        <v>163</v>
      </c>
      <c r="W634" s="57">
        <v>16.37</v>
      </c>
      <c r="X634" s="57">
        <v>175</v>
      </c>
      <c r="Y634" s="57">
        <v>16.95</v>
      </c>
      <c r="Z634" s="57"/>
      <c r="AA634" s="57">
        <v>16.97</v>
      </c>
      <c r="AB634" s="57"/>
      <c r="AC634" s="57"/>
      <c r="AD634" s="57"/>
    </row>
    <row r="635" spans="1:30" s="38" customFormat="1" x14ac:dyDescent="0.2">
      <c r="A635" s="57" t="s">
        <v>14</v>
      </c>
      <c r="B635" s="57" t="s">
        <v>167</v>
      </c>
      <c r="C635" s="57" t="s">
        <v>16</v>
      </c>
      <c r="D635" s="57" t="s">
        <v>620</v>
      </c>
      <c r="E635" s="57">
        <v>1</v>
      </c>
      <c r="F635" s="57" t="str">
        <f t="shared" si="20"/>
        <v>B1_P5_C1_F1</v>
      </c>
      <c r="G635" s="57" t="s">
        <v>11</v>
      </c>
      <c r="H635" s="57" t="s">
        <v>133</v>
      </c>
      <c r="I635" s="57" t="str">
        <f t="shared" si="18"/>
        <v>B1-P5-C1</v>
      </c>
      <c r="J635" s="57" t="str">
        <f t="shared" si="22"/>
        <v>Robinia-B1-P5-C1-F1</v>
      </c>
      <c r="K635" s="57" t="s">
        <v>64</v>
      </c>
      <c r="L635" s="57" t="s">
        <v>44</v>
      </c>
      <c r="M635" s="57" t="str">
        <f t="shared" si="21"/>
        <v>Control_Grey_Yes</v>
      </c>
      <c r="N635" s="37">
        <v>657</v>
      </c>
      <c r="O635" s="57">
        <v>6.5</v>
      </c>
      <c r="P635" s="57">
        <v>62</v>
      </c>
      <c r="Q635" s="57">
        <v>7.1</v>
      </c>
      <c r="R635" s="57">
        <v>69.8</v>
      </c>
      <c r="S635" s="57">
        <v>8.99</v>
      </c>
      <c r="T635" s="57">
        <v>105</v>
      </c>
      <c r="U635" s="57">
        <v>9.61</v>
      </c>
      <c r="V635" s="57">
        <v>110</v>
      </c>
      <c r="W635" s="57">
        <v>10.08</v>
      </c>
      <c r="X635" s="57">
        <v>120</v>
      </c>
      <c r="Y635" s="57">
        <v>10</v>
      </c>
      <c r="Z635" s="57"/>
      <c r="AA635" s="57">
        <v>10.85</v>
      </c>
      <c r="AB635" s="57"/>
      <c r="AC635" s="57"/>
      <c r="AD635" s="57"/>
    </row>
    <row r="636" spans="1:30" s="38" customFormat="1" x14ac:dyDescent="0.2">
      <c r="A636" s="57" t="s">
        <v>14</v>
      </c>
      <c r="B636" s="57" t="s">
        <v>167</v>
      </c>
      <c r="C636" s="57" t="s">
        <v>16</v>
      </c>
      <c r="D636" s="57" t="s">
        <v>618</v>
      </c>
      <c r="E636" s="57">
        <v>2</v>
      </c>
      <c r="F636" s="57" t="str">
        <f t="shared" si="20"/>
        <v>B1_P5_C1_D2</v>
      </c>
      <c r="G636" s="57" t="s">
        <v>11</v>
      </c>
      <c r="H636" s="57" t="s">
        <v>133</v>
      </c>
      <c r="I636" s="57" t="str">
        <f t="shared" si="18"/>
        <v>B1-P5-C1</v>
      </c>
      <c r="J636" s="57" t="str">
        <f t="shared" si="22"/>
        <v>Robinia-B1-P5-C1-D2</v>
      </c>
      <c r="K636" s="57" t="s">
        <v>64</v>
      </c>
      <c r="L636" s="57" t="s">
        <v>44</v>
      </c>
      <c r="M636" s="57" t="str">
        <f t="shared" si="21"/>
        <v>Control_Grey_Yes</v>
      </c>
      <c r="N636" s="37">
        <v>658</v>
      </c>
      <c r="O636" s="57">
        <v>12.9</v>
      </c>
      <c r="P636" s="57">
        <v>88</v>
      </c>
      <c r="Q636" s="57">
        <v>13.01</v>
      </c>
      <c r="R636" s="57">
        <v>97.5</v>
      </c>
      <c r="S636" s="57">
        <v>16.829999999999998</v>
      </c>
      <c r="T636" s="57">
        <v>142</v>
      </c>
      <c r="U636" s="57">
        <v>17.510000000000002</v>
      </c>
      <c r="V636" s="57">
        <v>141</v>
      </c>
      <c r="W636" s="57">
        <v>17.68</v>
      </c>
      <c r="X636" s="57">
        <v>140</v>
      </c>
      <c r="Y636" s="57">
        <v>18.329999999999998</v>
      </c>
      <c r="Z636" s="57"/>
      <c r="AA636" s="57">
        <v>18.079999999999998</v>
      </c>
      <c r="AB636" s="57"/>
      <c r="AC636" s="57"/>
      <c r="AD636" s="57"/>
    </row>
    <row r="637" spans="1:30" s="38" customFormat="1" x14ac:dyDescent="0.2">
      <c r="A637" s="57" t="s">
        <v>14</v>
      </c>
      <c r="B637" s="57" t="s">
        <v>167</v>
      </c>
      <c r="C637" s="57" t="s">
        <v>16</v>
      </c>
      <c r="D637" s="57" t="s">
        <v>619</v>
      </c>
      <c r="E637" s="57">
        <v>2</v>
      </c>
      <c r="F637" s="57" t="str">
        <f t="shared" si="20"/>
        <v>B1_P5_C1_E2</v>
      </c>
      <c r="G637" s="57" t="s">
        <v>11</v>
      </c>
      <c r="H637" s="57" t="s">
        <v>133</v>
      </c>
      <c r="I637" s="57" t="str">
        <f t="shared" si="18"/>
        <v>B1-P5-C1</v>
      </c>
      <c r="J637" s="57" t="str">
        <f t="shared" si="22"/>
        <v>Robinia-B1-P5-C1-E2</v>
      </c>
      <c r="K637" s="57" t="s">
        <v>64</v>
      </c>
      <c r="L637" s="57" t="s">
        <v>44</v>
      </c>
      <c r="M637" s="57" t="str">
        <f t="shared" si="21"/>
        <v>Control_Grey_Yes</v>
      </c>
      <c r="N637" s="37">
        <v>659</v>
      </c>
      <c r="O637" s="57">
        <v>10.7</v>
      </c>
      <c r="P637" s="57">
        <v>92</v>
      </c>
      <c r="Q637" s="57">
        <v>11.35</v>
      </c>
      <c r="R637" s="57">
        <v>104</v>
      </c>
      <c r="S637" s="57">
        <v>14.03</v>
      </c>
      <c r="T637" s="57">
        <v>147</v>
      </c>
      <c r="U637" s="57">
        <v>14.6</v>
      </c>
      <c r="V637" s="57">
        <v>138</v>
      </c>
      <c r="W637" s="57">
        <v>16.38</v>
      </c>
      <c r="X637" s="57">
        <v>137.5</v>
      </c>
      <c r="Y637" s="57">
        <v>17.16</v>
      </c>
      <c r="Z637" s="57"/>
      <c r="AA637" s="57">
        <v>18.55</v>
      </c>
      <c r="AB637" s="57"/>
      <c r="AC637" s="57"/>
      <c r="AD637" s="57"/>
    </row>
    <row r="638" spans="1:30" s="38" customFormat="1" x14ac:dyDescent="0.2">
      <c r="A638" s="57" t="s">
        <v>14</v>
      </c>
      <c r="B638" s="57" t="s">
        <v>167</v>
      </c>
      <c r="C638" s="57" t="s">
        <v>16</v>
      </c>
      <c r="D638" s="57" t="s">
        <v>620</v>
      </c>
      <c r="E638" s="57">
        <v>2</v>
      </c>
      <c r="F638" s="57" t="str">
        <f t="shared" si="20"/>
        <v>B1_P5_C1_F2</v>
      </c>
      <c r="G638" s="57" t="s">
        <v>11</v>
      </c>
      <c r="H638" s="57" t="s">
        <v>133</v>
      </c>
      <c r="I638" s="57" t="str">
        <f t="shared" si="18"/>
        <v>B1-P5-C1</v>
      </c>
      <c r="J638" s="57" t="str">
        <f t="shared" si="22"/>
        <v>Robinia-B1-P5-C1-F2</v>
      </c>
      <c r="K638" s="57" t="s">
        <v>64</v>
      </c>
      <c r="L638" s="57" t="s">
        <v>44</v>
      </c>
      <c r="M638" s="57" t="str">
        <f t="shared" si="21"/>
        <v>Control_Grey_Yes</v>
      </c>
      <c r="N638" s="37">
        <v>660</v>
      </c>
      <c r="O638" s="57">
        <v>15.8</v>
      </c>
      <c r="P638" s="57">
        <v>160</v>
      </c>
      <c r="Q638" s="57">
        <v>16.36</v>
      </c>
      <c r="R638" s="57">
        <v>173</v>
      </c>
      <c r="S638" s="57">
        <v>19.97</v>
      </c>
      <c r="T638" s="57">
        <v>202</v>
      </c>
      <c r="U638" s="57">
        <v>20.54</v>
      </c>
      <c r="V638" s="57">
        <v>214</v>
      </c>
      <c r="W638" s="57">
        <v>23.11</v>
      </c>
      <c r="X638" s="57">
        <v>250</v>
      </c>
      <c r="Y638" s="57">
        <v>23.85</v>
      </c>
      <c r="Z638" s="57"/>
      <c r="AA638" s="57">
        <v>24.03</v>
      </c>
      <c r="AB638" s="57"/>
      <c r="AC638" s="57"/>
      <c r="AD638" s="57"/>
    </row>
    <row r="639" spans="1:30" x14ac:dyDescent="0.2">
      <c r="A639" s="60" t="s">
        <v>14</v>
      </c>
      <c r="B639" s="60" t="s">
        <v>167</v>
      </c>
      <c r="C639" s="60" t="s">
        <v>32</v>
      </c>
      <c r="D639" s="60" t="s">
        <v>618</v>
      </c>
      <c r="E639" s="60">
        <v>1</v>
      </c>
      <c r="F639" s="60" t="str">
        <f t="shared" si="20"/>
        <v>B1_P5_C2_D1</v>
      </c>
      <c r="G639" s="60" t="s">
        <v>11</v>
      </c>
      <c r="H639" s="60" t="s">
        <v>133</v>
      </c>
      <c r="I639" s="60" t="str">
        <f t="shared" si="18"/>
        <v>B1-P5-C2</v>
      </c>
      <c r="J639" s="60" t="str">
        <f t="shared" si="22"/>
        <v>Robinia-B1-P5-C2-D1</v>
      </c>
      <c r="K639" s="60" t="s">
        <v>64</v>
      </c>
      <c r="L639" s="60" t="s">
        <v>44</v>
      </c>
      <c r="M639" s="60" t="str">
        <f t="shared" si="21"/>
        <v>Control_Grey_Yes</v>
      </c>
      <c r="N639" s="15">
        <v>661</v>
      </c>
      <c r="O639" s="60">
        <v>6.7</v>
      </c>
      <c r="P639" s="60">
        <v>67</v>
      </c>
      <c r="Q639" s="60">
        <v>7.6</v>
      </c>
      <c r="R639" s="60">
        <v>77</v>
      </c>
      <c r="S639" s="3">
        <v>10.34</v>
      </c>
      <c r="T639" s="3">
        <v>122</v>
      </c>
      <c r="U639" s="3">
        <v>10.71</v>
      </c>
      <c r="V639" s="3">
        <v>121</v>
      </c>
      <c r="W639" s="3">
        <v>12.39</v>
      </c>
      <c r="X639" s="3">
        <v>153</v>
      </c>
      <c r="Y639" s="3">
        <v>13.94</v>
      </c>
      <c r="Z639" s="3"/>
      <c r="AA639" s="3">
        <v>13.66</v>
      </c>
      <c r="AB639" s="3"/>
      <c r="AC639" s="3"/>
      <c r="AD639" s="3"/>
    </row>
    <row r="640" spans="1:30" x14ac:dyDescent="0.2">
      <c r="A640" s="60" t="s">
        <v>14</v>
      </c>
      <c r="B640" s="60" t="s">
        <v>167</v>
      </c>
      <c r="C640" s="60" t="s">
        <v>32</v>
      </c>
      <c r="D640" s="60" t="s">
        <v>619</v>
      </c>
      <c r="E640" s="60">
        <v>1</v>
      </c>
      <c r="F640" s="60" t="str">
        <f t="shared" si="20"/>
        <v>B1_P5_C2_E1</v>
      </c>
      <c r="G640" s="60" t="s">
        <v>11</v>
      </c>
      <c r="H640" s="60" t="s">
        <v>133</v>
      </c>
      <c r="I640" s="60" t="str">
        <f t="shared" si="18"/>
        <v>B1-P5-C2</v>
      </c>
      <c r="J640" s="60" t="str">
        <f t="shared" si="22"/>
        <v>Robinia-B1-P5-C2-E1</v>
      </c>
      <c r="K640" s="60" t="s">
        <v>64</v>
      </c>
      <c r="L640" s="60" t="s">
        <v>44</v>
      </c>
      <c r="M640" s="60" t="str">
        <f t="shared" si="21"/>
        <v>Control_Grey_Yes</v>
      </c>
      <c r="N640" s="15">
        <v>662</v>
      </c>
      <c r="O640" s="60">
        <v>4.7</v>
      </c>
      <c r="P640" s="60">
        <v>47</v>
      </c>
      <c r="Q640" s="60">
        <v>4.7300000000000004</v>
      </c>
      <c r="R640" s="60">
        <v>58.3</v>
      </c>
      <c r="S640" s="3">
        <v>6.15</v>
      </c>
      <c r="T640" s="3">
        <v>118</v>
      </c>
      <c r="U640" s="3">
        <v>6.36</v>
      </c>
      <c r="V640" s="3">
        <v>87</v>
      </c>
      <c r="W640" s="3">
        <v>6.94</v>
      </c>
      <c r="X640" s="3">
        <v>93</v>
      </c>
      <c r="Y640" s="3">
        <v>6.56</v>
      </c>
      <c r="Z640" s="3"/>
      <c r="AA640" s="3">
        <v>7.43</v>
      </c>
      <c r="AB640" s="3"/>
      <c r="AC640" s="3"/>
      <c r="AD640" s="3"/>
    </row>
    <row r="641" spans="1:30" x14ac:dyDescent="0.2">
      <c r="A641" s="60" t="s">
        <v>14</v>
      </c>
      <c r="B641" s="60" t="s">
        <v>167</v>
      </c>
      <c r="C641" s="60" t="s">
        <v>32</v>
      </c>
      <c r="D641" s="60" t="s">
        <v>620</v>
      </c>
      <c r="E641" s="60">
        <v>1</v>
      </c>
      <c r="F641" s="60" t="str">
        <f t="shared" si="20"/>
        <v>B1_P5_C2_F1</v>
      </c>
      <c r="G641" s="60" t="s">
        <v>11</v>
      </c>
      <c r="H641" s="60" t="s">
        <v>133</v>
      </c>
      <c r="I641" s="60" t="str">
        <f t="shared" si="18"/>
        <v>B1-P5-C2</v>
      </c>
      <c r="J641" s="60" t="str">
        <f t="shared" si="22"/>
        <v>Robinia-B1-P5-C2-F1</v>
      </c>
      <c r="K641" s="60" t="s">
        <v>64</v>
      </c>
      <c r="L641" s="60" t="s">
        <v>44</v>
      </c>
      <c r="M641" s="60" t="str">
        <f t="shared" si="21"/>
        <v>Control_Grey_Yes</v>
      </c>
      <c r="N641" s="15">
        <v>663</v>
      </c>
      <c r="O641" s="60">
        <v>15.5</v>
      </c>
      <c r="P641" s="60">
        <v>156</v>
      </c>
      <c r="Q641" s="60">
        <v>15.95</v>
      </c>
      <c r="R641" s="60">
        <v>156</v>
      </c>
      <c r="S641" s="3">
        <v>20</v>
      </c>
      <c r="T641" s="3">
        <v>190</v>
      </c>
      <c r="U641" s="3">
        <v>20.78</v>
      </c>
      <c r="V641" s="3">
        <v>191</v>
      </c>
      <c r="W641" s="3">
        <v>20.73</v>
      </c>
      <c r="X641" s="3">
        <v>226</v>
      </c>
      <c r="Y641" s="3">
        <v>22.04</v>
      </c>
      <c r="Z641" s="3"/>
      <c r="AA641" s="3">
        <v>12.06</v>
      </c>
      <c r="AB641" s="3"/>
      <c r="AC641" s="3"/>
      <c r="AD641" s="3"/>
    </row>
    <row r="642" spans="1:30" x14ac:dyDescent="0.2">
      <c r="A642" s="60" t="s">
        <v>14</v>
      </c>
      <c r="B642" s="60" t="s">
        <v>167</v>
      </c>
      <c r="C642" s="60" t="s">
        <v>32</v>
      </c>
      <c r="D642" s="60" t="s">
        <v>618</v>
      </c>
      <c r="E642" s="60">
        <v>2</v>
      </c>
      <c r="F642" s="60" t="str">
        <f t="shared" si="20"/>
        <v>B1_P5_C2_D2</v>
      </c>
      <c r="G642" s="60" t="s">
        <v>11</v>
      </c>
      <c r="H642" s="60" t="s">
        <v>133</v>
      </c>
      <c r="I642" s="60" t="str">
        <f t="shared" si="18"/>
        <v>B1-P5-C2</v>
      </c>
      <c r="J642" s="60" t="str">
        <f t="shared" si="22"/>
        <v>Robinia-B1-P5-C2-D2</v>
      </c>
      <c r="K642" s="60" t="s">
        <v>64</v>
      </c>
      <c r="L642" s="60" t="s">
        <v>44</v>
      </c>
      <c r="M642" s="60" t="str">
        <f t="shared" si="21"/>
        <v>Control_Grey_Yes</v>
      </c>
      <c r="N642" s="15">
        <v>664</v>
      </c>
      <c r="O642" s="3">
        <v>11.5</v>
      </c>
      <c r="P642" s="60">
        <v>117</v>
      </c>
      <c r="Q642" s="60">
        <v>11.8</v>
      </c>
      <c r="R642" s="60">
        <v>127</v>
      </c>
      <c r="S642" s="3">
        <v>14.8</v>
      </c>
      <c r="T642" s="3">
        <v>158</v>
      </c>
      <c r="U642" s="3">
        <v>14.57</v>
      </c>
      <c r="V642" s="3">
        <v>167</v>
      </c>
      <c r="W642" s="3">
        <v>14.79</v>
      </c>
      <c r="X642" s="3">
        <v>165</v>
      </c>
      <c r="Y642" s="3">
        <v>16.440000000000001</v>
      </c>
      <c r="Z642" s="3"/>
      <c r="AA642" s="3">
        <v>16.84</v>
      </c>
      <c r="AB642" s="3"/>
      <c r="AC642" s="3"/>
      <c r="AD642" s="3"/>
    </row>
    <row r="643" spans="1:30" x14ac:dyDescent="0.2">
      <c r="A643" s="60" t="s">
        <v>14</v>
      </c>
      <c r="B643" s="60" t="s">
        <v>167</v>
      </c>
      <c r="C643" s="60" t="s">
        <v>32</v>
      </c>
      <c r="D643" s="60" t="s">
        <v>619</v>
      </c>
      <c r="E643" s="60">
        <v>2</v>
      </c>
      <c r="F643" s="60" t="str">
        <f t="shared" si="20"/>
        <v>B1_P5_C2_E2</v>
      </c>
      <c r="G643" s="60" t="s">
        <v>11</v>
      </c>
      <c r="H643" s="60" t="s">
        <v>133</v>
      </c>
      <c r="I643" s="60" t="str">
        <f t="shared" ref="I643:I706" si="23">A643&amp;"-"&amp;B643&amp;"-"&amp;C643</f>
        <v>B1-P5-C2</v>
      </c>
      <c r="J643" s="60" t="str">
        <f t="shared" si="22"/>
        <v>Robinia-B1-P5-C2-E2</v>
      </c>
      <c r="K643" s="60" t="s">
        <v>64</v>
      </c>
      <c r="L643" s="60" t="s">
        <v>44</v>
      </c>
      <c r="M643" s="60" t="str">
        <f t="shared" si="21"/>
        <v>Control_Grey_Yes</v>
      </c>
      <c r="N643" s="15">
        <v>665</v>
      </c>
      <c r="O643" s="60">
        <v>15.2</v>
      </c>
      <c r="P643" s="60">
        <v>147</v>
      </c>
      <c r="Q643" s="60">
        <v>16.46</v>
      </c>
      <c r="R643" s="60">
        <v>155</v>
      </c>
      <c r="S643" s="3">
        <v>20.100000000000001</v>
      </c>
      <c r="T643" s="3">
        <v>200</v>
      </c>
      <c r="U643" s="3">
        <v>20.87</v>
      </c>
      <c r="V643" s="3">
        <v>215</v>
      </c>
      <c r="W643" s="3">
        <v>23.25</v>
      </c>
      <c r="X643" s="3">
        <v>269</v>
      </c>
      <c r="Y643" s="3">
        <v>24.65</v>
      </c>
      <c r="Z643" s="3"/>
      <c r="AA643" s="3">
        <v>24.19</v>
      </c>
      <c r="AB643" s="3"/>
      <c r="AC643" s="3"/>
      <c r="AD643" s="3"/>
    </row>
    <row r="644" spans="1:30" x14ac:dyDescent="0.2">
      <c r="A644" s="60" t="s">
        <v>14</v>
      </c>
      <c r="B644" s="60" t="s">
        <v>167</v>
      </c>
      <c r="C644" s="60" t="s">
        <v>32</v>
      </c>
      <c r="D644" s="60" t="s">
        <v>620</v>
      </c>
      <c r="E644" s="60">
        <v>2</v>
      </c>
      <c r="F644" s="60" t="str">
        <f t="shared" ref="F644:F707" si="24">A644&amp;"_"&amp;B644&amp;"_"&amp;C644&amp;"_"&amp;D644&amp;E644</f>
        <v>B1_P5_C2_F2</v>
      </c>
      <c r="G644" s="60" t="s">
        <v>11</v>
      </c>
      <c r="H644" s="60" t="s">
        <v>133</v>
      </c>
      <c r="I644" s="60" t="str">
        <f t="shared" si="23"/>
        <v>B1-P5-C2</v>
      </c>
      <c r="J644" s="60" t="str">
        <f t="shared" si="22"/>
        <v>Robinia-B1-P5-C2-F2</v>
      </c>
      <c r="K644" s="60" t="s">
        <v>64</v>
      </c>
      <c r="L644" s="60" t="s">
        <v>44</v>
      </c>
      <c r="M644" s="60" t="str">
        <f t="shared" ref="M644:M707" si="25">H644&amp;"_"&amp;K644&amp;"_"&amp;L644</f>
        <v>Control_Grey_Yes</v>
      </c>
      <c r="N644" s="15">
        <v>666</v>
      </c>
      <c r="O644" s="60">
        <v>8.6999999999999993</v>
      </c>
      <c r="P644" s="60">
        <v>89</v>
      </c>
      <c r="Q644" s="60">
        <v>9.42</v>
      </c>
      <c r="R644" s="60">
        <v>95</v>
      </c>
      <c r="S644" s="3">
        <v>11.97</v>
      </c>
      <c r="T644" s="3">
        <v>144</v>
      </c>
      <c r="U644" s="3">
        <v>12.1</v>
      </c>
      <c r="V644" s="3">
        <v>144</v>
      </c>
      <c r="W644" s="3">
        <v>12.62</v>
      </c>
      <c r="X644" s="3">
        <v>145</v>
      </c>
      <c r="Y644" s="3">
        <v>13.4</v>
      </c>
      <c r="Z644" s="3"/>
      <c r="AA644" s="3">
        <v>13.22</v>
      </c>
      <c r="AB644" s="3"/>
      <c r="AC644" s="3"/>
      <c r="AD644" s="3"/>
    </row>
    <row r="645" spans="1:30" s="38" customFormat="1" x14ac:dyDescent="0.2">
      <c r="A645" s="57" t="s">
        <v>14</v>
      </c>
      <c r="B645" s="57" t="s">
        <v>200</v>
      </c>
      <c r="C645" s="57" t="s">
        <v>53</v>
      </c>
      <c r="D645" s="57" t="s">
        <v>618</v>
      </c>
      <c r="E645" s="57">
        <v>1</v>
      </c>
      <c r="F645" s="57" t="str">
        <f t="shared" si="24"/>
        <v>B1_P6_C4_D1</v>
      </c>
      <c r="G645" s="57" t="s">
        <v>11</v>
      </c>
      <c r="H645" s="57" t="s">
        <v>133</v>
      </c>
      <c r="I645" s="57" t="str">
        <f t="shared" si="23"/>
        <v>B1-P6-C4</v>
      </c>
      <c r="J645" s="57" t="str">
        <f t="shared" si="22"/>
        <v>Robinia-B1-P6-C4-D1</v>
      </c>
      <c r="K645" s="57" t="s">
        <v>64</v>
      </c>
      <c r="L645" s="57" t="s">
        <v>44</v>
      </c>
      <c r="M645" s="57" t="str">
        <f t="shared" si="25"/>
        <v>Control_Grey_Yes</v>
      </c>
      <c r="N645" s="37">
        <v>667</v>
      </c>
      <c r="O645" s="57">
        <v>10.199999999999999</v>
      </c>
      <c r="P645" s="57">
        <v>96</v>
      </c>
      <c r="Q645" s="57">
        <v>11.36</v>
      </c>
      <c r="R645" s="57">
        <v>102</v>
      </c>
      <c r="S645" s="57">
        <v>13.55</v>
      </c>
      <c r="T645" s="57">
        <v>137</v>
      </c>
      <c r="U645" s="57">
        <v>14.99</v>
      </c>
      <c r="V645" s="57">
        <v>128</v>
      </c>
      <c r="W645" s="57">
        <v>14.62</v>
      </c>
      <c r="X645" s="57">
        <v>150</v>
      </c>
      <c r="Y645" s="57">
        <v>15.54</v>
      </c>
      <c r="Z645" s="57"/>
      <c r="AA645" s="57">
        <v>15.91</v>
      </c>
      <c r="AB645" s="57"/>
      <c r="AC645" s="57"/>
      <c r="AD645" s="57"/>
    </row>
    <row r="646" spans="1:30" s="38" customFormat="1" x14ac:dyDescent="0.2">
      <c r="A646" s="57" t="s">
        <v>14</v>
      </c>
      <c r="B646" s="57" t="s">
        <v>200</v>
      </c>
      <c r="C646" s="57" t="s">
        <v>53</v>
      </c>
      <c r="D646" s="57" t="s">
        <v>619</v>
      </c>
      <c r="E646" s="57">
        <v>1</v>
      </c>
      <c r="F646" s="57" t="str">
        <f t="shared" si="24"/>
        <v>B1_P6_C4_E1</v>
      </c>
      <c r="G646" s="57" t="s">
        <v>11</v>
      </c>
      <c r="H646" s="57" t="s">
        <v>133</v>
      </c>
      <c r="I646" s="57" t="str">
        <f t="shared" si="23"/>
        <v>B1-P6-C4</v>
      </c>
      <c r="J646" s="57" t="str">
        <f t="shared" si="22"/>
        <v>Robinia-B1-P6-C4-E1</v>
      </c>
      <c r="K646" s="57" t="s">
        <v>64</v>
      </c>
      <c r="L646" s="57" t="s">
        <v>44</v>
      </c>
      <c r="M646" s="57" t="str">
        <f t="shared" si="25"/>
        <v>Control_Grey_Yes</v>
      </c>
      <c r="N646" s="37">
        <v>668</v>
      </c>
      <c r="O646" s="57">
        <v>10.5</v>
      </c>
      <c r="P646" s="57">
        <v>100</v>
      </c>
      <c r="Q646" s="57">
        <v>12.07</v>
      </c>
      <c r="R646" s="57">
        <v>108</v>
      </c>
      <c r="S646" s="57">
        <v>13.56</v>
      </c>
      <c r="T646" s="57">
        <v>146</v>
      </c>
      <c r="U646" s="57">
        <v>13.79</v>
      </c>
      <c r="V646" s="57">
        <v>140</v>
      </c>
      <c r="W646" s="57">
        <v>15.88</v>
      </c>
      <c r="X646" s="57">
        <v>155</v>
      </c>
      <c r="Y646" s="57">
        <v>16.7</v>
      </c>
      <c r="Z646" s="57"/>
      <c r="AA646" s="57">
        <v>17.09</v>
      </c>
      <c r="AB646" s="57"/>
      <c r="AC646" s="57"/>
      <c r="AD646" s="57"/>
    </row>
    <row r="647" spans="1:30" s="38" customFormat="1" x14ac:dyDescent="0.2">
      <c r="A647" s="57" t="s">
        <v>14</v>
      </c>
      <c r="B647" s="57" t="s">
        <v>200</v>
      </c>
      <c r="C647" s="57" t="s">
        <v>53</v>
      </c>
      <c r="D647" s="57" t="s">
        <v>620</v>
      </c>
      <c r="E647" s="57">
        <v>1</v>
      </c>
      <c r="F647" s="57" t="str">
        <f t="shared" si="24"/>
        <v>B1_P6_C4_F1</v>
      </c>
      <c r="G647" s="57" t="s">
        <v>11</v>
      </c>
      <c r="H647" s="57" t="s">
        <v>133</v>
      </c>
      <c r="I647" s="57" t="str">
        <f t="shared" si="23"/>
        <v>B1-P6-C4</v>
      </c>
      <c r="J647" s="57" t="str">
        <f t="shared" si="22"/>
        <v>Robinia-B1-P6-C4-F1</v>
      </c>
      <c r="K647" s="57" t="s">
        <v>64</v>
      </c>
      <c r="L647" s="57" t="s">
        <v>44</v>
      </c>
      <c r="M647" s="57" t="str">
        <f t="shared" si="25"/>
        <v>Control_Grey_Yes</v>
      </c>
      <c r="N647" s="37">
        <v>669</v>
      </c>
      <c r="O647" s="57">
        <v>14.8</v>
      </c>
      <c r="P647" s="57">
        <v>120</v>
      </c>
      <c r="Q647" s="57">
        <v>16.38</v>
      </c>
      <c r="R647" s="57">
        <v>127</v>
      </c>
      <c r="S647" s="57">
        <v>19.22</v>
      </c>
      <c r="T647" s="57">
        <v>170</v>
      </c>
      <c r="U647" s="57">
        <v>19.37</v>
      </c>
      <c r="V647" s="57">
        <v>160</v>
      </c>
      <c r="W647" s="57">
        <v>21.07</v>
      </c>
      <c r="X647" s="57">
        <v>156</v>
      </c>
      <c r="Y647" s="57">
        <v>21.76</v>
      </c>
      <c r="Z647" s="57"/>
      <c r="AA647" s="57">
        <v>21.03</v>
      </c>
      <c r="AB647" s="57"/>
      <c r="AC647" s="57"/>
      <c r="AD647" s="57"/>
    </row>
    <row r="648" spans="1:30" s="38" customFormat="1" x14ac:dyDescent="0.2">
      <c r="A648" s="57" t="s">
        <v>14</v>
      </c>
      <c r="B648" s="57" t="s">
        <v>200</v>
      </c>
      <c r="C648" s="57" t="s">
        <v>53</v>
      </c>
      <c r="D648" s="57" t="s">
        <v>618</v>
      </c>
      <c r="E648" s="57">
        <v>2</v>
      </c>
      <c r="F648" s="57" t="str">
        <f t="shared" si="24"/>
        <v>B1_P6_C4_D2</v>
      </c>
      <c r="G648" s="57" t="s">
        <v>11</v>
      </c>
      <c r="H648" s="57" t="s">
        <v>133</v>
      </c>
      <c r="I648" s="57" t="str">
        <f t="shared" si="23"/>
        <v>B1-P6-C4</v>
      </c>
      <c r="J648" s="57" t="str">
        <f t="shared" si="22"/>
        <v>Robinia-B1-P6-C4-D2</v>
      </c>
      <c r="K648" s="57" t="s">
        <v>64</v>
      </c>
      <c r="L648" s="57" t="s">
        <v>44</v>
      </c>
      <c r="M648" s="57" t="str">
        <f t="shared" si="25"/>
        <v>Control_Grey_Yes</v>
      </c>
      <c r="N648" s="37">
        <v>670</v>
      </c>
      <c r="O648" s="57">
        <v>13.3</v>
      </c>
      <c r="P648" s="57">
        <v>133</v>
      </c>
      <c r="Q648" s="57">
        <v>13.73</v>
      </c>
      <c r="R648" s="57">
        <v>138</v>
      </c>
      <c r="S648" s="57">
        <v>17.39</v>
      </c>
      <c r="T648" s="57">
        <v>163</v>
      </c>
      <c r="U648" s="57">
        <v>17.88</v>
      </c>
      <c r="V648" s="57">
        <v>168</v>
      </c>
      <c r="W648" s="57">
        <v>19.61</v>
      </c>
      <c r="X648" s="57">
        <v>182</v>
      </c>
      <c r="Y648" s="57">
        <v>20.97</v>
      </c>
      <c r="Z648" s="57"/>
      <c r="AA648" s="57">
        <v>22.41</v>
      </c>
      <c r="AB648" s="57"/>
      <c r="AC648" s="57"/>
      <c r="AD648" s="57"/>
    </row>
    <row r="649" spans="1:30" s="38" customFormat="1" x14ac:dyDescent="0.2">
      <c r="A649" s="57" t="s">
        <v>14</v>
      </c>
      <c r="B649" s="57" t="s">
        <v>200</v>
      </c>
      <c r="C649" s="57" t="s">
        <v>53</v>
      </c>
      <c r="D649" s="57" t="s">
        <v>619</v>
      </c>
      <c r="E649" s="57">
        <v>2</v>
      </c>
      <c r="F649" s="57" t="str">
        <f t="shared" si="24"/>
        <v>B1_P6_C4_E2</v>
      </c>
      <c r="G649" s="57" t="s">
        <v>11</v>
      </c>
      <c r="H649" s="57" t="s">
        <v>133</v>
      </c>
      <c r="I649" s="57" t="str">
        <f t="shared" si="23"/>
        <v>B1-P6-C4</v>
      </c>
      <c r="J649" s="57" t="str">
        <f t="shared" si="22"/>
        <v>Robinia-B1-P6-C4-E2</v>
      </c>
      <c r="K649" s="57" t="s">
        <v>64</v>
      </c>
      <c r="L649" s="57" t="s">
        <v>44</v>
      </c>
      <c r="M649" s="57" t="str">
        <f t="shared" si="25"/>
        <v>Control_Grey_Yes</v>
      </c>
      <c r="N649" s="37">
        <v>671</v>
      </c>
      <c r="O649" s="57">
        <v>11.2</v>
      </c>
      <c r="P649" s="57">
        <v>118</v>
      </c>
      <c r="Q649" s="57">
        <v>11.74</v>
      </c>
      <c r="R649" s="57">
        <v>122</v>
      </c>
      <c r="S649" s="57">
        <v>13.52</v>
      </c>
      <c r="T649" s="57">
        <v>157</v>
      </c>
      <c r="U649" s="57">
        <v>14.48</v>
      </c>
      <c r="V649" s="57">
        <v>152</v>
      </c>
      <c r="W649" s="57">
        <v>13.89</v>
      </c>
      <c r="X649" s="57">
        <v>144</v>
      </c>
      <c r="Y649" s="57">
        <v>15.23</v>
      </c>
      <c r="Z649" s="57"/>
      <c r="AA649" s="57">
        <v>16.29</v>
      </c>
      <c r="AB649" s="57"/>
      <c r="AC649" s="57"/>
      <c r="AD649" s="57"/>
    </row>
    <row r="650" spans="1:30" s="38" customFormat="1" x14ac:dyDescent="0.2">
      <c r="A650" s="57" t="s">
        <v>14</v>
      </c>
      <c r="B650" s="57" t="s">
        <v>200</v>
      </c>
      <c r="C650" s="57" t="s">
        <v>53</v>
      </c>
      <c r="D650" s="57" t="s">
        <v>620</v>
      </c>
      <c r="E650" s="57">
        <v>2</v>
      </c>
      <c r="F650" s="57" t="str">
        <f t="shared" si="24"/>
        <v>B1_P6_C4_F2</v>
      </c>
      <c r="G650" s="57" t="s">
        <v>11</v>
      </c>
      <c r="H650" s="57" t="s">
        <v>133</v>
      </c>
      <c r="I650" s="57" t="str">
        <f t="shared" si="23"/>
        <v>B1-P6-C4</v>
      </c>
      <c r="J650" s="57" t="str">
        <f t="shared" si="22"/>
        <v>Robinia-B1-P6-C4-F2</v>
      </c>
      <c r="K650" s="57" t="s">
        <v>64</v>
      </c>
      <c r="L650" s="57" t="s">
        <v>44</v>
      </c>
      <c r="M650" s="57" t="str">
        <f t="shared" si="25"/>
        <v>Control_Grey_Yes</v>
      </c>
      <c r="N650" s="37">
        <v>672</v>
      </c>
      <c r="O650" s="57">
        <v>15.5</v>
      </c>
      <c r="P650" s="57">
        <v>125</v>
      </c>
      <c r="Q650" s="57">
        <v>15.71</v>
      </c>
      <c r="R650" s="57">
        <v>134</v>
      </c>
      <c r="S650" s="57">
        <v>19.47</v>
      </c>
      <c r="T650" s="57">
        <v>168</v>
      </c>
      <c r="U650" s="57">
        <v>19.88</v>
      </c>
      <c r="V650" s="57">
        <v>161</v>
      </c>
      <c r="W650" s="57">
        <v>21.04</v>
      </c>
      <c r="X650" s="57">
        <v>161</v>
      </c>
      <c r="Y650" s="57">
        <v>21.22</v>
      </c>
      <c r="Z650" s="57"/>
      <c r="AA650" s="57">
        <v>22.96</v>
      </c>
      <c r="AB650" s="57"/>
      <c r="AC650" s="57"/>
      <c r="AD650" s="57"/>
    </row>
    <row r="651" spans="1:30" x14ac:dyDescent="0.2">
      <c r="A651" s="60" t="s">
        <v>234</v>
      </c>
      <c r="B651" s="60" t="s">
        <v>15</v>
      </c>
      <c r="C651" s="60" t="s">
        <v>16</v>
      </c>
      <c r="D651" s="60" t="s">
        <v>618</v>
      </c>
      <c r="E651" s="60">
        <v>1</v>
      </c>
      <c r="F651" s="60" t="str">
        <f t="shared" si="24"/>
        <v>B2_P1_C1_D1</v>
      </c>
      <c r="G651" s="60" t="s">
        <v>11</v>
      </c>
      <c r="H651" s="60" t="s">
        <v>133</v>
      </c>
      <c r="I651" s="60" t="str">
        <f t="shared" si="23"/>
        <v>B2-P1-C1</v>
      </c>
      <c r="J651" s="60" t="str">
        <f t="shared" si="22"/>
        <v>Robinia-B2-P1-C1-D1</v>
      </c>
      <c r="K651" s="60" t="s">
        <v>64</v>
      </c>
      <c r="L651" s="60" t="s">
        <v>44</v>
      </c>
      <c r="M651" s="60" t="str">
        <f t="shared" si="25"/>
        <v>Control_Grey_Yes</v>
      </c>
      <c r="N651" s="15">
        <v>673</v>
      </c>
      <c r="O651" s="60">
        <v>2.4</v>
      </c>
      <c r="P651" s="60">
        <v>17</v>
      </c>
      <c r="Q651" s="60">
        <v>2.4</v>
      </c>
      <c r="R651" s="60">
        <v>16</v>
      </c>
      <c r="S651" s="3">
        <v>2.84</v>
      </c>
      <c r="T651" s="3">
        <v>23</v>
      </c>
      <c r="U651" s="3">
        <v>3.1</v>
      </c>
      <c r="V651" s="3">
        <v>26</v>
      </c>
      <c r="W651" s="3">
        <v>3.67</v>
      </c>
      <c r="X651" s="3">
        <v>35</v>
      </c>
      <c r="Y651" s="3">
        <v>3.62</v>
      </c>
      <c r="Z651" s="3"/>
      <c r="AA651" s="3">
        <v>6.78</v>
      </c>
      <c r="AB651" s="3"/>
      <c r="AC651" s="3"/>
      <c r="AD651" s="3"/>
    </row>
    <row r="652" spans="1:30" x14ac:dyDescent="0.2">
      <c r="A652" s="60" t="s">
        <v>234</v>
      </c>
      <c r="B652" s="60" t="s">
        <v>15</v>
      </c>
      <c r="C652" s="60" t="s">
        <v>16</v>
      </c>
      <c r="D652" s="60" t="s">
        <v>619</v>
      </c>
      <c r="E652" s="60">
        <v>1</v>
      </c>
      <c r="F652" s="60" t="str">
        <f t="shared" si="24"/>
        <v>B2_P1_C1_E1</v>
      </c>
      <c r="G652" s="60" t="s">
        <v>11</v>
      </c>
      <c r="H652" s="60" t="s">
        <v>133</v>
      </c>
      <c r="I652" s="60" t="str">
        <f t="shared" si="23"/>
        <v>B2-P1-C1</v>
      </c>
      <c r="J652" s="60" t="str">
        <f t="shared" si="22"/>
        <v>Robinia-B2-P1-C1-E1</v>
      </c>
      <c r="K652" s="60" t="s">
        <v>64</v>
      </c>
      <c r="L652" s="60" t="s">
        <v>44</v>
      </c>
      <c r="M652" s="60" t="str">
        <f t="shared" si="25"/>
        <v>Control_Grey_Yes</v>
      </c>
      <c r="N652" s="15">
        <v>674</v>
      </c>
      <c r="O652" s="60">
        <v>7.3</v>
      </c>
      <c r="P652" s="60">
        <v>81</v>
      </c>
      <c r="Q652" s="60">
        <v>8.25</v>
      </c>
      <c r="R652" s="60">
        <v>85</v>
      </c>
      <c r="S652" s="3">
        <v>10.7</v>
      </c>
      <c r="T652" s="3">
        <v>128</v>
      </c>
      <c r="U652" s="3">
        <v>11.68</v>
      </c>
      <c r="V652" s="3">
        <v>135</v>
      </c>
      <c r="W652" s="3">
        <v>14.07</v>
      </c>
      <c r="X652" s="3">
        <v>137</v>
      </c>
      <c r="Y652" s="3">
        <v>15.39</v>
      </c>
      <c r="Z652" s="3"/>
      <c r="AA652" s="3">
        <v>15.14</v>
      </c>
      <c r="AB652" s="3"/>
      <c r="AC652" s="3"/>
      <c r="AD652" s="3"/>
    </row>
    <row r="653" spans="1:30" x14ac:dyDescent="0.2">
      <c r="A653" s="60" t="s">
        <v>234</v>
      </c>
      <c r="B653" s="60" t="s">
        <v>15</v>
      </c>
      <c r="C653" s="60" t="s">
        <v>16</v>
      </c>
      <c r="D653" s="60" t="s">
        <v>620</v>
      </c>
      <c r="E653" s="60">
        <v>1</v>
      </c>
      <c r="F653" s="60" t="str">
        <f t="shared" si="24"/>
        <v>B2_P1_C1_F1</v>
      </c>
      <c r="G653" s="60" t="s">
        <v>11</v>
      </c>
      <c r="H653" s="60" t="s">
        <v>133</v>
      </c>
      <c r="I653" s="60" t="str">
        <f t="shared" si="23"/>
        <v>B2-P1-C1</v>
      </c>
      <c r="J653" s="60" t="str">
        <f t="shared" si="22"/>
        <v>Robinia-B2-P1-C1-F1</v>
      </c>
      <c r="K653" s="60" t="s">
        <v>64</v>
      </c>
      <c r="L653" s="60" t="s">
        <v>44</v>
      </c>
      <c r="M653" s="60" t="str">
        <f t="shared" si="25"/>
        <v>Control_Grey_Yes</v>
      </c>
      <c r="N653" s="15">
        <v>675</v>
      </c>
      <c r="O653" s="60">
        <v>2.6</v>
      </c>
      <c r="P653" s="60">
        <v>12</v>
      </c>
      <c r="Q653" s="60">
        <v>2.6</v>
      </c>
      <c r="R653" s="60">
        <v>13.5</v>
      </c>
      <c r="S653" s="3">
        <v>2.75</v>
      </c>
      <c r="T653" s="3">
        <v>20</v>
      </c>
      <c r="U653" s="3">
        <v>2.61</v>
      </c>
      <c r="V653" s="3">
        <v>25</v>
      </c>
      <c r="W653" s="3">
        <v>2.59</v>
      </c>
      <c r="X653" s="3">
        <v>24</v>
      </c>
      <c r="Y653" s="3">
        <v>2.99</v>
      </c>
      <c r="Z653" s="3"/>
      <c r="AA653" s="3">
        <v>2.79</v>
      </c>
      <c r="AB653" s="3"/>
      <c r="AC653" s="3"/>
      <c r="AD653" s="3"/>
    </row>
    <row r="654" spans="1:30" x14ac:dyDescent="0.2">
      <c r="A654" s="60" t="s">
        <v>234</v>
      </c>
      <c r="B654" s="60" t="s">
        <v>15</v>
      </c>
      <c r="C654" s="60" t="s">
        <v>16</v>
      </c>
      <c r="D654" s="60" t="s">
        <v>618</v>
      </c>
      <c r="E654" s="60">
        <v>2</v>
      </c>
      <c r="F654" s="60" t="str">
        <f t="shared" si="24"/>
        <v>B2_P1_C1_D2</v>
      </c>
      <c r="G654" s="60" t="s">
        <v>11</v>
      </c>
      <c r="H654" s="60" t="s">
        <v>133</v>
      </c>
      <c r="I654" s="60" t="str">
        <f t="shared" si="23"/>
        <v>B2-P1-C1</v>
      </c>
      <c r="J654" s="60" t="str">
        <f t="shared" si="22"/>
        <v>Robinia-B2-P1-C1-D2</v>
      </c>
      <c r="K654" s="60" t="s">
        <v>64</v>
      </c>
      <c r="L654" s="60" t="s">
        <v>44</v>
      </c>
      <c r="M654" s="60" t="str">
        <f t="shared" si="25"/>
        <v>Control_Grey_Yes</v>
      </c>
      <c r="N654" s="15">
        <v>676</v>
      </c>
      <c r="O654" s="60">
        <v>3.7</v>
      </c>
      <c r="P654" s="60">
        <v>37</v>
      </c>
      <c r="Q654" s="60">
        <v>3.85</v>
      </c>
      <c r="R654" s="60">
        <v>37.5</v>
      </c>
      <c r="S654" s="3">
        <v>3.96</v>
      </c>
      <c r="T654" s="3">
        <v>37</v>
      </c>
      <c r="U654" s="3">
        <v>3.5</v>
      </c>
      <c r="V654" s="3">
        <v>35.5</v>
      </c>
      <c r="W654" s="3">
        <v>4.68</v>
      </c>
      <c r="X654" s="3">
        <v>44</v>
      </c>
      <c r="Y654" s="3">
        <v>5.32</v>
      </c>
      <c r="Z654" s="3"/>
      <c r="AA654" s="3">
        <v>5.18</v>
      </c>
      <c r="AB654" s="3"/>
      <c r="AC654" s="3"/>
      <c r="AD654" s="3"/>
    </row>
    <row r="655" spans="1:30" x14ac:dyDescent="0.2">
      <c r="A655" s="60" t="s">
        <v>234</v>
      </c>
      <c r="B655" s="60" t="s">
        <v>15</v>
      </c>
      <c r="C655" s="60" t="s">
        <v>16</v>
      </c>
      <c r="D655" s="60" t="s">
        <v>619</v>
      </c>
      <c r="E655" s="60">
        <v>2</v>
      </c>
      <c r="F655" s="60" t="str">
        <f t="shared" si="24"/>
        <v>B2_P1_C1_E2</v>
      </c>
      <c r="G655" s="60" t="s">
        <v>11</v>
      </c>
      <c r="H655" s="60" t="s">
        <v>133</v>
      </c>
      <c r="I655" s="60" t="str">
        <f t="shared" si="23"/>
        <v>B2-P1-C1</v>
      </c>
      <c r="J655" s="60" t="str">
        <f t="shared" si="22"/>
        <v>Robinia-B2-P1-C1-E2</v>
      </c>
      <c r="K655" s="60" t="s">
        <v>64</v>
      </c>
      <c r="L655" s="60" t="s">
        <v>44</v>
      </c>
      <c r="M655" s="60" t="str">
        <f t="shared" si="25"/>
        <v>Control_Grey_Yes</v>
      </c>
      <c r="N655" s="15">
        <v>677</v>
      </c>
      <c r="O655" s="60">
        <v>11</v>
      </c>
      <c r="P655" s="60">
        <v>113</v>
      </c>
      <c r="Q655" s="60">
        <v>11.7</v>
      </c>
      <c r="R655" s="60">
        <v>115</v>
      </c>
      <c r="S655" s="3">
        <v>18.97</v>
      </c>
      <c r="T655" s="3">
        <v>168</v>
      </c>
      <c r="U655" s="3">
        <v>18.97</v>
      </c>
      <c r="V655" s="3">
        <v>170</v>
      </c>
      <c r="W655" s="3">
        <v>21.45</v>
      </c>
      <c r="X655" s="3">
        <v>188</v>
      </c>
      <c r="Y655" s="3">
        <v>23.37</v>
      </c>
      <c r="Z655" s="3"/>
      <c r="AA655" s="3">
        <v>23.15</v>
      </c>
      <c r="AB655" s="3"/>
      <c r="AC655" s="3"/>
      <c r="AD655" s="3"/>
    </row>
    <row r="656" spans="1:30" x14ac:dyDescent="0.2">
      <c r="A656" s="60" t="s">
        <v>234</v>
      </c>
      <c r="B656" s="60" t="s">
        <v>15</v>
      </c>
      <c r="C656" s="60" t="s">
        <v>16</v>
      </c>
      <c r="D656" s="60" t="s">
        <v>620</v>
      </c>
      <c r="E656" s="60">
        <v>2</v>
      </c>
      <c r="F656" s="60" t="str">
        <f t="shared" si="24"/>
        <v>B2_P1_C1_F2</v>
      </c>
      <c r="G656" s="60" t="s">
        <v>11</v>
      </c>
      <c r="H656" s="60" t="s">
        <v>133</v>
      </c>
      <c r="I656" s="60" t="str">
        <f t="shared" si="23"/>
        <v>B2-P1-C1</v>
      </c>
      <c r="J656" s="60" t="str">
        <f t="shared" si="22"/>
        <v>Robinia-B2-P1-C1-F2</v>
      </c>
      <c r="K656" s="60" t="s">
        <v>64</v>
      </c>
      <c r="L656" s="60" t="s">
        <v>44</v>
      </c>
      <c r="M656" s="60" t="str">
        <f t="shared" si="25"/>
        <v>Control_Grey_Yes</v>
      </c>
      <c r="N656" s="15">
        <v>678</v>
      </c>
      <c r="O656" s="60">
        <v>5.0999999999999996</v>
      </c>
      <c r="P656" s="60">
        <v>35</v>
      </c>
      <c r="Q656" s="60">
        <v>5.4</v>
      </c>
      <c r="R656" s="60">
        <v>35</v>
      </c>
      <c r="S656" s="3">
        <v>8</v>
      </c>
      <c r="T656" s="3">
        <v>94</v>
      </c>
      <c r="U656" s="3">
        <v>8.4</v>
      </c>
      <c r="V656" s="3">
        <v>101</v>
      </c>
      <c r="W656" s="3">
        <v>10.65</v>
      </c>
      <c r="X656" s="3">
        <v>110</v>
      </c>
      <c r="Y656" s="3">
        <v>11.97</v>
      </c>
      <c r="Z656" s="3"/>
      <c r="AA656" s="3">
        <v>12.53</v>
      </c>
      <c r="AB656" s="3"/>
      <c r="AC656" s="3"/>
      <c r="AD656" s="3"/>
    </row>
    <row r="657" spans="1:30" s="38" customFormat="1" x14ac:dyDescent="0.2">
      <c r="A657" s="57" t="s">
        <v>234</v>
      </c>
      <c r="B657" s="57" t="s">
        <v>15</v>
      </c>
      <c r="C657" s="57" t="s">
        <v>42</v>
      </c>
      <c r="D657" s="57" t="s">
        <v>618</v>
      </c>
      <c r="E657" s="57">
        <v>1</v>
      </c>
      <c r="F657" s="57" t="str">
        <f t="shared" si="24"/>
        <v>B2_P1_C3_D1</v>
      </c>
      <c r="G657" s="57" t="s">
        <v>11</v>
      </c>
      <c r="H657" s="57" t="s">
        <v>133</v>
      </c>
      <c r="I657" s="57" t="str">
        <f t="shared" si="23"/>
        <v>B2-P1-C3</v>
      </c>
      <c r="J657" s="57" t="str">
        <f t="shared" si="22"/>
        <v>Robinia-B2-P1-C3-D1</v>
      </c>
      <c r="K657" s="57" t="s">
        <v>64</v>
      </c>
      <c r="L657" s="57" t="s">
        <v>44</v>
      </c>
      <c r="M657" s="57" t="str">
        <f t="shared" si="25"/>
        <v>Control_Grey_Yes</v>
      </c>
      <c r="N657" s="37">
        <v>679</v>
      </c>
      <c r="O657" s="57">
        <v>9.4</v>
      </c>
      <c r="P657" s="57">
        <v>104</v>
      </c>
      <c r="Q657" s="57">
        <v>9.4</v>
      </c>
      <c r="R657" s="57">
        <v>104</v>
      </c>
      <c r="S657" s="57">
        <v>8.0299999999999994</v>
      </c>
      <c r="T657" s="57">
        <v>104</v>
      </c>
      <c r="U657" s="57">
        <v>8.18</v>
      </c>
      <c r="V657" s="57">
        <v>101.5</v>
      </c>
      <c r="W657" s="57">
        <v>8.18</v>
      </c>
      <c r="X657" s="57">
        <v>102</v>
      </c>
      <c r="Y657" s="57">
        <v>8.3800000000000008</v>
      </c>
      <c r="Z657" s="57"/>
      <c r="AA657" s="57">
        <v>8.2799999999999994</v>
      </c>
      <c r="AB657" s="57"/>
      <c r="AC657" s="57"/>
      <c r="AD657" s="57"/>
    </row>
    <row r="658" spans="1:30" s="38" customFormat="1" x14ac:dyDescent="0.2">
      <c r="A658" s="57" t="s">
        <v>234</v>
      </c>
      <c r="B658" s="57" t="s">
        <v>15</v>
      </c>
      <c r="C658" s="57" t="s">
        <v>42</v>
      </c>
      <c r="D658" s="57" t="s">
        <v>619</v>
      </c>
      <c r="E658" s="57">
        <v>1</v>
      </c>
      <c r="F658" s="57" t="str">
        <f t="shared" si="24"/>
        <v>B2_P1_C3_E1</v>
      </c>
      <c r="G658" s="57" t="s">
        <v>11</v>
      </c>
      <c r="H658" s="57" t="s">
        <v>133</v>
      </c>
      <c r="I658" s="57" t="str">
        <f t="shared" si="23"/>
        <v>B2-P1-C3</v>
      </c>
      <c r="J658" s="57" t="str">
        <f t="shared" si="22"/>
        <v>Robinia-B2-P1-C3-E1</v>
      </c>
      <c r="K658" s="57" t="s">
        <v>64</v>
      </c>
      <c r="L658" s="57" t="s">
        <v>44</v>
      </c>
      <c r="M658" s="57" t="str">
        <f t="shared" si="25"/>
        <v>Control_Grey_Yes</v>
      </c>
      <c r="N658" s="37">
        <v>680</v>
      </c>
      <c r="O658" s="57">
        <v>13.8</v>
      </c>
      <c r="P658" s="57">
        <v>150</v>
      </c>
      <c r="Q658" s="57">
        <v>14.88</v>
      </c>
      <c r="R658" s="57">
        <v>159</v>
      </c>
      <c r="S658" s="57">
        <v>20.45</v>
      </c>
      <c r="T658" s="57">
        <v>180</v>
      </c>
      <c r="U658" s="57">
        <v>20.58</v>
      </c>
      <c r="V658" s="57">
        <v>190</v>
      </c>
      <c r="W658" s="57">
        <v>22.79</v>
      </c>
      <c r="X658" s="57">
        <v>210</v>
      </c>
      <c r="Y658" s="57">
        <v>23.88</v>
      </c>
      <c r="Z658" s="57"/>
      <c r="AA658" s="57">
        <v>24.31</v>
      </c>
      <c r="AB658" s="57"/>
      <c r="AC658" s="57"/>
      <c r="AD658" s="57"/>
    </row>
    <row r="659" spans="1:30" s="38" customFormat="1" x14ac:dyDescent="0.2">
      <c r="A659" s="57" t="s">
        <v>234</v>
      </c>
      <c r="B659" s="57" t="s">
        <v>15</v>
      </c>
      <c r="C659" s="57" t="s">
        <v>42</v>
      </c>
      <c r="D659" s="57" t="s">
        <v>620</v>
      </c>
      <c r="E659" s="57">
        <v>1</v>
      </c>
      <c r="F659" s="57" t="str">
        <f t="shared" si="24"/>
        <v>B2_P1_C3_F1</v>
      </c>
      <c r="G659" s="57" t="s">
        <v>11</v>
      </c>
      <c r="H659" s="57" t="s">
        <v>133</v>
      </c>
      <c r="I659" s="57" t="str">
        <f t="shared" si="23"/>
        <v>B2-P1-C3</v>
      </c>
      <c r="J659" s="57" t="str">
        <f t="shared" si="22"/>
        <v>Robinia-B2-P1-C3-F1</v>
      </c>
      <c r="K659" s="57" t="s">
        <v>64</v>
      </c>
      <c r="L659" s="57" t="s">
        <v>44</v>
      </c>
      <c r="M659" s="57" t="str">
        <f t="shared" si="25"/>
        <v>Control_Grey_Yes</v>
      </c>
      <c r="N659" s="37">
        <v>681</v>
      </c>
      <c r="O659" s="57">
        <v>9.1999999999999993</v>
      </c>
      <c r="P659" s="57">
        <v>94</v>
      </c>
      <c r="Q659" s="57">
        <v>9.4</v>
      </c>
      <c r="R659" s="57">
        <v>97</v>
      </c>
      <c r="S659" s="57">
        <v>11.82</v>
      </c>
      <c r="T659" s="57">
        <v>146</v>
      </c>
      <c r="U659" s="57">
        <v>12.21</v>
      </c>
      <c r="V659" s="57">
        <v>138</v>
      </c>
      <c r="W659" s="57">
        <v>13.87</v>
      </c>
      <c r="X659" s="57">
        <v>155</v>
      </c>
      <c r="Y659" s="57">
        <v>14.3</v>
      </c>
      <c r="Z659" s="57"/>
      <c r="AA659" s="57">
        <v>14.48</v>
      </c>
      <c r="AB659" s="57"/>
      <c r="AC659" s="57"/>
      <c r="AD659" s="57"/>
    </row>
    <row r="660" spans="1:30" s="38" customFormat="1" x14ac:dyDescent="0.2">
      <c r="A660" s="57" t="s">
        <v>234</v>
      </c>
      <c r="B660" s="57" t="s">
        <v>15</v>
      </c>
      <c r="C660" s="57" t="s">
        <v>42</v>
      </c>
      <c r="D660" s="57" t="s">
        <v>618</v>
      </c>
      <c r="E660" s="57">
        <v>2</v>
      </c>
      <c r="F660" s="57" t="str">
        <f t="shared" si="24"/>
        <v>B2_P1_C3_D2</v>
      </c>
      <c r="G660" s="57" t="s">
        <v>11</v>
      </c>
      <c r="H660" s="57" t="s">
        <v>133</v>
      </c>
      <c r="I660" s="57" t="str">
        <f t="shared" si="23"/>
        <v>B2-P1-C3</v>
      </c>
      <c r="J660" s="57" t="str">
        <f t="shared" si="22"/>
        <v>Robinia-B2-P1-C3-D2</v>
      </c>
      <c r="K660" s="57" t="s">
        <v>64</v>
      </c>
      <c r="L660" s="57" t="s">
        <v>44</v>
      </c>
      <c r="M660" s="57" t="str">
        <f t="shared" si="25"/>
        <v>Control_Grey_Yes</v>
      </c>
      <c r="N660" s="37">
        <v>682</v>
      </c>
      <c r="O660" s="57">
        <v>6.6</v>
      </c>
      <c r="P660" s="57">
        <v>52</v>
      </c>
      <c r="Q660" s="57">
        <v>7.06</v>
      </c>
      <c r="R660" s="57">
        <v>67</v>
      </c>
      <c r="S660" s="57">
        <v>9.8800000000000008</v>
      </c>
      <c r="T660" s="57">
        <v>110</v>
      </c>
      <c r="U660" s="57">
        <v>9.9499999999999993</v>
      </c>
      <c r="V660" s="57">
        <v>116</v>
      </c>
      <c r="W660" s="57">
        <v>11.86</v>
      </c>
      <c r="X660" s="57">
        <v>147</v>
      </c>
      <c r="Y660" s="57">
        <v>13.07</v>
      </c>
      <c r="Z660" s="57"/>
      <c r="AA660" s="57">
        <v>12.52</v>
      </c>
      <c r="AB660" s="57"/>
      <c r="AC660" s="57"/>
      <c r="AD660" s="57"/>
    </row>
    <row r="661" spans="1:30" s="38" customFormat="1" x14ac:dyDescent="0.2">
      <c r="A661" s="57" t="s">
        <v>234</v>
      </c>
      <c r="B661" s="57" t="s">
        <v>15</v>
      </c>
      <c r="C661" s="57" t="s">
        <v>42</v>
      </c>
      <c r="D661" s="57" t="s">
        <v>619</v>
      </c>
      <c r="E661" s="57">
        <v>2</v>
      </c>
      <c r="F661" s="57" t="str">
        <f t="shared" si="24"/>
        <v>B2_P1_C3_E2</v>
      </c>
      <c r="G661" s="57" t="s">
        <v>11</v>
      </c>
      <c r="H661" s="57" t="s">
        <v>133</v>
      </c>
      <c r="I661" s="57" t="str">
        <f t="shared" si="23"/>
        <v>B2-P1-C3</v>
      </c>
      <c r="J661" s="57" t="str">
        <f t="shared" si="22"/>
        <v>Robinia-B2-P1-C3-E2</v>
      </c>
      <c r="K661" s="57" t="s">
        <v>64</v>
      </c>
      <c r="L661" s="57" t="s">
        <v>44</v>
      </c>
      <c r="M661" s="57" t="str">
        <f t="shared" si="25"/>
        <v>Control_Grey_Yes</v>
      </c>
      <c r="N661" s="37">
        <v>683</v>
      </c>
      <c r="O661" s="57">
        <v>17.600000000000001</v>
      </c>
      <c r="P661" s="57">
        <v>144</v>
      </c>
      <c r="Q661" s="57">
        <v>20.2</v>
      </c>
      <c r="R661" s="57">
        <v>154</v>
      </c>
      <c r="S661" s="57">
        <v>22.45</v>
      </c>
      <c r="T661" s="57">
        <v>195</v>
      </c>
      <c r="U661" s="57">
        <v>23.64</v>
      </c>
      <c r="V661" s="57">
        <v>182</v>
      </c>
      <c r="W661" s="57">
        <v>25.84</v>
      </c>
      <c r="X661" s="57">
        <v>215</v>
      </c>
      <c r="Y661" s="57">
        <v>26.39</v>
      </c>
      <c r="Z661" s="57"/>
      <c r="AA661" s="57">
        <v>26.39</v>
      </c>
      <c r="AB661" s="57"/>
      <c r="AC661" s="57"/>
      <c r="AD661" s="57"/>
    </row>
    <row r="662" spans="1:30" s="38" customFormat="1" x14ac:dyDescent="0.2">
      <c r="A662" s="57" t="s">
        <v>234</v>
      </c>
      <c r="B662" s="57" t="s">
        <v>15</v>
      </c>
      <c r="C662" s="57" t="s">
        <v>42</v>
      </c>
      <c r="D662" s="57" t="s">
        <v>620</v>
      </c>
      <c r="E662" s="57">
        <v>2</v>
      </c>
      <c r="F662" s="57" t="str">
        <f t="shared" si="24"/>
        <v>B2_P1_C3_F2</v>
      </c>
      <c r="G662" s="57" t="s">
        <v>11</v>
      </c>
      <c r="H662" s="57" t="s">
        <v>133</v>
      </c>
      <c r="I662" s="57" t="str">
        <f t="shared" si="23"/>
        <v>B2-P1-C3</v>
      </c>
      <c r="J662" s="57" t="str">
        <f t="shared" si="22"/>
        <v>Robinia-B2-P1-C3-F2</v>
      </c>
      <c r="K662" s="57" t="s">
        <v>64</v>
      </c>
      <c r="L662" s="57" t="s">
        <v>44</v>
      </c>
      <c r="M662" s="57" t="str">
        <f t="shared" si="25"/>
        <v>Control_Grey_Yes</v>
      </c>
      <c r="N662" s="37">
        <v>684</v>
      </c>
      <c r="O662" s="57">
        <v>13.1</v>
      </c>
      <c r="P662" s="57">
        <v>131</v>
      </c>
      <c r="Q662" s="57">
        <v>13.81</v>
      </c>
      <c r="R662" s="57">
        <v>149</v>
      </c>
      <c r="S662" s="57">
        <v>17.14</v>
      </c>
      <c r="T662" s="57">
        <v>174</v>
      </c>
      <c r="U662" s="57">
        <v>18.18</v>
      </c>
      <c r="V662" s="57">
        <v>165</v>
      </c>
      <c r="W662" s="57">
        <v>19.329999999999998</v>
      </c>
      <c r="X662" s="57">
        <v>193</v>
      </c>
      <c r="Y662" s="57">
        <v>19.899999999999999</v>
      </c>
      <c r="Z662" s="57"/>
      <c r="AA662" s="57">
        <v>20.399999999999999</v>
      </c>
      <c r="AB662" s="57"/>
      <c r="AC662" s="57"/>
      <c r="AD662" s="57"/>
    </row>
    <row r="663" spans="1:30" x14ac:dyDescent="0.2">
      <c r="A663" s="60" t="s">
        <v>234</v>
      </c>
      <c r="B663" s="60" t="s">
        <v>62</v>
      </c>
      <c r="C663" s="60" t="s">
        <v>16</v>
      </c>
      <c r="D663" s="60" t="s">
        <v>618</v>
      </c>
      <c r="E663" s="60">
        <v>1</v>
      </c>
      <c r="F663" s="60" t="str">
        <f t="shared" si="24"/>
        <v>B2_P2_C1_D1</v>
      </c>
      <c r="G663" s="60" t="s">
        <v>11</v>
      </c>
      <c r="H663" s="60" t="s">
        <v>133</v>
      </c>
      <c r="I663" s="60" t="str">
        <f t="shared" si="23"/>
        <v>B2-P2-C1</v>
      </c>
      <c r="J663" s="60" t="str">
        <f t="shared" si="22"/>
        <v>Robinia-B2-P2-C1-D1</v>
      </c>
      <c r="K663" s="60" t="s">
        <v>21</v>
      </c>
      <c r="L663" s="60" t="s">
        <v>44</v>
      </c>
      <c r="M663" s="60" t="str">
        <f t="shared" si="25"/>
        <v>Control_Yellow_Yes</v>
      </c>
      <c r="N663" s="15">
        <v>685</v>
      </c>
      <c r="O663" s="60">
        <v>1.8</v>
      </c>
      <c r="P663" s="60">
        <v>11</v>
      </c>
      <c r="Q663" s="60">
        <v>1.8</v>
      </c>
      <c r="R663" s="60">
        <v>10.5</v>
      </c>
      <c r="S663" s="3">
        <v>1.78</v>
      </c>
      <c r="T663" s="3">
        <v>10.5</v>
      </c>
      <c r="U663" s="3">
        <v>1.86</v>
      </c>
      <c r="V663" s="3">
        <v>10</v>
      </c>
      <c r="W663" s="3">
        <v>1.47</v>
      </c>
      <c r="X663" s="3">
        <v>14</v>
      </c>
      <c r="Y663" s="3">
        <v>2.17</v>
      </c>
      <c r="Z663" s="3"/>
      <c r="AA663" s="3">
        <v>2.15</v>
      </c>
      <c r="AB663" s="3"/>
      <c r="AC663" s="3"/>
      <c r="AD663" s="3"/>
    </row>
    <row r="664" spans="1:30" x14ac:dyDescent="0.2">
      <c r="A664" s="60" t="s">
        <v>234</v>
      </c>
      <c r="B664" s="60" t="s">
        <v>62</v>
      </c>
      <c r="C664" s="60" t="s">
        <v>16</v>
      </c>
      <c r="D664" s="60" t="s">
        <v>619</v>
      </c>
      <c r="E664" s="60">
        <v>1</v>
      </c>
      <c r="F664" s="60" t="str">
        <f t="shared" si="24"/>
        <v>B2_P2_C1_E1</v>
      </c>
      <c r="G664" s="60" t="s">
        <v>11</v>
      </c>
      <c r="H664" s="60" t="s">
        <v>133</v>
      </c>
      <c r="I664" s="60" t="str">
        <f t="shared" si="23"/>
        <v>B2-P2-C1</v>
      </c>
      <c r="J664" s="60" t="str">
        <f t="shared" si="22"/>
        <v>Robinia-B2-P2-C1-E1</v>
      </c>
      <c r="K664" s="60" t="s">
        <v>21</v>
      </c>
      <c r="L664" s="60" t="s">
        <v>44</v>
      </c>
      <c r="M664" s="60" t="str">
        <f t="shared" si="25"/>
        <v>Control_Yellow_Yes</v>
      </c>
      <c r="N664" s="15">
        <v>686</v>
      </c>
      <c r="O664" s="60">
        <v>12.3</v>
      </c>
      <c r="P664" s="60">
        <v>119</v>
      </c>
      <c r="Q664" s="60">
        <v>12.99</v>
      </c>
      <c r="R664" s="60">
        <v>124</v>
      </c>
      <c r="S664" s="3">
        <v>17.760000000000002</v>
      </c>
      <c r="T664" s="3">
        <v>172</v>
      </c>
      <c r="U664" s="3">
        <v>18.55</v>
      </c>
      <c r="V664" s="3">
        <v>168</v>
      </c>
      <c r="W664" s="3">
        <v>21.02</v>
      </c>
      <c r="X664" s="3">
        <v>184</v>
      </c>
      <c r="Y664" s="3">
        <v>22.85</v>
      </c>
      <c r="Z664" s="3"/>
      <c r="AA664" s="3">
        <v>23.13</v>
      </c>
      <c r="AB664" s="3"/>
      <c r="AC664" s="3"/>
      <c r="AD664" s="3"/>
    </row>
    <row r="665" spans="1:30" x14ac:dyDescent="0.2">
      <c r="A665" s="60" t="s">
        <v>234</v>
      </c>
      <c r="B665" s="60" t="s">
        <v>62</v>
      </c>
      <c r="C665" s="60" t="s">
        <v>16</v>
      </c>
      <c r="D665" s="60" t="s">
        <v>620</v>
      </c>
      <c r="E665" s="60">
        <v>1</v>
      </c>
      <c r="F665" s="60" t="str">
        <f t="shared" si="24"/>
        <v>B2_P2_C1_F1</v>
      </c>
      <c r="G665" s="60" t="s">
        <v>11</v>
      </c>
      <c r="H665" s="60" t="s">
        <v>133</v>
      </c>
      <c r="I665" s="60" t="str">
        <f t="shared" si="23"/>
        <v>B2-P2-C1</v>
      </c>
      <c r="J665" s="60" t="str">
        <f t="shared" si="22"/>
        <v>Robinia-B2-P2-C1-F1</v>
      </c>
      <c r="K665" s="60" t="s">
        <v>21</v>
      </c>
      <c r="L665" s="60" t="s">
        <v>44</v>
      </c>
      <c r="M665" s="60" t="str">
        <f t="shared" si="25"/>
        <v>Control_Yellow_Yes</v>
      </c>
      <c r="N665" s="15">
        <v>687</v>
      </c>
      <c r="O665" s="60">
        <v>5</v>
      </c>
      <c r="P665" s="60">
        <v>42</v>
      </c>
      <c r="Q665" s="60">
        <v>5.51</v>
      </c>
      <c r="R665" s="60">
        <v>47.5</v>
      </c>
      <c r="S665" s="3">
        <v>6.8</v>
      </c>
      <c r="T665" s="3">
        <v>71</v>
      </c>
      <c r="U665" s="3">
        <v>7.12</v>
      </c>
      <c r="V665" s="3">
        <v>67.5</v>
      </c>
      <c r="W665" s="3">
        <v>8.64</v>
      </c>
      <c r="X665" s="3">
        <v>105</v>
      </c>
      <c r="Y665" s="3">
        <v>9.85</v>
      </c>
      <c r="Z665" s="3"/>
      <c r="AA665" s="3">
        <v>10.55</v>
      </c>
      <c r="AB665" s="3"/>
      <c r="AC665" s="3"/>
      <c r="AD665" s="3"/>
    </row>
    <row r="666" spans="1:30" x14ac:dyDescent="0.2">
      <c r="A666" s="60" t="s">
        <v>234</v>
      </c>
      <c r="B666" s="60" t="s">
        <v>62</v>
      </c>
      <c r="C666" s="60" t="s">
        <v>16</v>
      </c>
      <c r="D666" s="60" t="s">
        <v>618</v>
      </c>
      <c r="E666" s="60">
        <v>2</v>
      </c>
      <c r="F666" s="60" t="str">
        <f t="shared" si="24"/>
        <v>B2_P2_C1_D2</v>
      </c>
      <c r="G666" s="60" t="s">
        <v>11</v>
      </c>
      <c r="H666" s="60" t="s">
        <v>133</v>
      </c>
      <c r="I666" s="60" t="str">
        <f t="shared" si="23"/>
        <v>B2-P2-C1</v>
      </c>
      <c r="J666" s="60" t="str">
        <f t="shared" si="22"/>
        <v>Robinia-B2-P2-C1-D2</v>
      </c>
      <c r="K666" s="60" t="s">
        <v>21</v>
      </c>
      <c r="L666" s="60" t="s">
        <v>44</v>
      </c>
      <c r="M666" s="60" t="str">
        <f t="shared" si="25"/>
        <v>Control_Yellow_Yes</v>
      </c>
      <c r="N666" s="15">
        <v>688</v>
      </c>
      <c r="O666" s="60">
        <v>3.6</v>
      </c>
      <c r="P666" s="60">
        <v>28</v>
      </c>
      <c r="Q666" s="60">
        <v>3.6</v>
      </c>
      <c r="R666" s="60">
        <v>31</v>
      </c>
      <c r="S666" s="3">
        <v>5.63</v>
      </c>
      <c r="T666" s="3">
        <v>73</v>
      </c>
      <c r="U666" s="3">
        <v>6.2</v>
      </c>
      <c r="V666" s="3">
        <v>78</v>
      </c>
      <c r="W666" s="3">
        <v>7.75</v>
      </c>
      <c r="X666" s="3">
        <v>100</v>
      </c>
      <c r="Y666" s="3">
        <v>8.4600000000000009</v>
      </c>
      <c r="Z666" s="3"/>
      <c r="AA666" s="3">
        <v>8.7799999999999994</v>
      </c>
      <c r="AB666" s="3"/>
      <c r="AC666" s="3"/>
      <c r="AD666" s="3"/>
    </row>
    <row r="667" spans="1:30" x14ac:dyDescent="0.2">
      <c r="A667" s="60" t="s">
        <v>234</v>
      </c>
      <c r="B667" s="60" t="s">
        <v>62</v>
      </c>
      <c r="C667" s="60" t="s">
        <v>16</v>
      </c>
      <c r="D667" s="60" t="s">
        <v>619</v>
      </c>
      <c r="E667" s="60">
        <v>2</v>
      </c>
      <c r="F667" s="60" t="str">
        <f t="shared" si="24"/>
        <v>B2_P2_C1_E2</v>
      </c>
      <c r="G667" s="60" t="s">
        <v>11</v>
      </c>
      <c r="H667" s="60" t="s">
        <v>133</v>
      </c>
      <c r="I667" s="60" t="str">
        <f t="shared" si="23"/>
        <v>B2-P2-C1</v>
      </c>
      <c r="J667" s="60" t="str">
        <f t="shared" si="22"/>
        <v>Robinia-B2-P2-C1-E2</v>
      </c>
      <c r="K667" s="60" t="s">
        <v>21</v>
      </c>
      <c r="L667" s="60" t="s">
        <v>44</v>
      </c>
      <c r="M667" s="60" t="str">
        <f t="shared" si="25"/>
        <v>Control_Yellow_Yes</v>
      </c>
      <c r="N667" s="15">
        <v>689</v>
      </c>
      <c r="O667" s="60">
        <v>6.2</v>
      </c>
      <c r="P667" s="60">
        <v>62</v>
      </c>
      <c r="Q667" s="60">
        <v>6.77</v>
      </c>
      <c r="R667" s="60">
        <v>69</v>
      </c>
      <c r="S667" s="3">
        <v>9.3000000000000007</v>
      </c>
      <c r="T667" s="3">
        <v>112</v>
      </c>
      <c r="U667" s="3">
        <v>9.77</v>
      </c>
      <c r="V667" s="3">
        <v>125</v>
      </c>
      <c r="W667" s="3">
        <v>12.14</v>
      </c>
      <c r="X667" s="3">
        <v>150</v>
      </c>
      <c r="Y667" s="3">
        <v>13.45</v>
      </c>
      <c r="Z667" s="3"/>
      <c r="AA667" s="3">
        <v>14.52</v>
      </c>
      <c r="AB667" s="3"/>
      <c r="AC667" s="3"/>
      <c r="AD667" s="3"/>
    </row>
    <row r="668" spans="1:30" x14ac:dyDescent="0.2">
      <c r="A668" s="60" t="s">
        <v>234</v>
      </c>
      <c r="B668" s="60" t="s">
        <v>62</v>
      </c>
      <c r="C668" s="60" t="s">
        <v>16</v>
      </c>
      <c r="D668" s="60" t="s">
        <v>620</v>
      </c>
      <c r="E668" s="60">
        <v>2</v>
      </c>
      <c r="F668" s="60" t="str">
        <f t="shared" si="24"/>
        <v>B2_P2_C1_F2</v>
      </c>
      <c r="G668" s="60" t="s">
        <v>11</v>
      </c>
      <c r="H668" s="60" t="s">
        <v>133</v>
      </c>
      <c r="I668" s="60" t="str">
        <f t="shared" si="23"/>
        <v>B2-P2-C1</v>
      </c>
      <c r="J668" s="60" t="str">
        <f t="shared" si="22"/>
        <v>Robinia-B2-P2-C1-F2</v>
      </c>
      <c r="K668" s="60" t="s">
        <v>21</v>
      </c>
      <c r="L668" s="60" t="s">
        <v>44</v>
      </c>
      <c r="M668" s="60" t="str">
        <f t="shared" si="25"/>
        <v>Control_Yellow_Yes</v>
      </c>
      <c r="N668" s="15">
        <v>690</v>
      </c>
      <c r="O668" s="60">
        <v>5.2</v>
      </c>
      <c r="P668" s="60">
        <v>52</v>
      </c>
      <c r="Q668" s="60">
        <v>6.2</v>
      </c>
      <c r="R668" s="60">
        <v>52</v>
      </c>
      <c r="S668" s="3">
        <v>7.45</v>
      </c>
      <c r="T668" s="3">
        <v>100</v>
      </c>
      <c r="U668" s="3">
        <v>7.35</v>
      </c>
      <c r="V668" s="3">
        <v>110</v>
      </c>
      <c r="W668" s="3">
        <v>10.29</v>
      </c>
      <c r="X668" s="3">
        <v>128</v>
      </c>
      <c r="Y668" s="3">
        <v>10.1</v>
      </c>
      <c r="Z668" s="3"/>
      <c r="AA668" s="3">
        <v>13.49</v>
      </c>
      <c r="AB668" s="3"/>
      <c r="AC668" s="3"/>
      <c r="AD668" s="3"/>
    </row>
    <row r="669" spans="1:30" s="38" customFormat="1" x14ac:dyDescent="0.2">
      <c r="A669" s="57" t="s">
        <v>234</v>
      </c>
      <c r="B669" s="57" t="s">
        <v>62</v>
      </c>
      <c r="C669" s="57" t="s">
        <v>32</v>
      </c>
      <c r="D669" s="57" t="s">
        <v>618</v>
      </c>
      <c r="E669" s="57">
        <v>1</v>
      </c>
      <c r="F669" s="57" t="str">
        <f t="shared" si="24"/>
        <v>B2_P2_C2_D1</v>
      </c>
      <c r="G669" s="57" t="s">
        <v>11</v>
      </c>
      <c r="H669" s="57" t="s">
        <v>133</v>
      </c>
      <c r="I669" s="57" t="str">
        <f t="shared" si="23"/>
        <v>B2-P2-C2</v>
      </c>
      <c r="J669" s="57" t="str">
        <f t="shared" si="22"/>
        <v>Robinia-B2-P2-C2-D1</v>
      </c>
      <c r="K669" s="57" t="s">
        <v>21</v>
      </c>
      <c r="L669" s="57" t="s">
        <v>44</v>
      </c>
      <c r="M669" s="57" t="str">
        <f t="shared" si="25"/>
        <v>Control_Yellow_Yes</v>
      </c>
      <c r="N669" s="37">
        <v>691</v>
      </c>
      <c r="O669" s="57">
        <v>5.8</v>
      </c>
      <c r="P669" s="57">
        <v>40</v>
      </c>
      <c r="Q669" s="57">
        <v>6.09</v>
      </c>
      <c r="R669" s="57">
        <v>39.5</v>
      </c>
      <c r="S669" s="57">
        <v>7.15</v>
      </c>
      <c r="T669" s="57">
        <v>82</v>
      </c>
      <c r="U669" s="57">
        <v>7.41</v>
      </c>
      <c r="V669" s="57">
        <v>82</v>
      </c>
      <c r="W669" s="57">
        <v>8.19</v>
      </c>
      <c r="X669" s="57">
        <v>92.5</v>
      </c>
      <c r="Y669" s="57">
        <v>8.7799999999999994</v>
      </c>
      <c r="Z669" s="57"/>
      <c r="AA669" s="57">
        <v>8.5500000000000007</v>
      </c>
      <c r="AB669" s="57"/>
      <c r="AC669" s="57"/>
      <c r="AD669" s="57"/>
    </row>
    <row r="670" spans="1:30" s="38" customFormat="1" x14ac:dyDescent="0.2">
      <c r="A670" s="57" t="s">
        <v>234</v>
      </c>
      <c r="B670" s="57" t="s">
        <v>62</v>
      </c>
      <c r="C670" s="57" t="s">
        <v>32</v>
      </c>
      <c r="D670" s="57" t="s">
        <v>619</v>
      </c>
      <c r="E670" s="57">
        <v>1</v>
      </c>
      <c r="F670" s="57" t="str">
        <f t="shared" si="24"/>
        <v>B2_P2_C2_E1</v>
      </c>
      <c r="G670" s="57" t="s">
        <v>11</v>
      </c>
      <c r="H670" s="57" t="s">
        <v>133</v>
      </c>
      <c r="I670" s="57" t="str">
        <f t="shared" si="23"/>
        <v>B2-P2-C2</v>
      </c>
      <c r="J670" s="57" t="str">
        <f t="shared" si="22"/>
        <v>Robinia-B2-P2-C2-E1</v>
      </c>
      <c r="K670" s="57" t="s">
        <v>21</v>
      </c>
      <c r="L670" s="57" t="s">
        <v>44</v>
      </c>
      <c r="M670" s="57" t="str">
        <f t="shared" si="25"/>
        <v>Control_Yellow_Yes</v>
      </c>
      <c r="N670" s="37">
        <v>692</v>
      </c>
      <c r="O670" s="57">
        <v>6.8</v>
      </c>
      <c r="P670" s="57">
        <v>54</v>
      </c>
      <c r="Q670" s="57">
        <v>7.38</v>
      </c>
      <c r="R670" s="57">
        <v>54.5</v>
      </c>
      <c r="S670" s="57">
        <v>9.93</v>
      </c>
      <c r="T670" s="57">
        <v>110</v>
      </c>
      <c r="U670" s="57">
        <v>10.65</v>
      </c>
      <c r="V670" s="57">
        <v>109</v>
      </c>
      <c r="W670" s="57">
        <v>12.83</v>
      </c>
      <c r="X670" s="57">
        <v>117</v>
      </c>
      <c r="Y670" s="57">
        <v>13.81</v>
      </c>
      <c r="Z670" s="57"/>
      <c r="AA670" s="57">
        <v>16.010000000000002</v>
      </c>
      <c r="AB670" s="57"/>
      <c r="AC670" s="57"/>
      <c r="AD670" s="57"/>
    </row>
    <row r="671" spans="1:30" s="38" customFormat="1" x14ac:dyDescent="0.2">
      <c r="A671" s="57" t="s">
        <v>234</v>
      </c>
      <c r="B671" s="57" t="s">
        <v>62</v>
      </c>
      <c r="C671" s="57" t="s">
        <v>32</v>
      </c>
      <c r="D671" s="57" t="s">
        <v>620</v>
      </c>
      <c r="E671" s="57">
        <v>1</v>
      </c>
      <c r="F671" s="57" t="str">
        <f t="shared" si="24"/>
        <v>B2_P2_C2_F1</v>
      </c>
      <c r="G671" s="57" t="s">
        <v>11</v>
      </c>
      <c r="H671" s="57" t="s">
        <v>133</v>
      </c>
      <c r="I671" s="57" t="str">
        <f t="shared" si="23"/>
        <v>B2-P2-C2</v>
      </c>
      <c r="J671" s="57" t="str">
        <f t="shared" si="22"/>
        <v>Robinia-B2-P2-C2-F1</v>
      </c>
      <c r="K671" s="57" t="s">
        <v>21</v>
      </c>
      <c r="L671" s="57" t="s">
        <v>44</v>
      </c>
      <c r="M671" s="57" t="str">
        <f t="shared" si="25"/>
        <v>Control_Yellow_Yes</v>
      </c>
      <c r="N671" s="37">
        <v>693</v>
      </c>
      <c r="O671" s="57">
        <v>7.1</v>
      </c>
      <c r="P671" s="57">
        <v>41</v>
      </c>
      <c r="Q671" s="57">
        <v>7.81</v>
      </c>
      <c r="R671" s="57">
        <v>44</v>
      </c>
      <c r="S671" s="57">
        <v>10.7</v>
      </c>
      <c r="T671" s="57">
        <v>105</v>
      </c>
      <c r="U671" s="57">
        <v>10.96</v>
      </c>
      <c r="V671" s="57">
        <v>113</v>
      </c>
      <c r="W671" s="57">
        <v>13.75</v>
      </c>
      <c r="X671" s="57">
        <v>127</v>
      </c>
      <c r="Y671" s="57">
        <v>14.78</v>
      </c>
      <c r="Z671" s="57"/>
      <c r="AA671" s="57">
        <v>16.25</v>
      </c>
      <c r="AB671" s="57"/>
      <c r="AC671" s="57"/>
      <c r="AD671" s="57"/>
    </row>
    <row r="672" spans="1:30" s="38" customFormat="1" x14ac:dyDescent="0.2">
      <c r="A672" s="57" t="s">
        <v>234</v>
      </c>
      <c r="B672" s="57" t="s">
        <v>62</v>
      </c>
      <c r="C672" s="57" t="s">
        <v>32</v>
      </c>
      <c r="D672" s="57" t="s">
        <v>618</v>
      </c>
      <c r="E672" s="57">
        <v>2</v>
      </c>
      <c r="F672" s="57" t="str">
        <f t="shared" si="24"/>
        <v>B2_P2_C2_D2</v>
      </c>
      <c r="G672" s="57" t="s">
        <v>11</v>
      </c>
      <c r="H672" s="57" t="s">
        <v>133</v>
      </c>
      <c r="I672" s="57" t="str">
        <f t="shared" si="23"/>
        <v>B2-P2-C2</v>
      </c>
      <c r="J672" s="57" t="str">
        <f t="shared" si="22"/>
        <v>Robinia-B2-P2-C2-D2</v>
      </c>
      <c r="K672" s="57" t="s">
        <v>21</v>
      </c>
      <c r="L672" s="57" t="s">
        <v>44</v>
      </c>
      <c r="M672" s="57" t="str">
        <f t="shared" si="25"/>
        <v>Control_Yellow_Yes</v>
      </c>
      <c r="N672" s="37">
        <v>694</v>
      </c>
      <c r="O672" s="57">
        <v>7.6</v>
      </c>
      <c r="P672" s="57">
        <v>83</v>
      </c>
      <c r="Q672" s="57">
        <v>7.89</v>
      </c>
      <c r="R672" s="57">
        <v>88</v>
      </c>
      <c r="S672" s="57">
        <v>11.5</v>
      </c>
      <c r="T672" s="57">
        <v>136</v>
      </c>
      <c r="U672" s="57">
        <v>12.43</v>
      </c>
      <c r="V672" s="57">
        <v>146</v>
      </c>
      <c r="W672" s="57">
        <v>15.09</v>
      </c>
      <c r="X672" s="57">
        <v>165</v>
      </c>
      <c r="Y672" s="57">
        <v>15.84</v>
      </c>
      <c r="Z672" s="57"/>
      <c r="AA672" s="57">
        <v>16.05</v>
      </c>
      <c r="AB672" s="57"/>
      <c r="AC672" s="57"/>
      <c r="AD672" s="57"/>
    </row>
    <row r="673" spans="1:30" s="38" customFormat="1" x14ac:dyDescent="0.2">
      <c r="A673" s="57" t="s">
        <v>234</v>
      </c>
      <c r="B673" s="57" t="s">
        <v>62</v>
      </c>
      <c r="C673" s="57" t="s">
        <v>32</v>
      </c>
      <c r="D673" s="57" t="s">
        <v>619</v>
      </c>
      <c r="E673" s="57">
        <v>2</v>
      </c>
      <c r="F673" s="57" t="str">
        <f t="shared" si="24"/>
        <v>B2_P2_C2_E2</v>
      </c>
      <c r="G673" s="57" t="s">
        <v>11</v>
      </c>
      <c r="H673" s="57" t="s">
        <v>133</v>
      </c>
      <c r="I673" s="57" t="str">
        <f t="shared" si="23"/>
        <v>B2-P2-C2</v>
      </c>
      <c r="J673" s="57" t="str">
        <f t="shared" si="22"/>
        <v>Robinia-B2-P2-C2-E2</v>
      </c>
      <c r="K673" s="57" t="s">
        <v>21</v>
      </c>
      <c r="L673" s="57" t="s">
        <v>44</v>
      </c>
      <c r="M673" s="57" t="str">
        <f t="shared" si="25"/>
        <v>Control_Yellow_Yes</v>
      </c>
      <c r="N673" s="37">
        <v>695</v>
      </c>
      <c r="O673" s="57">
        <v>11.2</v>
      </c>
      <c r="P673" s="57">
        <v>89</v>
      </c>
      <c r="Q673" s="57">
        <v>11.59</v>
      </c>
      <c r="R673" s="57">
        <v>96</v>
      </c>
      <c r="S673" s="57">
        <v>14.91</v>
      </c>
      <c r="T673" s="57">
        <v>150</v>
      </c>
      <c r="U673" s="57">
        <v>15.96</v>
      </c>
      <c r="V673" s="57">
        <v>154</v>
      </c>
      <c r="W673" s="57">
        <v>18.29</v>
      </c>
      <c r="X673" s="57">
        <v>160</v>
      </c>
      <c r="Y673" s="57">
        <v>19.399999999999999</v>
      </c>
      <c r="Z673" s="57"/>
      <c r="AA673" s="57">
        <v>20.59</v>
      </c>
      <c r="AB673" s="57"/>
      <c r="AC673" s="57"/>
      <c r="AD673" s="57"/>
    </row>
    <row r="674" spans="1:30" s="38" customFormat="1" x14ac:dyDescent="0.2">
      <c r="A674" s="57" t="s">
        <v>234</v>
      </c>
      <c r="B674" s="57" t="s">
        <v>62</v>
      </c>
      <c r="C674" s="57" t="s">
        <v>32</v>
      </c>
      <c r="D674" s="57" t="s">
        <v>620</v>
      </c>
      <c r="E674" s="57">
        <v>2</v>
      </c>
      <c r="F674" s="57" t="str">
        <f t="shared" si="24"/>
        <v>B2_P2_C2_F2</v>
      </c>
      <c r="G674" s="57" t="s">
        <v>11</v>
      </c>
      <c r="H674" s="57" t="s">
        <v>133</v>
      </c>
      <c r="I674" s="57" t="str">
        <f t="shared" si="23"/>
        <v>B2-P2-C2</v>
      </c>
      <c r="J674" s="57" t="str">
        <f t="shared" si="22"/>
        <v>Robinia-B2-P2-C2-F2</v>
      </c>
      <c r="K674" s="57" t="s">
        <v>21</v>
      </c>
      <c r="L674" s="57" t="s">
        <v>44</v>
      </c>
      <c r="M674" s="57" t="str">
        <f t="shared" si="25"/>
        <v>Control_Yellow_Yes</v>
      </c>
      <c r="N674" s="37">
        <v>696</v>
      </c>
      <c r="O674" s="57">
        <v>2.5</v>
      </c>
      <c r="P674" s="57">
        <v>25</v>
      </c>
      <c r="Q674" s="57">
        <v>2.73</v>
      </c>
      <c r="R674" s="57">
        <v>25</v>
      </c>
      <c r="S674" s="57">
        <v>2.77</v>
      </c>
      <c r="T674" s="57">
        <v>25</v>
      </c>
      <c r="U674" s="57">
        <v>2.44</v>
      </c>
      <c r="V674" s="57">
        <v>25</v>
      </c>
      <c r="W674" s="57">
        <v>2.7</v>
      </c>
      <c r="X674" s="57">
        <v>25</v>
      </c>
      <c r="Y674" s="57">
        <v>2.7</v>
      </c>
      <c r="Z674" s="57"/>
      <c r="AA674" s="57">
        <v>2.7</v>
      </c>
      <c r="AB674" s="57"/>
      <c r="AC674" s="57"/>
      <c r="AD674" s="57"/>
    </row>
    <row r="675" spans="1:30" x14ac:dyDescent="0.2">
      <c r="A675" s="60" t="s">
        <v>234</v>
      </c>
      <c r="B675" s="60" t="s">
        <v>62</v>
      </c>
      <c r="C675" s="60" t="s">
        <v>53</v>
      </c>
      <c r="D675" s="60" t="s">
        <v>618</v>
      </c>
      <c r="E675" s="60">
        <v>1</v>
      </c>
      <c r="F675" s="60" t="str">
        <f t="shared" si="24"/>
        <v>B2_P2_C4_D1</v>
      </c>
      <c r="G675" s="60" t="s">
        <v>11</v>
      </c>
      <c r="H675" s="60" t="s">
        <v>133</v>
      </c>
      <c r="I675" s="60" t="str">
        <f t="shared" si="23"/>
        <v>B2-P2-C4</v>
      </c>
      <c r="J675" s="60" t="str">
        <f t="shared" si="22"/>
        <v>Robinia-B2-P2-C4-D1</v>
      </c>
      <c r="K675" s="60" t="s">
        <v>21</v>
      </c>
      <c r="L675" s="60" t="s">
        <v>44</v>
      </c>
      <c r="M675" s="60" t="str">
        <f t="shared" si="25"/>
        <v>Control_Yellow_Yes</v>
      </c>
      <c r="N675" s="15">
        <v>697</v>
      </c>
      <c r="O675" s="60">
        <v>2.7</v>
      </c>
      <c r="P675" s="60">
        <v>16</v>
      </c>
      <c r="Q675" s="60">
        <v>3</v>
      </c>
      <c r="R675" s="60">
        <v>17.5</v>
      </c>
      <c r="S675" s="3">
        <v>3.03</v>
      </c>
      <c r="T675" s="3">
        <v>29</v>
      </c>
      <c r="U675" s="3">
        <v>2.75</v>
      </c>
      <c r="V675" s="3">
        <v>30</v>
      </c>
      <c r="W675" s="3">
        <v>3.51</v>
      </c>
      <c r="X675" s="3">
        <v>37</v>
      </c>
      <c r="Y675" s="3">
        <v>3.8</v>
      </c>
      <c r="Z675" s="3"/>
      <c r="AA675" s="3">
        <v>3.75</v>
      </c>
      <c r="AB675" s="3"/>
      <c r="AC675" s="3"/>
      <c r="AD675" s="3"/>
    </row>
    <row r="676" spans="1:30" x14ac:dyDescent="0.2">
      <c r="A676" s="60" t="s">
        <v>234</v>
      </c>
      <c r="B676" s="60" t="s">
        <v>62</v>
      </c>
      <c r="C676" s="60" t="s">
        <v>53</v>
      </c>
      <c r="D676" s="60" t="s">
        <v>619</v>
      </c>
      <c r="E676" s="60">
        <v>1</v>
      </c>
      <c r="F676" s="60" t="str">
        <f t="shared" si="24"/>
        <v>B2_P2_C4_E1</v>
      </c>
      <c r="G676" s="60" t="s">
        <v>11</v>
      </c>
      <c r="H676" s="60" t="s">
        <v>133</v>
      </c>
      <c r="I676" s="60" t="str">
        <f t="shared" si="23"/>
        <v>B2-P2-C4</v>
      </c>
      <c r="J676" s="60" t="str">
        <f t="shared" si="22"/>
        <v>Robinia-B2-P2-C4-E1</v>
      </c>
      <c r="K676" s="60" t="s">
        <v>21</v>
      </c>
      <c r="L676" s="60" t="s">
        <v>44</v>
      </c>
      <c r="M676" s="60" t="str">
        <f t="shared" si="25"/>
        <v>Control_Yellow_Yes</v>
      </c>
      <c r="N676" s="15">
        <v>698</v>
      </c>
      <c r="O676" s="60">
        <v>1.6</v>
      </c>
      <c r="P676" s="60">
        <v>7</v>
      </c>
      <c r="Q676" s="60">
        <v>1.6</v>
      </c>
      <c r="R676" s="60">
        <v>7</v>
      </c>
      <c r="S676" s="3">
        <v>1.8</v>
      </c>
      <c r="T676" s="3">
        <v>7</v>
      </c>
      <c r="U676" s="3">
        <v>1.5</v>
      </c>
      <c r="V676" s="3">
        <v>7</v>
      </c>
      <c r="W676" s="3">
        <v>1.5</v>
      </c>
      <c r="X676" s="3">
        <v>7</v>
      </c>
      <c r="Y676" s="3">
        <v>1.5</v>
      </c>
      <c r="Z676" s="3"/>
      <c r="AA676" s="3">
        <v>1.5</v>
      </c>
      <c r="AB676" s="3"/>
      <c r="AC676" s="3"/>
      <c r="AD676" s="3"/>
    </row>
    <row r="677" spans="1:30" x14ac:dyDescent="0.2">
      <c r="A677" s="60" t="s">
        <v>234</v>
      </c>
      <c r="B677" s="60" t="s">
        <v>62</v>
      </c>
      <c r="C677" s="60" t="s">
        <v>53</v>
      </c>
      <c r="D677" s="60" t="s">
        <v>620</v>
      </c>
      <c r="E677" s="60">
        <v>1</v>
      </c>
      <c r="F677" s="60" t="str">
        <f t="shared" si="24"/>
        <v>B2_P2_C4_F1</v>
      </c>
      <c r="G677" s="60" t="s">
        <v>11</v>
      </c>
      <c r="H677" s="60" t="s">
        <v>133</v>
      </c>
      <c r="I677" s="60" t="str">
        <f t="shared" si="23"/>
        <v>B2-P2-C4</v>
      </c>
      <c r="J677" s="60" t="str">
        <f t="shared" si="22"/>
        <v>Robinia-B2-P2-C4-F1</v>
      </c>
      <c r="K677" s="60" t="s">
        <v>21</v>
      </c>
      <c r="L677" s="60" t="s">
        <v>44</v>
      </c>
      <c r="M677" s="60" t="str">
        <f t="shared" si="25"/>
        <v>Control_Yellow_Yes</v>
      </c>
      <c r="N677" s="15">
        <v>699</v>
      </c>
      <c r="O677" s="60">
        <v>9.1</v>
      </c>
      <c r="P677" s="60">
        <v>100</v>
      </c>
      <c r="Q677" s="60">
        <v>10.27</v>
      </c>
      <c r="R677" s="60">
        <v>111</v>
      </c>
      <c r="S677" s="3">
        <v>14.68</v>
      </c>
      <c r="T677" s="3">
        <v>165</v>
      </c>
      <c r="U677" s="3">
        <v>15.05</v>
      </c>
      <c r="V677" s="3">
        <v>162</v>
      </c>
      <c r="W677" s="3">
        <v>16.59</v>
      </c>
      <c r="X677" s="3">
        <v>176</v>
      </c>
      <c r="Y677" s="3">
        <v>16.989999999999998</v>
      </c>
      <c r="Z677" s="3"/>
      <c r="AA677" s="3">
        <v>16.690000000000001</v>
      </c>
      <c r="AB677" s="3"/>
      <c r="AC677" s="3"/>
      <c r="AD677" s="3"/>
    </row>
    <row r="678" spans="1:30" x14ac:dyDescent="0.2">
      <c r="A678" s="60" t="s">
        <v>234</v>
      </c>
      <c r="B678" s="60" t="s">
        <v>62</v>
      </c>
      <c r="C678" s="60" t="s">
        <v>53</v>
      </c>
      <c r="D678" s="60" t="s">
        <v>618</v>
      </c>
      <c r="E678" s="60">
        <v>2</v>
      </c>
      <c r="F678" s="60" t="str">
        <f t="shared" si="24"/>
        <v>B2_P2_C4_D2</v>
      </c>
      <c r="G678" s="60" t="s">
        <v>11</v>
      </c>
      <c r="H678" s="60" t="s">
        <v>133</v>
      </c>
      <c r="I678" s="60" t="str">
        <f t="shared" si="23"/>
        <v>B2-P2-C4</v>
      </c>
      <c r="J678" s="60" t="str">
        <f t="shared" si="22"/>
        <v>Robinia-B2-P2-C4-D2</v>
      </c>
      <c r="K678" s="60" t="s">
        <v>21</v>
      </c>
      <c r="L678" s="60" t="s">
        <v>44</v>
      </c>
      <c r="M678" s="60" t="str">
        <f t="shared" si="25"/>
        <v>Control_Yellow_Yes</v>
      </c>
      <c r="N678" s="15">
        <v>700</v>
      </c>
      <c r="O678" s="60">
        <v>2.4</v>
      </c>
      <c r="P678" s="60">
        <v>14</v>
      </c>
      <c r="Q678" s="60">
        <v>2.4</v>
      </c>
      <c r="R678" s="60">
        <v>14</v>
      </c>
      <c r="S678" s="3">
        <v>2.4500000000000002</v>
      </c>
      <c r="T678" s="3">
        <v>23</v>
      </c>
      <c r="U678" s="3">
        <v>2.4700000000000002</v>
      </c>
      <c r="V678" s="3">
        <v>22</v>
      </c>
      <c r="W678" s="3">
        <v>2.67</v>
      </c>
      <c r="X678" s="3">
        <v>26</v>
      </c>
      <c r="Y678" s="3">
        <v>3.01</v>
      </c>
      <c r="Z678" s="3"/>
      <c r="AA678" s="3">
        <v>3.64</v>
      </c>
      <c r="AB678" s="3"/>
      <c r="AC678" s="3"/>
      <c r="AD678" s="3"/>
    </row>
    <row r="679" spans="1:30" x14ac:dyDescent="0.2">
      <c r="A679" s="60" t="s">
        <v>234</v>
      </c>
      <c r="B679" s="60" t="s">
        <v>62</v>
      </c>
      <c r="C679" s="60" t="s">
        <v>53</v>
      </c>
      <c r="D679" s="60" t="s">
        <v>619</v>
      </c>
      <c r="E679" s="60">
        <v>2</v>
      </c>
      <c r="F679" s="60" t="str">
        <f t="shared" si="24"/>
        <v>B2_P2_C4_E2</v>
      </c>
      <c r="G679" s="60" t="s">
        <v>11</v>
      </c>
      <c r="H679" s="60" t="s">
        <v>133</v>
      </c>
      <c r="I679" s="60" t="str">
        <f t="shared" si="23"/>
        <v>B2-P2-C4</v>
      </c>
      <c r="J679" s="60" t="str">
        <f t="shared" si="22"/>
        <v>Robinia-B2-P2-C4-E2</v>
      </c>
      <c r="K679" s="60" t="s">
        <v>21</v>
      </c>
      <c r="L679" s="60" t="s">
        <v>44</v>
      </c>
      <c r="M679" s="60" t="str">
        <f t="shared" si="25"/>
        <v>Control_Yellow_Yes</v>
      </c>
      <c r="N679" s="15">
        <v>701</v>
      </c>
      <c r="O679" s="60">
        <v>11.4</v>
      </c>
      <c r="P679" s="60">
        <v>104</v>
      </c>
      <c r="Q679" s="60">
        <v>13.08</v>
      </c>
      <c r="R679" s="60">
        <v>107.9</v>
      </c>
      <c r="S679" s="3">
        <v>16.97</v>
      </c>
      <c r="T679" s="3">
        <v>158</v>
      </c>
      <c r="U679" s="3">
        <v>18.190000000000001</v>
      </c>
      <c r="V679" s="3">
        <v>156</v>
      </c>
      <c r="W679" s="3">
        <v>20.05</v>
      </c>
      <c r="X679" s="3">
        <v>166</v>
      </c>
      <c r="Y679" s="3">
        <v>21.63</v>
      </c>
      <c r="Z679" s="3"/>
      <c r="AA679" s="3">
        <v>22.43</v>
      </c>
      <c r="AB679" s="3"/>
      <c r="AC679" s="3"/>
      <c r="AD679" s="3"/>
    </row>
    <row r="680" spans="1:30" x14ac:dyDescent="0.2">
      <c r="A680" s="60" t="s">
        <v>234</v>
      </c>
      <c r="B680" s="60" t="s">
        <v>62</v>
      </c>
      <c r="C680" s="60" t="s">
        <v>53</v>
      </c>
      <c r="D680" s="60" t="s">
        <v>620</v>
      </c>
      <c r="E680" s="60">
        <v>2</v>
      </c>
      <c r="F680" s="60" t="str">
        <f t="shared" si="24"/>
        <v>B2_P2_C4_F2</v>
      </c>
      <c r="G680" s="60" t="s">
        <v>11</v>
      </c>
      <c r="H680" s="60" t="s">
        <v>133</v>
      </c>
      <c r="I680" s="60" t="str">
        <f t="shared" si="23"/>
        <v>B2-P2-C4</v>
      </c>
      <c r="J680" s="60" t="str">
        <f t="shared" si="22"/>
        <v>Robinia-B2-P2-C4-F2</v>
      </c>
      <c r="K680" s="60" t="s">
        <v>21</v>
      </c>
      <c r="L680" s="60" t="s">
        <v>44</v>
      </c>
      <c r="M680" s="60" t="str">
        <f t="shared" si="25"/>
        <v>Control_Yellow_Yes</v>
      </c>
      <c r="N680" s="15">
        <v>702</v>
      </c>
      <c r="O680" s="60">
        <v>4.5999999999999996</v>
      </c>
      <c r="P680" s="60">
        <v>46</v>
      </c>
      <c r="Q680" s="60">
        <v>4.82</v>
      </c>
      <c r="R680" s="60">
        <v>48</v>
      </c>
      <c r="S680" s="3">
        <v>6.67</v>
      </c>
      <c r="T680" s="3">
        <v>85</v>
      </c>
      <c r="U680" s="3">
        <v>7.02</v>
      </c>
      <c r="V680" s="3">
        <v>85</v>
      </c>
      <c r="W680" s="3">
        <v>8.26</v>
      </c>
      <c r="X680" s="3">
        <v>98</v>
      </c>
      <c r="Y680" s="3">
        <v>8.92</v>
      </c>
      <c r="Z680" s="3"/>
      <c r="AA680" s="3">
        <v>9.64</v>
      </c>
      <c r="AB680" s="3"/>
      <c r="AC680" s="3"/>
      <c r="AD680" s="3"/>
    </row>
    <row r="681" spans="1:30" s="38" customFormat="1" x14ac:dyDescent="0.2">
      <c r="A681" s="57" t="s">
        <v>234</v>
      </c>
      <c r="B681" s="57" t="s">
        <v>98</v>
      </c>
      <c r="C681" s="57" t="s">
        <v>32</v>
      </c>
      <c r="D681" s="57" t="s">
        <v>618</v>
      </c>
      <c r="E681" s="57">
        <v>1</v>
      </c>
      <c r="F681" s="57" t="str">
        <f t="shared" si="24"/>
        <v>B2_P3_C2_D1</v>
      </c>
      <c r="G681" s="57" t="s">
        <v>11</v>
      </c>
      <c r="H681" s="57" t="s">
        <v>133</v>
      </c>
      <c r="I681" s="57" t="str">
        <f t="shared" si="23"/>
        <v>B2-P3-C2</v>
      </c>
      <c r="J681" s="57" t="str">
        <f t="shared" si="22"/>
        <v>Robinia-B2-P3-C2-D1</v>
      </c>
      <c r="K681" s="57" t="s">
        <v>64</v>
      </c>
      <c r="L681" s="57" t="s">
        <v>44</v>
      </c>
      <c r="M681" s="57" t="str">
        <f t="shared" si="25"/>
        <v>Control_Grey_Yes</v>
      </c>
      <c r="N681" s="37">
        <v>703</v>
      </c>
      <c r="O681" s="57">
        <v>15.6</v>
      </c>
      <c r="P681" s="57">
        <v>140</v>
      </c>
      <c r="Q681" s="57">
        <v>16.3</v>
      </c>
      <c r="R681" s="57">
        <v>140</v>
      </c>
      <c r="S681" s="57">
        <v>19.829999999999998</v>
      </c>
      <c r="T681" s="57">
        <v>84</v>
      </c>
      <c r="U681" s="57">
        <v>19.7</v>
      </c>
      <c r="V681" s="57">
        <v>90</v>
      </c>
      <c r="W681" s="57">
        <v>20.74</v>
      </c>
      <c r="X681" s="57">
        <v>113</v>
      </c>
      <c r="Y681" s="57">
        <v>20.91</v>
      </c>
      <c r="Z681" s="57"/>
      <c r="AA681" s="57">
        <v>21.04</v>
      </c>
      <c r="AB681" s="57"/>
      <c r="AC681" s="57"/>
      <c r="AD681" s="57"/>
    </row>
    <row r="682" spans="1:30" s="38" customFormat="1" x14ac:dyDescent="0.2">
      <c r="A682" s="57" t="s">
        <v>234</v>
      </c>
      <c r="B682" s="57" t="s">
        <v>98</v>
      </c>
      <c r="C682" s="57" t="s">
        <v>32</v>
      </c>
      <c r="D682" s="57" t="s">
        <v>619</v>
      </c>
      <c r="E682" s="57">
        <v>1</v>
      </c>
      <c r="F682" s="57" t="str">
        <f t="shared" si="24"/>
        <v>B2_P3_C2_E1</v>
      </c>
      <c r="G682" s="57" t="s">
        <v>11</v>
      </c>
      <c r="H682" s="57" t="s">
        <v>133</v>
      </c>
      <c r="I682" s="57" t="str">
        <f t="shared" si="23"/>
        <v>B2-P3-C2</v>
      </c>
      <c r="J682" s="57" t="str">
        <f t="shared" si="22"/>
        <v>Robinia-B2-P3-C2-E1</v>
      </c>
      <c r="K682" s="57" t="s">
        <v>64</v>
      </c>
      <c r="L682" s="57" t="s">
        <v>44</v>
      </c>
      <c r="M682" s="57" t="str">
        <f t="shared" si="25"/>
        <v>Control_Grey_Yes</v>
      </c>
      <c r="N682" s="37">
        <v>704</v>
      </c>
      <c r="O682" s="57">
        <v>14.6</v>
      </c>
      <c r="P682" s="57">
        <v>123</v>
      </c>
      <c r="Q682" s="57">
        <v>15.64</v>
      </c>
      <c r="R682" s="57">
        <v>126</v>
      </c>
      <c r="S682" s="57">
        <v>19.059999999999999</v>
      </c>
      <c r="T682" s="57">
        <v>136</v>
      </c>
      <c r="U682" s="57">
        <v>19.649999999999999</v>
      </c>
      <c r="V682" s="57">
        <v>145</v>
      </c>
      <c r="W682" s="57">
        <v>20.5</v>
      </c>
      <c r="X682" s="57">
        <v>165</v>
      </c>
      <c r="Y682" s="57">
        <v>21.36</v>
      </c>
      <c r="Z682" s="57"/>
      <c r="AA682" s="57">
        <v>21.66</v>
      </c>
      <c r="AB682" s="57"/>
      <c r="AC682" s="57"/>
      <c r="AD682" s="57"/>
    </row>
    <row r="683" spans="1:30" s="38" customFormat="1" x14ac:dyDescent="0.2">
      <c r="A683" s="57" t="s">
        <v>234</v>
      </c>
      <c r="B683" s="57" t="s">
        <v>98</v>
      </c>
      <c r="C683" s="57" t="s">
        <v>32</v>
      </c>
      <c r="D683" s="57" t="s">
        <v>620</v>
      </c>
      <c r="E683" s="57">
        <v>1</v>
      </c>
      <c r="F683" s="57" t="str">
        <f t="shared" si="24"/>
        <v>B2_P3_C2_F1</v>
      </c>
      <c r="G683" s="57" t="s">
        <v>11</v>
      </c>
      <c r="H683" s="57" t="s">
        <v>133</v>
      </c>
      <c r="I683" s="57" t="str">
        <f t="shared" si="23"/>
        <v>B2-P3-C2</v>
      </c>
      <c r="J683" s="57" t="str">
        <f t="shared" si="22"/>
        <v>Robinia-B2-P3-C2-F1</v>
      </c>
      <c r="K683" s="57" t="s">
        <v>64</v>
      </c>
      <c r="L683" s="57" t="s">
        <v>44</v>
      </c>
      <c r="M683" s="57" t="str">
        <f t="shared" si="25"/>
        <v>Control_Grey_Yes</v>
      </c>
      <c r="N683" s="37">
        <v>705</v>
      </c>
      <c r="O683" s="57">
        <v>14.5</v>
      </c>
      <c r="P683" s="57">
        <v>119</v>
      </c>
      <c r="Q683" s="57">
        <v>15.35</v>
      </c>
      <c r="R683" s="57">
        <v>126</v>
      </c>
      <c r="S683" s="57">
        <v>16.93</v>
      </c>
      <c r="T683" s="57">
        <v>156</v>
      </c>
      <c r="U683" s="57">
        <v>18.96</v>
      </c>
      <c r="V683" s="57">
        <v>156</v>
      </c>
      <c r="W683" s="57">
        <v>20.5</v>
      </c>
      <c r="X683" s="57">
        <v>163</v>
      </c>
      <c r="Y683" s="57">
        <v>20.88</v>
      </c>
      <c r="Z683" s="57"/>
      <c r="AA683" s="57">
        <v>21.5</v>
      </c>
      <c r="AB683" s="57"/>
      <c r="AC683" s="57"/>
      <c r="AD683" s="57"/>
    </row>
    <row r="684" spans="1:30" s="38" customFormat="1" x14ac:dyDescent="0.2">
      <c r="A684" s="57" t="s">
        <v>234</v>
      </c>
      <c r="B684" s="57" t="s">
        <v>98</v>
      </c>
      <c r="C684" s="57" t="s">
        <v>32</v>
      </c>
      <c r="D684" s="57" t="s">
        <v>618</v>
      </c>
      <c r="E684" s="57">
        <v>2</v>
      </c>
      <c r="F684" s="57" t="str">
        <f t="shared" si="24"/>
        <v>B2_P3_C2_D2</v>
      </c>
      <c r="G684" s="57" t="s">
        <v>11</v>
      </c>
      <c r="H684" s="57" t="s">
        <v>133</v>
      </c>
      <c r="I684" s="57" t="str">
        <f t="shared" si="23"/>
        <v>B2-P3-C2</v>
      </c>
      <c r="J684" s="57" t="str">
        <f t="shared" si="22"/>
        <v>Robinia-B2-P3-C2-D2</v>
      </c>
      <c r="K684" s="57" t="s">
        <v>64</v>
      </c>
      <c r="L684" s="57" t="s">
        <v>44</v>
      </c>
      <c r="M684" s="57" t="str">
        <f t="shared" si="25"/>
        <v>Control_Grey_Yes</v>
      </c>
      <c r="N684" s="37">
        <v>706</v>
      </c>
      <c r="O684" s="57">
        <v>15.3</v>
      </c>
      <c r="P684" s="57">
        <v>175</v>
      </c>
      <c r="Q684" s="57">
        <v>16.07</v>
      </c>
      <c r="R684" s="57">
        <v>182</v>
      </c>
      <c r="S684" s="57">
        <v>19.09</v>
      </c>
      <c r="T684" s="57">
        <v>215</v>
      </c>
      <c r="U684" s="57">
        <v>21.15</v>
      </c>
      <c r="V684" s="57">
        <v>218</v>
      </c>
      <c r="W684" s="57">
        <v>22.71</v>
      </c>
      <c r="X684" s="57">
        <v>228</v>
      </c>
      <c r="Y684" s="57">
        <v>24.74</v>
      </c>
      <c r="Z684" s="57"/>
      <c r="AA684" s="57">
        <v>24.6</v>
      </c>
      <c r="AB684" s="57"/>
      <c r="AC684" s="57"/>
      <c r="AD684" s="57"/>
    </row>
    <row r="685" spans="1:30" s="38" customFormat="1" x14ac:dyDescent="0.2">
      <c r="A685" s="57" t="s">
        <v>234</v>
      </c>
      <c r="B685" s="57" t="s">
        <v>98</v>
      </c>
      <c r="C685" s="57" t="s">
        <v>32</v>
      </c>
      <c r="D685" s="57" t="s">
        <v>619</v>
      </c>
      <c r="E685" s="57">
        <v>2</v>
      </c>
      <c r="F685" s="57" t="str">
        <f t="shared" si="24"/>
        <v>B2_P3_C2_E2</v>
      </c>
      <c r="G685" s="57" t="s">
        <v>11</v>
      </c>
      <c r="H685" s="57" t="s">
        <v>133</v>
      </c>
      <c r="I685" s="57" t="str">
        <f t="shared" si="23"/>
        <v>B2-P3-C2</v>
      </c>
      <c r="J685" s="57" t="str">
        <f t="shared" ref="J685:J748" si="26">G685&amp;"-"&amp;A685&amp;"-"&amp;B685&amp;"-"&amp;C685&amp;"-"&amp;D685&amp;E685</f>
        <v>Robinia-B2-P3-C2-E2</v>
      </c>
      <c r="K685" s="57" t="s">
        <v>64</v>
      </c>
      <c r="L685" s="57" t="s">
        <v>44</v>
      </c>
      <c r="M685" s="57" t="str">
        <f t="shared" si="25"/>
        <v>Control_Grey_Yes</v>
      </c>
      <c r="N685" s="37">
        <v>707</v>
      </c>
      <c r="O685" s="57">
        <v>13.4</v>
      </c>
      <c r="P685" s="57">
        <v>120</v>
      </c>
      <c r="Q685" s="57">
        <v>15.51</v>
      </c>
      <c r="R685" s="57">
        <v>128</v>
      </c>
      <c r="S685" s="57">
        <v>17.98</v>
      </c>
      <c r="T685" s="57">
        <v>155</v>
      </c>
      <c r="U685" s="57">
        <v>19.170000000000002</v>
      </c>
      <c r="V685" s="57">
        <v>158</v>
      </c>
      <c r="W685" s="57">
        <v>20.94</v>
      </c>
      <c r="X685" s="57">
        <v>170</v>
      </c>
      <c r="Y685" s="57">
        <v>22.24</v>
      </c>
      <c r="Z685" s="57"/>
      <c r="AA685" s="57">
        <v>22.3</v>
      </c>
      <c r="AB685" s="57"/>
      <c r="AC685" s="57"/>
      <c r="AD685" s="57"/>
    </row>
    <row r="686" spans="1:30" s="38" customFormat="1" x14ac:dyDescent="0.2">
      <c r="A686" s="57" t="s">
        <v>234</v>
      </c>
      <c r="B686" s="57" t="s">
        <v>98</v>
      </c>
      <c r="C686" s="57" t="s">
        <v>32</v>
      </c>
      <c r="D686" s="57" t="s">
        <v>620</v>
      </c>
      <c r="E686" s="57">
        <v>2</v>
      </c>
      <c r="F686" s="57" t="str">
        <f t="shared" si="24"/>
        <v>B2_P3_C2_F2</v>
      </c>
      <c r="G686" s="57" t="s">
        <v>11</v>
      </c>
      <c r="H686" s="57" t="s">
        <v>133</v>
      </c>
      <c r="I686" s="57" t="str">
        <f t="shared" si="23"/>
        <v>B2-P3-C2</v>
      </c>
      <c r="J686" s="57" t="str">
        <f t="shared" si="26"/>
        <v>Robinia-B2-P3-C2-F2</v>
      </c>
      <c r="K686" s="57" t="s">
        <v>64</v>
      </c>
      <c r="L686" s="57" t="s">
        <v>44</v>
      </c>
      <c r="M686" s="57" t="str">
        <f t="shared" si="25"/>
        <v>Control_Grey_Yes</v>
      </c>
      <c r="N686" s="37">
        <v>708</v>
      </c>
      <c r="O686" s="57">
        <v>9.5</v>
      </c>
      <c r="P686" s="57">
        <v>79</v>
      </c>
      <c r="Q686" s="57">
        <v>11.17</v>
      </c>
      <c r="R686" s="57">
        <v>86</v>
      </c>
      <c r="S686" s="57">
        <v>12.37</v>
      </c>
      <c r="T686" s="57">
        <v>120</v>
      </c>
      <c r="U686" s="57">
        <v>13.99</v>
      </c>
      <c r="V686" s="57">
        <v>124</v>
      </c>
      <c r="W686" s="57">
        <v>15.75</v>
      </c>
      <c r="X686" s="57">
        <v>147</v>
      </c>
      <c r="Y686" s="57">
        <v>16.53</v>
      </c>
      <c r="Z686" s="57"/>
      <c r="AA686" s="57">
        <v>16.13</v>
      </c>
      <c r="AB686" s="57"/>
      <c r="AC686" s="57"/>
      <c r="AD686" s="57"/>
    </row>
    <row r="687" spans="1:30" x14ac:dyDescent="0.2">
      <c r="A687" s="60" t="s">
        <v>234</v>
      </c>
      <c r="B687" s="60" t="s">
        <v>131</v>
      </c>
      <c r="C687" s="60" t="s">
        <v>16</v>
      </c>
      <c r="D687" s="60" t="s">
        <v>618</v>
      </c>
      <c r="E687" s="60">
        <v>1</v>
      </c>
      <c r="F687" s="60" t="str">
        <f t="shared" si="24"/>
        <v>B2_P4_C1_D1</v>
      </c>
      <c r="G687" s="60" t="s">
        <v>11</v>
      </c>
      <c r="H687" s="60" t="s">
        <v>20</v>
      </c>
      <c r="I687" s="60" t="str">
        <f t="shared" si="23"/>
        <v>B2-P4-C1</v>
      </c>
      <c r="J687" s="60" t="str">
        <f t="shared" si="26"/>
        <v>Robinia-B2-P4-C1-D1</v>
      </c>
      <c r="K687" s="60" t="s">
        <v>64</v>
      </c>
      <c r="L687" s="60" t="s">
        <v>44</v>
      </c>
      <c r="M687" s="60" t="str">
        <f t="shared" si="25"/>
        <v>Drought_Grey_Yes</v>
      </c>
      <c r="N687" s="15">
        <v>709</v>
      </c>
      <c r="O687" s="60">
        <v>13.7</v>
      </c>
      <c r="P687" s="60">
        <v>145</v>
      </c>
      <c r="Q687" s="60">
        <v>14.99</v>
      </c>
      <c r="R687" s="60">
        <v>153</v>
      </c>
      <c r="S687" s="3">
        <v>16.03</v>
      </c>
      <c r="T687" s="3">
        <v>150</v>
      </c>
      <c r="U687" s="3">
        <v>16.54</v>
      </c>
      <c r="V687" s="3">
        <v>163</v>
      </c>
      <c r="W687" s="3">
        <v>16.489999999999998</v>
      </c>
      <c r="X687" s="3">
        <v>173</v>
      </c>
      <c r="Y687" s="3">
        <v>17.55</v>
      </c>
      <c r="Z687" s="3"/>
      <c r="AA687" s="3">
        <v>18.55</v>
      </c>
      <c r="AB687" s="3"/>
      <c r="AC687" s="3"/>
      <c r="AD687" s="3"/>
    </row>
    <row r="688" spans="1:30" x14ac:dyDescent="0.2">
      <c r="A688" s="60" t="s">
        <v>234</v>
      </c>
      <c r="B688" s="60" t="s">
        <v>131</v>
      </c>
      <c r="C688" s="60" t="s">
        <v>16</v>
      </c>
      <c r="D688" s="60" t="s">
        <v>619</v>
      </c>
      <c r="E688" s="60">
        <v>1</v>
      </c>
      <c r="F688" s="60" t="str">
        <f t="shared" si="24"/>
        <v>B2_P4_C1_E1</v>
      </c>
      <c r="G688" s="60" t="s">
        <v>11</v>
      </c>
      <c r="H688" s="60" t="s">
        <v>20</v>
      </c>
      <c r="I688" s="60" t="str">
        <f t="shared" si="23"/>
        <v>B2-P4-C1</v>
      </c>
      <c r="J688" s="60" t="str">
        <f t="shared" si="26"/>
        <v>Robinia-B2-P4-C1-E1</v>
      </c>
      <c r="K688" s="60" t="s">
        <v>64</v>
      </c>
      <c r="L688" s="60" t="s">
        <v>44</v>
      </c>
      <c r="M688" s="60" t="str">
        <f t="shared" si="25"/>
        <v>Drought_Grey_Yes</v>
      </c>
      <c r="N688" s="15">
        <v>710</v>
      </c>
      <c r="O688" s="60">
        <v>10.1</v>
      </c>
      <c r="P688" s="60">
        <v>108</v>
      </c>
      <c r="Q688" s="60">
        <v>11.38</v>
      </c>
      <c r="R688" s="60">
        <v>114</v>
      </c>
      <c r="S688" s="3">
        <v>15.66</v>
      </c>
      <c r="T688" s="3">
        <v>131</v>
      </c>
      <c r="U688" s="3">
        <v>15.61</v>
      </c>
      <c r="V688" s="3">
        <v>130</v>
      </c>
      <c r="W688" s="3">
        <v>15</v>
      </c>
      <c r="X688" s="3">
        <v>146</v>
      </c>
      <c r="Y688" s="3">
        <v>14.16</v>
      </c>
      <c r="Z688" s="3"/>
      <c r="AA688" s="3">
        <v>13.99</v>
      </c>
      <c r="AB688" s="3"/>
      <c r="AC688" s="3"/>
      <c r="AD688" s="3"/>
    </row>
    <row r="689" spans="1:30" x14ac:dyDescent="0.2">
      <c r="A689" s="60" t="s">
        <v>234</v>
      </c>
      <c r="B689" s="60" t="s">
        <v>131</v>
      </c>
      <c r="C689" s="60" t="s">
        <v>16</v>
      </c>
      <c r="D689" s="60" t="s">
        <v>620</v>
      </c>
      <c r="E689" s="60">
        <v>1</v>
      </c>
      <c r="F689" s="60" t="str">
        <f t="shared" si="24"/>
        <v>B2_P4_C1_F1</v>
      </c>
      <c r="G689" s="60" t="s">
        <v>11</v>
      </c>
      <c r="H689" s="60" t="s">
        <v>20</v>
      </c>
      <c r="I689" s="60" t="str">
        <f t="shared" si="23"/>
        <v>B2-P4-C1</v>
      </c>
      <c r="J689" s="60" t="str">
        <f t="shared" si="26"/>
        <v>Robinia-B2-P4-C1-F1</v>
      </c>
      <c r="K689" s="60" t="s">
        <v>64</v>
      </c>
      <c r="L689" s="60" t="s">
        <v>44</v>
      </c>
      <c r="M689" s="60" t="str">
        <f t="shared" si="25"/>
        <v>Drought_Grey_Yes</v>
      </c>
      <c r="N689" s="15">
        <v>711</v>
      </c>
      <c r="O689" s="60">
        <v>14.4</v>
      </c>
      <c r="P689" s="60">
        <v>142</v>
      </c>
      <c r="Q689" s="60">
        <v>15.52</v>
      </c>
      <c r="R689" s="60">
        <v>156</v>
      </c>
      <c r="S689" s="3">
        <v>16.399999999999999</v>
      </c>
      <c r="T689" s="3">
        <v>172</v>
      </c>
      <c r="U689" s="3">
        <v>16.91</v>
      </c>
      <c r="V689" s="3">
        <v>164</v>
      </c>
      <c r="W689" s="3">
        <v>17.14</v>
      </c>
      <c r="X689" s="3">
        <v>166</v>
      </c>
      <c r="Y689" s="3">
        <v>18.97</v>
      </c>
      <c r="Z689" s="3"/>
      <c r="AA689" s="3">
        <v>18.13</v>
      </c>
      <c r="AB689" s="3"/>
      <c r="AC689" s="3"/>
      <c r="AD689" s="3"/>
    </row>
    <row r="690" spans="1:30" x14ac:dyDescent="0.2">
      <c r="A690" s="60" t="s">
        <v>234</v>
      </c>
      <c r="B690" s="60" t="s">
        <v>131</v>
      </c>
      <c r="C690" s="60" t="s">
        <v>16</v>
      </c>
      <c r="D690" s="60" t="s">
        <v>618</v>
      </c>
      <c r="E690" s="60">
        <v>2</v>
      </c>
      <c r="F690" s="60" t="str">
        <f t="shared" si="24"/>
        <v>B2_P4_C1_D2</v>
      </c>
      <c r="G690" s="60" t="s">
        <v>11</v>
      </c>
      <c r="H690" s="60" t="s">
        <v>20</v>
      </c>
      <c r="I690" s="60" t="str">
        <f t="shared" si="23"/>
        <v>B2-P4-C1</v>
      </c>
      <c r="J690" s="60" t="str">
        <f t="shared" si="26"/>
        <v>Robinia-B2-P4-C1-D2</v>
      </c>
      <c r="K690" s="60" t="s">
        <v>64</v>
      </c>
      <c r="L690" s="60" t="s">
        <v>44</v>
      </c>
      <c r="M690" s="60" t="str">
        <f t="shared" si="25"/>
        <v>Drought_Grey_Yes</v>
      </c>
      <c r="N690" s="15">
        <v>712</v>
      </c>
      <c r="O690" s="60">
        <v>17.600000000000001</v>
      </c>
      <c r="P690" s="60">
        <v>180</v>
      </c>
      <c r="Q690" s="60">
        <v>18.96</v>
      </c>
      <c r="R690" s="60">
        <v>188</v>
      </c>
      <c r="S690" s="3">
        <v>19.399999999999999</v>
      </c>
      <c r="T690" s="3">
        <v>210</v>
      </c>
      <c r="U690" s="3">
        <v>19.559999999999999</v>
      </c>
      <c r="V690" s="3">
        <v>213</v>
      </c>
      <c r="W690" s="3">
        <v>20.76</v>
      </c>
      <c r="X690" s="3">
        <v>220</v>
      </c>
      <c r="Y690" s="3">
        <v>22.21</v>
      </c>
      <c r="Z690" s="3"/>
      <c r="AA690" s="3">
        <v>22.52</v>
      </c>
      <c r="AB690" s="3"/>
      <c r="AC690" s="3"/>
      <c r="AD690" s="3"/>
    </row>
    <row r="691" spans="1:30" x14ac:dyDescent="0.2">
      <c r="A691" s="60" t="s">
        <v>234</v>
      </c>
      <c r="B691" s="60" t="s">
        <v>131</v>
      </c>
      <c r="C691" s="60" t="s">
        <v>16</v>
      </c>
      <c r="D691" s="60" t="s">
        <v>619</v>
      </c>
      <c r="E691" s="60">
        <v>2</v>
      </c>
      <c r="F691" s="60" t="str">
        <f t="shared" si="24"/>
        <v>B2_P4_C1_E2</v>
      </c>
      <c r="G691" s="60" t="s">
        <v>11</v>
      </c>
      <c r="H691" s="60" t="s">
        <v>20</v>
      </c>
      <c r="I691" s="60" t="str">
        <f t="shared" si="23"/>
        <v>B2-P4-C1</v>
      </c>
      <c r="J691" s="60" t="str">
        <f t="shared" si="26"/>
        <v>Robinia-B2-P4-C1-E2</v>
      </c>
      <c r="K691" s="60" t="s">
        <v>64</v>
      </c>
      <c r="L691" s="60" t="s">
        <v>44</v>
      </c>
      <c r="M691" s="60" t="str">
        <f t="shared" si="25"/>
        <v>Drought_Grey_Yes</v>
      </c>
      <c r="N691" s="15">
        <v>713</v>
      </c>
      <c r="O691" s="60">
        <v>6.9</v>
      </c>
      <c r="P691" s="60">
        <v>75</v>
      </c>
      <c r="Q691" s="60">
        <v>7.57</v>
      </c>
      <c r="R691" s="60">
        <v>87</v>
      </c>
      <c r="S691" s="3">
        <v>8.59</v>
      </c>
      <c r="T691" s="3">
        <v>105</v>
      </c>
      <c r="U691" s="3">
        <v>8.9499999999999993</v>
      </c>
      <c r="V691" s="3">
        <v>102</v>
      </c>
      <c r="W691" s="3">
        <v>8.6300000000000008</v>
      </c>
      <c r="X691" s="3">
        <v>100</v>
      </c>
      <c r="Y691" s="3">
        <v>9.32</v>
      </c>
      <c r="Z691" s="3"/>
      <c r="AA691" s="3">
        <v>9.06</v>
      </c>
      <c r="AB691" s="3"/>
      <c r="AC691" s="3"/>
      <c r="AD691" s="3"/>
    </row>
    <row r="692" spans="1:30" x14ac:dyDescent="0.2">
      <c r="A692" s="60" t="s">
        <v>234</v>
      </c>
      <c r="B692" s="60" t="s">
        <v>131</v>
      </c>
      <c r="C692" s="60" t="s">
        <v>16</v>
      </c>
      <c r="D692" s="60" t="s">
        <v>620</v>
      </c>
      <c r="E692" s="60">
        <v>2</v>
      </c>
      <c r="F692" s="60" t="str">
        <f t="shared" si="24"/>
        <v>B2_P4_C1_F2</v>
      </c>
      <c r="G692" s="60" t="s">
        <v>11</v>
      </c>
      <c r="H692" s="60" t="s">
        <v>20</v>
      </c>
      <c r="I692" s="60" t="str">
        <f t="shared" si="23"/>
        <v>B2-P4-C1</v>
      </c>
      <c r="J692" s="60" t="str">
        <f t="shared" si="26"/>
        <v>Robinia-B2-P4-C1-F2</v>
      </c>
      <c r="K692" s="60" t="s">
        <v>64</v>
      </c>
      <c r="L692" s="60" t="s">
        <v>44</v>
      </c>
      <c r="M692" s="60" t="str">
        <f t="shared" si="25"/>
        <v>Drought_Grey_Yes</v>
      </c>
      <c r="N692" s="15">
        <v>714</v>
      </c>
      <c r="O692" s="60">
        <v>8.5</v>
      </c>
      <c r="P692" s="60">
        <v>96</v>
      </c>
      <c r="Q692" s="60">
        <v>9.33</v>
      </c>
      <c r="R692" s="60">
        <v>109</v>
      </c>
      <c r="S692" s="3">
        <v>10.01</v>
      </c>
      <c r="T692" s="3">
        <v>128</v>
      </c>
      <c r="U692" s="3">
        <v>10.08</v>
      </c>
      <c r="V692" s="3">
        <v>125</v>
      </c>
      <c r="W692" s="3">
        <v>10.210000000000001</v>
      </c>
      <c r="X692" s="3">
        <v>125</v>
      </c>
      <c r="Y692" s="3">
        <v>10.62</v>
      </c>
      <c r="Z692" s="3"/>
      <c r="AA692" s="3">
        <v>10.89</v>
      </c>
      <c r="AB692" s="3"/>
      <c r="AC692" s="3"/>
      <c r="AD692" s="3"/>
    </row>
    <row r="693" spans="1:30" s="38" customFormat="1" x14ac:dyDescent="0.2">
      <c r="A693" s="57" t="s">
        <v>234</v>
      </c>
      <c r="B693" s="57" t="s">
        <v>131</v>
      </c>
      <c r="C693" s="57" t="s">
        <v>32</v>
      </c>
      <c r="D693" s="57" t="s">
        <v>618</v>
      </c>
      <c r="E693" s="57">
        <v>1</v>
      </c>
      <c r="F693" s="57" t="str">
        <f t="shared" si="24"/>
        <v>B2_P4_C2_D1</v>
      </c>
      <c r="G693" s="57" t="s">
        <v>11</v>
      </c>
      <c r="H693" s="57" t="s">
        <v>20</v>
      </c>
      <c r="I693" s="57" t="str">
        <f t="shared" si="23"/>
        <v>B2-P4-C2</v>
      </c>
      <c r="J693" s="57" t="str">
        <f t="shared" si="26"/>
        <v>Robinia-B2-P4-C2-D1</v>
      </c>
      <c r="K693" s="57" t="s">
        <v>64</v>
      </c>
      <c r="L693" s="57" t="s">
        <v>44</v>
      </c>
      <c r="M693" s="57" t="str">
        <f t="shared" si="25"/>
        <v>Drought_Grey_Yes</v>
      </c>
      <c r="N693" s="37">
        <v>715</v>
      </c>
      <c r="O693" s="57">
        <v>10.4</v>
      </c>
      <c r="P693" s="57">
        <v>108</v>
      </c>
      <c r="Q693" s="57">
        <v>10.83</v>
      </c>
      <c r="R693" s="57">
        <v>114</v>
      </c>
      <c r="S693" s="57">
        <v>11.54</v>
      </c>
      <c r="T693" s="57">
        <v>142</v>
      </c>
      <c r="U693" s="57">
        <v>12.1</v>
      </c>
      <c r="V693" s="57">
        <v>136</v>
      </c>
      <c r="W693" s="57">
        <v>12.77</v>
      </c>
      <c r="X693" s="57">
        <v>151</v>
      </c>
      <c r="Y693" s="57">
        <v>13.65</v>
      </c>
      <c r="Z693" s="57"/>
      <c r="AA693" s="57">
        <v>14.78</v>
      </c>
      <c r="AB693" s="57"/>
      <c r="AC693" s="57"/>
      <c r="AD693" s="57"/>
    </row>
    <row r="694" spans="1:30" s="38" customFormat="1" x14ac:dyDescent="0.2">
      <c r="A694" s="57" t="s">
        <v>234</v>
      </c>
      <c r="B694" s="57" t="s">
        <v>131</v>
      </c>
      <c r="C694" s="57" t="s">
        <v>32</v>
      </c>
      <c r="D694" s="57" t="s">
        <v>619</v>
      </c>
      <c r="E694" s="57">
        <v>1</v>
      </c>
      <c r="F694" s="57" t="str">
        <f t="shared" si="24"/>
        <v>B2_P4_C2_E1</v>
      </c>
      <c r="G694" s="57" t="s">
        <v>11</v>
      </c>
      <c r="H694" s="57" t="s">
        <v>20</v>
      </c>
      <c r="I694" s="57" t="str">
        <f t="shared" si="23"/>
        <v>B2-P4-C2</v>
      </c>
      <c r="J694" s="57" t="str">
        <f t="shared" si="26"/>
        <v>Robinia-B2-P4-C2-E1</v>
      </c>
      <c r="K694" s="57" t="s">
        <v>64</v>
      </c>
      <c r="L694" s="57" t="s">
        <v>44</v>
      </c>
      <c r="M694" s="57" t="str">
        <f t="shared" si="25"/>
        <v>Drought_Grey_Yes</v>
      </c>
      <c r="N694" s="37">
        <v>716</v>
      </c>
      <c r="O694" s="57">
        <v>8.3000000000000007</v>
      </c>
      <c r="P694" s="57">
        <v>86</v>
      </c>
      <c r="Q694" s="57">
        <v>8.81</v>
      </c>
      <c r="R694" s="57">
        <v>91</v>
      </c>
      <c r="S694" s="57">
        <v>9.85</v>
      </c>
      <c r="T694" s="57">
        <v>116</v>
      </c>
      <c r="U694" s="57">
        <v>10.3</v>
      </c>
      <c r="V694" s="57">
        <v>114</v>
      </c>
      <c r="W694" s="57">
        <v>10.34</v>
      </c>
      <c r="X694" s="57">
        <v>110</v>
      </c>
      <c r="Y694" s="57">
        <v>10.55</v>
      </c>
      <c r="Z694" s="57"/>
      <c r="AA694" s="57">
        <v>11.32</v>
      </c>
      <c r="AB694" s="57"/>
      <c r="AC694" s="57"/>
      <c r="AD694" s="57"/>
    </row>
    <row r="695" spans="1:30" s="38" customFormat="1" x14ac:dyDescent="0.2">
      <c r="A695" s="57" t="s">
        <v>234</v>
      </c>
      <c r="B695" s="57" t="s">
        <v>131</v>
      </c>
      <c r="C695" s="57" t="s">
        <v>32</v>
      </c>
      <c r="D695" s="57" t="s">
        <v>620</v>
      </c>
      <c r="E695" s="57">
        <v>1</v>
      </c>
      <c r="F695" s="57" t="str">
        <f t="shared" si="24"/>
        <v>B2_P4_C2_F1</v>
      </c>
      <c r="G695" s="57" t="s">
        <v>11</v>
      </c>
      <c r="H695" s="57" t="s">
        <v>20</v>
      </c>
      <c r="I695" s="57" t="str">
        <f t="shared" si="23"/>
        <v>B2-P4-C2</v>
      </c>
      <c r="J695" s="57" t="str">
        <f t="shared" si="26"/>
        <v>Robinia-B2-P4-C2-F1</v>
      </c>
      <c r="K695" s="57" t="s">
        <v>64</v>
      </c>
      <c r="L695" s="57" t="s">
        <v>44</v>
      </c>
      <c r="M695" s="57" t="str">
        <f t="shared" si="25"/>
        <v>Drought_Grey_Yes</v>
      </c>
      <c r="N695" s="37">
        <v>717</v>
      </c>
      <c r="O695" s="57">
        <v>16.3</v>
      </c>
      <c r="P695" s="57">
        <v>172</v>
      </c>
      <c r="Q695" s="57">
        <v>16.989999999999998</v>
      </c>
      <c r="R695" s="57">
        <v>179</v>
      </c>
      <c r="S695" s="57">
        <v>19</v>
      </c>
      <c r="T695" s="57">
        <v>200</v>
      </c>
      <c r="U695" s="57">
        <v>20.38</v>
      </c>
      <c r="V695" s="57">
        <v>170</v>
      </c>
      <c r="W695" s="57">
        <v>22.1</v>
      </c>
      <c r="X695" s="57">
        <v>178</v>
      </c>
      <c r="Y695" s="57">
        <v>22.99</v>
      </c>
      <c r="Z695" s="57"/>
      <c r="AA695" s="57">
        <v>24.11</v>
      </c>
      <c r="AB695" s="57"/>
      <c r="AC695" s="57"/>
      <c r="AD695" s="57"/>
    </row>
    <row r="696" spans="1:30" s="38" customFormat="1" x14ac:dyDescent="0.2">
      <c r="A696" s="57" t="s">
        <v>234</v>
      </c>
      <c r="B696" s="57" t="s">
        <v>131</v>
      </c>
      <c r="C696" s="57" t="s">
        <v>32</v>
      </c>
      <c r="D696" s="57" t="s">
        <v>618</v>
      </c>
      <c r="E696" s="57">
        <v>2</v>
      </c>
      <c r="F696" s="57" t="str">
        <f t="shared" si="24"/>
        <v>B2_P4_C2_D2</v>
      </c>
      <c r="G696" s="57" t="s">
        <v>11</v>
      </c>
      <c r="H696" s="57" t="s">
        <v>20</v>
      </c>
      <c r="I696" s="57" t="str">
        <f t="shared" si="23"/>
        <v>B2-P4-C2</v>
      </c>
      <c r="J696" s="57" t="str">
        <f t="shared" si="26"/>
        <v>Robinia-B2-P4-C2-D2</v>
      </c>
      <c r="K696" s="57" t="s">
        <v>64</v>
      </c>
      <c r="L696" s="57" t="s">
        <v>44</v>
      </c>
      <c r="M696" s="57" t="str">
        <f t="shared" si="25"/>
        <v>Drought_Grey_Yes</v>
      </c>
      <c r="N696" s="37">
        <v>718</v>
      </c>
      <c r="O696" s="57">
        <v>9.6</v>
      </c>
      <c r="P696" s="57">
        <v>64</v>
      </c>
      <c r="Q696" s="57">
        <v>10.24</v>
      </c>
      <c r="R696" s="57">
        <v>87.5</v>
      </c>
      <c r="S696" s="57">
        <v>11.21</v>
      </c>
      <c r="T696" s="57">
        <v>132</v>
      </c>
      <c r="U696" s="57">
        <v>11.22</v>
      </c>
      <c r="V696" s="57">
        <v>136</v>
      </c>
      <c r="W696" s="57">
        <v>11.49</v>
      </c>
      <c r="X696" s="57">
        <v>136</v>
      </c>
      <c r="Y696" s="57">
        <v>12.24</v>
      </c>
      <c r="Z696" s="57"/>
      <c r="AA696" s="57">
        <v>12.66</v>
      </c>
      <c r="AB696" s="57"/>
      <c r="AC696" s="57"/>
      <c r="AD696" s="57"/>
    </row>
    <row r="697" spans="1:30" s="38" customFormat="1" x14ac:dyDescent="0.2">
      <c r="A697" s="57" t="s">
        <v>234</v>
      </c>
      <c r="B697" s="57" t="s">
        <v>131</v>
      </c>
      <c r="C697" s="57" t="s">
        <v>32</v>
      </c>
      <c r="D697" s="57" t="s">
        <v>619</v>
      </c>
      <c r="E697" s="57">
        <v>2</v>
      </c>
      <c r="F697" s="57" t="str">
        <f t="shared" si="24"/>
        <v>B2_P4_C2_E2</v>
      </c>
      <c r="G697" s="57" t="s">
        <v>11</v>
      </c>
      <c r="H697" s="57" t="s">
        <v>20</v>
      </c>
      <c r="I697" s="57" t="str">
        <f t="shared" si="23"/>
        <v>B2-P4-C2</v>
      </c>
      <c r="J697" s="57" t="str">
        <f t="shared" si="26"/>
        <v>Robinia-B2-P4-C2-E2</v>
      </c>
      <c r="K697" s="57" t="s">
        <v>64</v>
      </c>
      <c r="L697" s="57" t="s">
        <v>44</v>
      </c>
      <c r="M697" s="57" t="str">
        <f t="shared" si="25"/>
        <v>Drought_Grey_Yes</v>
      </c>
      <c r="N697" s="37">
        <v>719</v>
      </c>
      <c r="O697" s="57">
        <v>7.9</v>
      </c>
      <c r="P697" s="57">
        <v>114</v>
      </c>
      <c r="Q697" s="57">
        <v>8.39</v>
      </c>
      <c r="R697" s="57">
        <v>129</v>
      </c>
      <c r="S697" s="57">
        <v>10.69</v>
      </c>
      <c r="T697" s="57">
        <v>129</v>
      </c>
      <c r="U697" s="57">
        <v>11</v>
      </c>
      <c r="V697" s="57">
        <v>128</v>
      </c>
      <c r="W697" s="57">
        <v>10.82</v>
      </c>
      <c r="X697" s="57">
        <v>125.5</v>
      </c>
      <c r="Y697" s="57">
        <v>10.61</v>
      </c>
      <c r="Z697" s="57"/>
      <c r="AA697" s="57">
        <v>11.42</v>
      </c>
      <c r="AB697" s="57"/>
      <c r="AC697" s="57"/>
      <c r="AD697" s="57"/>
    </row>
    <row r="698" spans="1:30" s="38" customFormat="1" x14ac:dyDescent="0.2">
      <c r="A698" s="57" t="s">
        <v>234</v>
      </c>
      <c r="B698" s="57" t="s">
        <v>131</v>
      </c>
      <c r="C698" s="57" t="s">
        <v>32</v>
      </c>
      <c r="D698" s="57" t="s">
        <v>620</v>
      </c>
      <c r="E698" s="57">
        <v>2</v>
      </c>
      <c r="F698" s="57" t="str">
        <f t="shared" si="24"/>
        <v>B2_P4_C2_F2</v>
      </c>
      <c r="G698" s="57" t="s">
        <v>11</v>
      </c>
      <c r="H698" s="57" t="s">
        <v>20</v>
      </c>
      <c r="I698" s="57" t="str">
        <f t="shared" si="23"/>
        <v>B2-P4-C2</v>
      </c>
      <c r="J698" s="57" t="str">
        <f t="shared" si="26"/>
        <v>Robinia-B2-P4-C2-F2</v>
      </c>
      <c r="K698" s="57" t="s">
        <v>64</v>
      </c>
      <c r="L698" s="57" t="s">
        <v>44</v>
      </c>
      <c r="M698" s="57" t="str">
        <f t="shared" si="25"/>
        <v>Drought_Grey_Yes</v>
      </c>
      <c r="N698" s="37">
        <v>720</v>
      </c>
      <c r="O698" s="57">
        <v>10.1</v>
      </c>
      <c r="P698" s="57">
        <v>101</v>
      </c>
      <c r="Q698" s="57">
        <v>11.13</v>
      </c>
      <c r="R698" s="57">
        <v>110</v>
      </c>
      <c r="S698" s="57">
        <v>11.99</v>
      </c>
      <c r="T698" s="57">
        <v>137</v>
      </c>
      <c r="U698" s="57">
        <v>12.22</v>
      </c>
      <c r="V698" s="57">
        <v>136</v>
      </c>
      <c r="W698" s="57">
        <v>13.23</v>
      </c>
      <c r="X698" s="57">
        <v>152</v>
      </c>
      <c r="Y698" s="57">
        <v>13.93</v>
      </c>
      <c r="Z698" s="57"/>
      <c r="AA698" s="57">
        <v>14.53</v>
      </c>
      <c r="AB698" s="57"/>
      <c r="AC698" s="57"/>
      <c r="AD698" s="57"/>
    </row>
    <row r="699" spans="1:30" x14ac:dyDescent="0.2">
      <c r="A699" s="60" t="s">
        <v>234</v>
      </c>
      <c r="B699" s="60" t="s">
        <v>131</v>
      </c>
      <c r="C699" s="60" t="s">
        <v>53</v>
      </c>
      <c r="D699" s="60" t="s">
        <v>618</v>
      </c>
      <c r="E699" s="60">
        <v>1</v>
      </c>
      <c r="F699" s="60" t="str">
        <f t="shared" si="24"/>
        <v>B2_P4_C4_D1</v>
      </c>
      <c r="G699" s="60" t="s">
        <v>11</v>
      </c>
      <c r="H699" s="60" t="s">
        <v>20</v>
      </c>
      <c r="I699" s="60" t="str">
        <f t="shared" si="23"/>
        <v>B2-P4-C4</v>
      </c>
      <c r="J699" s="60" t="str">
        <f t="shared" si="26"/>
        <v>Robinia-B2-P4-C4-D1</v>
      </c>
      <c r="K699" s="60" t="s">
        <v>21</v>
      </c>
      <c r="L699" s="60" t="s">
        <v>44</v>
      </c>
      <c r="M699" s="60" t="str">
        <f t="shared" si="25"/>
        <v>Drought_Yellow_Yes</v>
      </c>
      <c r="N699" s="15">
        <v>721</v>
      </c>
      <c r="O699" s="60">
        <v>10.9</v>
      </c>
      <c r="P699" s="60">
        <v>85</v>
      </c>
      <c r="Q699" s="60">
        <v>11.71</v>
      </c>
      <c r="R699" s="60">
        <v>89</v>
      </c>
      <c r="S699" s="3">
        <v>16.88</v>
      </c>
      <c r="T699" s="3">
        <v>126</v>
      </c>
      <c r="U699" s="3">
        <v>18.059999999999999</v>
      </c>
      <c r="V699" s="3">
        <v>137</v>
      </c>
      <c r="W699" s="3">
        <v>21.08</v>
      </c>
      <c r="X699" s="3">
        <v>140</v>
      </c>
      <c r="Y699" s="3">
        <v>22.3</v>
      </c>
      <c r="Z699" s="3"/>
      <c r="AA699" s="3">
        <v>24.2</v>
      </c>
      <c r="AB699" s="3"/>
      <c r="AC699" s="3"/>
      <c r="AD699" s="3"/>
    </row>
    <row r="700" spans="1:30" x14ac:dyDescent="0.2">
      <c r="A700" s="60" t="s">
        <v>234</v>
      </c>
      <c r="B700" s="60" t="s">
        <v>131</v>
      </c>
      <c r="C700" s="60" t="s">
        <v>53</v>
      </c>
      <c r="D700" s="60" t="s">
        <v>619</v>
      </c>
      <c r="E700" s="60">
        <v>1</v>
      </c>
      <c r="F700" s="60" t="str">
        <f t="shared" si="24"/>
        <v>B2_P4_C4_E1</v>
      </c>
      <c r="G700" s="60" t="s">
        <v>11</v>
      </c>
      <c r="H700" s="60" t="s">
        <v>20</v>
      </c>
      <c r="I700" s="60" t="str">
        <f t="shared" si="23"/>
        <v>B2-P4-C4</v>
      </c>
      <c r="J700" s="60" t="str">
        <f t="shared" si="26"/>
        <v>Robinia-B2-P4-C4-E1</v>
      </c>
      <c r="K700" s="60" t="s">
        <v>21</v>
      </c>
      <c r="L700" s="60" t="s">
        <v>44</v>
      </c>
      <c r="M700" s="60" t="str">
        <f t="shared" si="25"/>
        <v>Drought_Yellow_Yes</v>
      </c>
      <c r="N700" s="15">
        <v>722</v>
      </c>
      <c r="O700" s="60">
        <v>1.5</v>
      </c>
      <c r="P700" s="60">
        <v>10</v>
      </c>
      <c r="Q700" s="60">
        <v>1.5</v>
      </c>
      <c r="R700" s="60">
        <v>10.7</v>
      </c>
      <c r="S700" s="3">
        <v>1.42</v>
      </c>
      <c r="T700" s="3">
        <v>20</v>
      </c>
      <c r="U700" s="3">
        <v>1.85</v>
      </c>
      <c r="V700" s="3">
        <v>20</v>
      </c>
      <c r="W700" s="3">
        <v>1.99</v>
      </c>
      <c r="X700" s="3">
        <v>23</v>
      </c>
      <c r="Y700" s="3">
        <v>1.94</v>
      </c>
      <c r="Z700" s="3"/>
      <c r="AA700" s="3">
        <v>2.16</v>
      </c>
      <c r="AB700" s="3"/>
      <c r="AC700" s="3"/>
      <c r="AD700" s="3"/>
    </row>
    <row r="701" spans="1:30" x14ac:dyDescent="0.2">
      <c r="A701" s="60" t="s">
        <v>234</v>
      </c>
      <c r="B701" s="60" t="s">
        <v>131</v>
      </c>
      <c r="C701" s="60" t="s">
        <v>53</v>
      </c>
      <c r="D701" s="60" t="s">
        <v>620</v>
      </c>
      <c r="E701" s="60">
        <v>1</v>
      </c>
      <c r="F701" s="60" t="str">
        <f t="shared" si="24"/>
        <v>B2_P4_C4_F1</v>
      </c>
      <c r="G701" s="60" t="s">
        <v>11</v>
      </c>
      <c r="H701" s="60" t="s">
        <v>20</v>
      </c>
      <c r="I701" s="60" t="str">
        <f t="shared" si="23"/>
        <v>B2-P4-C4</v>
      </c>
      <c r="J701" s="60" t="str">
        <f t="shared" si="26"/>
        <v>Robinia-B2-P4-C4-F1</v>
      </c>
      <c r="K701" s="60" t="s">
        <v>21</v>
      </c>
      <c r="L701" s="60" t="s">
        <v>44</v>
      </c>
      <c r="M701" s="60" t="str">
        <f t="shared" si="25"/>
        <v>Drought_Yellow_Yes</v>
      </c>
      <c r="N701" s="15">
        <v>723</v>
      </c>
      <c r="O701" s="60">
        <v>1.4</v>
      </c>
      <c r="P701" s="60">
        <v>5</v>
      </c>
      <c r="Q701" s="60">
        <v>1.4</v>
      </c>
      <c r="R701" s="60">
        <v>5</v>
      </c>
      <c r="S701" s="3">
        <v>1.4</v>
      </c>
      <c r="T701" s="3">
        <v>5</v>
      </c>
      <c r="U701" s="3">
        <v>1.4</v>
      </c>
      <c r="V701" s="3">
        <v>3</v>
      </c>
      <c r="W701" s="3">
        <v>1.4</v>
      </c>
      <c r="X701" s="3">
        <v>3</v>
      </c>
      <c r="Y701" s="3">
        <v>1.4</v>
      </c>
      <c r="Z701" s="3"/>
      <c r="AA701" s="3">
        <v>1.4</v>
      </c>
      <c r="AB701" s="3"/>
      <c r="AC701" s="3"/>
      <c r="AD701" s="3"/>
    </row>
    <row r="702" spans="1:30" x14ac:dyDescent="0.2">
      <c r="A702" s="60" t="s">
        <v>234</v>
      </c>
      <c r="B702" s="60" t="s">
        <v>131</v>
      </c>
      <c r="C702" s="60" t="s">
        <v>53</v>
      </c>
      <c r="D702" s="60" t="s">
        <v>618</v>
      </c>
      <c r="E702" s="60">
        <v>2</v>
      </c>
      <c r="F702" s="60" t="str">
        <f t="shared" si="24"/>
        <v>B2_P4_C4_D2</v>
      </c>
      <c r="G702" s="60" t="s">
        <v>11</v>
      </c>
      <c r="H702" s="60" t="s">
        <v>20</v>
      </c>
      <c r="I702" s="60" t="str">
        <f t="shared" si="23"/>
        <v>B2-P4-C4</v>
      </c>
      <c r="J702" s="60" t="str">
        <f t="shared" si="26"/>
        <v>Robinia-B2-P4-C4-D2</v>
      </c>
      <c r="K702" s="60" t="s">
        <v>21</v>
      </c>
      <c r="L702" s="60" t="s">
        <v>44</v>
      </c>
      <c r="M702" s="60" t="str">
        <f t="shared" si="25"/>
        <v>Drought_Yellow_Yes</v>
      </c>
      <c r="N702" s="15">
        <v>724</v>
      </c>
      <c r="O702" s="60">
        <v>9.9</v>
      </c>
      <c r="P702" s="60">
        <v>90</v>
      </c>
      <c r="Q702" s="60">
        <v>11.06</v>
      </c>
      <c r="R702" s="60">
        <v>100</v>
      </c>
      <c r="S702" s="3">
        <v>14.6</v>
      </c>
      <c r="T702" s="3">
        <v>160</v>
      </c>
      <c r="U702" s="3">
        <v>15.2</v>
      </c>
      <c r="V702" s="3">
        <v>147</v>
      </c>
      <c r="W702" s="3">
        <v>15.6</v>
      </c>
      <c r="X702" s="3">
        <v>152</v>
      </c>
      <c r="Y702" s="3">
        <v>17.41</v>
      </c>
      <c r="Z702" s="3"/>
      <c r="AA702" s="3">
        <v>16.100000000000001</v>
      </c>
      <c r="AB702" s="3"/>
      <c r="AC702" s="3"/>
      <c r="AD702" s="3"/>
    </row>
    <row r="703" spans="1:30" x14ac:dyDescent="0.2">
      <c r="A703" s="60" t="s">
        <v>234</v>
      </c>
      <c r="B703" s="60" t="s">
        <v>131</v>
      </c>
      <c r="C703" s="60" t="s">
        <v>53</v>
      </c>
      <c r="D703" s="60" t="s">
        <v>619</v>
      </c>
      <c r="E703" s="60">
        <v>2</v>
      </c>
      <c r="F703" s="60" t="str">
        <f t="shared" si="24"/>
        <v>B2_P4_C4_E2</v>
      </c>
      <c r="G703" s="60" t="s">
        <v>11</v>
      </c>
      <c r="H703" s="60" t="s">
        <v>20</v>
      </c>
      <c r="I703" s="60" t="str">
        <f t="shared" si="23"/>
        <v>B2-P4-C4</v>
      </c>
      <c r="J703" s="60" t="str">
        <f t="shared" si="26"/>
        <v>Robinia-B2-P4-C4-E2</v>
      </c>
      <c r="K703" s="60" t="s">
        <v>21</v>
      </c>
      <c r="L703" s="60" t="s">
        <v>44</v>
      </c>
      <c r="M703" s="60" t="str">
        <f t="shared" si="25"/>
        <v>Drought_Yellow_Yes</v>
      </c>
      <c r="N703" s="15">
        <v>725</v>
      </c>
      <c r="O703" s="60">
        <v>2.7</v>
      </c>
      <c r="P703" s="60">
        <v>20</v>
      </c>
      <c r="Q703" s="60">
        <v>2.76</v>
      </c>
      <c r="R703" s="60">
        <v>20.5</v>
      </c>
      <c r="S703" s="3">
        <v>3.26</v>
      </c>
      <c r="T703" s="3">
        <v>50</v>
      </c>
      <c r="U703" s="3">
        <v>3.2</v>
      </c>
      <c r="V703" s="3">
        <v>49</v>
      </c>
      <c r="W703" s="3">
        <v>3.94</v>
      </c>
      <c r="X703" s="3">
        <v>53</v>
      </c>
      <c r="Y703" s="3">
        <v>4.49</v>
      </c>
      <c r="Z703" s="3"/>
      <c r="AA703" s="3">
        <v>3.5</v>
      </c>
      <c r="AB703" s="3"/>
      <c r="AC703" s="3"/>
      <c r="AD703" s="3"/>
    </row>
    <row r="704" spans="1:30" x14ac:dyDescent="0.2">
      <c r="A704" s="60" t="s">
        <v>234</v>
      </c>
      <c r="B704" s="60" t="s">
        <v>131</v>
      </c>
      <c r="C704" s="60" t="s">
        <v>53</v>
      </c>
      <c r="D704" s="60" t="s">
        <v>620</v>
      </c>
      <c r="E704" s="60">
        <v>2</v>
      </c>
      <c r="F704" s="60" t="str">
        <f t="shared" si="24"/>
        <v>B2_P4_C4_F2</v>
      </c>
      <c r="G704" s="60" t="s">
        <v>11</v>
      </c>
      <c r="H704" s="60" t="s">
        <v>20</v>
      </c>
      <c r="I704" s="60" t="str">
        <f t="shared" si="23"/>
        <v>B2-P4-C4</v>
      </c>
      <c r="J704" s="60" t="str">
        <f t="shared" si="26"/>
        <v>Robinia-B2-P4-C4-F2</v>
      </c>
      <c r="K704" s="60" t="s">
        <v>21</v>
      </c>
      <c r="L704" s="60" t="s">
        <v>44</v>
      </c>
      <c r="M704" s="60" t="str">
        <f t="shared" si="25"/>
        <v>Drought_Yellow_Yes</v>
      </c>
      <c r="N704" s="15">
        <v>726</v>
      </c>
      <c r="O704" s="60">
        <v>6</v>
      </c>
      <c r="P704" s="60">
        <v>49</v>
      </c>
      <c r="Q704" s="60">
        <v>6.66</v>
      </c>
      <c r="R704" s="60">
        <v>48</v>
      </c>
      <c r="S704" s="3">
        <v>9.6999999999999993</v>
      </c>
      <c r="T704" s="3">
        <v>86</v>
      </c>
      <c r="U704" s="3">
        <v>11.13</v>
      </c>
      <c r="V704" s="3">
        <v>89</v>
      </c>
      <c r="W704" s="3">
        <v>11.84</v>
      </c>
      <c r="X704" s="3">
        <v>99</v>
      </c>
      <c r="Y704" s="3">
        <v>13.93</v>
      </c>
      <c r="Z704" s="3"/>
      <c r="AA704" s="3">
        <v>14.82</v>
      </c>
      <c r="AB704" s="3"/>
      <c r="AC704" s="3"/>
      <c r="AD704" s="3"/>
    </row>
    <row r="705" spans="1:30" s="38" customFormat="1" x14ac:dyDescent="0.2">
      <c r="A705" s="57" t="s">
        <v>234</v>
      </c>
      <c r="B705" s="57" t="s">
        <v>167</v>
      </c>
      <c r="C705" s="57" t="s">
        <v>53</v>
      </c>
      <c r="D705" s="57" t="s">
        <v>618</v>
      </c>
      <c r="E705" s="57">
        <v>1</v>
      </c>
      <c r="F705" s="57" t="str">
        <f t="shared" si="24"/>
        <v>B2_P5_C4_D1</v>
      </c>
      <c r="G705" s="57" t="s">
        <v>11</v>
      </c>
      <c r="H705" s="57" t="s">
        <v>20</v>
      </c>
      <c r="I705" s="57" t="str">
        <f t="shared" si="23"/>
        <v>B2-P5-C4</v>
      </c>
      <c r="J705" s="57" t="str">
        <f t="shared" si="26"/>
        <v>Robinia-B2-P5-C4-D1</v>
      </c>
      <c r="K705" s="57" t="s">
        <v>64</v>
      </c>
      <c r="L705" s="57" t="s">
        <v>44</v>
      </c>
      <c r="M705" s="57" t="str">
        <f t="shared" si="25"/>
        <v>Drought_Grey_Yes</v>
      </c>
      <c r="N705" s="37">
        <v>727</v>
      </c>
      <c r="O705" s="57">
        <v>8.8000000000000007</v>
      </c>
      <c r="P705" s="57">
        <v>88</v>
      </c>
      <c r="Q705" s="57">
        <v>9.75</v>
      </c>
      <c r="R705" s="57">
        <v>95.5</v>
      </c>
      <c r="S705" s="57">
        <v>10.61</v>
      </c>
      <c r="T705" s="57">
        <v>123</v>
      </c>
      <c r="U705" s="57">
        <v>10.9</v>
      </c>
      <c r="V705" s="57">
        <v>117</v>
      </c>
      <c r="W705" s="57">
        <v>10.52</v>
      </c>
      <c r="X705" s="57">
        <v>117</v>
      </c>
      <c r="Y705" s="57">
        <v>10.67</v>
      </c>
      <c r="Z705" s="57"/>
      <c r="AA705" s="57">
        <v>11.86</v>
      </c>
      <c r="AB705" s="57"/>
      <c r="AC705" s="57"/>
      <c r="AD705" s="57"/>
    </row>
    <row r="706" spans="1:30" s="38" customFormat="1" x14ac:dyDescent="0.2">
      <c r="A706" s="57" t="s">
        <v>234</v>
      </c>
      <c r="B706" s="57" t="s">
        <v>167</v>
      </c>
      <c r="C706" s="57" t="s">
        <v>53</v>
      </c>
      <c r="D706" s="57" t="s">
        <v>619</v>
      </c>
      <c r="E706" s="57">
        <v>1</v>
      </c>
      <c r="F706" s="57" t="str">
        <f t="shared" si="24"/>
        <v>B2_P5_C4_E1</v>
      </c>
      <c r="G706" s="57" t="s">
        <v>11</v>
      </c>
      <c r="H706" s="57" t="s">
        <v>20</v>
      </c>
      <c r="I706" s="57" t="str">
        <f t="shared" si="23"/>
        <v>B2-P5-C4</v>
      </c>
      <c r="J706" s="57" t="str">
        <f t="shared" si="26"/>
        <v>Robinia-B2-P5-C4-E1</v>
      </c>
      <c r="K706" s="57" t="s">
        <v>64</v>
      </c>
      <c r="L706" s="57" t="s">
        <v>44</v>
      </c>
      <c r="M706" s="57" t="str">
        <f t="shared" si="25"/>
        <v>Drought_Grey_Yes</v>
      </c>
      <c r="N706" s="37">
        <v>728</v>
      </c>
      <c r="O706" s="57">
        <v>11.3</v>
      </c>
      <c r="P706" s="57">
        <v>118</v>
      </c>
      <c r="Q706" s="57">
        <v>12.67</v>
      </c>
      <c r="R706" s="57">
        <v>123.5</v>
      </c>
      <c r="S706" s="57">
        <v>14.04</v>
      </c>
      <c r="T706" s="57">
        <v>150</v>
      </c>
      <c r="U706" s="57">
        <v>14.63</v>
      </c>
      <c r="V706" s="57">
        <v>143</v>
      </c>
      <c r="W706" s="57">
        <v>14.51</v>
      </c>
      <c r="X706" s="57">
        <v>143</v>
      </c>
      <c r="Y706" s="57">
        <v>16.329999999999998</v>
      </c>
      <c r="Z706" s="57"/>
      <c r="AA706" s="57">
        <v>16.23</v>
      </c>
      <c r="AB706" s="57"/>
      <c r="AC706" s="57"/>
      <c r="AD706" s="57"/>
    </row>
    <row r="707" spans="1:30" s="38" customFormat="1" x14ac:dyDescent="0.2">
      <c r="A707" s="57" t="s">
        <v>234</v>
      </c>
      <c r="B707" s="57" t="s">
        <v>167</v>
      </c>
      <c r="C707" s="57" t="s">
        <v>53</v>
      </c>
      <c r="D707" s="57" t="s">
        <v>620</v>
      </c>
      <c r="E707" s="57">
        <v>1</v>
      </c>
      <c r="F707" s="57" t="str">
        <f t="shared" si="24"/>
        <v>B2_P5_C4_F1</v>
      </c>
      <c r="G707" s="57" t="s">
        <v>11</v>
      </c>
      <c r="H707" s="57" t="s">
        <v>20</v>
      </c>
      <c r="I707" s="57" t="str">
        <f t="shared" ref="I707:I770" si="27">A707&amp;"-"&amp;B707&amp;"-"&amp;C707</f>
        <v>B2-P5-C4</v>
      </c>
      <c r="J707" s="57" t="str">
        <f t="shared" si="26"/>
        <v>Robinia-B2-P5-C4-F1</v>
      </c>
      <c r="K707" s="57" t="s">
        <v>64</v>
      </c>
      <c r="L707" s="57" t="s">
        <v>44</v>
      </c>
      <c r="M707" s="57" t="str">
        <f t="shared" si="25"/>
        <v>Drought_Grey_Yes</v>
      </c>
      <c r="N707" s="37">
        <v>729</v>
      </c>
      <c r="O707" s="57">
        <v>12.4</v>
      </c>
      <c r="P707" s="57">
        <v>105</v>
      </c>
      <c r="Q707" s="57">
        <v>13.65</v>
      </c>
      <c r="R707" s="57">
        <v>106</v>
      </c>
      <c r="S707" s="57">
        <v>17.989999999999998</v>
      </c>
      <c r="T707" s="57">
        <v>127</v>
      </c>
      <c r="U707" s="57">
        <v>17.59</v>
      </c>
      <c r="V707" s="57">
        <v>123</v>
      </c>
      <c r="W707" s="57">
        <v>19.68</v>
      </c>
      <c r="X707" s="57">
        <v>134</v>
      </c>
      <c r="Y707" s="57">
        <v>20.77</v>
      </c>
      <c r="Z707" s="57"/>
      <c r="AA707" s="57">
        <v>21.99</v>
      </c>
      <c r="AB707" s="57"/>
      <c r="AC707" s="57"/>
      <c r="AD707" s="57"/>
    </row>
    <row r="708" spans="1:30" s="38" customFormat="1" x14ac:dyDescent="0.2">
      <c r="A708" s="57" t="s">
        <v>234</v>
      </c>
      <c r="B708" s="57" t="s">
        <v>167</v>
      </c>
      <c r="C708" s="57" t="s">
        <v>53</v>
      </c>
      <c r="D708" s="57" t="s">
        <v>618</v>
      </c>
      <c r="E708" s="57">
        <v>2</v>
      </c>
      <c r="F708" s="57" t="str">
        <f t="shared" ref="F708:F771" si="28">A708&amp;"_"&amp;B708&amp;"_"&amp;C708&amp;"_"&amp;D708&amp;E708</f>
        <v>B2_P5_C4_D2</v>
      </c>
      <c r="G708" s="57" t="s">
        <v>11</v>
      </c>
      <c r="H708" s="57" t="s">
        <v>20</v>
      </c>
      <c r="I708" s="57" t="str">
        <f t="shared" si="27"/>
        <v>B2-P5-C4</v>
      </c>
      <c r="J708" s="57" t="str">
        <f t="shared" si="26"/>
        <v>Robinia-B2-P5-C4-D2</v>
      </c>
      <c r="K708" s="57" t="s">
        <v>64</v>
      </c>
      <c r="L708" s="57" t="s">
        <v>44</v>
      </c>
      <c r="M708" s="57" t="str">
        <f t="shared" ref="M708:M771" si="29">H708&amp;"_"&amp;K708&amp;"_"&amp;L708</f>
        <v>Drought_Grey_Yes</v>
      </c>
      <c r="N708" s="37">
        <v>730</v>
      </c>
      <c r="O708" s="57">
        <v>5</v>
      </c>
      <c r="P708" s="57">
        <v>46</v>
      </c>
      <c r="Q708" s="57">
        <v>5.03</v>
      </c>
      <c r="R708" s="57">
        <v>46</v>
      </c>
      <c r="S708" s="57">
        <v>5.09</v>
      </c>
      <c r="T708" s="57">
        <v>46</v>
      </c>
      <c r="U708" s="57">
        <v>4.8499999999999996</v>
      </c>
      <c r="V708" s="57">
        <v>45</v>
      </c>
      <c r="W708" s="57">
        <v>4.62</v>
      </c>
      <c r="X708" s="57">
        <v>45</v>
      </c>
      <c r="Y708" s="57">
        <v>4.72</v>
      </c>
      <c r="Z708" s="57"/>
      <c r="AA708" s="57">
        <v>4.6500000000000004</v>
      </c>
      <c r="AB708" s="57"/>
      <c r="AC708" s="57"/>
      <c r="AD708" s="57"/>
    </row>
    <row r="709" spans="1:30" s="38" customFormat="1" x14ac:dyDescent="0.2">
      <c r="A709" s="57" t="s">
        <v>234</v>
      </c>
      <c r="B709" s="57" t="s">
        <v>167</v>
      </c>
      <c r="C709" s="57" t="s">
        <v>53</v>
      </c>
      <c r="D709" s="57" t="s">
        <v>619</v>
      </c>
      <c r="E709" s="57">
        <v>2</v>
      </c>
      <c r="F709" s="57" t="str">
        <f t="shared" si="28"/>
        <v>B2_P5_C4_E2</v>
      </c>
      <c r="G709" s="57" t="s">
        <v>11</v>
      </c>
      <c r="H709" s="57" t="s">
        <v>20</v>
      </c>
      <c r="I709" s="57" t="str">
        <f t="shared" si="27"/>
        <v>B2-P5-C4</v>
      </c>
      <c r="J709" s="57" t="str">
        <f t="shared" si="26"/>
        <v>Robinia-B2-P5-C4-E2</v>
      </c>
      <c r="K709" s="57" t="s">
        <v>64</v>
      </c>
      <c r="L709" s="57" t="s">
        <v>44</v>
      </c>
      <c r="M709" s="57" t="str">
        <f t="shared" si="29"/>
        <v>Drought_Grey_Yes</v>
      </c>
      <c r="N709" s="37">
        <v>731</v>
      </c>
      <c r="O709" s="57">
        <v>9.6</v>
      </c>
      <c r="P709" s="57">
        <v>106</v>
      </c>
      <c r="Q709" s="57">
        <v>10.34</v>
      </c>
      <c r="R709" s="57">
        <v>111</v>
      </c>
      <c r="S709" s="57">
        <v>11.8</v>
      </c>
      <c r="T709" s="57">
        <v>135</v>
      </c>
      <c r="U709" s="57">
        <v>11.94</v>
      </c>
      <c r="V709" s="57">
        <v>127</v>
      </c>
      <c r="W709" s="57">
        <v>13.62</v>
      </c>
      <c r="X709" s="57">
        <v>132</v>
      </c>
      <c r="Y709" s="57">
        <v>14.8</v>
      </c>
      <c r="Z709" s="57"/>
      <c r="AA709" s="57">
        <v>16.77</v>
      </c>
      <c r="AB709" s="57"/>
      <c r="AC709" s="57"/>
      <c r="AD709" s="57"/>
    </row>
    <row r="710" spans="1:30" s="38" customFormat="1" x14ac:dyDescent="0.2">
      <c r="A710" s="57" t="s">
        <v>234</v>
      </c>
      <c r="B710" s="57" t="s">
        <v>167</v>
      </c>
      <c r="C710" s="57" t="s">
        <v>53</v>
      </c>
      <c r="D710" s="57" t="s">
        <v>620</v>
      </c>
      <c r="E710" s="57">
        <v>2</v>
      </c>
      <c r="F710" s="57" t="str">
        <f t="shared" si="28"/>
        <v>B2_P5_C4_F2</v>
      </c>
      <c r="G710" s="57" t="s">
        <v>11</v>
      </c>
      <c r="H710" s="57" t="s">
        <v>20</v>
      </c>
      <c r="I710" s="57" t="str">
        <f t="shared" si="27"/>
        <v>B2-P5-C4</v>
      </c>
      <c r="J710" s="57" t="str">
        <f t="shared" si="26"/>
        <v>Robinia-B2-P5-C4-F2</v>
      </c>
      <c r="K710" s="57" t="s">
        <v>64</v>
      </c>
      <c r="L710" s="57" t="s">
        <v>44</v>
      </c>
      <c r="M710" s="57" t="str">
        <f t="shared" si="29"/>
        <v>Drought_Grey_Yes</v>
      </c>
      <c r="N710" s="37">
        <v>732</v>
      </c>
      <c r="O710" s="57">
        <v>7</v>
      </c>
      <c r="P710" s="57">
        <v>76</v>
      </c>
      <c r="Q710" s="57">
        <v>7.34</v>
      </c>
      <c r="R710" s="57">
        <v>81</v>
      </c>
      <c r="S710" s="57">
        <v>9.2899999999999991</v>
      </c>
      <c r="T710" s="57">
        <v>114</v>
      </c>
      <c r="U710" s="57">
        <v>9.66</v>
      </c>
      <c r="V710" s="57">
        <v>116</v>
      </c>
      <c r="W710" s="57">
        <v>10.18</v>
      </c>
      <c r="X710" s="57">
        <v>127</v>
      </c>
      <c r="Y710" s="57">
        <v>11.23</v>
      </c>
      <c r="Z710" s="57"/>
      <c r="AA710" s="57">
        <v>11.15</v>
      </c>
      <c r="AB710" s="57"/>
      <c r="AC710" s="57"/>
      <c r="AD710" s="57"/>
    </row>
    <row r="711" spans="1:30" x14ac:dyDescent="0.2">
      <c r="A711" s="60" t="s">
        <v>234</v>
      </c>
      <c r="B711" s="60" t="s">
        <v>200</v>
      </c>
      <c r="C711" s="60" t="s">
        <v>16</v>
      </c>
      <c r="D711" s="60" t="s">
        <v>618</v>
      </c>
      <c r="E711" s="60">
        <v>1</v>
      </c>
      <c r="F711" s="60" t="str">
        <f t="shared" si="28"/>
        <v>B2_P6_C1_D1</v>
      </c>
      <c r="G711" s="60" t="s">
        <v>11</v>
      </c>
      <c r="H711" s="60" t="s">
        <v>20</v>
      </c>
      <c r="I711" s="60" t="str">
        <f t="shared" si="27"/>
        <v>B2-P6-C1</v>
      </c>
      <c r="J711" s="60" t="str">
        <f t="shared" si="26"/>
        <v>Robinia-B2-P6-C1-D1</v>
      </c>
      <c r="K711" s="60" t="s">
        <v>21</v>
      </c>
      <c r="L711" s="60" t="s">
        <v>44</v>
      </c>
      <c r="M711" s="60" t="str">
        <f t="shared" si="29"/>
        <v>Drought_Yellow_Yes</v>
      </c>
      <c r="N711" s="15">
        <v>733</v>
      </c>
      <c r="O711" s="60">
        <v>2.2000000000000002</v>
      </c>
      <c r="P711" s="60">
        <v>14</v>
      </c>
      <c r="Q711" s="60">
        <v>2.27</v>
      </c>
      <c r="R711" s="60">
        <v>14.3</v>
      </c>
      <c r="S711" s="3">
        <v>2.4700000000000002</v>
      </c>
      <c r="T711" s="3">
        <v>20</v>
      </c>
      <c r="U711" s="3">
        <v>2.36</v>
      </c>
      <c r="V711" s="3">
        <v>19</v>
      </c>
      <c r="W711" s="3">
        <v>3.55</v>
      </c>
      <c r="X711" s="3">
        <v>26</v>
      </c>
      <c r="Y711" s="3">
        <v>4.5999999999999996</v>
      </c>
      <c r="Z711" s="3"/>
      <c r="AA711" s="3">
        <v>5.46</v>
      </c>
      <c r="AB711" s="3"/>
      <c r="AC711" s="3"/>
      <c r="AD711" s="3"/>
    </row>
    <row r="712" spans="1:30" x14ac:dyDescent="0.2">
      <c r="A712" s="60" t="s">
        <v>234</v>
      </c>
      <c r="B712" s="60" t="s">
        <v>200</v>
      </c>
      <c r="C712" s="60" t="s">
        <v>16</v>
      </c>
      <c r="D712" s="60" t="s">
        <v>619</v>
      </c>
      <c r="E712" s="60">
        <v>1</v>
      </c>
      <c r="F712" s="60" t="str">
        <f t="shared" si="28"/>
        <v>B2_P6_C1_E1</v>
      </c>
      <c r="G712" s="60" t="s">
        <v>11</v>
      </c>
      <c r="H712" s="60" t="s">
        <v>20</v>
      </c>
      <c r="I712" s="60" t="str">
        <f t="shared" si="27"/>
        <v>B2-P6-C1</v>
      </c>
      <c r="J712" s="60" t="str">
        <f t="shared" si="26"/>
        <v>Robinia-B2-P6-C1-E1</v>
      </c>
      <c r="K712" s="60" t="s">
        <v>21</v>
      </c>
      <c r="L712" s="60" t="s">
        <v>44</v>
      </c>
      <c r="M712" s="60" t="str">
        <f t="shared" si="29"/>
        <v>Drought_Yellow_Yes</v>
      </c>
      <c r="N712" s="15">
        <v>734</v>
      </c>
      <c r="O712" s="60">
        <v>11.4</v>
      </c>
      <c r="P712" s="60">
        <v>116</v>
      </c>
      <c r="Q712" s="60">
        <v>12.65</v>
      </c>
      <c r="R712" s="60">
        <v>126.5</v>
      </c>
      <c r="S712" s="3">
        <v>17.420000000000002</v>
      </c>
      <c r="T712" s="3">
        <v>177</v>
      </c>
      <c r="U712" s="3">
        <v>18.3</v>
      </c>
      <c r="V712" s="3">
        <v>167</v>
      </c>
      <c r="W712" s="3">
        <v>19.920000000000002</v>
      </c>
      <c r="X712" s="3">
        <v>175</v>
      </c>
      <c r="Y712" s="3">
        <v>21.18</v>
      </c>
      <c r="Z712" s="3"/>
      <c r="AA712" s="3">
        <v>23.43</v>
      </c>
      <c r="AB712" s="3"/>
      <c r="AC712" s="3"/>
      <c r="AD712" s="3"/>
    </row>
    <row r="713" spans="1:30" x14ac:dyDescent="0.2">
      <c r="A713" s="60" t="s">
        <v>234</v>
      </c>
      <c r="B713" s="60" t="s">
        <v>200</v>
      </c>
      <c r="C713" s="60" t="s">
        <v>16</v>
      </c>
      <c r="D713" s="60" t="s">
        <v>620</v>
      </c>
      <c r="E713" s="60">
        <v>1</v>
      </c>
      <c r="F713" s="60" t="str">
        <f t="shared" si="28"/>
        <v>B2_P6_C1_F1</v>
      </c>
      <c r="G713" s="60" t="s">
        <v>11</v>
      </c>
      <c r="H713" s="60" t="s">
        <v>20</v>
      </c>
      <c r="I713" s="60" t="str">
        <f t="shared" si="27"/>
        <v>B2-P6-C1</v>
      </c>
      <c r="J713" s="60" t="str">
        <f t="shared" si="26"/>
        <v>Robinia-B2-P6-C1-F1</v>
      </c>
      <c r="K713" s="60" t="s">
        <v>21</v>
      </c>
      <c r="L713" s="60" t="s">
        <v>44</v>
      </c>
      <c r="M713" s="60" t="str">
        <f t="shared" si="29"/>
        <v>Drought_Yellow_Yes</v>
      </c>
      <c r="N713" s="15">
        <v>735</v>
      </c>
      <c r="O713" s="60">
        <v>1.2</v>
      </c>
      <c r="P713" s="60">
        <v>7</v>
      </c>
      <c r="Q713" s="60">
        <v>1.21</v>
      </c>
      <c r="R713" s="60">
        <v>8.3000000000000007</v>
      </c>
      <c r="S713" s="3">
        <v>1.68</v>
      </c>
      <c r="T713" s="3">
        <v>14</v>
      </c>
      <c r="U713" s="3">
        <v>1.76</v>
      </c>
      <c r="V713" s="3">
        <v>15</v>
      </c>
      <c r="W713" s="3">
        <v>2.44</v>
      </c>
      <c r="X713" s="3">
        <v>18</v>
      </c>
      <c r="Y713" s="3">
        <v>2.66</v>
      </c>
      <c r="Z713" s="3"/>
      <c r="AA713" s="3">
        <v>3.22</v>
      </c>
      <c r="AB713" s="3"/>
      <c r="AC713" s="3"/>
      <c r="AD713" s="3"/>
    </row>
    <row r="714" spans="1:30" x14ac:dyDescent="0.2">
      <c r="A714" s="60" t="s">
        <v>234</v>
      </c>
      <c r="B714" s="60" t="s">
        <v>200</v>
      </c>
      <c r="C714" s="60" t="s">
        <v>16</v>
      </c>
      <c r="D714" s="60" t="s">
        <v>618</v>
      </c>
      <c r="E714" s="60">
        <v>2</v>
      </c>
      <c r="F714" s="60" t="str">
        <f t="shared" si="28"/>
        <v>B2_P6_C1_D2</v>
      </c>
      <c r="G714" s="60" t="s">
        <v>11</v>
      </c>
      <c r="H714" s="60" t="s">
        <v>20</v>
      </c>
      <c r="I714" s="60" t="str">
        <f t="shared" si="27"/>
        <v>B2-P6-C1</v>
      </c>
      <c r="J714" s="60" t="str">
        <f t="shared" si="26"/>
        <v>Robinia-B2-P6-C1-D2</v>
      </c>
      <c r="K714" s="60" t="s">
        <v>21</v>
      </c>
      <c r="L714" s="60" t="s">
        <v>44</v>
      </c>
      <c r="M714" s="60" t="str">
        <f t="shared" si="29"/>
        <v>Drought_Yellow_Yes</v>
      </c>
      <c r="N714" s="15">
        <v>736</v>
      </c>
      <c r="O714" s="60">
        <v>3.3</v>
      </c>
      <c r="P714" s="60">
        <v>30</v>
      </c>
      <c r="Q714" s="60">
        <v>3.88</v>
      </c>
      <c r="R714" s="60">
        <v>36</v>
      </c>
      <c r="S714" s="3">
        <v>5.65</v>
      </c>
      <c r="T714" s="3">
        <v>60</v>
      </c>
      <c r="U714" s="3">
        <v>5.72</v>
      </c>
      <c r="V714" s="3">
        <v>61</v>
      </c>
      <c r="W714" s="3">
        <v>6.45</v>
      </c>
      <c r="X714" s="3">
        <v>65</v>
      </c>
      <c r="Y714" s="3">
        <v>7.33</v>
      </c>
      <c r="Z714" s="3"/>
      <c r="AA714" s="3">
        <v>7.24</v>
      </c>
      <c r="AB714" s="3"/>
      <c r="AC714" s="3"/>
      <c r="AD714" s="3"/>
    </row>
    <row r="715" spans="1:30" x14ac:dyDescent="0.2">
      <c r="A715" s="60" t="s">
        <v>234</v>
      </c>
      <c r="B715" s="60" t="s">
        <v>200</v>
      </c>
      <c r="C715" s="60" t="s">
        <v>16</v>
      </c>
      <c r="D715" s="60" t="s">
        <v>619</v>
      </c>
      <c r="E715" s="60">
        <v>2</v>
      </c>
      <c r="F715" s="60" t="str">
        <f t="shared" si="28"/>
        <v>B2_P6_C1_E2</v>
      </c>
      <c r="G715" s="60" t="s">
        <v>11</v>
      </c>
      <c r="H715" s="60" t="s">
        <v>20</v>
      </c>
      <c r="I715" s="60" t="str">
        <f t="shared" si="27"/>
        <v>B2-P6-C1</v>
      </c>
      <c r="J715" s="60" t="str">
        <f t="shared" si="26"/>
        <v>Robinia-B2-P6-C1-E2</v>
      </c>
      <c r="K715" s="60" t="s">
        <v>21</v>
      </c>
      <c r="L715" s="60" t="s">
        <v>44</v>
      </c>
      <c r="M715" s="60" t="str">
        <f t="shared" si="29"/>
        <v>Drought_Yellow_Yes</v>
      </c>
      <c r="N715" s="15">
        <v>737</v>
      </c>
      <c r="O715" s="60">
        <v>4.7</v>
      </c>
      <c r="P715" s="60">
        <v>44</v>
      </c>
      <c r="Q715" s="60">
        <v>5.01</v>
      </c>
      <c r="R715" s="60">
        <v>53</v>
      </c>
      <c r="S715" s="3">
        <v>7.22</v>
      </c>
      <c r="T715" s="3">
        <v>84</v>
      </c>
      <c r="U715" s="3">
        <v>7.87</v>
      </c>
      <c r="V715" s="3">
        <v>87</v>
      </c>
      <c r="W715" s="3">
        <v>8.61</v>
      </c>
      <c r="X715" s="3">
        <v>93</v>
      </c>
      <c r="Y715" s="3">
        <v>9.69</v>
      </c>
      <c r="Z715" s="3"/>
      <c r="AA715" s="3">
        <v>12.29</v>
      </c>
      <c r="AB715" s="3"/>
      <c r="AC715" s="3"/>
      <c r="AD715" s="3"/>
    </row>
    <row r="716" spans="1:30" x14ac:dyDescent="0.2">
      <c r="A716" s="60" t="s">
        <v>234</v>
      </c>
      <c r="B716" s="60" t="s">
        <v>200</v>
      </c>
      <c r="C716" s="60" t="s">
        <v>16</v>
      </c>
      <c r="D716" s="60" t="s">
        <v>620</v>
      </c>
      <c r="E716" s="60">
        <v>2</v>
      </c>
      <c r="F716" s="60" t="str">
        <f t="shared" si="28"/>
        <v>B2_P6_C1_F2</v>
      </c>
      <c r="G716" s="60" t="s">
        <v>11</v>
      </c>
      <c r="H716" s="60" t="s">
        <v>20</v>
      </c>
      <c r="I716" s="60" t="str">
        <f t="shared" si="27"/>
        <v>B2-P6-C1</v>
      </c>
      <c r="J716" s="60" t="str">
        <f t="shared" si="26"/>
        <v>Robinia-B2-P6-C1-F2</v>
      </c>
      <c r="K716" s="60" t="s">
        <v>21</v>
      </c>
      <c r="L716" s="60" t="s">
        <v>44</v>
      </c>
      <c r="M716" s="60" t="str">
        <f t="shared" si="29"/>
        <v>Drought_Yellow_Yes</v>
      </c>
      <c r="N716" s="15">
        <v>738</v>
      </c>
      <c r="O716" s="60">
        <v>4.5999999999999996</v>
      </c>
      <c r="P716" s="60">
        <v>44</v>
      </c>
      <c r="Q716" s="60">
        <v>5.54</v>
      </c>
      <c r="R716" s="60">
        <v>55</v>
      </c>
      <c r="S716" s="3">
        <v>8.6300000000000008</v>
      </c>
      <c r="T716" s="3">
        <v>92</v>
      </c>
      <c r="U716" s="3">
        <v>9.23</v>
      </c>
      <c r="V716" s="3">
        <v>91</v>
      </c>
      <c r="W716" s="3">
        <v>9.75</v>
      </c>
      <c r="X716" s="3">
        <v>98</v>
      </c>
      <c r="Y716" s="3">
        <v>10.24</v>
      </c>
      <c r="Z716" s="3"/>
      <c r="AA716" s="3">
        <v>12.73</v>
      </c>
      <c r="AB716" s="3"/>
      <c r="AC716" s="3"/>
      <c r="AD716" s="3"/>
    </row>
    <row r="717" spans="1:30" s="38" customFormat="1" x14ac:dyDescent="0.2">
      <c r="A717" s="57" t="s">
        <v>234</v>
      </c>
      <c r="B717" s="57" t="s">
        <v>200</v>
      </c>
      <c r="C717" s="57" t="s">
        <v>42</v>
      </c>
      <c r="D717" s="57" t="s">
        <v>618</v>
      </c>
      <c r="E717" s="57">
        <v>1</v>
      </c>
      <c r="F717" s="57" t="str">
        <f t="shared" si="28"/>
        <v>B2_P6_C3_D1</v>
      </c>
      <c r="G717" s="57" t="s">
        <v>11</v>
      </c>
      <c r="H717" s="57" t="s">
        <v>20</v>
      </c>
      <c r="I717" s="57" t="str">
        <f t="shared" si="27"/>
        <v>B2-P6-C3</v>
      </c>
      <c r="J717" s="57" t="str">
        <f t="shared" si="26"/>
        <v>Robinia-B2-P6-C3-D1</v>
      </c>
      <c r="K717" s="57" t="s">
        <v>21</v>
      </c>
      <c r="L717" s="57" t="s">
        <v>44</v>
      </c>
      <c r="M717" s="57" t="str">
        <f t="shared" si="29"/>
        <v>Drought_Yellow_Yes</v>
      </c>
      <c r="N717" s="37">
        <v>739</v>
      </c>
      <c r="O717" s="57">
        <v>10.4</v>
      </c>
      <c r="P717" s="57">
        <v>110</v>
      </c>
      <c r="Q717" s="57">
        <v>10.9</v>
      </c>
      <c r="R717" s="57">
        <v>116</v>
      </c>
      <c r="S717" s="57">
        <v>13.84</v>
      </c>
      <c r="T717" s="57">
        <v>143</v>
      </c>
      <c r="U717" s="57">
        <v>14.4</v>
      </c>
      <c r="V717" s="57">
        <v>148</v>
      </c>
      <c r="W717" s="57">
        <v>16.79</v>
      </c>
      <c r="X717" s="57">
        <v>158</v>
      </c>
      <c r="Y717" s="57">
        <v>17.899999999999999</v>
      </c>
      <c r="Z717" s="57"/>
      <c r="AA717" s="57">
        <v>18.47</v>
      </c>
      <c r="AB717" s="57"/>
      <c r="AC717" s="57"/>
      <c r="AD717" s="57"/>
    </row>
    <row r="718" spans="1:30" s="38" customFormat="1" x14ac:dyDescent="0.2">
      <c r="A718" s="57" t="s">
        <v>234</v>
      </c>
      <c r="B718" s="57" t="s">
        <v>200</v>
      </c>
      <c r="C718" s="57" t="s">
        <v>42</v>
      </c>
      <c r="D718" s="57" t="s">
        <v>619</v>
      </c>
      <c r="E718" s="57">
        <v>1</v>
      </c>
      <c r="F718" s="57" t="str">
        <f t="shared" si="28"/>
        <v>B2_P6_C3_E1</v>
      </c>
      <c r="G718" s="57" t="s">
        <v>11</v>
      </c>
      <c r="H718" s="57" t="s">
        <v>20</v>
      </c>
      <c r="I718" s="57" t="str">
        <f t="shared" si="27"/>
        <v>B2-P6-C3</v>
      </c>
      <c r="J718" s="57" t="str">
        <f t="shared" si="26"/>
        <v>Robinia-B2-P6-C3-E1</v>
      </c>
      <c r="K718" s="57" t="s">
        <v>21</v>
      </c>
      <c r="L718" s="57" t="s">
        <v>44</v>
      </c>
      <c r="M718" s="57" t="str">
        <f t="shared" si="29"/>
        <v>Drought_Yellow_Yes</v>
      </c>
      <c r="N718" s="37">
        <v>740</v>
      </c>
      <c r="O718" s="57">
        <v>1</v>
      </c>
      <c r="P718" s="57">
        <v>4</v>
      </c>
      <c r="Q718" s="57">
        <v>1</v>
      </c>
      <c r="R718" s="57">
        <v>4</v>
      </c>
      <c r="S718" s="57">
        <v>1.37</v>
      </c>
      <c r="T718" s="57">
        <v>4</v>
      </c>
      <c r="U718" s="57">
        <v>0.77</v>
      </c>
      <c r="V718" s="57">
        <v>3</v>
      </c>
      <c r="W718" s="57">
        <v>0.95</v>
      </c>
      <c r="X718" s="57">
        <v>0</v>
      </c>
      <c r="Y718" s="57">
        <v>1</v>
      </c>
      <c r="Z718" s="57"/>
      <c r="AA718" s="57">
        <v>1</v>
      </c>
      <c r="AB718" s="57"/>
      <c r="AC718" s="57"/>
      <c r="AD718" s="57"/>
    </row>
    <row r="719" spans="1:30" s="38" customFormat="1" x14ac:dyDescent="0.2">
      <c r="A719" s="57" t="s">
        <v>234</v>
      </c>
      <c r="B719" s="57" t="s">
        <v>200</v>
      </c>
      <c r="C719" s="57" t="s">
        <v>42</v>
      </c>
      <c r="D719" s="57" t="s">
        <v>620</v>
      </c>
      <c r="E719" s="57">
        <v>1</v>
      </c>
      <c r="F719" s="57" t="str">
        <f t="shared" si="28"/>
        <v>B2_P6_C3_F1</v>
      </c>
      <c r="G719" s="57" t="s">
        <v>11</v>
      </c>
      <c r="H719" s="57" t="s">
        <v>20</v>
      </c>
      <c r="I719" s="57" t="str">
        <f t="shared" si="27"/>
        <v>B2-P6-C3</v>
      </c>
      <c r="J719" s="57" t="str">
        <f t="shared" si="26"/>
        <v>Robinia-B2-P6-C3-F1</v>
      </c>
      <c r="K719" s="57" t="s">
        <v>21</v>
      </c>
      <c r="L719" s="57" t="s">
        <v>44</v>
      </c>
      <c r="M719" s="57" t="str">
        <f t="shared" si="29"/>
        <v>Drought_Yellow_Yes</v>
      </c>
      <c r="N719" s="37">
        <v>741</v>
      </c>
      <c r="O719" s="57">
        <v>7.4</v>
      </c>
      <c r="P719" s="57">
        <v>79</v>
      </c>
      <c r="Q719" s="57">
        <v>8.0500000000000007</v>
      </c>
      <c r="R719" s="57">
        <v>81.7</v>
      </c>
      <c r="S719" s="57">
        <v>10.75</v>
      </c>
      <c r="T719" s="57">
        <v>122</v>
      </c>
      <c r="U719" s="57">
        <v>11.25</v>
      </c>
      <c r="V719" s="57">
        <v>120</v>
      </c>
      <c r="W719" s="57">
        <v>11.6</v>
      </c>
      <c r="X719" s="57">
        <v>120</v>
      </c>
      <c r="Y719" s="57">
        <v>12.51</v>
      </c>
      <c r="Z719" s="57"/>
      <c r="AA719" s="57">
        <v>12.55</v>
      </c>
      <c r="AB719" s="57"/>
      <c r="AC719" s="57"/>
      <c r="AD719" s="57"/>
    </row>
    <row r="720" spans="1:30" s="38" customFormat="1" x14ac:dyDescent="0.2">
      <c r="A720" s="57" t="s">
        <v>234</v>
      </c>
      <c r="B720" s="57" t="s">
        <v>200</v>
      </c>
      <c r="C720" s="57" t="s">
        <v>42</v>
      </c>
      <c r="D720" s="57" t="s">
        <v>618</v>
      </c>
      <c r="E720" s="57">
        <v>2</v>
      </c>
      <c r="F720" s="57" t="str">
        <f t="shared" si="28"/>
        <v>B2_P6_C3_D2</v>
      </c>
      <c r="G720" s="57" t="s">
        <v>11</v>
      </c>
      <c r="H720" s="57" t="s">
        <v>20</v>
      </c>
      <c r="I720" s="57" t="str">
        <f t="shared" si="27"/>
        <v>B2-P6-C3</v>
      </c>
      <c r="J720" s="57" t="str">
        <f t="shared" si="26"/>
        <v>Robinia-B2-P6-C3-D2</v>
      </c>
      <c r="K720" s="57" t="s">
        <v>21</v>
      </c>
      <c r="L720" s="57" t="s">
        <v>44</v>
      </c>
      <c r="M720" s="57" t="str">
        <f t="shared" si="29"/>
        <v>Drought_Yellow_Yes</v>
      </c>
      <c r="N720" s="37">
        <v>742</v>
      </c>
      <c r="O720" s="57">
        <v>1.1000000000000001</v>
      </c>
      <c r="P720" s="57">
        <v>9</v>
      </c>
      <c r="Q720" s="57">
        <v>1.1000000000000001</v>
      </c>
      <c r="R720" s="57">
        <v>9</v>
      </c>
      <c r="S720" s="57">
        <v>0.54</v>
      </c>
      <c r="T720" s="57">
        <v>9</v>
      </c>
      <c r="U720" s="57">
        <v>0.38</v>
      </c>
      <c r="V720" s="57">
        <v>8</v>
      </c>
      <c r="W720" s="57">
        <v>0.42</v>
      </c>
      <c r="X720" s="57">
        <v>8</v>
      </c>
      <c r="Y720" s="57">
        <v>0.51</v>
      </c>
      <c r="Z720" s="57"/>
      <c r="AA720" s="57">
        <v>0.5</v>
      </c>
      <c r="AB720" s="57"/>
      <c r="AC720" s="57"/>
      <c r="AD720" s="57"/>
    </row>
    <row r="721" spans="1:30" s="38" customFormat="1" x14ac:dyDescent="0.2">
      <c r="A721" s="57" t="s">
        <v>234</v>
      </c>
      <c r="B721" s="57" t="s">
        <v>200</v>
      </c>
      <c r="C721" s="57" t="s">
        <v>42</v>
      </c>
      <c r="D721" s="57" t="s">
        <v>619</v>
      </c>
      <c r="E721" s="57">
        <v>2</v>
      </c>
      <c r="F721" s="57" t="str">
        <f t="shared" si="28"/>
        <v>B2_P6_C3_E2</v>
      </c>
      <c r="G721" s="57" t="s">
        <v>11</v>
      </c>
      <c r="H721" s="57" t="s">
        <v>20</v>
      </c>
      <c r="I721" s="57" t="str">
        <f t="shared" si="27"/>
        <v>B2-P6-C3</v>
      </c>
      <c r="J721" s="57" t="str">
        <f t="shared" si="26"/>
        <v>Robinia-B2-P6-C3-E2</v>
      </c>
      <c r="K721" s="57" t="s">
        <v>21</v>
      </c>
      <c r="L721" s="57" t="s">
        <v>44</v>
      </c>
      <c r="M721" s="57" t="str">
        <f t="shared" si="29"/>
        <v>Drought_Yellow_Yes</v>
      </c>
      <c r="N721" s="37">
        <v>743</v>
      </c>
      <c r="O721" s="57">
        <v>12</v>
      </c>
      <c r="P721" s="57">
        <v>107</v>
      </c>
      <c r="Q721" s="57">
        <v>13.68</v>
      </c>
      <c r="R721" s="57">
        <v>113</v>
      </c>
      <c r="S721" s="57">
        <v>19.170000000000002</v>
      </c>
      <c r="T721" s="57">
        <v>140</v>
      </c>
      <c r="U721" s="57">
        <v>19.100000000000001</v>
      </c>
      <c r="V721" s="57">
        <v>145</v>
      </c>
      <c r="W721" s="57">
        <v>21.66</v>
      </c>
      <c r="X721" s="57">
        <v>161</v>
      </c>
      <c r="Y721" s="57">
        <v>23.7</v>
      </c>
      <c r="Z721" s="57"/>
      <c r="AA721" s="57">
        <v>22.09</v>
      </c>
      <c r="AB721" s="57"/>
      <c r="AC721" s="57"/>
      <c r="AD721" s="57"/>
    </row>
    <row r="722" spans="1:30" s="38" customFormat="1" x14ac:dyDescent="0.2">
      <c r="A722" s="57" t="s">
        <v>234</v>
      </c>
      <c r="B722" s="57" t="s">
        <v>200</v>
      </c>
      <c r="C722" s="57" t="s">
        <v>42</v>
      </c>
      <c r="D722" s="57" t="s">
        <v>620</v>
      </c>
      <c r="E722" s="57">
        <v>2</v>
      </c>
      <c r="F722" s="57" t="str">
        <f t="shared" si="28"/>
        <v>B2_P6_C3_F2</v>
      </c>
      <c r="G722" s="57" t="s">
        <v>11</v>
      </c>
      <c r="H722" s="57" t="s">
        <v>20</v>
      </c>
      <c r="I722" s="57" t="str">
        <f t="shared" si="27"/>
        <v>B2-P6-C3</v>
      </c>
      <c r="J722" s="57" t="str">
        <f t="shared" si="26"/>
        <v>Robinia-B2-P6-C3-F2</v>
      </c>
      <c r="K722" s="57" t="s">
        <v>21</v>
      </c>
      <c r="L722" s="57" t="s">
        <v>44</v>
      </c>
      <c r="M722" s="57" t="str">
        <f t="shared" si="29"/>
        <v>Drought_Yellow_Yes</v>
      </c>
      <c r="N722" s="37">
        <v>744</v>
      </c>
      <c r="O722" s="57">
        <v>3</v>
      </c>
      <c r="P722" s="57">
        <v>19</v>
      </c>
      <c r="Q722" s="57">
        <v>3.62</v>
      </c>
      <c r="R722" s="57">
        <v>22.7</v>
      </c>
      <c r="S722" s="57">
        <v>5.68</v>
      </c>
      <c r="T722" s="57">
        <v>49</v>
      </c>
      <c r="U722" s="57">
        <v>4.78</v>
      </c>
      <c r="V722" s="57">
        <v>46</v>
      </c>
      <c r="W722" s="57">
        <v>4.42</v>
      </c>
      <c r="X722" s="57">
        <v>58</v>
      </c>
      <c r="Y722" s="57">
        <v>4.3499999999999996</v>
      </c>
      <c r="Z722" s="57"/>
      <c r="AA722" s="57">
        <v>4.43</v>
      </c>
      <c r="AB722" s="57"/>
      <c r="AC722" s="57"/>
      <c r="AD722" s="57"/>
    </row>
    <row r="723" spans="1:30" x14ac:dyDescent="0.2">
      <c r="A723" s="60" t="s">
        <v>426</v>
      </c>
      <c r="B723" s="60" t="s">
        <v>15</v>
      </c>
      <c r="C723" s="60" t="s">
        <v>16</v>
      </c>
      <c r="D723" s="60" t="s">
        <v>618</v>
      </c>
      <c r="E723" s="60">
        <v>1</v>
      </c>
      <c r="F723" s="60" t="str">
        <f t="shared" si="28"/>
        <v>B3_P1_C1_D1</v>
      </c>
      <c r="G723" s="60" t="s">
        <v>11</v>
      </c>
      <c r="H723" s="60" t="s">
        <v>20</v>
      </c>
      <c r="I723" s="60" t="str">
        <f t="shared" si="27"/>
        <v>B3-P1-C1</v>
      </c>
      <c r="J723" s="60" t="str">
        <f t="shared" si="26"/>
        <v>Robinia-B3-P1-C1-D1</v>
      </c>
      <c r="K723" s="60" t="s">
        <v>64</v>
      </c>
      <c r="L723" s="60" t="s">
        <v>44</v>
      </c>
      <c r="M723" s="60" t="str">
        <f t="shared" si="29"/>
        <v>Drought_Grey_Yes</v>
      </c>
      <c r="N723" s="15">
        <v>745</v>
      </c>
      <c r="O723" s="60">
        <v>7.5</v>
      </c>
      <c r="P723" s="60">
        <v>62</v>
      </c>
      <c r="Q723" s="60">
        <v>7.87</v>
      </c>
      <c r="R723" s="60">
        <v>66</v>
      </c>
      <c r="S723" s="3">
        <v>9.57</v>
      </c>
      <c r="T723" s="3">
        <v>86</v>
      </c>
      <c r="U723" s="3">
        <v>9.75</v>
      </c>
      <c r="V723" s="3">
        <v>89</v>
      </c>
      <c r="W723" s="3">
        <v>9.8000000000000007</v>
      </c>
      <c r="X723" s="3">
        <v>88</v>
      </c>
      <c r="Y723" s="3">
        <v>10.382999999999999</v>
      </c>
      <c r="Z723" s="3"/>
      <c r="AA723" s="3">
        <v>11.19</v>
      </c>
      <c r="AB723" s="3"/>
      <c r="AC723" s="3"/>
      <c r="AD723" s="3"/>
    </row>
    <row r="724" spans="1:30" x14ac:dyDescent="0.2">
      <c r="A724" s="60" t="s">
        <v>426</v>
      </c>
      <c r="B724" s="60" t="s">
        <v>15</v>
      </c>
      <c r="C724" s="60" t="s">
        <v>16</v>
      </c>
      <c r="D724" s="60" t="s">
        <v>619</v>
      </c>
      <c r="E724" s="60">
        <v>1</v>
      </c>
      <c r="F724" s="60" t="str">
        <f t="shared" si="28"/>
        <v>B3_P1_C1_E1</v>
      </c>
      <c r="G724" s="60" t="s">
        <v>11</v>
      </c>
      <c r="H724" s="60" t="s">
        <v>20</v>
      </c>
      <c r="I724" s="60" t="str">
        <f t="shared" si="27"/>
        <v>B3-P1-C1</v>
      </c>
      <c r="J724" s="60" t="str">
        <f t="shared" si="26"/>
        <v>Robinia-B3-P1-C1-E1</v>
      </c>
      <c r="K724" s="60" t="s">
        <v>64</v>
      </c>
      <c r="L724" s="60" t="s">
        <v>44</v>
      </c>
      <c r="M724" s="60" t="str">
        <f t="shared" si="29"/>
        <v>Drought_Grey_Yes</v>
      </c>
      <c r="N724" s="15">
        <v>746</v>
      </c>
      <c r="O724" s="60">
        <v>9.9</v>
      </c>
      <c r="P724" s="60">
        <v>108</v>
      </c>
      <c r="Q724" s="60">
        <v>10.050000000000001</v>
      </c>
      <c r="R724" s="60">
        <v>115</v>
      </c>
      <c r="S724" s="3">
        <v>12.42</v>
      </c>
      <c r="T724" s="3">
        <v>140</v>
      </c>
      <c r="U724" s="3">
        <v>12.23</v>
      </c>
      <c r="V724" s="3">
        <v>135</v>
      </c>
      <c r="W724" s="3">
        <v>12.29</v>
      </c>
      <c r="X724" s="3">
        <v>139</v>
      </c>
      <c r="Y724" s="3">
        <v>12.72</v>
      </c>
      <c r="Z724" s="3"/>
      <c r="AA724" s="3">
        <v>13.41</v>
      </c>
      <c r="AB724" s="3"/>
      <c r="AC724" s="3"/>
      <c r="AD724" s="3"/>
    </row>
    <row r="725" spans="1:30" x14ac:dyDescent="0.2">
      <c r="A725" s="60" t="s">
        <v>426</v>
      </c>
      <c r="B725" s="60" t="s">
        <v>15</v>
      </c>
      <c r="C725" s="60" t="s">
        <v>16</v>
      </c>
      <c r="D725" s="60" t="s">
        <v>620</v>
      </c>
      <c r="E725" s="60">
        <v>1</v>
      </c>
      <c r="F725" s="60" t="str">
        <f t="shared" si="28"/>
        <v>B3_P1_C1_F1</v>
      </c>
      <c r="G725" s="60" t="s">
        <v>11</v>
      </c>
      <c r="H725" s="60" t="s">
        <v>20</v>
      </c>
      <c r="I725" s="60" t="str">
        <f t="shared" si="27"/>
        <v>B3-P1-C1</v>
      </c>
      <c r="J725" s="60" t="str">
        <f t="shared" si="26"/>
        <v>Robinia-B3-P1-C1-F1</v>
      </c>
      <c r="K725" s="60" t="s">
        <v>64</v>
      </c>
      <c r="L725" s="60" t="s">
        <v>44</v>
      </c>
      <c r="M725" s="60" t="str">
        <f t="shared" si="29"/>
        <v>Drought_Grey_Yes</v>
      </c>
      <c r="N725" s="15">
        <v>747</v>
      </c>
      <c r="O725" s="60">
        <v>12.5</v>
      </c>
      <c r="P725" s="60">
        <v>120</v>
      </c>
      <c r="Q725" s="60">
        <v>13.01</v>
      </c>
      <c r="R725" s="60">
        <v>130</v>
      </c>
      <c r="S725" s="3">
        <v>15.77</v>
      </c>
      <c r="T725" s="3">
        <v>155</v>
      </c>
      <c r="U725" s="3">
        <v>15.52</v>
      </c>
      <c r="V725" s="3">
        <v>152</v>
      </c>
      <c r="W725" s="3">
        <v>15.75</v>
      </c>
      <c r="X725" s="3">
        <v>152</v>
      </c>
      <c r="Y725" s="3">
        <v>16.95</v>
      </c>
      <c r="Z725" s="3"/>
      <c r="AA725" s="3">
        <v>18.309999999999999</v>
      </c>
      <c r="AB725" s="3"/>
      <c r="AC725" s="3"/>
      <c r="AD725" s="3"/>
    </row>
    <row r="726" spans="1:30" x14ac:dyDescent="0.2">
      <c r="A726" s="60" t="s">
        <v>426</v>
      </c>
      <c r="B726" s="60" t="s">
        <v>15</v>
      </c>
      <c r="C726" s="60" t="s">
        <v>16</v>
      </c>
      <c r="D726" s="60" t="s">
        <v>618</v>
      </c>
      <c r="E726" s="60">
        <v>2</v>
      </c>
      <c r="F726" s="60" t="str">
        <f t="shared" si="28"/>
        <v>B3_P1_C1_D2</v>
      </c>
      <c r="G726" s="60" t="s">
        <v>11</v>
      </c>
      <c r="H726" s="60" t="s">
        <v>20</v>
      </c>
      <c r="I726" s="60" t="str">
        <f t="shared" si="27"/>
        <v>B3-P1-C1</v>
      </c>
      <c r="J726" s="60" t="str">
        <f t="shared" si="26"/>
        <v>Robinia-B3-P1-C1-D2</v>
      </c>
      <c r="K726" s="60" t="s">
        <v>64</v>
      </c>
      <c r="L726" s="60" t="s">
        <v>44</v>
      </c>
      <c r="M726" s="60" t="str">
        <f t="shared" si="29"/>
        <v>Drought_Grey_Yes</v>
      </c>
      <c r="N726" s="15">
        <v>748</v>
      </c>
      <c r="O726" s="60">
        <v>10.4</v>
      </c>
      <c r="P726" s="60">
        <v>117</v>
      </c>
      <c r="Q726" s="60">
        <v>12.2</v>
      </c>
      <c r="R726" s="60">
        <v>120</v>
      </c>
      <c r="S726" s="3">
        <v>14</v>
      </c>
      <c r="T726" s="3">
        <v>155</v>
      </c>
      <c r="U726" s="3">
        <v>13.92</v>
      </c>
      <c r="V726" s="3">
        <v>146</v>
      </c>
      <c r="W726" s="3">
        <v>15.9</v>
      </c>
      <c r="X726" s="3">
        <v>154</v>
      </c>
      <c r="Y726" s="3">
        <v>17.91</v>
      </c>
      <c r="Z726" s="3"/>
      <c r="AA726" s="3">
        <v>19.38</v>
      </c>
      <c r="AB726" s="3"/>
      <c r="AC726" s="3"/>
      <c r="AD726" s="3"/>
    </row>
    <row r="727" spans="1:30" x14ac:dyDescent="0.2">
      <c r="A727" s="60" t="s">
        <v>426</v>
      </c>
      <c r="B727" s="60" t="s">
        <v>15</v>
      </c>
      <c r="C727" s="60" t="s">
        <v>16</v>
      </c>
      <c r="D727" s="60" t="s">
        <v>619</v>
      </c>
      <c r="E727" s="60">
        <v>2</v>
      </c>
      <c r="F727" s="60" t="str">
        <f t="shared" si="28"/>
        <v>B3_P1_C1_E2</v>
      </c>
      <c r="G727" s="60" t="s">
        <v>11</v>
      </c>
      <c r="H727" s="60" t="s">
        <v>20</v>
      </c>
      <c r="I727" s="60" t="str">
        <f t="shared" si="27"/>
        <v>B3-P1-C1</v>
      </c>
      <c r="J727" s="60" t="str">
        <f t="shared" si="26"/>
        <v>Robinia-B3-P1-C1-E2</v>
      </c>
      <c r="K727" s="60" t="s">
        <v>64</v>
      </c>
      <c r="L727" s="60" t="s">
        <v>44</v>
      </c>
      <c r="M727" s="60" t="str">
        <f t="shared" si="29"/>
        <v>Drought_Grey_Yes</v>
      </c>
      <c r="N727" s="15">
        <v>749</v>
      </c>
      <c r="O727" s="60">
        <v>9.3000000000000007</v>
      </c>
      <c r="P727" s="60">
        <v>89</v>
      </c>
      <c r="Q727" s="60">
        <v>9.99</v>
      </c>
      <c r="R727" s="60">
        <v>99</v>
      </c>
      <c r="S727" s="3">
        <v>12.32</v>
      </c>
      <c r="T727" s="3">
        <v>145</v>
      </c>
      <c r="U727" s="3">
        <v>12.09</v>
      </c>
      <c r="V727" s="3">
        <v>130</v>
      </c>
      <c r="W727" s="3">
        <v>10.93</v>
      </c>
      <c r="X727" s="3">
        <v>140</v>
      </c>
      <c r="Y727" s="3">
        <v>12.72</v>
      </c>
      <c r="Z727" s="3"/>
      <c r="AA727" s="3">
        <v>15.36</v>
      </c>
      <c r="AB727" s="3"/>
      <c r="AC727" s="3"/>
      <c r="AD727" s="3"/>
    </row>
    <row r="728" spans="1:30" x14ac:dyDescent="0.2">
      <c r="A728" s="60" t="s">
        <v>426</v>
      </c>
      <c r="B728" s="60" t="s">
        <v>15</v>
      </c>
      <c r="C728" s="60" t="s">
        <v>16</v>
      </c>
      <c r="D728" s="60" t="s">
        <v>620</v>
      </c>
      <c r="E728" s="60">
        <v>2</v>
      </c>
      <c r="F728" s="60" t="str">
        <f t="shared" si="28"/>
        <v>B3_P1_C1_F2</v>
      </c>
      <c r="G728" s="60" t="s">
        <v>11</v>
      </c>
      <c r="H728" s="60" t="s">
        <v>20</v>
      </c>
      <c r="I728" s="60" t="str">
        <f t="shared" si="27"/>
        <v>B3-P1-C1</v>
      </c>
      <c r="J728" s="60" t="str">
        <f t="shared" si="26"/>
        <v>Robinia-B3-P1-C1-F2</v>
      </c>
      <c r="K728" s="60" t="s">
        <v>64</v>
      </c>
      <c r="L728" s="60" t="s">
        <v>44</v>
      </c>
      <c r="M728" s="60" t="str">
        <f t="shared" si="29"/>
        <v>Drought_Grey_Yes</v>
      </c>
      <c r="N728" s="15">
        <v>750</v>
      </c>
      <c r="O728" s="60">
        <v>3.7</v>
      </c>
      <c r="P728" s="60">
        <v>31</v>
      </c>
      <c r="Q728" s="60">
        <v>4.17</v>
      </c>
      <c r="R728" s="60">
        <v>45</v>
      </c>
      <c r="S728" s="3">
        <v>4.55</v>
      </c>
      <c r="T728" s="3">
        <v>70</v>
      </c>
      <c r="U728" s="3">
        <v>5.04</v>
      </c>
      <c r="V728" s="3">
        <v>69</v>
      </c>
      <c r="W728" s="3">
        <v>4.88</v>
      </c>
      <c r="X728" s="3">
        <v>69</v>
      </c>
      <c r="Y728" s="3">
        <v>6.05</v>
      </c>
      <c r="Z728" s="3"/>
      <c r="AA728" s="3">
        <v>6.1</v>
      </c>
      <c r="AB728" s="3"/>
      <c r="AC728" s="3"/>
      <c r="AD728" s="3"/>
    </row>
    <row r="729" spans="1:30" s="38" customFormat="1" x14ac:dyDescent="0.2">
      <c r="A729" s="57" t="s">
        <v>426</v>
      </c>
      <c r="B729" s="57" t="s">
        <v>15</v>
      </c>
      <c r="C729" s="57" t="s">
        <v>32</v>
      </c>
      <c r="D729" s="57" t="s">
        <v>618</v>
      </c>
      <c r="E729" s="57">
        <v>1</v>
      </c>
      <c r="F729" s="57" t="str">
        <f t="shared" si="28"/>
        <v>B3_P1_C2_D1</v>
      </c>
      <c r="G729" s="57" t="s">
        <v>11</v>
      </c>
      <c r="H729" s="57" t="s">
        <v>20</v>
      </c>
      <c r="I729" s="57" t="str">
        <f t="shared" si="27"/>
        <v>B3-P1-C2</v>
      </c>
      <c r="J729" s="57" t="str">
        <f t="shared" si="26"/>
        <v>Robinia-B3-P1-C2-D1</v>
      </c>
      <c r="K729" s="57" t="s">
        <v>64</v>
      </c>
      <c r="L729" s="57" t="s">
        <v>44</v>
      </c>
      <c r="M729" s="57" t="str">
        <f t="shared" si="29"/>
        <v>Drought_Grey_Yes</v>
      </c>
      <c r="N729" s="37">
        <v>751</v>
      </c>
      <c r="O729" s="57">
        <v>3.4</v>
      </c>
      <c r="P729" s="57">
        <v>28</v>
      </c>
      <c r="Q729" s="57">
        <v>3.54</v>
      </c>
      <c r="R729" s="57">
        <v>36</v>
      </c>
      <c r="S729" s="57">
        <v>4.5</v>
      </c>
      <c r="T729" s="57">
        <v>52</v>
      </c>
      <c r="U729" s="57">
        <v>4.5199999999999996</v>
      </c>
      <c r="V729" s="57">
        <v>53</v>
      </c>
      <c r="W729" s="57">
        <v>4.34</v>
      </c>
      <c r="X729" s="57">
        <v>52</v>
      </c>
      <c r="Y729" s="57">
        <v>4.8899999999999997</v>
      </c>
      <c r="Z729" s="57"/>
      <c r="AA729" s="57">
        <v>4.53</v>
      </c>
      <c r="AB729" s="57"/>
      <c r="AC729" s="57"/>
      <c r="AD729" s="57"/>
    </row>
    <row r="730" spans="1:30" s="38" customFormat="1" x14ac:dyDescent="0.2">
      <c r="A730" s="57" t="s">
        <v>426</v>
      </c>
      <c r="B730" s="57" t="s">
        <v>15</v>
      </c>
      <c r="C730" s="57" t="s">
        <v>32</v>
      </c>
      <c r="D730" s="57" t="s">
        <v>619</v>
      </c>
      <c r="E730" s="57">
        <v>1</v>
      </c>
      <c r="F730" s="57" t="str">
        <f t="shared" si="28"/>
        <v>B3_P1_C2_E1</v>
      </c>
      <c r="G730" s="57" t="s">
        <v>11</v>
      </c>
      <c r="H730" s="57" t="s">
        <v>20</v>
      </c>
      <c r="I730" s="57" t="str">
        <f t="shared" si="27"/>
        <v>B3-P1-C2</v>
      </c>
      <c r="J730" s="57" t="str">
        <f t="shared" si="26"/>
        <v>Robinia-B3-P1-C2-E1</v>
      </c>
      <c r="K730" s="57" t="s">
        <v>64</v>
      </c>
      <c r="L730" s="57" t="s">
        <v>44</v>
      </c>
      <c r="M730" s="57" t="str">
        <f t="shared" si="29"/>
        <v>Drought_Grey_Yes</v>
      </c>
      <c r="N730" s="37">
        <v>752</v>
      </c>
      <c r="O730" s="57">
        <v>8</v>
      </c>
      <c r="P730" s="57">
        <v>73</v>
      </c>
      <c r="Q730" s="57">
        <v>8.41</v>
      </c>
      <c r="R730" s="57">
        <v>85</v>
      </c>
      <c r="S730" s="57">
        <v>9.68</v>
      </c>
      <c r="T730" s="57">
        <v>102</v>
      </c>
      <c r="U730" s="57">
        <v>10.01</v>
      </c>
      <c r="V730" s="57">
        <v>102</v>
      </c>
      <c r="W730" s="57">
        <v>10.199999999999999</v>
      </c>
      <c r="X730" s="57">
        <v>109</v>
      </c>
      <c r="Y730" s="57">
        <v>10.98</v>
      </c>
      <c r="Z730" s="57"/>
      <c r="AA730" s="57">
        <v>11.15</v>
      </c>
      <c r="AB730" s="57"/>
      <c r="AC730" s="57"/>
      <c r="AD730" s="57"/>
    </row>
    <row r="731" spans="1:30" s="38" customFormat="1" x14ac:dyDescent="0.2">
      <c r="A731" s="57" t="s">
        <v>426</v>
      </c>
      <c r="B731" s="57" t="s">
        <v>15</v>
      </c>
      <c r="C731" s="57" t="s">
        <v>32</v>
      </c>
      <c r="D731" s="57" t="s">
        <v>620</v>
      </c>
      <c r="E731" s="57">
        <v>1</v>
      </c>
      <c r="F731" s="57" t="str">
        <f t="shared" si="28"/>
        <v>B3_P1_C2_F1</v>
      </c>
      <c r="G731" s="57" t="s">
        <v>11</v>
      </c>
      <c r="H731" s="57" t="s">
        <v>20</v>
      </c>
      <c r="I731" s="57" t="str">
        <f t="shared" si="27"/>
        <v>B3-P1-C2</v>
      </c>
      <c r="J731" s="57" t="str">
        <f t="shared" si="26"/>
        <v>Robinia-B3-P1-C2-F1</v>
      </c>
      <c r="K731" s="57" t="s">
        <v>64</v>
      </c>
      <c r="L731" s="57" t="s">
        <v>44</v>
      </c>
      <c r="M731" s="57" t="str">
        <f t="shared" si="29"/>
        <v>Drought_Grey_Yes</v>
      </c>
      <c r="N731" s="37">
        <v>753</v>
      </c>
      <c r="O731" s="57">
        <v>13.1</v>
      </c>
      <c r="P731" s="57">
        <v>146</v>
      </c>
      <c r="Q731" s="57">
        <v>13.98</v>
      </c>
      <c r="R731" s="57">
        <v>152</v>
      </c>
      <c r="S731" s="57">
        <v>15.5</v>
      </c>
      <c r="T731" s="57">
        <v>172</v>
      </c>
      <c r="U731" s="57">
        <v>16.18</v>
      </c>
      <c r="V731" s="57">
        <v>174</v>
      </c>
      <c r="W731" s="57">
        <v>16.64</v>
      </c>
      <c r="X731" s="57">
        <v>179</v>
      </c>
      <c r="Y731" s="57">
        <v>17.239999999999998</v>
      </c>
      <c r="Z731" s="57"/>
      <c r="AA731" s="57">
        <v>18.260000000000002</v>
      </c>
      <c r="AB731" s="57"/>
      <c r="AC731" s="57"/>
      <c r="AD731" s="57"/>
    </row>
    <row r="732" spans="1:30" s="38" customFormat="1" x14ac:dyDescent="0.2">
      <c r="A732" s="57" t="s">
        <v>426</v>
      </c>
      <c r="B732" s="57" t="s">
        <v>15</v>
      </c>
      <c r="C732" s="57" t="s">
        <v>32</v>
      </c>
      <c r="D732" s="57" t="s">
        <v>618</v>
      </c>
      <c r="E732" s="57">
        <v>2</v>
      </c>
      <c r="F732" s="57" t="str">
        <f t="shared" si="28"/>
        <v>B3_P1_C2_D2</v>
      </c>
      <c r="G732" s="57" t="s">
        <v>11</v>
      </c>
      <c r="H732" s="57" t="s">
        <v>20</v>
      </c>
      <c r="I732" s="57" t="str">
        <f t="shared" si="27"/>
        <v>B3-P1-C2</v>
      </c>
      <c r="J732" s="57" t="str">
        <f t="shared" si="26"/>
        <v>Robinia-B3-P1-C2-D2</v>
      </c>
      <c r="K732" s="57" t="s">
        <v>64</v>
      </c>
      <c r="L732" s="57" t="s">
        <v>44</v>
      </c>
      <c r="M732" s="57" t="str">
        <f t="shared" si="29"/>
        <v>Drought_Grey_Yes</v>
      </c>
      <c r="N732" s="37">
        <v>754</v>
      </c>
      <c r="O732" s="57">
        <v>13.6</v>
      </c>
      <c r="P732" s="57">
        <v>127</v>
      </c>
      <c r="Q732" s="57">
        <v>15.2</v>
      </c>
      <c r="R732" s="57">
        <v>133</v>
      </c>
      <c r="S732" s="57">
        <v>17.77</v>
      </c>
      <c r="T732" s="57">
        <v>165</v>
      </c>
      <c r="U732" s="57">
        <v>17.559999999999999</v>
      </c>
      <c r="V732" s="57">
        <v>159</v>
      </c>
      <c r="W732" s="57">
        <v>19.38</v>
      </c>
      <c r="X732" s="57">
        <v>158</v>
      </c>
      <c r="Y732" s="57">
        <v>20.47</v>
      </c>
      <c r="Z732" s="57"/>
      <c r="AA732" s="57">
        <v>21.21</v>
      </c>
      <c r="AB732" s="57"/>
      <c r="AC732" s="57"/>
      <c r="AD732" s="57"/>
    </row>
    <row r="733" spans="1:30" s="38" customFormat="1" x14ac:dyDescent="0.2">
      <c r="A733" s="57" t="s">
        <v>426</v>
      </c>
      <c r="B733" s="57" t="s">
        <v>15</v>
      </c>
      <c r="C733" s="57" t="s">
        <v>32</v>
      </c>
      <c r="D733" s="57" t="s">
        <v>619</v>
      </c>
      <c r="E733" s="57">
        <v>2</v>
      </c>
      <c r="F733" s="57" t="str">
        <f t="shared" si="28"/>
        <v>B3_P1_C2_E2</v>
      </c>
      <c r="G733" s="57" t="s">
        <v>11</v>
      </c>
      <c r="H733" s="57" t="s">
        <v>20</v>
      </c>
      <c r="I733" s="57" t="str">
        <f t="shared" si="27"/>
        <v>B3-P1-C2</v>
      </c>
      <c r="J733" s="57" t="str">
        <f t="shared" si="26"/>
        <v>Robinia-B3-P1-C2-E2</v>
      </c>
      <c r="K733" s="57" t="s">
        <v>64</v>
      </c>
      <c r="L733" s="57" t="s">
        <v>44</v>
      </c>
      <c r="M733" s="57" t="str">
        <f t="shared" si="29"/>
        <v>Drought_Grey_Yes</v>
      </c>
      <c r="N733" s="37">
        <v>755</v>
      </c>
      <c r="O733" s="57">
        <v>12</v>
      </c>
      <c r="P733" s="57">
        <v>135</v>
      </c>
      <c r="Q733" s="57">
        <v>13.94</v>
      </c>
      <c r="R733" s="57">
        <v>137</v>
      </c>
      <c r="S733" s="57">
        <v>14.85</v>
      </c>
      <c r="T733" s="57">
        <v>168</v>
      </c>
      <c r="U733" s="57">
        <v>15.29</v>
      </c>
      <c r="V733" s="57">
        <v>165</v>
      </c>
      <c r="W733" s="57">
        <v>15.79</v>
      </c>
      <c r="X733" s="57">
        <v>175</v>
      </c>
      <c r="Y733" s="57">
        <v>13.23</v>
      </c>
      <c r="Z733" s="57"/>
      <c r="AA733" s="57">
        <v>16.66</v>
      </c>
      <c r="AB733" s="57"/>
      <c r="AC733" s="57"/>
      <c r="AD733" s="57"/>
    </row>
    <row r="734" spans="1:30" s="38" customFormat="1" x14ac:dyDescent="0.2">
      <c r="A734" s="57" t="s">
        <v>426</v>
      </c>
      <c r="B734" s="57" t="s">
        <v>15</v>
      </c>
      <c r="C734" s="57" t="s">
        <v>32</v>
      </c>
      <c r="D734" s="57" t="s">
        <v>620</v>
      </c>
      <c r="E734" s="57">
        <v>2</v>
      </c>
      <c r="F734" s="57" t="str">
        <f t="shared" si="28"/>
        <v>B3_P1_C2_F2</v>
      </c>
      <c r="G734" s="57" t="s">
        <v>11</v>
      </c>
      <c r="H734" s="57" t="s">
        <v>20</v>
      </c>
      <c r="I734" s="57" t="str">
        <f t="shared" si="27"/>
        <v>B3-P1-C2</v>
      </c>
      <c r="J734" s="57" t="str">
        <f t="shared" si="26"/>
        <v>Robinia-B3-P1-C2-F2</v>
      </c>
      <c r="K734" s="57" t="s">
        <v>64</v>
      </c>
      <c r="L734" s="57" t="s">
        <v>44</v>
      </c>
      <c r="M734" s="57" t="str">
        <f t="shared" si="29"/>
        <v>Drought_Grey_Yes</v>
      </c>
      <c r="N734" s="37">
        <v>756</v>
      </c>
      <c r="O734" s="57">
        <v>13.2</v>
      </c>
      <c r="P734" s="57">
        <v>124</v>
      </c>
      <c r="Q734" s="57">
        <v>14.46</v>
      </c>
      <c r="R734" s="57">
        <v>132</v>
      </c>
      <c r="S734" s="57">
        <v>16.170000000000002</v>
      </c>
      <c r="T734" s="57">
        <v>165</v>
      </c>
      <c r="U734" s="57">
        <v>16.57</v>
      </c>
      <c r="V734" s="57">
        <v>162</v>
      </c>
      <c r="W734" s="57">
        <v>17.46</v>
      </c>
      <c r="X734" s="57">
        <v>160</v>
      </c>
      <c r="Y734" s="57">
        <v>17.68</v>
      </c>
      <c r="Z734" s="57"/>
      <c r="AA734" s="57">
        <v>18.399999999999999</v>
      </c>
      <c r="AB734" s="57"/>
      <c r="AC734" s="57"/>
      <c r="AD734" s="57"/>
    </row>
    <row r="735" spans="1:30" x14ac:dyDescent="0.2">
      <c r="A735" s="60" t="s">
        <v>426</v>
      </c>
      <c r="B735" s="60" t="s">
        <v>15</v>
      </c>
      <c r="C735" s="60" t="s">
        <v>53</v>
      </c>
      <c r="D735" s="60" t="s">
        <v>618</v>
      </c>
      <c r="E735" s="60">
        <v>1</v>
      </c>
      <c r="F735" s="60" t="str">
        <f t="shared" si="28"/>
        <v>B3_P1_C4_D1</v>
      </c>
      <c r="G735" s="60" t="s">
        <v>11</v>
      </c>
      <c r="H735" s="60" t="s">
        <v>20</v>
      </c>
      <c r="I735" s="60" t="str">
        <f t="shared" si="27"/>
        <v>B3-P1-C4</v>
      </c>
      <c r="J735" s="60" t="str">
        <f t="shared" si="26"/>
        <v>Robinia-B3-P1-C4-D1</v>
      </c>
      <c r="K735" s="60" t="s">
        <v>64</v>
      </c>
      <c r="L735" s="60" t="s">
        <v>44</v>
      </c>
      <c r="M735" s="60" t="str">
        <f t="shared" si="29"/>
        <v>Drought_Grey_Yes</v>
      </c>
      <c r="N735" s="15">
        <v>757</v>
      </c>
      <c r="O735" s="60">
        <v>11.5</v>
      </c>
      <c r="P735" s="60">
        <v>99</v>
      </c>
      <c r="Q735" s="60">
        <v>12.23</v>
      </c>
      <c r="R735" s="60">
        <v>107</v>
      </c>
      <c r="S735" s="3">
        <v>15.44</v>
      </c>
      <c r="T735" s="3">
        <v>140</v>
      </c>
      <c r="U735" s="3">
        <v>15.55</v>
      </c>
      <c r="V735" s="3">
        <v>133</v>
      </c>
      <c r="W735" s="3">
        <v>15.07</v>
      </c>
      <c r="X735" s="3">
        <v>146</v>
      </c>
      <c r="Y735" s="3">
        <v>17.350000000000001</v>
      </c>
      <c r="Z735" s="3"/>
      <c r="AA735" s="3">
        <v>17.649999999999999</v>
      </c>
      <c r="AB735" s="3"/>
      <c r="AC735" s="3"/>
      <c r="AD735" s="3"/>
    </row>
    <row r="736" spans="1:30" x14ac:dyDescent="0.2">
      <c r="A736" s="60" t="s">
        <v>426</v>
      </c>
      <c r="B736" s="60" t="s">
        <v>15</v>
      </c>
      <c r="C736" s="60" t="s">
        <v>53</v>
      </c>
      <c r="D736" s="60" t="s">
        <v>619</v>
      </c>
      <c r="E736" s="60">
        <v>1</v>
      </c>
      <c r="F736" s="60" t="str">
        <f t="shared" si="28"/>
        <v>B3_P1_C4_E1</v>
      </c>
      <c r="G736" s="60" t="s">
        <v>11</v>
      </c>
      <c r="H736" s="60" t="s">
        <v>20</v>
      </c>
      <c r="I736" s="60" t="str">
        <f t="shared" si="27"/>
        <v>B3-P1-C4</v>
      </c>
      <c r="J736" s="60" t="str">
        <f t="shared" si="26"/>
        <v>Robinia-B3-P1-C4-E1</v>
      </c>
      <c r="K736" s="60" t="s">
        <v>64</v>
      </c>
      <c r="L736" s="60" t="s">
        <v>44</v>
      </c>
      <c r="M736" s="60" t="str">
        <f t="shared" si="29"/>
        <v>Drought_Grey_Yes</v>
      </c>
      <c r="N736" s="15">
        <v>758</v>
      </c>
      <c r="O736" s="60">
        <v>14.6</v>
      </c>
      <c r="P736" s="60">
        <v>140</v>
      </c>
      <c r="Q736" s="60">
        <v>16.2</v>
      </c>
      <c r="R736" s="60">
        <v>146</v>
      </c>
      <c r="S736" s="3">
        <v>17.3</v>
      </c>
      <c r="T736" s="3">
        <v>160</v>
      </c>
      <c r="U736" s="3">
        <v>18.57</v>
      </c>
      <c r="V736" s="3">
        <v>160</v>
      </c>
      <c r="W736" s="3">
        <v>18.16</v>
      </c>
      <c r="X736" s="3">
        <v>165</v>
      </c>
      <c r="Y736" s="3">
        <v>20.73</v>
      </c>
      <c r="Z736" s="3"/>
      <c r="AA736" s="3">
        <v>21.47</v>
      </c>
      <c r="AB736" s="3"/>
      <c r="AC736" s="3"/>
      <c r="AD736" s="3"/>
    </row>
    <row r="737" spans="1:30" x14ac:dyDescent="0.2">
      <c r="A737" s="60" t="s">
        <v>426</v>
      </c>
      <c r="B737" s="60" t="s">
        <v>15</v>
      </c>
      <c r="C737" s="60" t="s">
        <v>53</v>
      </c>
      <c r="D737" s="60" t="s">
        <v>620</v>
      </c>
      <c r="E737" s="60">
        <v>1</v>
      </c>
      <c r="F737" s="60" t="str">
        <f t="shared" si="28"/>
        <v>B3_P1_C4_F1</v>
      </c>
      <c r="G737" s="60" t="s">
        <v>11</v>
      </c>
      <c r="H737" s="60" t="s">
        <v>20</v>
      </c>
      <c r="I737" s="60" t="str">
        <f t="shared" si="27"/>
        <v>B3-P1-C4</v>
      </c>
      <c r="J737" s="60" t="str">
        <f t="shared" si="26"/>
        <v>Robinia-B3-P1-C4-F1</v>
      </c>
      <c r="K737" s="60" t="s">
        <v>64</v>
      </c>
      <c r="L737" s="60" t="s">
        <v>44</v>
      </c>
      <c r="M737" s="60" t="str">
        <f t="shared" si="29"/>
        <v>Drought_Grey_Yes</v>
      </c>
      <c r="N737" s="15">
        <v>759</v>
      </c>
      <c r="O737" s="60">
        <v>5.9</v>
      </c>
      <c r="P737" s="60">
        <v>51</v>
      </c>
      <c r="Q737" s="60">
        <v>6.41</v>
      </c>
      <c r="R737" s="60">
        <v>58</v>
      </c>
      <c r="S737" s="3">
        <v>7.6</v>
      </c>
      <c r="T737" s="3">
        <v>75</v>
      </c>
      <c r="U737" s="3">
        <v>7.75</v>
      </c>
      <c r="V737" s="3">
        <v>71</v>
      </c>
      <c r="W737" s="3">
        <v>7.56</v>
      </c>
      <c r="X737" s="3">
        <v>72</v>
      </c>
      <c r="Y737" s="3">
        <v>8.08</v>
      </c>
      <c r="Z737" s="3"/>
      <c r="AA737" s="3">
        <v>8.09</v>
      </c>
      <c r="AB737" s="3"/>
      <c r="AC737" s="3"/>
      <c r="AD737" s="3"/>
    </row>
    <row r="738" spans="1:30" x14ac:dyDescent="0.2">
      <c r="A738" s="60" t="s">
        <v>426</v>
      </c>
      <c r="B738" s="60" t="s">
        <v>15</v>
      </c>
      <c r="C738" s="60" t="s">
        <v>53</v>
      </c>
      <c r="D738" s="60" t="s">
        <v>618</v>
      </c>
      <c r="E738" s="60">
        <v>2</v>
      </c>
      <c r="F738" s="60" t="str">
        <f t="shared" si="28"/>
        <v>B3_P1_C4_D2</v>
      </c>
      <c r="G738" s="60" t="s">
        <v>11</v>
      </c>
      <c r="H738" s="60" t="s">
        <v>20</v>
      </c>
      <c r="I738" s="60" t="str">
        <f t="shared" si="27"/>
        <v>B3-P1-C4</v>
      </c>
      <c r="J738" s="60" t="str">
        <f t="shared" si="26"/>
        <v>Robinia-B3-P1-C4-D2</v>
      </c>
      <c r="K738" s="60" t="s">
        <v>64</v>
      </c>
      <c r="L738" s="60" t="s">
        <v>44</v>
      </c>
      <c r="M738" s="60" t="str">
        <f t="shared" si="29"/>
        <v>Drought_Grey_Yes</v>
      </c>
      <c r="N738" s="15">
        <v>760</v>
      </c>
      <c r="O738" s="60">
        <v>7.8</v>
      </c>
      <c r="P738" s="60">
        <v>79</v>
      </c>
      <c r="Q738" s="60">
        <v>9.26</v>
      </c>
      <c r="R738" s="60">
        <v>84</v>
      </c>
      <c r="S738" s="3">
        <v>11.95</v>
      </c>
      <c r="T738" s="3">
        <v>110</v>
      </c>
      <c r="U738" s="3">
        <v>11.53</v>
      </c>
      <c r="V738" s="3">
        <v>108</v>
      </c>
      <c r="W738" s="3">
        <v>12.65</v>
      </c>
      <c r="X738" s="3">
        <v>116</v>
      </c>
      <c r="Y738" s="3">
        <v>13.41</v>
      </c>
      <c r="Z738" s="3"/>
      <c r="AA738" s="3">
        <v>14.56</v>
      </c>
      <c r="AB738" s="3"/>
      <c r="AC738" s="3"/>
      <c r="AD738" s="3"/>
    </row>
    <row r="739" spans="1:30" x14ac:dyDescent="0.2">
      <c r="A739" s="60" t="s">
        <v>426</v>
      </c>
      <c r="B739" s="60" t="s">
        <v>15</v>
      </c>
      <c r="C739" s="60" t="s">
        <v>53</v>
      </c>
      <c r="D739" s="60" t="s">
        <v>619</v>
      </c>
      <c r="E739" s="60">
        <v>2</v>
      </c>
      <c r="F739" s="60" t="str">
        <f t="shared" si="28"/>
        <v>B3_P1_C4_E2</v>
      </c>
      <c r="G739" s="60" t="s">
        <v>11</v>
      </c>
      <c r="H739" s="60" t="s">
        <v>20</v>
      </c>
      <c r="I739" s="60" t="str">
        <f t="shared" si="27"/>
        <v>B3-P1-C4</v>
      </c>
      <c r="J739" s="60" t="str">
        <f t="shared" si="26"/>
        <v>Robinia-B3-P1-C4-E2</v>
      </c>
      <c r="K739" s="60" t="s">
        <v>64</v>
      </c>
      <c r="L739" s="60" t="s">
        <v>44</v>
      </c>
      <c r="M739" s="60" t="str">
        <f t="shared" si="29"/>
        <v>Drought_Grey_Yes</v>
      </c>
      <c r="N739" s="15">
        <v>761</v>
      </c>
      <c r="O739" s="60">
        <v>4.5</v>
      </c>
      <c r="P739" s="60">
        <v>37</v>
      </c>
      <c r="Q739" s="60">
        <v>5.25</v>
      </c>
      <c r="R739" s="60">
        <v>40.5</v>
      </c>
      <c r="S739" s="3">
        <v>6.73</v>
      </c>
      <c r="T739" s="3">
        <v>72</v>
      </c>
      <c r="U739" s="3">
        <v>7.03</v>
      </c>
      <c r="V739" s="3">
        <v>67</v>
      </c>
      <c r="W739" s="3">
        <v>7.1</v>
      </c>
      <c r="X739" s="3">
        <v>77</v>
      </c>
      <c r="Y739" s="3">
        <v>8.75</v>
      </c>
      <c r="Z739" s="3"/>
      <c r="AA739" s="3">
        <v>10.55</v>
      </c>
      <c r="AB739" s="3"/>
      <c r="AC739" s="3"/>
      <c r="AD739" s="3"/>
    </row>
    <row r="740" spans="1:30" x14ac:dyDescent="0.2">
      <c r="A740" s="60" t="s">
        <v>426</v>
      </c>
      <c r="B740" s="60" t="s">
        <v>15</v>
      </c>
      <c r="C740" s="60" t="s">
        <v>53</v>
      </c>
      <c r="D740" s="60" t="s">
        <v>620</v>
      </c>
      <c r="E740" s="60">
        <v>2</v>
      </c>
      <c r="F740" s="60" t="str">
        <f t="shared" si="28"/>
        <v>B3_P1_C4_F2</v>
      </c>
      <c r="G740" s="60" t="s">
        <v>11</v>
      </c>
      <c r="H740" s="60" t="s">
        <v>20</v>
      </c>
      <c r="I740" s="60" t="str">
        <f t="shared" si="27"/>
        <v>B3-P1-C4</v>
      </c>
      <c r="J740" s="60" t="str">
        <f t="shared" si="26"/>
        <v>Robinia-B3-P1-C4-F2</v>
      </c>
      <c r="K740" s="60" t="s">
        <v>64</v>
      </c>
      <c r="L740" s="60" t="s">
        <v>44</v>
      </c>
      <c r="M740" s="60" t="str">
        <f t="shared" si="29"/>
        <v>Drought_Grey_Yes</v>
      </c>
      <c r="N740" s="15">
        <v>762</v>
      </c>
      <c r="O740" s="60">
        <v>8.4</v>
      </c>
      <c r="P740" s="60">
        <v>87</v>
      </c>
      <c r="Q740" s="60">
        <v>9.4600000000000009</v>
      </c>
      <c r="R740" s="60">
        <v>98</v>
      </c>
      <c r="S740" s="3">
        <v>12.07</v>
      </c>
      <c r="T740" s="3">
        <v>130</v>
      </c>
      <c r="U740" s="3">
        <v>11.5</v>
      </c>
      <c r="V740" s="3">
        <v>124</v>
      </c>
      <c r="W740" s="3">
        <v>12.39</v>
      </c>
      <c r="X740" s="3">
        <v>129</v>
      </c>
      <c r="Y740" s="3">
        <v>13.48</v>
      </c>
      <c r="Z740" s="3"/>
      <c r="AA740" s="3">
        <v>14.18</v>
      </c>
      <c r="AB740" s="3"/>
      <c r="AC740" s="3"/>
      <c r="AD740" s="3"/>
    </row>
    <row r="741" spans="1:30" s="38" customFormat="1" x14ac:dyDescent="0.2">
      <c r="A741" s="57" t="s">
        <v>426</v>
      </c>
      <c r="B741" s="57" t="s">
        <v>62</v>
      </c>
      <c r="C741" s="57" t="s">
        <v>32</v>
      </c>
      <c r="D741" s="57" t="s">
        <v>618</v>
      </c>
      <c r="E741" s="57">
        <v>1</v>
      </c>
      <c r="F741" s="57" t="str">
        <f t="shared" si="28"/>
        <v>B3_P2_C2_D1</v>
      </c>
      <c r="G741" s="57" t="s">
        <v>11</v>
      </c>
      <c r="H741" s="57" t="s">
        <v>20</v>
      </c>
      <c r="I741" s="57" t="str">
        <f t="shared" si="27"/>
        <v>B3-P2-C2</v>
      </c>
      <c r="J741" s="57" t="str">
        <f t="shared" si="26"/>
        <v>Robinia-B3-P2-C2-D1</v>
      </c>
      <c r="K741" s="57" t="s">
        <v>21</v>
      </c>
      <c r="L741" s="57" t="s">
        <v>44</v>
      </c>
      <c r="M741" s="57" t="str">
        <f t="shared" si="29"/>
        <v>Drought_Yellow_Yes</v>
      </c>
      <c r="N741" s="37">
        <v>763</v>
      </c>
      <c r="O741" s="57">
        <v>2.2000000000000002</v>
      </c>
      <c r="P741" s="57">
        <v>10</v>
      </c>
      <c r="Q741" s="57">
        <v>2.44</v>
      </c>
      <c r="R741" s="57">
        <v>11</v>
      </c>
      <c r="S741" s="57">
        <v>2.2999999999999998</v>
      </c>
      <c r="T741" s="57">
        <v>22</v>
      </c>
      <c r="U741" s="57">
        <v>3.04</v>
      </c>
      <c r="V741" s="57">
        <v>23</v>
      </c>
      <c r="W741" s="57">
        <v>3.39</v>
      </c>
      <c r="X741" s="57">
        <v>27</v>
      </c>
      <c r="Y741" s="57">
        <v>4.03</v>
      </c>
      <c r="Z741" s="57"/>
      <c r="AA741" s="57">
        <v>3.43</v>
      </c>
      <c r="AB741" s="57"/>
      <c r="AC741" s="57"/>
      <c r="AD741" s="57"/>
    </row>
    <row r="742" spans="1:30" s="38" customFormat="1" x14ac:dyDescent="0.2">
      <c r="A742" s="57" t="s">
        <v>426</v>
      </c>
      <c r="B742" s="57" t="s">
        <v>62</v>
      </c>
      <c r="C742" s="57" t="s">
        <v>32</v>
      </c>
      <c r="D742" s="57" t="s">
        <v>619</v>
      </c>
      <c r="E742" s="57">
        <v>1</v>
      </c>
      <c r="F742" s="57" t="str">
        <f t="shared" si="28"/>
        <v>B3_P2_C2_E1</v>
      </c>
      <c r="G742" s="57" t="s">
        <v>11</v>
      </c>
      <c r="H742" s="57" t="s">
        <v>20</v>
      </c>
      <c r="I742" s="57" t="str">
        <f t="shared" si="27"/>
        <v>B3-P2-C2</v>
      </c>
      <c r="J742" s="57" t="str">
        <f t="shared" si="26"/>
        <v>Robinia-B3-P2-C2-E1</v>
      </c>
      <c r="K742" s="57" t="s">
        <v>21</v>
      </c>
      <c r="L742" s="57" t="s">
        <v>44</v>
      </c>
      <c r="M742" s="57" t="str">
        <f t="shared" si="29"/>
        <v>Drought_Yellow_Yes</v>
      </c>
      <c r="N742" s="37">
        <v>764</v>
      </c>
      <c r="O742" s="57">
        <v>2.1</v>
      </c>
      <c r="P742" s="57">
        <v>11</v>
      </c>
      <c r="Q742" s="57">
        <v>2.1</v>
      </c>
      <c r="R742" s="57">
        <v>11</v>
      </c>
      <c r="S742" s="57">
        <v>2.27</v>
      </c>
      <c r="T742" s="57">
        <v>24</v>
      </c>
      <c r="U742" s="57">
        <v>2.39</v>
      </c>
      <c r="V742" s="57">
        <v>26</v>
      </c>
      <c r="W742" s="57">
        <v>3.04</v>
      </c>
      <c r="X742" s="57">
        <v>30</v>
      </c>
      <c r="Y742" s="57">
        <v>3.93</v>
      </c>
      <c r="Z742" s="57"/>
      <c r="AA742" s="57">
        <v>3.61</v>
      </c>
      <c r="AB742" s="57"/>
      <c r="AC742" s="57"/>
      <c r="AD742" s="57"/>
    </row>
    <row r="743" spans="1:30" s="38" customFormat="1" x14ac:dyDescent="0.2">
      <c r="A743" s="57" t="s">
        <v>426</v>
      </c>
      <c r="B743" s="57" t="s">
        <v>62</v>
      </c>
      <c r="C743" s="57" t="s">
        <v>32</v>
      </c>
      <c r="D743" s="57" t="s">
        <v>620</v>
      </c>
      <c r="E743" s="57">
        <v>1</v>
      </c>
      <c r="F743" s="57" t="str">
        <f t="shared" si="28"/>
        <v>B3_P2_C2_F1</v>
      </c>
      <c r="G743" s="57" t="s">
        <v>11</v>
      </c>
      <c r="H743" s="57" t="s">
        <v>20</v>
      </c>
      <c r="I743" s="57" t="str">
        <f t="shared" si="27"/>
        <v>B3-P2-C2</v>
      </c>
      <c r="J743" s="57" t="str">
        <f t="shared" si="26"/>
        <v>Robinia-B3-P2-C2-F1</v>
      </c>
      <c r="K743" s="57" t="s">
        <v>21</v>
      </c>
      <c r="L743" s="57" t="s">
        <v>44</v>
      </c>
      <c r="M743" s="57" t="str">
        <f t="shared" si="29"/>
        <v>Drought_Yellow_Yes</v>
      </c>
      <c r="N743" s="37">
        <v>765</v>
      </c>
      <c r="O743" s="57">
        <v>7.5</v>
      </c>
      <c r="P743" s="57">
        <v>80</v>
      </c>
      <c r="Q743" s="57">
        <v>8.31</v>
      </c>
      <c r="R743" s="57">
        <v>85</v>
      </c>
      <c r="S743" s="57">
        <v>11.46</v>
      </c>
      <c r="T743" s="57">
        <v>130</v>
      </c>
      <c r="U743" s="57">
        <v>11.5</v>
      </c>
      <c r="V743" s="57">
        <v>128</v>
      </c>
      <c r="W743" s="57">
        <v>12.72</v>
      </c>
      <c r="X743" s="57">
        <v>140</v>
      </c>
      <c r="Y743" s="57">
        <v>13.9</v>
      </c>
      <c r="Z743" s="57"/>
      <c r="AA743" s="57">
        <v>15.42</v>
      </c>
      <c r="AB743" s="57"/>
      <c r="AC743" s="57"/>
      <c r="AD743" s="57"/>
    </row>
    <row r="744" spans="1:30" s="38" customFormat="1" x14ac:dyDescent="0.2">
      <c r="A744" s="57" t="s">
        <v>426</v>
      </c>
      <c r="B744" s="57" t="s">
        <v>62</v>
      </c>
      <c r="C744" s="57" t="s">
        <v>32</v>
      </c>
      <c r="D744" s="57" t="s">
        <v>618</v>
      </c>
      <c r="E744" s="57">
        <v>2</v>
      </c>
      <c r="F744" s="57" t="str">
        <f t="shared" si="28"/>
        <v>B3_P2_C2_D2</v>
      </c>
      <c r="G744" s="57" t="s">
        <v>11</v>
      </c>
      <c r="H744" s="57" t="s">
        <v>20</v>
      </c>
      <c r="I744" s="57" t="str">
        <f t="shared" si="27"/>
        <v>B3-P2-C2</v>
      </c>
      <c r="J744" s="57" t="str">
        <f t="shared" si="26"/>
        <v>Robinia-B3-P2-C2-D2</v>
      </c>
      <c r="K744" s="57" t="s">
        <v>21</v>
      </c>
      <c r="L744" s="57" t="s">
        <v>44</v>
      </c>
      <c r="M744" s="57" t="str">
        <f t="shared" si="29"/>
        <v>Drought_Yellow_Yes</v>
      </c>
      <c r="N744" s="37">
        <v>766</v>
      </c>
      <c r="O744" s="57">
        <v>4.2</v>
      </c>
      <c r="P744" s="57">
        <v>50</v>
      </c>
      <c r="Q744" s="57">
        <v>6.08</v>
      </c>
      <c r="R744" s="57">
        <v>58</v>
      </c>
      <c r="S744" s="57">
        <v>7.72</v>
      </c>
      <c r="T744" s="57">
        <v>94</v>
      </c>
      <c r="U744" s="57">
        <v>8.36</v>
      </c>
      <c r="V744" s="57">
        <v>95</v>
      </c>
      <c r="W744" s="57">
        <v>10.24</v>
      </c>
      <c r="X744" s="57">
        <v>113</v>
      </c>
      <c r="Y744" s="57">
        <v>10.35</v>
      </c>
      <c r="Z744" s="57"/>
      <c r="AA744" s="57">
        <v>10.52</v>
      </c>
      <c r="AB744" s="57"/>
      <c r="AC744" s="57"/>
      <c r="AD744" s="57"/>
    </row>
    <row r="745" spans="1:30" s="38" customFormat="1" x14ac:dyDescent="0.2">
      <c r="A745" s="57" t="s">
        <v>426</v>
      </c>
      <c r="B745" s="57" t="s">
        <v>62</v>
      </c>
      <c r="C745" s="57" t="s">
        <v>32</v>
      </c>
      <c r="D745" s="57" t="s">
        <v>619</v>
      </c>
      <c r="E745" s="57">
        <v>2</v>
      </c>
      <c r="F745" s="57" t="str">
        <f t="shared" si="28"/>
        <v>B3_P2_C2_E2</v>
      </c>
      <c r="G745" s="57" t="s">
        <v>11</v>
      </c>
      <c r="H745" s="57" t="s">
        <v>20</v>
      </c>
      <c r="I745" s="57" t="str">
        <f t="shared" si="27"/>
        <v>B3-P2-C2</v>
      </c>
      <c r="J745" s="57" t="str">
        <f t="shared" si="26"/>
        <v>Robinia-B3-P2-C2-E2</v>
      </c>
      <c r="K745" s="57" t="s">
        <v>21</v>
      </c>
      <c r="L745" s="57" t="s">
        <v>44</v>
      </c>
      <c r="M745" s="57" t="str">
        <f t="shared" si="29"/>
        <v>Drought_Yellow_Yes</v>
      </c>
      <c r="N745" s="37">
        <v>767</v>
      </c>
      <c r="O745" s="57">
        <v>6.6</v>
      </c>
      <c r="P745" s="57">
        <v>69</v>
      </c>
      <c r="Q745" s="57">
        <v>7.27</v>
      </c>
      <c r="R745" s="57">
        <v>81</v>
      </c>
      <c r="S745" s="57">
        <v>9.61</v>
      </c>
      <c r="T745" s="57">
        <v>127</v>
      </c>
      <c r="U745" s="57">
        <v>9.59</v>
      </c>
      <c r="V745" s="57">
        <v>118</v>
      </c>
      <c r="W745" s="57">
        <v>10.039999999999999</v>
      </c>
      <c r="X745" s="57">
        <v>120</v>
      </c>
      <c r="Y745" s="57">
        <v>9.67</v>
      </c>
      <c r="Z745" s="57"/>
      <c r="AA745" s="57">
        <v>10.49</v>
      </c>
      <c r="AB745" s="57"/>
      <c r="AC745" s="57"/>
      <c r="AD745" s="57"/>
    </row>
    <row r="746" spans="1:30" s="38" customFormat="1" x14ac:dyDescent="0.2">
      <c r="A746" s="57" t="s">
        <v>426</v>
      </c>
      <c r="B746" s="57" t="s">
        <v>62</v>
      </c>
      <c r="C746" s="57" t="s">
        <v>32</v>
      </c>
      <c r="D746" s="57" t="s">
        <v>620</v>
      </c>
      <c r="E746" s="57">
        <v>2</v>
      </c>
      <c r="F746" s="57" t="str">
        <f t="shared" si="28"/>
        <v>B3_P2_C2_F2</v>
      </c>
      <c r="G746" s="57" t="s">
        <v>11</v>
      </c>
      <c r="H746" s="57" t="s">
        <v>20</v>
      </c>
      <c r="I746" s="57" t="str">
        <f t="shared" si="27"/>
        <v>B3-P2-C2</v>
      </c>
      <c r="J746" s="57" t="str">
        <f t="shared" si="26"/>
        <v>Robinia-B3-P2-C2-F2</v>
      </c>
      <c r="K746" s="57" t="s">
        <v>21</v>
      </c>
      <c r="L746" s="57" t="s">
        <v>44</v>
      </c>
      <c r="M746" s="57" t="str">
        <f t="shared" si="29"/>
        <v>Drought_Yellow_Yes</v>
      </c>
      <c r="N746" s="37">
        <v>768</v>
      </c>
      <c r="O746" s="57">
        <v>10.199999999999999</v>
      </c>
      <c r="P746" s="57">
        <v>125</v>
      </c>
      <c r="Q746" s="57">
        <v>12.6</v>
      </c>
      <c r="R746" s="57">
        <v>131</v>
      </c>
      <c r="S746" s="57">
        <v>14.8</v>
      </c>
      <c r="T746" s="57">
        <v>175</v>
      </c>
      <c r="U746" s="57">
        <v>15.18</v>
      </c>
      <c r="V746" s="57">
        <v>174</v>
      </c>
      <c r="W746" s="57">
        <v>17.100000000000001</v>
      </c>
      <c r="X746" s="57">
        <v>177</v>
      </c>
      <c r="Y746" s="57">
        <v>18.7</v>
      </c>
      <c r="Z746" s="57"/>
      <c r="AA746" s="57">
        <v>19.55</v>
      </c>
      <c r="AB746" s="57"/>
      <c r="AC746" s="57"/>
      <c r="AD746" s="57"/>
    </row>
    <row r="747" spans="1:30" x14ac:dyDescent="0.2">
      <c r="A747" s="60" t="s">
        <v>426</v>
      </c>
      <c r="B747" s="60" t="s">
        <v>62</v>
      </c>
      <c r="C747" s="60" t="s">
        <v>53</v>
      </c>
      <c r="D747" s="60" t="s">
        <v>618</v>
      </c>
      <c r="E747" s="60">
        <v>1</v>
      </c>
      <c r="F747" s="60" t="str">
        <f t="shared" si="28"/>
        <v>B3_P2_C4_D1</v>
      </c>
      <c r="G747" s="60" t="s">
        <v>11</v>
      </c>
      <c r="H747" s="60" t="s">
        <v>20</v>
      </c>
      <c r="I747" s="60" t="str">
        <f t="shared" si="27"/>
        <v>B3-P2-C4</v>
      </c>
      <c r="J747" s="60" t="str">
        <f t="shared" si="26"/>
        <v>Robinia-B3-P2-C4-D1</v>
      </c>
      <c r="K747" s="60" t="s">
        <v>21</v>
      </c>
      <c r="L747" s="60" t="s">
        <v>44</v>
      </c>
      <c r="M747" s="60" t="str">
        <f t="shared" si="29"/>
        <v>Drought_Yellow_Yes</v>
      </c>
      <c r="N747" s="15">
        <v>769</v>
      </c>
      <c r="O747" s="60">
        <v>2.2999999999999998</v>
      </c>
      <c r="P747" s="60">
        <v>16</v>
      </c>
      <c r="Q747" s="60">
        <v>2.37</v>
      </c>
      <c r="R747" s="60">
        <v>16</v>
      </c>
      <c r="S747" s="3">
        <v>2.27</v>
      </c>
      <c r="T747" s="3">
        <v>16</v>
      </c>
      <c r="U747" s="3">
        <v>1.79</v>
      </c>
      <c r="V747" s="3">
        <v>15</v>
      </c>
      <c r="W747" s="3">
        <v>1.92</v>
      </c>
      <c r="X747" s="3">
        <v>15</v>
      </c>
      <c r="Y747" s="3">
        <v>1.84</v>
      </c>
      <c r="Z747" s="3"/>
      <c r="AA747" s="3">
        <v>1.84</v>
      </c>
      <c r="AB747" s="3"/>
      <c r="AC747" s="3"/>
      <c r="AD747" s="3"/>
    </row>
    <row r="748" spans="1:30" x14ac:dyDescent="0.2">
      <c r="A748" s="60" t="s">
        <v>426</v>
      </c>
      <c r="B748" s="60" t="s">
        <v>62</v>
      </c>
      <c r="C748" s="60" t="s">
        <v>53</v>
      </c>
      <c r="D748" s="60" t="s">
        <v>619</v>
      </c>
      <c r="E748" s="60">
        <v>1</v>
      </c>
      <c r="F748" s="60" t="str">
        <f t="shared" si="28"/>
        <v>B3_P2_C4_E1</v>
      </c>
      <c r="G748" s="60" t="s">
        <v>11</v>
      </c>
      <c r="H748" s="60" t="s">
        <v>20</v>
      </c>
      <c r="I748" s="60" t="str">
        <f t="shared" si="27"/>
        <v>B3-P2-C4</v>
      </c>
      <c r="J748" s="60" t="str">
        <f t="shared" si="26"/>
        <v>Robinia-B3-P2-C4-E1</v>
      </c>
      <c r="K748" s="60" t="s">
        <v>21</v>
      </c>
      <c r="L748" s="60" t="s">
        <v>44</v>
      </c>
      <c r="M748" s="60" t="str">
        <f t="shared" si="29"/>
        <v>Drought_Yellow_Yes</v>
      </c>
      <c r="N748" s="15">
        <v>770</v>
      </c>
      <c r="O748" s="60">
        <v>8.6999999999999993</v>
      </c>
      <c r="P748" s="60">
        <v>95</v>
      </c>
      <c r="Q748" s="60">
        <v>9.42</v>
      </c>
      <c r="R748" s="60">
        <v>100</v>
      </c>
      <c r="S748" s="3">
        <v>12.19</v>
      </c>
      <c r="T748" s="3">
        <v>141</v>
      </c>
      <c r="U748" s="3">
        <v>12.36</v>
      </c>
      <c r="V748" s="3">
        <v>136</v>
      </c>
      <c r="W748" s="3">
        <v>14.02</v>
      </c>
      <c r="X748" s="3">
        <v>151</v>
      </c>
      <c r="Y748" s="3">
        <v>15.39</v>
      </c>
      <c r="Z748" s="3"/>
      <c r="AA748" s="3">
        <v>15.5</v>
      </c>
      <c r="AB748" s="3"/>
      <c r="AC748" s="3"/>
      <c r="AD748" s="3"/>
    </row>
    <row r="749" spans="1:30" x14ac:dyDescent="0.2">
      <c r="A749" s="60" t="s">
        <v>426</v>
      </c>
      <c r="B749" s="60" t="s">
        <v>62</v>
      </c>
      <c r="C749" s="60" t="s">
        <v>53</v>
      </c>
      <c r="D749" s="60" t="s">
        <v>620</v>
      </c>
      <c r="E749" s="60">
        <v>1</v>
      </c>
      <c r="F749" s="60" t="str">
        <f t="shared" si="28"/>
        <v>B3_P2_C4_F1</v>
      </c>
      <c r="G749" s="60" t="s">
        <v>11</v>
      </c>
      <c r="H749" s="60" t="s">
        <v>20</v>
      </c>
      <c r="I749" s="60" t="str">
        <f t="shared" si="27"/>
        <v>B3-P2-C4</v>
      </c>
      <c r="J749" s="60" t="str">
        <f t="shared" ref="J749:J794" si="30">G749&amp;"-"&amp;A749&amp;"-"&amp;B749&amp;"-"&amp;C749&amp;"-"&amp;D749&amp;E749</f>
        <v>Robinia-B3-P2-C4-F1</v>
      </c>
      <c r="K749" s="60" t="s">
        <v>21</v>
      </c>
      <c r="L749" s="60" t="s">
        <v>44</v>
      </c>
      <c r="M749" s="60" t="str">
        <f t="shared" si="29"/>
        <v>Drought_Yellow_Yes</v>
      </c>
      <c r="N749" s="15">
        <v>771</v>
      </c>
      <c r="O749" s="60">
        <v>6.8</v>
      </c>
      <c r="P749" s="60">
        <v>74</v>
      </c>
      <c r="Q749" s="60">
        <v>6.69</v>
      </c>
      <c r="R749" s="60">
        <v>80</v>
      </c>
      <c r="S749" s="3">
        <v>9.6199999999999992</v>
      </c>
      <c r="T749" s="3">
        <v>107</v>
      </c>
      <c r="U749" s="3">
        <v>9.58</v>
      </c>
      <c r="V749" s="3">
        <v>106</v>
      </c>
      <c r="W749" s="3">
        <v>10.77</v>
      </c>
      <c r="X749" s="3">
        <v>112</v>
      </c>
      <c r="Y749" s="3">
        <v>11.66</v>
      </c>
      <c r="Z749" s="3"/>
      <c r="AA749" s="3">
        <v>11.46</v>
      </c>
      <c r="AB749" s="3"/>
      <c r="AC749" s="3"/>
      <c r="AD749" s="3"/>
    </row>
    <row r="750" spans="1:30" x14ac:dyDescent="0.2">
      <c r="A750" s="60" t="s">
        <v>426</v>
      </c>
      <c r="B750" s="60" t="s">
        <v>62</v>
      </c>
      <c r="C750" s="60" t="s">
        <v>53</v>
      </c>
      <c r="D750" s="60" t="s">
        <v>618</v>
      </c>
      <c r="E750" s="60">
        <v>2</v>
      </c>
      <c r="F750" s="60" t="str">
        <f t="shared" si="28"/>
        <v>B3_P2_C4_D2</v>
      </c>
      <c r="G750" s="60" t="s">
        <v>11</v>
      </c>
      <c r="H750" s="60" t="s">
        <v>20</v>
      </c>
      <c r="I750" s="60" t="str">
        <f t="shared" si="27"/>
        <v>B3-P2-C4</v>
      </c>
      <c r="J750" s="60" t="str">
        <f t="shared" si="30"/>
        <v>Robinia-B3-P2-C4-D2</v>
      </c>
      <c r="K750" s="60" t="s">
        <v>21</v>
      </c>
      <c r="L750" s="60" t="s">
        <v>44</v>
      </c>
      <c r="M750" s="60" t="str">
        <f t="shared" si="29"/>
        <v>Drought_Yellow_Yes</v>
      </c>
      <c r="N750" s="15">
        <v>772</v>
      </c>
      <c r="O750" s="60">
        <v>6.3</v>
      </c>
      <c r="P750" s="60">
        <v>70</v>
      </c>
      <c r="Q750" s="60">
        <v>6.97</v>
      </c>
      <c r="R750" s="60">
        <v>73</v>
      </c>
      <c r="S750" s="3">
        <v>8.44</v>
      </c>
      <c r="T750" s="3">
        <v>110</v>
      </c>
      <c r="U750" s="3">
        <v>8.6300000000000008</v>
      </c>
      <c r="V750" s="3">
        <v>104</v>
      </c>
      <c r="W750" s="3">
        <v>8.9600000000000009</v>
      </c>
      <c r="X750" s="3">
        <v>103</v>
      </c>
      <c r="Y750" s="3">
        <v>9.17</v>
      </c>
      <c r="Z750" s="3"/>
      <c r="AA750" s="3">
        <v>9.5299999999999994</v>
      </c>
      <c r="AB750" s="3"/>
      <c r="AC750" s="3"/>
      <c r="AD750" s="3"/>
    </row>
    <row r="751" spans="1:30" x14ac:dyDescent="0.2">
      <c r="A751" s="60" t="s">
        <v>426</v>
      </c>
      <c r="B751" s="60" t="s">
        <v>62</v>
      </c>
      <c r="C751" s="60" t="s">
        <v>53</v>
      </c>
      <c r="D751" s="60" t="s">
        <v>619</v>
      </c>
      <c r="E751" s="60">
        <v>2</v>
      </c>
      <c r="F751" s="60" t="str">
        <f t="shared" si="28"/>
        <v>B3_P2_C4_E2</v>
      </c>
      <c r="G751" s="60" t="s">
        <v>11</v>
      </c>
      <c r="H751" s="60" t="s">
        <v>20</v>
      </c>
      <c r="I751" s="60" t="str">
        <f t="shared" si="27"/>
        <v>B3-P2-C4</v>
      </c>
      <c r="J751" s="60" t="str">
        <f t="shared" si="30"/>
        <v>Robinia-B3-P2-C4-E2</v>
      </c>
      <c r="K751" s="60" t="s">
        <v>21</v>
      </c>
      <c r="L751" s="60" t="s">
        <v>44</v>
      </c>
      <c r="M751" s="60" t="str">
        <f t="shared" si="29"/>
        <v>Drought_Yellow_Yes</v>
      </c>
      <c r="N751" s="15">
        <v>773</v>
      </c>
      <c r="O751" s="60">
        <v>9.9</v>
      </c>
      <c r="P751" s="60">
        <v>116</v>
      </c>
      <c r="Q751" s="60">
        <v>10.93</v>
      </c>
      <c r="R751" s="60">
        <v>123</v>
      </c>
      <c r="S751" s="3">
        <v>13.74</v>
      </c>
      <c r="T751" s="3">
        <v>160</v>
      </c>
      <c r="U751" s="3">
        <v>13.63</v>
      </c>
      <c r="V751" s="3">
        <v>171</v>
      </c>
      <c r="W751" s="3">
        <v>13.56</v>
      </c>
      <c r="X751" s="3">
        <v>168</v>
      </c>
      <c r="Y751" s="3">
        <v>16.72</v>
      </c>
      <c r="Z751" s="3"/>
      <c r="AA751" s="3">
        <v>17.489999999999998</v>
      </c>
      <c r="AB751" s="3"/>
      <c r="AC751" s="3"/>
      <c r="AD751" s="3"/>
    </row>
    <row r="752" spans="1:30" x14ac:dyDescent="0.2">
      <c r="A752" s="60" t="s">
        <v>426</v>
      </c>
      <c r="B752" s="60" t="s">
        <v>62</v>
      </c>
      <c r="C752" s="60" t="s">
        <v>53</v>
      </c>
      <c r="D752" s="60" t="s">
        <v>620</v>
      </c>
      <c r="E752" s="60">
        <v>2</v>
      </c>
      <c r="F752" s="60" t="str">
        <f t="shared" si="28"/>
        <v>B3_P2_C4_F2</v>
      </c>
      <c r="G752" s="60" t="s">
        <v>11</v>
      </c>
      <c r="H752" s="60" t="s">
        <v>20</v>
      </c>
      <c r="I752" s="60" t="str">
        <f t="shared" si="27"/>
        <v>B3-P2-C4</v>
      </c>
      <c r="J752" s="60" t="str">
        <f t="shared" si="30"/>
        <v>Robinia-B3-P2-C4-F2</v>
      </c>
      <c r="K752" s="60" t="s">
        <v>21</v>
      </c>
      <c r="L752" s="60" t="s">
        <v>44</v>
      </c>
      <c r="M752" s="60" t="str">
        <f t="shared" si="29"/>
        <v>Drought_Yellow_Yes</v>
      </c>
      <c r="N752" s="15">
        <v>774</v>
      </c>
      <c r="O752" s="60">
        <v>12.8</v>
      </c>
      <c r="P752" s="60">
        <v>101</v>
      </c>
      <c r="Q752" s="60">
        <v>14.13</v>
      </c>
      <c r="R752" s="60">
        <v>109</v>
      </c>
      <c r="S752" s="3">
        <v>17.3</v>
      </c>
      <c r="T752" s="3">
        <v>160</v>
      </c>
      <c r="U752" s="3">
        <v>16.899999999999999</v>
      </c>
      <c r="V752" s="3">
        <v>144</v>
      </c>
      <c r="W752" s="3">
        <v>17.54</v>
      </c>
      <c r="X752" s="3">
        <v>145</v>
      </c>
      <c r="Y752" s="3">
        <v>17.329999999999998</v>
      </c>
      <c r="Z752" s="3"/>
      <c r="AA752" s="3">
        <v>18.25</v>
      </c>
      <c r="AB752" s="3"/>
      <c r="AC752" s="3"/>
      <c r="AD752" s="3"/>
    </row>
    <row r="753" spans="1:30" s="38" customFormat="1" x14ac:dyDescent="0.2">
      <c r="A753" s="57" t="s">
        <v>426</v>
      </c>
      <c r="B753" s="57" t="s">
        <v>98</v>
      </c>
      <c r="C753" s="57" t="s">
        <v>53</v>
      </c>
      <c r="D753" s="57" t="s">
        <v>618</v>
      </c>
      <c r="E753" s="57">
        <v>1</v>
      </c>
      <c r="F753" s="57" t="str">
        <f t="shared" si="28"/>
        <v>B3_P3_C4_D1</v>
      </c>
      <c r="G753" s="57" t="s">
        <v>11</v>
      </c>
      <c r="H753" s="57" t="s">
        <v>20</v>
      </c>
      <c r="I753" s="57" t="str">
        <f t="shared" si="27"/>
        <v>B3-P3-C4</v>
      </c>
      <c r="J753" s="57" t="str">
        <f t="shared" si="30"/>
        <v>Robinia-B3-P3-C4-D1</v>
      </c>
      <c r="K753" s="57" t="s">
        <v>21</v>
      </c>
      <c r="L753" s="57" t="s">
        <v>44</v>
      </c>
      <c r="M753" s="57" t="str">
        <f t="shared" si="29"/>
        <v>Drought_Yellow_Yes</v>
      </c>
      <c r="N753" s="37">
        <v>775</v>
      </c>
      <c r="O753" s="57">
        <v>6.9</v>
      </c>
      <c r="P753" s="57">
        <v>82</v>
      </c>
      <c r="Q753" s="57">
        <v>7.42</v>
      </c>
      <c r="R753" s="57">
        <v>85</v>
      </c>
      <c r="S753" s="57">
        <v>9.3000000000000007</v>
      </c>
      <c r="T753" s="57">
        <v>110</v>
      </c>
      <c r="U753" s="57">
        <v>9.5299999999999994</v>
      </c>
      <c r="V753" s="57">
        <v>107</v>
      </c>
      <c r="W753" s="57">
        <v>10.57</v>
      </c>
      <c r="X753" s="57">
        <v>113</v>
      </c>
      <c r="Y753" s="57">
        <v>12.09</v>
      </c>
      <c r="Z753" s="57"/>
      <c r="AA753" s="57">
        <v>12.57</v>
      </c>
      <c r="AB753" s="57"/>
      <c r="AC753" s="57"/>
      <c r="AD753" s="57"/>
    </row>
    <row r="754" spans="1:30" s="38" customFormat="1" x14ac:dyDescent="0.2">
      <c r="A754" s="57" t="s">
        <v>426</v>
      </c>
      <c r="B754" s="57" t="s">
        <v>98</v>
      </c>
      <c r="C754" s="57" t="s">
        <v>53</v>
      </c>
      <c r="D754" s="57" t="s">
        <v>619</v>
      </c>
      <c r="E754" s="57">
        <v>1</v>
      </c>
      <c r="F754" s="57" t="str">
        <f t="shared" si="28"/>
        <v>B3_P3_C4_E1</v>
      </c>
      <c r="G754" s="57" t="s">
        <v>11</v>
      </c>
      <c r="H754" s="57" t="s">
        <v>20</v>
      </c>
      <c r="I754" s="57" t="str">
        <f t="shared" si="27"/>
        <v>B3-P3-C4</v>
      </c>
      <c r="J754" s="57" t="str">
        <f t="shared" si="30"/>
        <v>Robinia-B3-P3-C4-E1</v>
      </c>
      <c r="K754" s="57" t="s">
        <v>21</v>
      </c>
      <c r="L754" s="57" t="s">
        <v>44</v>
      </c>
      <c r="M754" s="57" t="str">
        <f t="shared" si="29"/>
        <v>Drought_Yellow_Yes</v>
      </c>
      <c r="N754" s="37">
        <v>776</v>
      </c>
      <c r="O754" s="57">
        <v>8.1999999999999993</v>
      </c>
      <c r="P754" s="57">
        <v>99</v>
      </c>
      <c r="Q754" s="57">
        <v>8.91</v>
      </c>
      <c r="R754" s="57">
        <v>98</v>
      </c>
      <c r="S754" s="57">
        <v>10.55</v>
      </c>
      <c r="T754" s="57">
        <v>129</v>
      </c>
      <c r="U754" s="57">
        <v>10.7</v>
      </c>
      <c r="V754" s="57">
        <v>128</v>
      </c>
      <c r="W754" s="57">
        <v>11.8</v>
      </c>
      <c r="X754" s="57">
        <v>136</v>
      </c>
      <c r="Y754" s="57">
        <v>13.11</v>
      </c>
      <c r="Z754" s="57"/>
      <c r="AA754" s="57">
        <v>14.98</v>
      </c>
      <c r="AB754" s="57"/>
      <c r="AC754" s="57"/>
      <c r="AD754" s="57"/>
    </row>
    <row r="755" spans="1:30" s="38" customFormat="1" x14ac:dyDescent="0.2">
      <c r="A755" s="57" t="s">
        <v>426</v>
      </c>
      <c r="B755" s="57" t="s">
        <v>98</v>
      </c>
      <c r="C755" s="57" t="s">
        <v>53</v>
      </c>
      <c r="D755" s="57" t="s">
        <v>620</v>
      </c>
      <c r="E755" s="57">
        <v>1</v>
      </c>
      <c r="F755" s="57" t="str">
        <f t="shared" si="28"/>
        <v>B3_P3_C4_F1</v>
      </c>
      <c r="G755" s="57" t="s">
        <v>11</v>
      </c>
      <c r="H755" s="57" t="s">
        <v>20</v>
      </c>
      <c r="I755" s="57" t="str">
        <f t="shared" si="27"/>
        <v>B3-P3-C4</v>
      </c>
      <c r="J755" s="57" t="str">
        <f t="shared" si="30"/>
        <v>Robinia-B3-P3-C4-F1</v>
      </c>
      <c r="K755" s="57" t="s">
        <v>21</v>
      </c>
      <c r="L755" s="57" t="s">
        <v>44</v>
      </c>
      <c r="M755" s="57" t="str">
        <f t="shared" si="29"/>
        <v>Drought_Yellow_Yes</v>
      </c>
      <c r="N755" s="37">
        <v>777</v>
      </c>
      <c r="O755" s="57">
        <v>1.6</v>
      </c>
      <c r="P755" s="57">
        <v>11</v>
      </c>
      <c r="Q755" s="57">
        <v>1.6</v>
      </c>
      <c r="R755" s="57">
        <v>10</v>
      </c>
      <c r="S755" s="57">
        <v>1.77</v>
      </c>
      <c r="T755" s="57">
        <v>17</v>
      </c>
      <c r="U755" s="57">
        <v>1.67</v>
      </c>
      <c r="V755" s="57">
        <v>15</v>
      </c>
      <c r="W755" s="57">
        <v>2.4</v>
      </c>
      <c r="X755" s="57">
        <v>17</v>
      </c>
      <c r="Y755" s="57">
        <v>3.05</v>
      </c>
      <c r="Z755" s="57"/>
      <c r="AA755" s="57">
        <v>3.21</v>
      </c>
      <c r="AB755" s="57"/>
      <c r="AC755" s="57"/>
      <c r="AD755" s="57"/>
    </row>
    <row r="756" spans="1:30" s="38" customFormat="1" x14ac:dyDescent="0.2">
      <c r="A756" s="57" t="s">
        <v>426</v>
      </c>
      <c r="B756" s="57" t="s">
        <v>98</v>
      </c>
      <c r="C756" s="57" t="s">
        <v>53</v>
      </c>
      <c r="D756" s="57" t="s">
        <v>618</v>
      </c>
      <c r="E756" s="57">
        <v>2</v>
      </c>
      <c r="F756" s="57" t="str">
        <f t="shared" si="28"/>
        <v>B3_P3_C4_D2</v>
      </c>
      <c r="G756" s="57" t="s">
        <v>11</v>
      </c>
      <c r="H756" s="57" t="s">
        <v>20</v>
      </c>
      <c r="I756" s="57" t="str">
        <f t="shared" si="27"/>
        <v>B3-P3-C4</v>
      </c>
      <c r="J756" s="57" t="str">
        <f t="shared" si="30"/>
        <v>Robinia-B3-P3-C4-D2</v>
      </c>
      <c r="K756" s="57" t="s">
        <v>21</v>
      </c>
      <c r="L756" s="57" t="s">
        <v>44</v>
      </c>
      <c r="M756" s="57" t="str">
        <f t="shared" si="29"/>
        <v>Drought_Yellow_Yes</v>
      </c>
      <c r="N756" s="37">
        <v>778</v>
      </c>
      <c r="O756" s="57">
        <v>9.9</v>
      </c>
      <c r="P756" s="57">
        <v>109</v>
      </c>
      <c r="Q756" s="57">
        <v>11.2</v>
      </c>
      <c r="R756" s="57">
        <v>117</v>
      </c>
      <c r="S756" s="57">
        <v>13.27</v>
      </c>
      <c r="T756" s="57">
        <v>152</v>
      </c>
      <c r="U756" s="57">
        <v>13.52</v>
      </c>
      <c r="V756" s="57">
        <v>145</v>
      </c>
      <c r="W756" s="57">
        <v>14.95</v>
      </c>
      <c r="X756" s="57">
        <v>152</v>
      </c>
      <c r="Y756" s="57">
        <v>16.739999999999998</v>
      </c>
      <c r="Z756" s="57"/>
      <c r="AA756" s="57">
        <v>18.29</v>
      </c>
      <c r="AB756" s="57"/>
      <c r="AC756" s="57"/>
      <c r="AD756" s="57"/>
    </row>
    <row r="757" spans="1:30" s="38" customFormat="1" x14ac:dyDescent="0.2">
      <c r="A757" s="57" t="s">
        <v>426</v>
      </c>
      <c r="B757" s="57" t="s">
        <v>98</v>
      </c>
      <c r="C757" s="57" t="s">
        <v>53</v>
      </c>
      <c r="D757" s="57" t="s">
        <v>619</v>
      </c>
      <c r="E757" s="57">
        <v>2</v>
      </c>
      <c r="F757" s="57" t="str">
        <f t="shared" si="28"/>
        <v>B3_P3_C4_E2</v>
      </c>
      <c r="G757" s="57" t="s">
        <v>11</v>
      </c>
      <c r="H757" s="57" t="s">
        <v>20</v>
      </c>
      <c r="I757" s="57" t="str">
        <f t="shared" si="27"/>
        <v>B3-P3-C4</v>
      </c>
      <c r="J757" s="57" t="str">
        <f t="shared" si="30"/>
        <v>Robinia-B3-P3-C4-E2</v>
      </c>
      <c r="K757" s="57" t="s">
        <v>21</v>
      </c>
      <c r="L757" s="57" t="s">
        <v>44</v>
      </c>
      <c r="M757" s="57" t="str">
        <f t="shared" si="29"/>
        <v>Drought_Yellow_Yes</v>
      </c>
      <c r="N757" s="37">
        <v>779</v>
      </c>
      <c r="O757" s="57">
        <v>8.9</v>
      </c>
      <c r="P757" s="57">
        <v>98</v>
      </c>
      <c r="Q757" s="57">
        <v>9.93</v>
      </c>
      <c r="R757" s="57">
        <v>109</v>
      </c>
      <c r="S757" s="57">
        <v>12.24</v>
      </c>
      <c r="T757" s="57">
        <v>150</v>
      </c>
      <c r="U757" s="57">
        <v>12.33</v>
      </c>
      <c r="V757" s="57">
        <v>146</v>
      </c>
      <c r="W757" s="57">
        <v>13.13</v>
      </c>
      <c r="X757" s="57">
        <v>150</v>
      </c>
      <c r="Y757" s="57">
        <v>14.57</v>
      </c>
      <c r="Z757" s="57"/>
      <c r="AA757" s="57">
        <v>15.22</v>
      </c>
      <c r="AB757" s="57"/>
      <c r="AC757" s="57"/>
      <c r="AD757" s="57"/>
    </row>
    <row r="758" spans="1:30" s="38" customFormat="1" x14ac:dyDescent="0.2">
      <c r="A758" s="57" t="s">
        <v>426</v>
      </c>
      <c r="B758" s="57" t="s">
        <v>98</v>
      </c>
      <c r="C758" s="57" t="s">
        <v>53</v>
      </c>
      <c r="D758" s="57" t="s">
        <v>620</v>
      </c>
      <c r="E758" s="57">
        <v>2</v>
      </c>
      <c r="F758" s="57" t="str">
        <f t="shared" si="28"/>
        <v>B3_P3_C4_F2</v>
      </c>
      <c r="G758" s="57" t="s">
        <v>11</v>
      </c>
      <c r="H758" s="57" t="s">
        <v>20</v>
      </c>
      <c r="I758" s="57" t="str">
        <f t="shared" si="27"/>
        <v>B3-P3-C4</v>
      </c>
      <c r="J758" s="57" t="str">
        <f t="shared" si="30"/>
        <v>Robinia-B3-P3-C4-F2</v>
      </c>
      <c r="K758" s="57" t="s">
        <v>21</v>
      </c>
      <c r="L758" s="57" t="s">
        <v>44</v>
      </c>
      <c r="M758" s="57" t="str">
        <f t="shared" si="29"/>
        <v>Drought_Yellow_Yes</v>
      </c>
      <c r="N758" s="37">
        <v>780</v>
      </c>
      <c r="O758" s="57">
        <v>6.6</v>
      </c>
      <c r="P758" s="57">
        <v>68</v>
      </c>
      <c r="Q758" s="57">
        <v>7.08</v>
      </c>
      <c r="R758" s="57">
        <v>73</v>
      </c>
      <c r="S758" s="57">
        <v>8.24</v>
      </c>
      <c r="T758" s="57">
        <v>103</v>
      </c>
      <c r="U758" s="57">
        <v>8.65</v>
      </c>
      <c r="V758" s="57">
        <v>102</v>
      </c>
      <c r="W758" s="57">
        <v>9.8800000000000008</v>
      </c>
      <c r="X758" s="57">
        <v>109</v>
      </c>
      <c r="Y758" s="57">
        <v>11.19</v>
      </c>
      <c r="Z758" s="57"/>
      <c r="AA758" s="57">
        <v>12.49</v>
      </c>
      <c r="AB758" s="57"/>
      <c r="AC758" s="57"/>
      <c r="AD758" s="57"/>
    </row>
    <row r="759" spans="1:30" x14ac:dyDescent="0.2">
      <c r="A759" s="60" t="s">
        <v>426</v>
      </c>
      <c r="B759" s="60" t="s">
        <v>131</v>
      </c>
      <c r="C759" s="60" t="s">
        <v>53</v>
      </c>
      <c r="D759" s="60" t="s">
        <v>618</v>
      </c>
      <c r="E759" s="60">
        <v>1</v>
      </c>
      <c r="F759" s="60" t="str">
        <f t="shared" si="28"/>
        <v>B3_P4_C4_D1</v>
      </c>
      <c r="G759" s="60" t="s">
        <v>11</v>
      </c>
      <c r="H759" s="60" t="s">
        <v>133</v>
      </c>
      <c r="I759" s="60" t="str">
        <f t="shared" si="27"/>
        <v>B3-P4-C4</v>
      </c>
      <c r="J759" s="60" t="str">
        <f t="shared" si="30"/>
        <v>Robinia-B3-P4-C4-D1</v>
      </c>
      <c r="K759" s="60" t="s">
        <v>64</v>
      </c>
      <c r="L759" s="60" t="s">
        <v>44</v>
      </c>
      <c r="M759" s="60" t="str">
        <f t="shared" si="29"/>
        <v>Control_Grey_Yes</v>
      </c>
      <c r="N759" s="15">
        <v>781</v>
      </c>
      <c r="O759" s="60">
        <v>15.3</v>
      </c>
      <c r="P759" s="60">
        <v>129</v>
      </c>
      <c r="Q759" s="60">
        <v>16.260000000000002</v>
      </c>
      <c r="R759" s="60">
        <v>137</v>
      </c>
      <c r="S759" s="3">
        <v>19.75</v>
      </c>
      <c r="T759" s="3">
        <v>178</v>
      </c>
      <c r="U759" s="3">
        <v>21.22</v>
      </c>
      <c r="V759" s="3">
        <v>168</v>
      </c>
      <c r="W759" s="3">
        <v>20.95</v>
      </c>
      <c r="X759" s="3">
        <v>159</v>
      </c>
      <c r="Y759" s="3">
        <v>23.07</v>
      </c>
      <c r="Z759" s="3"/>
      <c r="AA759" s="3">
        <v>22.98</v>
      </c>
      <c r="AB759" s="3"/>
      <c r="AC759" s="3"/>
      <c r="AD759" s="3"/>
    </row>
    <row r="760" spans="1:30" x14ac:dyDescent="0.2">
      <c r="A760" s="60" t="s">
        <v>426</v>
      </c>
      <c r="B760" s="60" t="s">
        <v>131</v>
      </c>
      <c r="C760" s="60" t="s">
        <v>53</v>
      </c>
      <c r="D760" s="60" t="s">
        <v>619</v>
      </c>
      <c r="E760" s="60">
        <v>1</v>
      </c>
      <c r="F760" s="60" t="str">
        <f t="shared" si="28"/>
        <v>B3_P4_C4_E1</v>
      </c>
      <c r="G760" s="60" t="s">
        <v>11</v>
      </c>
      <c r="H760" s="60" t="s">
        <v>133</v>
      </c>
      <c r="I760" s="60" t="str">
        <f t="shared" si="27"/>
        <v>B3-P4-C4</v>
      </c>
      <c r="J760" s="60" t="str">
        <f t="shared" si="30"/>
        <v>Robinia-B3-P4-C4-E1</v>
      </c>
      <c r="K760" s="60" t="s">
        <v>64</v>
      </c>
      <c r="L760" s="60" t="s">
        <v>44</v>
      </c>
      <c r="M760" s="60" t="str">
        <f t="shared" si="29"/>
        <v>Control_Grey_Yes</v>
      </c>
      <c r="N760" s="15">
        <v>782</v>
      </c>
      <c r="O760" s="60">
        <v>15</v>
      </c>
      <c r="P760" s="60">
        <v>140</v>
      </c>
      <c r="Q760" s="60">
        <v>15</v>
      </c>
      <c r="R760" s="60">
        <v>141</v>
      </c>
      <c r="S760" s="3">
        <v>18.37</v>
      </c>
      <c r="T760" s="3">
        <v>170</v>
      </c>
      <c r="U760" s="3">
        <v>19.399999999999999</v>
      </c>
      <c r="V760" s="3">
        <v>156</v>
      </c>
      <c r="W760" s="3">
        <v>21.38</v>
      </c>
      <c r="X760" s="3">
        <v>175</v>
      </c>
      <c r="Y760" s="3">
        <v>20.99</v>
      </c>
      <c r="Z760" s="3"/>
      <c r="AA760" s="3">
        <v>21.66</v>
      </c>
      <c r="AB760" s="3"/>
      <c r="AC760" s="3"/>
      <c r="AD760" s="3"/>
    </row>
    <row r="761" spans="1:30" x14ac:dyDescent="0.2">
      <c r="A761" s="60" t="s">
        <v>426</v>
      </c>
      <c r="B761" s="60" t="s">
        <v>131</v>
      </c>
      <c r="C761" s="60" t="s">
        <v>53</v>
      </c>
      <c r="D761" s="60" t="s">
        <v>620</v>
      </c>
      <c r="E761" s="60">
        <v>1</v>
      </c>
      <c r="F761" s="60" t="str">
        <f t="shared" si="28"/>
        <v>B3_P4_C4_F1</v>
      </c>
      <c r="G761" s="60" t="s">
        <v>11</v>
      </c>
      <c r="H761" s="60" t="s">
        <v>133</v>
      </c>
      <c r="I761" s="60" t="str">
        <f t="shared" si="27"/>
        <v>B3-P4-C4</v>
      </c>
      <c r="J761" s="60" t="str">
        <f t="shared" si="30"/>
        <v>Robinia-B3-P4-C4-F1</v>
      </c>
      <c r="K761" s="60" t="s">
        <v>64</v>
      </c>
      <c r="L761" s="60" t="s">
        <v>44</v>
      </c>
      <c r="M761" s="60" t="str">
        <f t="shared" si="29"/>
        <v>Control_Grey_Yes</v>
      </c>
      <c r="N761" s="15">
        <v>783</v>
      </c>
      <c r="O761" s="60">
        <v>11.3</v>
      </c>
      <c r="P761" s="60">
        <v>114</v>
      </c>
      <c r="Q761" s="60">
        <v>11.97</v>
      </c>
      <c r="R761" s="60">
        <v>118</v>
      </c>
      <c r="S761" s="3">
        <v>14.4</v>
      </c>
      <c r="T761" s="3">
        <v>162</v>
      </c>
      <c r="U761" s="3">
        <v>15.33</v>
      </c>
      <c r="V761" s="3">
        <v>159</v>
      </c>
      <c r="W761" s="3">
        <v>17.66</v>
      </c>
      <c r="X761" s="3">
        <v>200</v>
      </c>
      <c r="Y761" s="3">
        <v>18.55</v>
      </c>
      <c r="Z761" s="3"/>
      <c r="AA761" s="3">
        <v>18.79</v>
      </c>
      <c r="AB761" s="3"/>
      <c r="AC761" s="3"/>
      <c r="AD761" s="3"/>
    </row>
    <row r="762" spans="1:30" x14ac:dyDescent="0.2">
      <c r="A762" s="60" t="s">
        <v>426</v>
      </c>
      <c r="B762" s="60" t="s">
        <v>131</v>
      </c>
      <c r="C762" s="60" t="s">
        <v>53</v>
      </c>
      <c r="D762" s="60" t="s">
        <v>618</v>
      </c>
      <c r="E762" s="60">
        <v>2</v>
      </c>
      <c r="F762" s="60" t="str">
        <f t="shared" si="28"/>
        <v>B3_P4_C4_D2</v>
      </c>
      <c r="G762" s="60" t="s">
        <v>11</v>
      </c>
      <c r="H762" s="60" t="s">
        <v>133</v>
      </c>
      <c r="I762" s="60" t="str">
        <f t="shared" si="27"/>
        <v>B3-P4-C4</v>
      </c>
      <c r="J762" s="60" t="str">
        <f t="shared" si="30"/>
        <v>Robinia-B3-P4-C4-D2</v>
      </c>
      <c r="K762" s="60" t="s">
        <v>64</v>
      </c>
      <c r="L762" s="60" t="s">
        <v>44</v>
      </c>
      <c r="M762" s="60" t="str">
        <f t="shared" si="29"/>
        <v>Control_Grey_Yes</v>
      </c>
      <c r="N762" s="15">
        <v>784</v>
      </c>
      <c r="O762" s="60">
        <v>12.7</v>
      </c>
      <c r="P762" s="60">
        <v>144</v>
      </c>
      <c r="Q762" s="60">
        <v>13.67</v>
      </c>
      <c r="R762" s="60">
        <v>156</v>
      </c>
      <c r="S762" s="3">
        <v>16.27</v>
      </c>
      <c r="T762" s="3">
        <v>184</v>
      </c>
      <c r="U762" s="3">
        <v>17.100000000000001</v>
      </c>
      <c r="V762" s="3">
        <v>192</v>
      </c>
      <c r="W762" s="3">
        <v>19.61</v>
      </c>
      <c r="X762" s="3">
        <v>212</v>
      </c>
      <c r="Y762" s="3">
        <v>20.82</v>
      </c>
      <c r="Z762" s="3"/>
      <c r="AA762" s="3">
        <v>21.08</v>
      </c>
      <c r="AB762" s="3"/>
      <c r="AC762" s="3"/>
      <c r="AD762" s="3"/>
    </row>
    <row r="763" spans="1:30" x14ac:dyDescent="0.2">
      <c r="A763" s="60" t="s">
        <v>426</v>
      </c>
      <c r="B763" s="60" t="s">
        <v>131</v>
      </c>
      <c r="C763" s="60" t="s">
        <v>53</v>
      </c>
      <c r="D763" s="60" t="s">
        <v>619</v>
      </c>
      <c r="E763" s="60">
        <v>2</v>
      </c>
      <c r="F763" s="60" t="str">
        <f t="shared" si="28"/>
        <v>B3_P4_C4_E2</v>
      </c>
      <c r="G763" s="60" t="s">
        <v>11</v>
      </c>
      <c r="H763" s="60" t="s">
        <v>133</v>
      </c>
      <c r="I763" s="60" t="str">
        <f t="shared" si="27"/>
        <v>B3-P4-C4</v>
      </c>
      <c r="J763" s="60" t="str">
        <f t="shared" si="30"/>
        <v>Robinia-B3-P4-C4-E2</v>
      </c>
      <c r="K763" s="60" t="s">
        <v>64</v>
      </c>
      <c r="L763" s="60" t="s">
        <v>44</v>
      </c>
      <c r="M763" s="60" t="str">
        <f t="shared" si="29"/>
        <v>Control_Grey_Yes</v>
      </c>
      <c r="N763" s="15">
        <v>785</v>
      </c>
      <c r="O763" s="60">
        <v>11.2</v>
      </c>
      <c r="P763" s="60">
        <v>110</v>
      </c>
      <c r="Q763" s="60">
        <v>12.54</v>
      </c>
      <c r="R763" s="60">
        <v>121</v>
      </c>
      <c r="S763" s="3">
        <v>14.42</v>
      </c>
      <c r="T763" s="3">
        <v>170</v>
      </c>
      <c r="U763" s="3">
        <v>15.6</v>
      </c>
      <c r="V763" s="3">
        <v>153</v>
      </c>
      <c r="W763" s="3">
        <v>15.97</v>
      </c>
      <c r="X763" s="3">
        <v>167</v>
      </c>
      <c r="Y763" s="3">
        <v>17.77</v>
      </c>
      <c r="Z763" s="3"/>
      <c r="AA763" s="3">
        <v>17.05</v>
      </c>
      <c r="AB763" s="3"/>
      <c r="AC763" s="3"/>
      <c r="AD763" s="3"/>
    </row>
    <row r="764" spans="1:30" x14ac:dyDescent="0.2">
      <c r="A764" s="60" t="s">
        <v>426</v>
      </c>
      <c r="B764" s="60" t="s">
        <v>131</v>
      </c>
      <c r="C764" s="60" t="s">
        <v>53</v>
      </c>
      <c r="D764" s="60" t="s">
        <v>620</v>
      </c>
      <c r="E764" s="60">
        <v>2</v>
      </c>
      <c r="F764" s="60" t="str">
        <f t="shared" si="28"/>
        <v>B3_P4_C4_F2</v>
      </c>
      <c r="G764" s="60" t="s">
        <v>11</v>
      </c>
      <c r="H764" s="60" t="s">
        <v>133</v>
      </c>
      <c r="I764" s="60" t="str">
        <f t="shared" si="27"/>
        <v>B3-P4-C4</v>
      </c>
      <c r="J764" s="60" t="str">
        <f t="shared" si="30"/>
        <v>Robinia-B3-P4-C4-F2</v>
      </c>
      <c r="K764" s="60" t="s">
        <v>64</v>
      </c>
      <c r="L764" s="60" t="s">
        <v>44</v>
      </c>
      <c r="M764" s="60" t="str">
        <f t="shared" si="29"/>
        <v>Control_Grey_Yes</v>
      </c>
      <c r="N764" s="15">
        <v>786</v>
      </c>
      <c r="O764" s="60">
        <v>1.8</v>
      </c>
      <c r="P764" s="60">
        <v>14</v>
      </c>
      <c r="Q764" s="60">
        <v>2.62</v>
      </c>
      <c r="R764" s="60">
        <v>13</v>
      </c>
      <c r="S764" s="3">
        <v>2.8</v>
      </c>
      <c r="T764" s="3">
        <v>16</v>
      </c>
      <c r="U764" s="3">
        <v>2.2599999999999998</v>
      </c>
      <c r="V764" s="3">
        <v>18</v>
      </c>
      <c r="W764" s="3">
        <v>2.29</v>
      </c>
      <c r="X764" s="3">
        <v>21</v>
      </c>
      <c r="Y764" s="3">
        <v>2.2400000000000002</v>
      </c>
      <c r="Z764" s="3"/>
      <c r="AA764" s="3">
        <v>2.25</v>
      </c>
      <c r="AB764" s="3"/>
      <c r="AC764" s="3"/>
      <c r="AD764" s="3"/>
    </row>
    <row r="765" spans="1:30" s="38" customFormat="1" x14ac:dyDescent="0.2">
      <c r="A765" s="57" t="s">
        <v>426</v>
      </c>
      <c r="B765" s="57" t="s">
        <v>167</v>
      </c>
      <c r="C765" s="57" t="s">
        <v>16</v>
      </c>
      <c r="D765" s="57" t="s">
        <v>618</v>
      </c>
      <c r="E765" s="57">
        <v>1</v>
      </c>
      <c r="F765" s="57" t="str">
        <f t="shared" si="28"/>
        <v>B3_P5_C1_D1</v>
      </c>
      <c r="G765" s="57" t="s">
        <v>11</v>
      </c>
      <c r="H765" s="57" t="s">
        <v>133</v>
      </c>
      <c r="I765" s="57" t="str">
        <f t="shared" si="27"/>
        <v>B3-P5-C1</v>
      </c>
      <c r="J765" s="57" t="str">
        <f t="shared" si="30"/>
        <v>Robinia-B3-P5-C1-D1</v>
      </c>
      <c r="K765" s="57" t="s">
        <v>64</v>
      </c>
      <c r="L765" s="57" t="s">
        <v>44</v>
      </c>
      <c r="M765" s="57" t="str">
        <f t="shared" si="29"/>
        <v>Control_Grey_Yes</v>
      </c>
      <c r="N765" s="37">
        <v>787</v>
      </c>
      <c r="O765" s="57">
        <v>6</v>
      </c>
      <c r="P765" s="57">
        <v>61</v>
      </c>
      <c r="Q765" s="57">
        <v>6.6</v>
      </c>
      <c r="R765" s="57">
        <v>65</v>
      </c>
      <c r="S765" s="57">
        <v>9.1</v>
      </c>
      <c r="T765" s="57">
        <v>104</v>
      </c>
      <c r="U765" s="57">
        <v>9.41</v>
      </c>
      <c r="V765" s="57">
        <v>104</v>
      </c>
      <c r="W765" s="57">
        <v>11.16</v>
      </c>
      <c r="X765" s="57">
        <v>117</v>
      </c>
      <c r="Y765" s="57">
        <v>11.89</v>
      </c>
      <c r="Z765" s="57"/>
      <c r="AA765" s="57">
        <v>12.65</v>
      </c>
      <c r="AB765" s="57"/>
      <c r="AC765" s="57"/>
      <c r="AD765" s="57"/>
    </row>
    <row r="766" spans="1:30" s="38" customFormat="1" x14ac:dyDescent="0.2">
      <c r="A766" s="57" t="s">
        <v>426</v>
      </c>
      <c r="B766" s="57" t="s">
        <v>167</v>
      </c>
      <c r="C766" s="57" t="s">
        <v>16</v>
      </c>
      <c r="D766" s="57" t="s">
        <v>619</v>
      </c>
      <c r="E766" s="57">
        <v>1</v>
      </c>
      <c r="F766" s="57" t="str">
        <f t="shared" si="28"/>
        <v>B3_P5_C1_E1</v>
      </c>
      <c r="G766" s="57" t="s">
        <v>11</v>
      </c>
      <c r="H766" s="57" t="s">
        <v>133</v>
      </c>
      <c r="I766" s="57" t="str">
        <f t="shared" si="27"/>
        <v>B3-P5-C1</v>
      </c>
      <c r="J766" s="57" t="str">
        <f t="shared" si="30"/>
        <v>Robinia-B3-P5-C1-E1</v>
      </c>
      <c r="K766" s="57" t="s">
        <v>64</v>
      </c>
      <c r="L766" s="57" t="s">
        <v>44</v>
      </c>
      <c r="M766" s="57" t="str">
        <f t="shared" si="29"/>
        <v>Control_Grey_Yes</v>
      </c>
      <c r="N766" s="37">
        <v>788</v>
      </c>
      <c r="O766" s="57">
        <v>6</v>
      </c>
      <c r="P766" s="57">
        <v>60</v>
      </c>
      <c r="Q766" s="57">
        <v>6.48</v>
      </c>
      <c r="R766" s="57">
        <v>67</v>
      </c>
      <c r="S766" s="57">
        <v>8.59</v>
      </c>
      <c r="T766" s="57">
        <v>115</v>
      </c>
      <c r="U766" s="57">
        <v>9.14</v>
      </c>
      <c r="V766" s="57">
        <v>125</v>
      </c>
      <c r="W766" s="57">
        <v>10.82</v>
      </c>
      <c r="X766" s="57">
        <v>138</v>
      </c>
      <c r="Y766" s="57">
        <v>10.89</v>
      </c>
      <c r="Z766" s="57"/>
      <c r="AA766" s="57">
        <v>10.76</v>
      </c>
      <c r="AB766" s="57"/>
      <c r="AC766" s="57"/>
      <c r="AD766" s="57"/>
    </row>
    <row r="767" spans="1:30" s="38" customFormat="1" x14ac:dyDescent="0.2">
      <c r="A767" s="57" t="s">
        <v>426</v>
      </c>
      <c r="B767" s="57" t="s">
        <v>167</v>
      </c>
      <c r="C767" s="57" t="s">
        <v>16</v>
      </c>
      <c r="D767" s="57" t="s">
        <v>620</v>
      </c>
      <c r="E767" s="57">
        <v>1</v>
      </c>
      <c r="F767" s="57" t="str">
        <f t="shared" si="28"/>
        <v>B3_P5_C1_F1</v>
      </c>
      <c r="G767" s="57" t="s">
        <v>11</v>
      </c>
      <c r="H767" s="57" t="s">
        <v>133</v>
      </c>
      <c r="I767" s="57" t="str">
        <f t="shared" si="27"/>
        <v>B3-P5-C1</v>
      </c>
      <c r="J767" s="57" t="str">
        <f t="shared" si="30"/>
        <v>Robinia-B3-P5-C1-F1</v>
      </c>
      <c r="K767" s="57" t="s">
        <v>64</v>
      </c>
      <c r="L767" s="57" t="s">
        <v>44</v>
      </c>
      <c r="M767" s="57" t="str">
        <f t="shared" si="29"/>
        <v>Control_Grey_Yes</v>
      </c>
      <c r="N767" s="37">
        <v>789</v>
      </c>
      <c r="O767" s="57">
        <v>8.4</v>
      </c>
      <c r="P767" s="57">
        <v>66</v>
      </c>
      <c r="Q767" s="57">
        <v>8.8699999999999992</v>
      </c>
      <c r="R767" s="57">
        <v>72</v>
      </c>
      <c r="S767" s="57">
        <v>11.02</v>
      </c>
      <c r="T767" s="57">
        <v>120</v>
      </c>
      <c r="U767" s="57">
        <v>11.45</v>
      </c>
      <c r="V767" s="57">
        <v>133</v>
      </c>
      <c r="W767" s="57">
        <v>13.19</v>
      </c>
      <c r="X767" s="57">
        <v>143</v>
      </c>
      <c r="Y767" s="57">
        <v>14.34</v>
      </c>
      <c r="Z767" s="57"/>
      <c r="AA767" s="57">
        <v>14.29</v>
      </c>
      <c r="AB767" s="57"/>
      <c r="AC767" s="57"/>
      <c r="AD767" s="57"/>
    </row>
    <row r="768" spans="1:30" s="38" customFormat="1" x14ac:dyDescent="0.2">
      <c r="A768" s="57" t="s">
        <v>426</v>
      </c>
      <c r="B768" s="57" t="s">
        <v>167</v>
      </c>
      <c r="C768" s="57" t="s">
        <v>16</v>
      </c>
      <c r="D768" s="57" t="s">
        <v>618</v>
      </c>
      <c r="E768" s="57">
        <v>2</v>
      </c>
      <c r="F768" s="57" t="str">
        <f t="shared" si="28"/>
        <v>B3_P5_C1_D2</v>
      </c>
      <c r="G768" s="57" t="s">
        <v>11</v>
      </c>
      <c r="H768" s="57" t="s">
        <v>133</v>
      </c>
      <c r="I768" s="57" t="str">
        <f t="shared" si="27"/>
        <v>B3-P5-C1</v>
      </c>
      <c r="J768" s="57" t="str">
        <f t="shared" si="30"/>
        <v>Robinia-B3-P5-C1-D2</v>
      </c>
      <c r="K768" s="57" t="s">
        <v>64</v>
      </c>
      <c r="L768" s="57" t="s">
        <v>44</v>
      </c>
      <c r="M768" s="57" t="str">
        <f t="shared" si="29"/>
        <v>Control_Grey_Yes</v>
      </c>
      <c r="N768" s="37">
        <v>790</v>
      </c>
      <c r="O768" s="57">
        <v>8.6</v>
      </c>
      <c r="P768" s="57">
        <v>74</v>
      </c>
      <c r="Q768" s="57">
        <v>9.0399999999999991</v>
      </c>
      <c r="R768" s="57">
        <v>88</v>
      </c>
      <c r="S768" s="57">
        <v>12.32</v>
      </c>
      <c r="T768" s="57">
        <v>145</v>
      </c>
      <c r="U768" s="57">
        <v>12.61</v>
      </c>
      <c r="V768" s="57">
        <v>132</v>
      </c>
      <c r="W768" s="57">
        <v>15.24</v>
      </c>
      <c r="X768" s="57">
        <v>153</v>
      </c>
      <c r="Y768" s="57">
        <v>16.97</v>
      </c>
      <c r="Z768" s="57"/>
      <c r="AA768" s="57">
        <v>17.670000000000002</v>
      </c>
      <c r="AB768" s="57"/>
      <c r="AC768" s="57"/>
      <c r="AD768" s="57"/>
    </row>
    <row r="769" spans="1:30" s="38" customFormat="1" x14ac:dyDescent="0.2">
      <c r="A769" s="57" t="s">
        <v>426</v>
      </c>
      <c r="B769" s="57" t="s">
        <v>167</v>
      </c>
      <c r="C769" s="57" t="s">
        <v>16</v>
      </c>
      <c r="D769" s="57" t="s">
        <v>619</v>
      </c>
      <c r="E769" s="57">
        <v>2</v>
      </c>
      <c r="F769" s="57" t="str">
        <f t="shared" si="28"/>
        <v>B3_P5_C1_E2</v>
      </c>
      <c r="G769" s="57" t="s">
        <v>11</v>
      </c>
      <c r="H769" s="57" t="s">
        <v>133</v>
      </c>
      <c r="I769" s="57" t="str">
        <f t="shared" si="27"/>
        <v>B3-P5-C1</v>
      </c>
      <c r="J769" s="57" t="str">
        <f t="shared" si="30"/>
        <v>Robinia-B3-P5-C1-E2</v>
      </c>
      <c r="K769" s="57" t="s">
        <v>64</v>
      </c>
      <c r="L769" s="57" t="s">
        <v>44</v>
      </c>
      <c r="M769" s="57" t="str">
        <f t="shared" si="29"/>
        <v>Control_Grey_Yes</v>
      </c>
      <c r="N769" s="37">
        <v>791</v>
      </c>
      <c r="O769" s="57">
        <v>8.8000000000000007</v>
      </c>
      <c r="P769" s="57">
        <v>91</v>
      </c>
      <c r="Q769" s="57">
        <v>9.51</v>
      </c>
      <c r="R769" s="57">
        <v>91</v>
      </c>
      <c r="S769" s="57">
        <v>12.68</v>
      </c>
      <c r="T769" s="57">
        <v>165</v>
      </c>
      <c r="U769" s="57">
        <v>13.74</v>
      </c>
      <c r="V769" s="57">
        <v>153</v>
      </c>
      <c r="W769" s="57">
        <v>14.52</v>
      </c>
      <c r="X769" s="57">
        <v>169</v>
      </c>
      <c r="Y769" s="57">
        <v>15.03</v>
      </c>
      <c r="Z769" s="57"/>
      <c r="AA769" s="57">
        <v>15.66</v>
      </c>
      <c r="AB769" s="57"/>
      <c r="AC769" s="57"/>
      <c r="AD769" s="57"/>
    </row>
    <row r="770" spans="1:30" s="38" customFormat="1" x14ac:dyDescent="0.2">
      <c r="A770" s="57" t="s">
        <v>426</v>
      </c>
      <c r="B770" s="57" t="s">
        <v>167</v>
      </c>
      <c r="C770" s="57" t="s">
        <v>16</v>
      </c>
      <c r="D770" s="57" t="s">
        <v>620</v>
      </c>
      <c r="E770" s="57">
        <v>2</v>
      </c>
      <c r="F770" s="57" t="str">
        <f t="shared" si="28"/>
        <v>B3_P5_C1_F2</v>
      </c>
      <c r="G770" s="57" t="s">
        <v>11</v>
      </c>
      <c r="H770" s="57" t="s">
        <v>133</v>
      </c>
      <c r="I770" s="57" t="str">
        <f t="shared" si="27"/>
        <v>B3-P5-C1</v>
      </c>
      <c r="J770" s="57" t="str">
        <f t="shared" si="30"/>
        <v>Robinia-B3-P5-C1-F2</v>
      </c>
      <c r="K770" s="57" t="s">
        <v>64</v>
      </c>
      <c r="L770" s="57" t="s">
        <v>44</v>
      </c>
      <c r="M770" s="57" t="str">
        <f t="shared" si="29"/>
        <v>Control_Grey_Yes</v>
      </c>
      <c r="N770" s="37">
        <v>792</v>
      </c>
      <c r="O770" s="57">
        <v>13.7</v>
      </c>
      <c r="P770" s="57">
        <v>89</v>
      </c>
      <c r="Q770" s="57">
        <v>15.62</v>
      </c>
      <c r="R770" s="57">
        <v>91</v>
      </c>
      <c r="S770" s="57">
        <v>20.21</v>
      </c>
      <c r="T770" s="57">
        <v>157</v>
      </c>
      <c r="U770" s="57">
        <v>21.7</v>
      </c>
      <c r="V770" s="57">
        <v>165</v>
      </c>
      <c r="W770" s="57">
        <v>24.19</v>
      </c>
      <c r="X770" s="57">
        <v>198</v>
      </c>
      <c r="Y770" s="57">
        <v>25.54</v>
      </c>
      <c r="Z770" s="57"/>
      <c r="AA770" s="57">
        <v>26.16</v>
      </c>
      <c r="AB770" s="57"/>
      <c r="AC770" s="57"/>
      <c r="AD770" s="57"/>
    </row>
    <row r="771" spans="1:30" x14ac:dyDescent="0.2">
      <c r="A771" s="60" t="s">
        <v>426</v>
      </c>
      <c r="B771" s="60" t="s">
        <v>167</v>
      </c>
      <c r="C771" s="60" t="s">
        <v>32</v>
      </c>
      <c r="D771" s="60" t="s">
        <v>618</v>
      </c>
      <c r="E771" s="60">
        <v>1</v>
      </c>
      <c r="F771" s="60" t="str">
        <f t="shared" si="28"/>
        <v>B3_P5_C2_D1</v>
      </c>
      <c r="G771" s="60" t="s">
        <v>11</v>
      </c>
      <c r="H771" s="60" t="s">
        <v>133</v>
      </c>
      <c r="I771" s="60" t="str">
        <f t="shared" ref="I771:I794" si="31">A771&amp;"-"&amp;B771&amp;"-"&amp;C771</f>
        <v>B3-P5-C2</v>
      </c>
      <c r="J771" s="60" t="str">
        <f t="shared" si="30"/>
        <v>Robinia-B3-P5-C2-D1</v>
      </c>
      <c r="K771" s="60" t="s">
        <v>64</v>
      </c>
      <c r="L771" s="60" t="s">
        <v>44</v>
      </c>
      <c r="M771" s="60" t="str">
        <f t="shared" si="29"/>
        <v>Control_Grey_Yes</v>
      </c>
      <c r="N771" s="15">
        <v>793</v>
      </c>
      <c r="O771" s="60">
        <v>5.6</v>
      </c>
      <c r="P771" s="60">
        <v>57</v>
      </c>
      <c r="Q771" s="60">
        <v>5.94</v>
      </c>
      <c r="R771" s="60">
        <v>67</v>
      </c>
      <c r="S771" s="3">
        <v>7.22</v>
      </c>
      <c r="T771" s="3">
        <v>93</v>
      </c>
      <c r="U771" s="3">
        <v>8.16</v>
      </c>
      <c r="V771" s="3">
        <v>123</v>
      </c>
      <c r="W771" s="3">
        <v>10.06</v>
      </c>
      <c r="X771" s="3">
        <v>147</v>
      </c>
      <c r="Y771" s="3">
        <v>10.96</v>
      </c>
      <c r="Z771" s="3"/>
      <c r="AA771" s="3">
        <v>11.78</v>
      </c>
      <c r="AB771" s="3"/>
      <c r="AC771" s="3"/>
      <c r="AD771" s="3"/>
    </row>
    <row r="772" spans="1:30" x14ac:dyDescent="0.2">
      <c r="A772" s="60" t="s">
        <v>426</v>
      </c>
      <c r="B772" s="60" t="s">
        <v>167</v>
      </c>
      <c r="C772" s="60" t="s">
        <v>32</v>
      </c>
      <c r="D772" s="60" t="s">
        <v>619</v>
      </c>
      <c r="E772" s="60">
        <v>1</v>
      </c>
      <c r="F772" s="60" t="str">
        <f t="shared" ref="F772:F794" si="32">A772&amp;"_"&amp;B772&amp;"_"&amp;C772&amp;"_"&amp;D772&amp;E772</f>
        <v>B3_P5_C2_E1</v>
      </c>
      <c r="G772" s="60" t="s">
        <v>11</v>
      </c>
      <c r="H772" s="60" t="s">
        <v>133</v>
      </c>
      <c r="I772" s="60" t="str">
        <f t="shared" si="31"/>
        <v>B3-P5-C2</v>
      </c>
      <c r="J772" s="60" t="str">
        <f t="shared" si="30"/>
        <v>Robinia-B3-P5-C2-E1</v>
      </c>
      <c r="K772" s="60" t="s">
        <v>64</v>
      </c>
      <c r="L772" s="60" t="s">
        <v>44</v>
      </c>
      <c r="M772" s="60" t="str">
        <f t="shared" ref="M772:M794" si="33">H772&amp;"_"&amp;K772&amp;"_"&amp;L772</f>
        <v>Control_Grey_Yes</v>
      </c>
      <c r="N772" s="15">
        <v>794</v>
      </c>
      <c r="O772" s="60">
        <v>8.4</v>
      </c>
      <c r="P772" s="60">
        <v>88</v>
      </c>
      <c r="Q772" s="60">
        <v>8.92</v>
      </c>
      <c r="R772" s="60">
        <v>92</v>
      </c>
      <c r="S772" s="3">
        <v>11.8</v>
      </c>
      <c r="T772" s="3">
        <v>142</v>
      </c>
      <c r="U772" s="3">
        <v>13</v>
      </c>
      <c r="V772" s="3">
        <v>150</v>
      </c>
      <c r="W772" s="3">
        <v>15.14</v>
      </c>
      <c r="X772" s="3">
        <v>170</v>
      </c>
      <c r="Y772" s="3">
        <v>16.34</v>
      </c>
      <c r="Z772" s="3"/>
      <c r="AA772" s="3">
        <v>16.77</v>
      </c>
      <c r="AB772" s="3"/>
      <c r="AC772" s="3"/>
      <c r="AD772" s="3"/>
    </row>
    <row r="773" spans="1:30" x14ac:dyDescent="0.2">
      <c r="A773" s="60" t="s">
        <v>426</v>
      </c>
      <c r="B773" s="60" t="s">
        <v>167</v>
      </c>
      <c r="C773" s="60" t="s">
        <v>32</v>
      </c>
      <c r="D773" s="60" t="s">
        <v>620</v>
      </c>
      <c r="E773" s="60">
        <v>1</v>
      </c>
      <c r="F773" s="60" t="str">
        <f t="shared" si="32"/>
        <v>B3_P5_C2_F1</v>
      </c>
      <c r="G773" s="60" t="s">
        <v>11</v>
      </c>
      <c r="H773" s="60" t="s">
        <v>133</v>
      </c>
      <c r="I773" s="60" t="str">
        <f t="shared" si="31"/>
        <v>B3-P5-C2</v>
      </c>
      <c r="J773" s="60" t="str">
        <f t="shared" si="30"/>
        <v>Robinia-B3-P5-C2-F1</v>
      </c>
      <c r="K773" s="60" t="s">
        <v>64</v>
      </c>
      <c r="L773" s="60" t="s">
        <v>44</v>
      </c>
      <c r="M773" s="60" t="str">
        <f t="shared" si="33"/>
        <v>Control_Grey_Yes</v>
      </c>
      <c r="N773" s="15">
        <v>795</v>
      </c>
      <c r="O773" s="60">
        <v>6.8</v>
      </c>
      <c r="P773" s="60">
        <v>76</v>
      </c>
      <c r="Q773" s="60">
        <v>7.03</v>
      </c>
      <c r="R773" s="60">
        <v>84</v>
      </c>
      <c r="S773" s="3">
        <v>9.2799999999999994</v>
      </c>
      <c r="T773" s="3">
        <v>134</v>
      </c>
      <c r="U773" s="3">
        <v>9.69</v>
      </c>
      <c r="V773" s="3">
        <v>151</v>
      </c>
      <c r="W773" s="3">
        <v>11.7</v>
      </c>
      <c r="X773" s="3">
        <v>175</v>
      </c>
      <c r="Y773" s="3">
        <v>12.44</v>
      </c>
      <c r="Z773" s="3"/>
      <c r="AA773" s="3">
        <v>12.96</v>
      </c>
      <c r="AB773" s="3"/>
      <c r="AC773" s="3"/>
      <c r="AD773" s="3"/>
    </row>
    <row r="774" spans="1:30" x14ac:dyDescent="0.2">
      <c r="A774" s="60" t="s">
        <v>426</v>
      </c>
      <c r="B774" s="60" t="s">
        <v>167</v>
      </c>
      <c r="C774" s="60" t="s">
        <v>32</v>
      </c>
      <c r="D774" s="60" t="s">
        <v>618</v>
      </c>
      <c r="E774" s="60">
        <v>2</v>
      </c>
      <c r="F774" s="60" t="str">
        <f t="shared" si="32"/>
        <v>B3_P5_C2_D2</v>
      </c>
      <c r="G774" s="60" t="s">
        <v>11</v>
      </c>
      <c r="H774" s="60" t="s">
        <v>133</v>
      </c>
      <c r="I774" s="60" t="str">
        <f t="shared" si="31"/>
        <v>B3-P5-C2</v>
      </c>
      <c r="J774" s="60" t="str">
        <f t="shared" si="30"/>
        <v>Robinia-B3-P5-C2-D2</v>
      </c>
      <c r="K774" s="60" t="s">
        <v>64</v>
      </c>
      <c r="L774" s="60" t="s">
        <v>44</v>
      </c>
      <c r="M774" s="60" t="str">
        <f t="shared" si="33"/>
        <v>Control_Grey_Yes</v>
      </c>
      <c r="N774" s="15">
        <v>796</v>
      </c>
      <c r="O774" s="60">
        <v>9.1</v>
      </c>
      <c r="P774" s="60">
        <v>86</v>
      </c>
      <c r="Q774" s="60">
        <v>9.51</v>
      </c>
      <c r="R774" s="60">
        <v>91</v>
      </c>
      <c r="S774" s="3">
        <v>11.54</v>
      </c>
      <c r="T774" s="3">
        <v>143</v>
      </c>
      <c r="U774" s="3">
        <v>13.3</v>
      </c>
      <c r="V774" s="3">
        <v>167</v>
      </c>
      <c r="W774" s="3">
        <v>14.79</v>
      </c>
      <c r="X774" s="3">
        <v>190</v>
      </c>
      <c r="Y774" s="3">
        <v>16.64</v>
      </c>
      <c r="Z774" s="3"/>
      <c r="AA774" s="3">
        <v>15.93</v>
      </c>
      <c r="AB774" s="3"/>
      <c r="AC774" s="3"/>
      <c r="AD774" s="3"/>
    </row>
    <row r="775" spans="1:30" x14ac:dyDescent="0.2">
      <c r="A775" s="60" t="s">
        <v>426</v>
      </c>
      <c r="B775" s="60" t="s">
        <v>167</v>
      </c>
      <c r="C775" s="60" t="s">
        <v>32</v>
      </c>
      <c r="D775" s="60" t="s">
        <v>619</v>
      </c>
      <c r="E775" s="60">
        <v>2</v>
      </c>
      <c r="F775" s="60" t="str">
        <f t="shared" si="32"/>
        <v>B3_P5_C2_E2</v>
      </c>
      <c r="G775" s="60" t="s">
        <v>11</v>
      </c>
      <c r="H775" s="60" t="s">
        <v>133</v>
      </c>
      <c r="I775" s="60" t="str">
        <f t="shared" si="31"/>
        <v>B3-P5-C2</v>
      </c>
      <c r="J775" s="60" t="str">
        <f t="shared" si="30"/>
        <v>Robinia-B3-P5-C2-E2</v>
      </c>
      <c r="K775" s="60" t="s">
        <v>64</v>
      </c>
      <c r="L775" s="60" t="s">
        <v>44</v>
      </c>
      <c r="M775" s="60" t="str">
        <f t="shared" si="33"/>
        <v>Control_Grey_Yes</v>
      </c>
      <c r="N775" s="15">
        <v>797</v>
      </c>
      <c r="O775" s="60">
        <v>7.6</v>
      </c>
      <c r="P775" s="60">
        <v>70</v>
      </c>
      <c r="Q775" s="60">
        <v>7.9</v>
      </c>
      <c r="R775" s="60">
        <v>79</v>
      </c>
      <c r="S775" s="3">
        <v>9.86</v>
      </c>
      <c r="T775" s="3">
        <v>152</v>
      </c>
      <c r="U775" s="3">
        <v>10.78</v>
      </c>
      <c r="V775" s="3">
        <v>147</v>
      </c>
      <c r="W775" s="3">
        <v>12.41</v>
      </c>
      <c r="X775" s="3">
        <v>168</v>
      </c>
      <c r="Y775" s="3">
        <v>14.12</v>
      </c>
      <c r="Z775" s="3"/>
      <c r="AA775" s="3">
        <v>13.02</v>
      </c>
      <c r="AB775" s="3"/>
      <c r="AC775" s="3"/>
      <c r="AD775" s="3"/>
    </row>
    <row r="776" spans="1:30" x14ac:dyDescent="0.2">
      <c r="A776" s="60" t="s">
        <v>426</v>
      </c>
      <c r="B776" s="60" t="s">
        <v>167</v>
      </c>
      <c r="C776" s="60" t="s">
        <v>32</v>
      </c>
      <c r="D776" s="60" t="s">
        <v>620</v>
      </c>
      <c r="E776" s="60">
        <v>2</v>
      </c>
      <c r="F776" s="60" t="str">
        <f t="shared" si="32"/>
        <v>B3_P5_C2_F2</v>
      </c>
      <c r="G776" s="60" t="s">
        <v>11</v>
      </c>
      <c r="H776" s="60" t="s">
        <v>133</v>
      </c>
      <c r="I776" s="60" t="str">
        <f t="shared" si="31"/>
        <v>B3-P5-C2</v>
      </c>
      <c r="J776" s="60" t="str">
        <f t="shared" si="30"/>
        <v>Robinia-B3-P5-C2-F2</v>
      </c>
      <c r="K776" s="60" t="s">
        <v>64</v>
      </c>
      <c r="L776" s="60" t="s">
        <v>44</v>
      </c>
      <c r="M776" s="60" t="str">
        <f t="shared" si="33"/>
        <v>Control_Grey_Yes</v>
      </c>
      <c r="N776" s="15">
        <v>798</v>
      </c>
      <c r="O776" s="60">
        <v>12.7</v>
      </c>
      <c r="P776" s="60">
        <v>117</v>
      </c>
      <c r="Q776" s="60">
        <v>13.2</v>
      </c>
      <c r="R776" s="60">
        <v>121</v>
      </c>
      <c r="S776" s="3">
        <v>17.59</v>
      </c>
      <c r="T776" s="3">
        <v>175</v>
      </c>
      <c r="U776" s="3">
        <v>18.5</v>
      </c>
      <c r="V776" s="3">
        <v>175</v>
      </c>
      <c r="W776" s="3">
        <v>21.83</v>
      </c>
      <c r="X776" s="3">
        <v>201</v>
      </c>
      <c r="Y776" s="3">
        <v>22.3</v>
      </c>
      <c r="Z776" s="3"/>
      <c r="AA776" s="3">
        <v>24.35</v>
      </c>
      <c r="AB776" s="3"/>
      <c r="AC776" s="3"/>
      <c r="AD776" s="3"/>
    </row>
    <row r="777" spans="1:30" s="38" customFormat="1" x14ac:dyDescent="0.2">
      <c r="A777" s="57" t="s">
        <v>426</v>
      </c>
      <c r="B777" s="57" t="s">
        <v>167</v>
      </c>
      <c r="C777" s="57" t="s">
        <v>42</v>
      </c>
      <c r="D777" s="57" t="s">
        <v>618</v>
      </c>
      <c r="E777" s="57">
        <v>1</v>
      </c>
      <c r="F777" s="57" t="str">
        <f t="shared" si="32"/>
        <v>B3_P5_C3_D1</v>
      </c>
      <c r="G777" s="57" t="s">
        <v>11</v>
      </c>
      <c r="H777" s="57" t="s">
        <v>133</v>
      </c>
      <c r="I777" s="57" t="str">
        <f t="shared" si="31"/>
        <v>B3-P5-C3</v>
      </c>
      <c r="J777" s="57" t="str">
        <f t="shared" si="30"/>
        <v>Robinia-B3-P5-C3-D1</v>
      </c>
      <c r="K777" s="57" t="s">
        <v>21</v>
      </c>
      <c r="L777" s="57" t="s">
        <v>44</v>
      </c>
      <c r="M777" s="57" t="str">
        <f t="shared" si="33"/>
        <v>Control_Yellow_Yes</v>
      </c>
      <c r="N777" s="37">
        <v>799</v>
      </c>
      <c r="O777" s="57">
        <v>5.7</v>
      </c>
      <c r="P777" s="57">
        <v>63</v>
      </c>
      <c r="Q777" s="57">
        <v>5.74</v>
      </c>
      <c r="R777" s="57">
        <v>68</v>
      </c>
      <c r="S777" s="57">
        <v>8.01</v>
      </c>
      <c r="T777" s="57">
        <v>122</v>
      </c>
      <c r="U777" s="57">
        <v>9.1999999999999993</v>
      </c>
      <c r="V777" s="57">
        <v>147</v>
      </c>
      <c r="W777" s="57">
        <v>12.24</v>
      </c>
      <c r="X777" s="57">
        <v>165</v>
      </c>
      <c r="Y777" s="57">
        <v>13.5</v>
      </c>
      <c r="Z777" s="57"/>
      <c r="AA777" s="57">
        <v>14.31</v>
      </c>
      <c r="AB777" s="57"/>
      <c r="AC777" s="57"/>
      <c r="AD777" s="57"/>
    </row>
    <row r="778" spans="1:30" s="38" customFormat="1" x14ac:dyDescent="0.2">
      <c r="A778" s="57" t="s">
        <v>426</v>
      </c>
      <c r="B778" s="57" t="s">
        <v>167</v>
      </c>
      <c r="C778" s="57" t="s">
        <v>42</v>
      </c>
      <c r="D778" s="57" t="s">
        <v>619</v>
      </c>
      <c r="E778" s="57">
        <v>1</v>
      </c>
      <c r="F778" s="57" t="str">
        <f t="shared" si="32"/>
        <v>B3_P5_C3_E1</v>
      </c>
      <c r="G778" s="57" t="s">
        <v>11</v>
      </c>
      <c r="H778" s="57" t="s">
        <v>133</v>
      </c>
      <c r="I778" s="57" t="str">
        <f t="shared" si="31"/>
        <v>B3-P5-C3</v>
      </c>
      <c r="J778" s="57" t="str">
        <f t="shared" si="30"/>
        <v>Robinia-B3-P5-C3-E1</v>
      </c>
      <c r="K778" s="57" t="s">
        <v>21</v>
      </c>
      <c r="L778" s="57" t="s">
        <v>44</v>
      </c>
      <c r="M778" s="57" t="str">
        <f t="shared" si="33"/>
        <v>Control_Yellow_Yes</v>
      </c>
      <c r="N778" s="37">
        <v>800</v>
      </c>
      <c r="O778" s="57">
        <v>8.3000000000000007</v>
      </c>
      <c r="P778" s="57">
        <v>94</v>
      </c>
      <c r="Q778" s="57">
        <v>8.86</v>
      </c>
      <c r="R778" s="57">
        <v>103</v>
      </c>
      <c r="S778" s="57">
        <v>13.01</v>
      </c>
      <c r="T778" s="57">
        <v>160</v>
      </c>
      <c r="U778" s="57">
        <v>14.7</v>
      </c>
      <c r="V778" s="57">
        <v>161</v>
      </c>
      <c r="W778" s="57">
        <v>19.63</v>
      </c>
      <c r="X778" s="57">
        <v>195</v>
      </c>
      <c r="Y778" s="57">
        <v>20.79</v>
      </c>
      <c r="Z778" s="57"/>
      <c r="AA778" s="57">
        <v>22.33</v>
      </c>
      <c r="AB778" s="57"/>
      <c r="AC778" s="57"/>
      <c r="AD778" s="57"/>
    </row>
    <row r="779" spans="1:30" s="38" customFormat="1" x14ac:dyDescent="0.2">
      <c r="A779" s="57" t="s">
        <v>426</v>
      </c>
      <c r="B779" s="57" t="s">
        <v>167</v>
      </c>
      <c r="C779" s="57" t="s">
        <v>42</v>
      </c>
      <c r="D779" s="57" t="s">
        <v>620</v>
      </c>
      <c r="E779" s="57">
        <v>1</v>
      </c>
      <c r="F779" s="57" t="str">
        <f t="shared" si="32"/>
        <v>B3_P5_C3_F1</v>
      </c>
      <c r="G779" s="57" t="s">
        <v>11</v>
      </c>
      <c r="H779" s="57" t="s">
        <v>133</v>
      </c>
      <c r="I779" s="57" t="str">
        <f t="shared" si="31"/>
        <v>B3-P5-C3</v>
      </c>
      <c r="J779" s="57" t="str">
        <f t="shared" si="30"/>
        <v>Robinia-B3-P5-C3-F1</v>
      </c>
      <c r="K779" s="57" t="s">
        <v>21</v>
      </c>
      <c r="L779" s="57" t="s">
        <v>44</v>
      </c>
      <c r="M779" s="57" t="str">
        <f t="shared" si="33"/>
        <v>Control_Yellow_Yes</v>
      </c>
      <c r="N779" s="37">
        <v>801</v>
      </c>
      <c r="O779" s="57">
        <v>4.8</v>
      </c>
      <c r="P779" s="57">
        <v>47</v>
      </c>
      <c r="Q779" s="57">
        <v>4.8</v>
      </c>
      <c r="R779" s="57">
        <v>50</v>
      </c>
      <c r="S779" s="57">
        <v>5.99</v>
      </c>
      <c r="T779" s="57">
        <v>84</v>
      </c>
      <c r="U779" s="57">
        <v>7.05</v>
      </c>
      <c r="V779" s="57">
        <v>103</v>
      </c>
      <c r="W779" s="57">
        <v>9.23</v>
      </c>
      <c r="X779" s="57">
        <v>118</v>
      </c>
      <c r="Y779" s="57">
        <v>10.24</v>
      </c>
      <c r="Z779" s="57"/>
      <c r="AA779" s="57">
        <v>10.29</v>
      </c>
      <c r="AB779" s="57"/>
      <c r="AC779" s="57"/>
      <c r="AD779" s="57"/>
    </row>
    <row r="780" spans="1:30" s="38" customFormat="1" x14ac:dyDescent="0.2">
      <c r="A780" s="57" t="s">
        <v>426</v>
      </c>
      <c r="B780" s="57" t="s">
        <v>167</v>
      </c>
      <c r="C780" s="57" t="s">
        <v>42</v>
      </c>
      <c r="D780" s="57" t="s">
        <v>618</v>
      </c>
      <c r="E780" s="57">
        <v>2</v>
      </c>
      <c r="F780" s="57" t="str">
        <f t="shared" si="32"/>
        <v>B3_P5_C3_D2</v>
      </c>
      <c r="G780" s="57" t="s">
        <v>11</v>
      </c>
      <c r="H780" s="57" t="s">
        <v>133</v>
      </c>
      <c r="I780" s="57" t="str">
        <f t="shared" si="31"/>
        <v>B3-P5-C3</v>
      </c>
      <c r="J780" s="57" t="str">
        <f t="shared" si="30"/>
        <v>Robinia-B3-P5-C3-D2</v>
      </c>
      <c r="K780" s="57" t="s">
        <v>21</v>
      </c>
      <c r="L780" s="57" t="s">
        <v>44</v>
      </c>
      <c r="M780" s="57" t="str">
        <f t="shared" si="33"/>
        <v>Control_Yellow_Yes</v>
      </c>
      <c r="N780" s="37">
        <v>802</v>
      </c>
      <c r="O780" s="57">
        <v>9.1999999999999993</v>
      </c>
      <c r="P780" s="57">
        <v>100</v>
      </c>
      <c r="Q780" s="57">
        <v>9.75</v>
      </c>
      <c r="R780" s="57">
        <v>104</v>
      </c>
      <c r="S780" s="57">
        <v>12.97</v>
      </c>
      <c r="T780" s="57">
        <v>162</v>
      </c>
      <c r="U780" s="57">
        <v>14.6</v>
      </c>
      <c r="V780" s="57">
        <v>185</v>
      </c>
      <c r="W780" s="57">
        <v>17.89</v>
      </c>
      <c r="X780" s="57">
        <v>209</v>
      </c>
      <c r="Y780" s="57">
        <v>19.329999999999998</v>
      </c>
      <c r="Z780" s="57"/>
      <c r="AA780" s="57">
        <v>20.440000000000001</v>
      </c>
      <c r="AB780" s="57"/>
      <c r="AC780" s="57"/>
      <c r="AD780" s="57"/>
    </row>
    <row r="781" spans="1:30" s="38" customFormat="1" x14ac:dyDescent="0.2">
      <c r="A781" s="57" t="s">
        <v>426</v>
      </c>
      <c r="B781" s="57" t="s">
        <v>167</v>
      </c>
      <c r="C781" s="57" t="s">
        <v>42</v>
      </c>
      <c r="D781" s="57" t="s">
        <v>619</v>
      </c>
      <c r="E781" s="57">
        <v>2</v>
      </c>
      <c r="F781" s="57" t="str">
        <f t="shared" si="32"/>
        <v>B3_P5_C3_E2</v>
      </c>
      <c r="G781" s="57" t="s">
        <v>11</v>
      </c>
      <c r="H781" s="57" t="s">
        <v>133</v>
      </c>
      <c r="I781" s="57" t="str">
        <f t="shared" si="31"/>
        <v>B3-P5-C3</v>
      </c>
      <c r="J781" s="57" t="str">
        <f t="shared" si="30"/>
        <v>Robinia-B3-P5-C3-E2</v>
      </c>
      <c r="K781" s="57" t="s">
        <v>21</v>
      </c>
      <c r="L781" s="57" t="s">
        <v>44</v>
      </c>
      <c r="M781" s="57" t="str">
        <f t="shared" si="33"/>
        <v>Control_Yellow_Yes</v>
      </c>
      <c r="N781" s="37">
        <v>803</v>
      </c>
      <c r="O781" s="57">
        <v>4.5999999999999996</v>
      </c>
      <c r="P781" s="57">
        <v>44</v>
      </c>
      <c r="Q781" s="57">
        <v>4.7699999999999996</v>
      </c>
      <c r="R781" s="57">
        <v>50</v>
      </c>
      <c r="S781" s="57">
        <v>8</v>
      </c>
      <c r="T781" s="57">
        <v>88</v>
      </c>
      <c r="U781" s="57">
        <v>8.16</v>
      </c>
      <c r="V781" s="57">
        <v>98</v>
      </c>
      <c r="W781" s="57">
        <v>10.56</v>
      </c>
      <c r="X781" s="57">
        <v>106</v>
      </c>
      <c r="Y781" s="57">
        <v>11.11</v>
      </c>
      <c r="Z781" s="57"/>
      <c r="AA781" s="57">
        <v>12.83</v>
      </c>
      <c r="AB781" s="57"/>
      <c r="AC781" s="57"/>
      <c r="AD781" s="57"/>
    </row>
    <row r="782" spans="1:30" s="38" customFormat="1" x14ac:dyDescent="0.2">
      <c r="A782" s="57" t="s">
        <v>426</v>
      </c>
      <c r="B782" s="57" t="s">
        <v>167</v>
      </c>
      <c r="C782" s="57" t="s">
        <v>42</v>
      </c>
      <c r="D782" s="57" t="s">
        <v>620</v>
      </c>
      <c r="E782" s="57">
        <v>2</v>
      </c>
      <c r="F782" s="57" t="str">
        <f t="shared" si="32"/>
        <v>B3_P5_C3_F2</v>
      </c>
      <c r="G782" s="57" t="s">
        <v>11</v>
      </c>
      <c r="H782" s="57" t="s">
        <v>133</v>
      </c>
      <c r="I782" s="57" t="str">
        <f t="shared" si="31"/>
        <v>B3-P5-C3</v>
      </c>
      <c r="J782" s="57" t="str">
        <f t="shared" si="30"/>
        <v>Robinia-B3-P5-C3-F2</v>
      </c>
      <c r="K782" s="57" t="s">
        <v>21</v>
      </c>
      <c r="L782" s="57" t="s">
        <v>44</v>
      </c>
      <c r="M782" s="57" t="str">
        <f t="shared" si="33"/>
        <v>Control_Yellow_Yes</v>
      </c>
      <c r="N782" s="37">
        <v>804</v>
      </c>
      <c r="O782" s="57">
        <v>1.8</v>
      </c>
      <c r="P782" s="57">
        <v>13</v>
      </c>
      <c r="Q782" s="57">
        <v>1.8</v>
      </c>
      <c r="R782" s="57">
        <v>16</v>
      </c>
      <c r="S782" s="57">
        <v>2.61</v>
      </c>
      <c r="T782" s="57">
        <v>54</v>
      </c>
      <c r="U782" s="57">
        <v>3.14</v>
      </c>
      <c r="V782" s="57">
        <v>43</v>
      </c>
      <c r="W782" s="57">
        <v>3.26</v>
      </c>
      <c r="X782" s="57">
        <v>47</v>
      </c>
      <c r="Y782" s="57">
        <v>4.93</v>
      </c>
      <c r="Z782" s="57"/>
      <c r="AA782" s="57">
        <v>4.68</v>
      </c>
      <c r="AB782" s="57"/>
      <c r="AC782" s="57"/>
      <c r="AD782" s="57"/>
    </row>
    <row r="783" spans="1:30" x14ac:dyDescent="0.2">
      <c r="A783" s="60" t="s">
        <v>426</v>
      </c>
      <c r="B783" s="60" t="s">
        <v>167</v>
      </c>
      <c r="C783" s="60" t="s">
        <v>53</v>
      </c>
      <c r="D783" s="60" t="s">
        <v>618</v>
      </c>
      <c r="E783" s="60">
        <v>1</v>
      </c>
      <c r="F783" s="60" t="str">
        <f t="shared" si="32"/>
        <v>B3_P5_C4_D1</v>
      </c>
      <c r="G783" s="60" t="s">
        <v>11</v>
      </c>
      <c r="H783" s="60" t="s">
        <v>133</v>
      </c>
      <c r="I783" s="60" t="str">
        <f t="shared" si="31"/>
        <v>B3-P5-C4</v>
      </c>
      <c r="J783" s="60" t="str">
        <f t="shared" si="30"/>
        <v>Robinia-B3-P5-C4-D1</v>
      </c>
      <c r="K783" s="60" t="s">
        <v>21</v>
      </c>
      <c r="L783" s="60" t="s">
        <v>44</v>
      </c>
      <c r="M783" s="60" t="str">
        <f t="shared" si="33"/>
        <v>Control_Yellow_Yes</v>
      </c>
      <c r="N783" s="15">
        <v>805</v>
      </c>
      <c r="O783" s="60">
        <v>6.7</v>
      </c>
      <c r="P783" s="60">
        <v>69</v>
      </c>
      <c r="Q783" s="60">
        <v>7.08</v>
      </c>
      <c r="R783" s="60">
        <v>75</v>
      </c>
      <c r="S783" s="3">
        <v>9</v>
      </c>
      <c r="T783" s="3">
        <v>123</v>
      </c>
      <c r="U783" s="3">
        <v>9.94</v>
      </c>
      <c r="V783" s="3">
        <v>121</v>
      </c>
      <c r="W783" s="3">
        <v>9.56</v>
      </c>
      <c r="X783" s="3">
        <v>125</v>
      </c>
      <c r="Y783" s="3">
        <v>9.76</v>
      </c>
      <c r="Z783" s="3"/>
      <c r="AA783" s="3">
        <v>9.1199999999999992</v>
      </c>
      <c r="AB783" s="3"/>
      <c r="AC783" s="3"/>
      <c r="AD783" s="3"/>
    </row>
    <row r="784" spans="1:30" x14ac:dyDescent="0.2">
      <c r="A784" s="60" t="s">
        <v>426</v>
      </c>
      <c r="B784" s="60" t="s">
        <v>167</v>
      </c>
      <c r="C784" s="60" t="s">
        <v>53</v>
      </c>
      <c r="D784" s="60" t="s">
        <v>619</v>
      </c>
      <c r="E784" s="60">
        <v>1</v>
      </c>
      <c r="F784" s="60" t="str">
        <f t="shared" si="32"/>
        <v>B3_P5_C4_E1</v>
      </c>
      <c r="G784" s="60" t="s">
        <v>11</v>
      </c>
      <c r="H784" s="60" t="s">
        <v>133</v>
      </c>
      <c r="I784" s="60" t="str">
        <f t="shared" si="31"/>
        <v>B3-P5-C4</v>
      </c>
      <c r="J784" s="60" t="str">
        <f t="shared" si="30"/>
        <v>Robinia-B3-P5-C4-E1</v>
      </c>
      <c r="K784" s="60" t="s">
        <v>21</v>
      </c>
      <c r="L784" s="60" t="s">
        <v>44</v>
      </c>
      <c r="M784" s="60" t="str">
        <f t="shared" si="33"/>
        <v>Control_Yellow_Yes</v>
      </c>
      <c r="N784" s="15">
        <v>806</v>
      </c>
      <c r="O784" s="60">
        <v>12.7</v>
      </c>
      <c r="P784" s="60">
        <v>121</v>
      </c>
      <c r="Q784" s="60">
        <v>13.79</v>
      </c>
      <c r="R784" s="60">
        <v>133</v>
      </c>
      <c r="S784" s="3">
        <v>16.87</v>
      </c>
      <c r="T784" s="3">
        <v>175</v>
      </c>
      <c r="U784" s="3">
        <v>17.84</v>
      </c>
      <c r="V784" s="3">
        <v>163</v>
      </c>
      <c r="W784" s="3">
        <v>19.739999999999998</v>
      </c>
      <c r="X784" s="3">
        <v>192</v>
      </c>
      <c r="Y784" s="3">
        <v>20.36</v>
      </c>
      <c r="Z784" s="3"/>
      <c r="AA784" s="3">
        <v>21.3</v>
      </c>
      <c r="AB784" s="3"/>
      <c r="AC784" s="3"/>
      <c r="AD784" s="3"/>
    </row>
    <row r="785" spans="1:30" x14ac:dyDescent="0.2">
      <c r="A785" s="60" t="s">
        <v>426</v>
      </c>
      <c r="B785" s="60" t="s">
        <v>167</v>
      </c>
      <c r="C785" s="60" t="s">
        <v>53</v>
      </c>
      <c r="D785" s="60" t="s">
        <v>620</v>
      </c>
      <c r="E785" s="60">
        <v>1</v>
      </c>
      <c r="F785" s="60" t="str">
        <f t="shared" si="32"/>
        <v>B3_P5_C4_F1</v>
      </c>
      <c r="G785" s="60" t="s">
        <v>11</v>
      </c>
      <c r="H785" s="60" t="s">
        <v>133</v>
      </c>
      <c r="I785" s="60" t="str">
        <f t="shared" si="31"/>
        <v>B3-P5-C4</v>
      </c>
      <c r="J785" s="60" t="str">
        <f t="shared" si="30"/>
        <v>Robinia-B3-P5-C4-F1</v>
      </c>
      <c r="K785" s="60" t="s">
        <v>21</v>
      </c>
      <c r="L785" s="60" t="s">
        <v>44</v>
      </c>
      <c r="M785" s="60" t="str">
        <f t="shared" si="33"/>
        <v>Control_Yellow_Yes</v>
      </c>
      <c r="N785" s="15">
        <v>807</v>
      </c>
      <c r="O785" s="60">
        <v>10.8</v>
      </c>
      <c r="P785" s="60">
        <v>91</v>
      </c>
      <c r="Q785" s="60">
        <v>11.87</v>
      </c>
      <c r="R785" s="60">
        <v>94</v>
      </c>
      <c r="S785" s="3">
        <v>15.55</v>
      </c>
      <c r="T785" s="3">
        <v>152</v>
      </c>
      <c r="U785" s="3">
        <v>16.329999999999998</v>
      </c>
      <c r="V785" s="3">
        <v>148</v>
      </c>
      <c r="W785" s="3">
        <v>18.239999999999998</v>
      </c>
      <c r="X785" s="3">
        <v>168</v>
      </c>
      <c r="Y785" s="3">
        <v>19.28</v>
      </c>
      <c r="Z785" s="3"/>
      <c r="AA785" s="3">
        <v>20.13</v>
      </c>
      <c r="AB785" s="3"/>
      <c r="AC785" s="3"/>
      <c r="AD785" s="3"/>
    </row>
    <row r="786" spans="1:30" x14ac:dyDescent="0.2">
      <c r="A786" s="60" t="s">
        <v>426</v>
      </c>
      <c r="B786" s="60" t="s">
        <v>167</v>
      </c>
      <c r="C786" s="60" t="s">
        <v>53</v>
      </c>
      <c r="D786" s="60" t="s">
        <v>618</v>
      </c>
      <c r="E786" s="60">
        <v>2</v>
      </c>
      <c r="F786" s="60" t="str">
        <f t="shared" si="32"/>
        <v>B3_P5_C4_D2</v>
      </c>
      <c r="G786" s="60" t="s">
        <v>11</v>
      </c>
      <c r="H786" s="60" t="s">
        <v>133</v>
      </c>
      <c r="I786" s="60" t="str">
        <f t="shared" si="31"/>
        <v>B3-P5-C4</v>
      </c>
      <c r="J786" s="60" t="str">
        <f t="shared" si="30"/>
        <v>Robinia-B3-P5-C4-D2</v>
      </c>
      <c r="K786" s="60" t="s">
        <v>21</v>
      </c>
      <c r="L786" s="60" t="s">
        <v>44</v>
      </c>
      <c r="M786" s="60" t="str">
        <f t="shared" si="33"/>
        <v>Control_Yellow_Yes</v>
      </c>
      <c r="N786" s="15">
        <v>808</v>
      </c>
      <c r="O786" s="60">
        <v>9.4</v>
      </c>
      <c r="P786" s="60">
        <v>96</v>
      </c>
      <c r="Q786" s="60">
        <v>10.119999999999999</v>
      </c>
      <c r="R786" s="60">
        <v>102</v>
      </c>
      <c r="S786" s="3">
        <v>13.75</v>
      </c>
      <c r="T786" s="3">
        <v>150</v>
      </c>
      <c r="U786" s="3">
        <v>13.9</v>
      </c>
      <c r="V786" s="3">
        <v>160</v>
      </c>
      <c r="W786" s="3">
        <v>14.84</v>
      </c>
      <c r="X786" s="3">
        <v>165</v>
      </c>
      <c r="Y786" s="3">
        <v>15.4</v>
      </c>
      <c r="Z786" s="3"/>
      <c r="AA786" s="3">
        <v>16.079999999999998</v>
      </c>
      <c r="AB786" s="3"/>
      <c r="AC786" s="3"/>
      <c r="AD786" s="3"/>
    </row>
    <row r="787" spans="1:30" x14ac:dyDescent="0.2">
      <c r="A787" s="60" t="s">
        <v>426</v>
      </c>
      <c r="B787" s="60" t="s">
        <v>167</v>
      </c>
      <c r="C787" s="60" t="s">
        <v>53</v>
      </c>
      <c r="D787" s="60" t="s">
        <v>619</v>
      </c>
      <c r="E787" s="60">
        <v>2</v>
      </c>
      <c r="F787" s="60" t="str">
        <f t="shared" si="32"/>
        <v>B3_P5_C4_E2</v>
      </c>
      <c r="G787" s="60" t="s">
        <v>11</v>
      </c>
      <c r="H787" s="60" t="s">
        <v>133</v>
      </c>
      <c r="I787" s="60" t="str">
        <f t="shared" si="31"/>
        <v>B3-P5-C4</v>
      </c>
      <c r="J787" s="60" t="str">
        <f t="shared" si="30"/>
        <v>Robinia-B3-P5-C4-E2</v>
      </c>
      <c r="K787" s="60" t="s">
        <v>21</v>
      </c>
      <c r="L787" s="60" t="s">
        <v>44</v>
      </c>
      <c r="M787" s="60" t="str">
        <f t="shared" si="33"/>
        <v>Control_Yellow_Yes</v>
      </c>
      <c r="N787" s="15">
        <v>809</v>
      </c>
      <c r="O787" s="60">
        <v>13.6</v>
      </c>
      <c r="P787" s="60">
        <v>124</v>
      </c>
      <c r="Q787" s="60">
        <v>14.17</v>
      </c>
      <c r="R787" s="60">
        <v>130</v>
      </c>
      <c r="S787" s="3">
        <v>15.98</v>
      </c>
      <c r="T787" s="3">
        <v>160</v>
      </c>
      <c r="U787" s="3">
        <v>17.37</v>
      </c>
      <c r="V787" s="3">
        <v>150</v>
      </c>
      <c r="W787" s="3">
        <v>18.14</v>
      </c>
      <c r="X787" s="3">
        <v>179</v>
      </c>
      <c r="Y787" s="3">
        <v>19.18</v>
      </c>
      <c r="Z787" s="3"/>
      <c r="AA787" s="3">
        <v>19.809999999999999</v>
      </c>
      <c r="AB787" s="3"/>
      <c r="AC787" s="3"/>
      <c r="AD787" s="3"/>
    </row>
    <row r="788" spans="1:30" x14ac:dyDescent="0.2">
      <c r="A788" s="60" t="s">
        <v>426</v>
      </c>
      <c r="B788" s="60" t="s">
        <v>167</v>
      </c>
      <c r="C788" s="60" t="s">
        <v>53</v>
      </c>
      <c r="D788" s="60" t="s">
        <v>620</v>
      </c>
      <c r="E788" s="60">
        <v>2</v>
      </c>
      <c r="F788" s="60" t="str">
        <f t="shared" si="32"/>
        <v>B3_P5_C4_F2</v>
      </c>
      <c r="G788" s="60" t="s">
        <v>11</v>
      </c>
      <c r="H788" s="60" t="s">
        <v>133</v>
      </c>
      <c r="I788" s="60" t="str">
        <f t="shared" si="31"/>
        <v>B3-P5-C4</v>
      </c>
      <c r="J788" s="60" t="str">
        <f t="shared" si="30"/>
        <v>Robinia-B3-P5-C4-F2</v>
      </c>
      <c r="K788" s="60" t="s">
        <v>21</v>
      </c>
      <c r="L788" s="60" t="s">
        <v>44</v>
      </c>
      <c r="M788" s="60" t="str">
        <f t="shared" si="33"/>
        <v>Control_Yellow_Yes</v>
      </c>
      <c r="N788" s="15">
        <v>810</v>
      </c>
      <c r="O788" s="60">
        <v>10.8</v>
      </c>
      <c r="P788" s="60">
        <v>101</v>
      </c>
      <c r="Q788" s="60">
        <v>11.48</v>
      </c>
      <c r="R788" s="60">
        <v>110</v>
      </c>
      <c r="S788" s="3">
        <v>13.87</v>
      </c>
      <c r="T788" s="3">
        <v>160</v>
      </c>
      <c r="U788" s="3">
        <v>14.57</v>
      </c>
      <c r="V788" s="3">
        <v>164</v>
      </c>
      <c r="W788" s="3">
        <v>16.47</v>
      </c>
      <c r="X788" s="3">
        <v>194</v>
      </c>
      <c r="Y788" s="3">
        <v>17.72</v>
      </c>
      <c r="Z788" s="3"/>
      <c r="AA788" s="3">
        <v>17.170000000000002</v>
      </c>
      <c r="AB788" s="3"/>
      <c r="AC788" s="3"/>
      <c r="AD788" s="3"/>
    </row>
    <row r="789" spans="1:30" s="38" customFormat="1" x14ac:dyDescent="0.2">
      <c r="A789" s="57" t="s">
        <v>426</v>
      </c>
      <c r="B789" s="57" t="s">
        <v>200</v>
      </c>
      <c r="C789" s="57" t="s">
        <v>42</v>
      </c>
      <c r="D789" s="57" t="s">
        <v>618</v>
      </c>
      <c r="E789" s="57">
        <v>1</v>
      </c>
      <c r="F789" s="57" t="str">
        <f t="shared" si="32"/>
        <v>B3_P6_C3_D1</v>
      </c>
      <c r="G789" s="57" t="s">
        <v>11</v>
      </c>
      <c r="H789" s="57" t="s">
        <v>133</v>
      </c>
      <c r="I789" s="57" t="str">
        <f t="shared" si="31"/>
        <v>B3-P6-C3</v>
      </c>
      <c r="J789" s="57" t="str">
        <f t="shared" si="30"/>
        <v>Robinia-B3-P6-C3-D1</v>
      </c>
      <c r="K789" s="57" t="s">
        <v>21</v>
      </c>
      <c r="L789" s="57" t="s">
        <v>44</v>
      </c>
      <c r="M789" s="57" t="str">
        <f t="shared" si="33"/>
        <v>Control_Yellow_Yes</v>
      </c>
      <c r="N789" s="37">
        <v>811</v>
      </c>
      <c r="O789" s="57">
        <v>9.9</v>
      </c>
      <c r="P789" s="57">
        <v>104</v>
      </c>
      <c r="Q789" s="57">
        <v>10.53</v>
      </c>
      <c r="R789" s="57">
        <v>110</v>
      </c>
      <c r="S789" s="57">
        <v>14.39</v>
      </c>
      <c r="T789" s="57">
        <v>154</v>
      </c>
      <c r="U789" s="57">
        <v>15.09</v>
      </c>
      <c r="V789" s="57">
        <v>161</v>
      </c>
      <c r="W789" s="57">
        <v>18.05</v>
      </c>
      <c r="X789" s="57">
        <v>185</v>
      </c>
      <c r="Y789" s="57">
        <v>19.75</v>
      </c>
      <c r="Z789" s="57"/>
      <c r="AA789" s="57">
        <v>19.79</v>
      </c>
      <c r="AB789" s="57"/>
      <c r="AC789" s="57"/>
      <c r="AD789" s="57"/>
    </row>
    <row r="790" spans="1:30" s="38" customFormat="1" x14ac:dyDescent="0.2">
      <c r="A790" s="57" t="s">
        <v>426</v>
      </c>
      <c r="B790" s="57" t="s">
        <v>200</v>
      </c>
      <c r="C790" s="57" t="s">
        <v>42</v>
      </c>
      <c r="D790" s="57" t="s">
        <v>619</v>
      </c>
      <c r="E790" s="57">
        <v>1</v>
      </c>
      <c r="F790" s="57" t="str">
        <f t="shared" si="32"/>
        <v>B3_P6_C3_E1</v>
      </c>
      <c r="G790" s="57" t="s">
        <v>11</v>
      </c>
      <c r="H790" s="57" t="s">
        <v>133</v>
      </c>
      <c r="I790" s="57" t="str">
        <f t="shared" si="31"/>
        <v>B3-P6-C3</v>
      </c>
      <c r="J790" s="57" t="str">
        <f t="shared" si="30"/>
        <v>Robinia-B3-P6-C3-E1</v>
      </c>
      <c r="K790" s="57" t="s">
        <v>21</v>
      </c>
      <c r="L790" s="57" t="s">
        <v>44</v>
      </c>
      <c r="M790" s="57" t="str">
        <f t="shared" si="33"/>
        <v>Control_Yellow_Yes</v>
      </c>
      <c r="N790" s="37">
        <v>812</v>
      </c>
      <c r="O790" s="57">
        <v>13.4</v>
      </c>
      <c r="P790" s="57">
        <v>119</v>
      </c>
      <c r="Q790" s="57">
        <v>13.91</v>
      </c>
      <c r="R790" s="57">
        <v>124</v>
      </c>
      <c r="S790" s="57">
        <v>18.940000000000001</v>
      </c>
      <c r="T790" s="57">
        <v>170</v>
      </c>
      <c r="U790" s="57">
        <v>19.690000000000001</v>
      </c>
      <c r="V790" s="57">
        <v>171</v>
      </c>
      <c r="W790" s="57">
        <v>22.85</v>
      </c>
      <c r="X790" s="57">
        <v>180</v>
      </c>
      <c r="Y790" s="57">
        <v>23.91</v>
      </c>
      <c r="Z790" s="57"/>
      <c r="AA790" s="57">
        <v>25.01</v>
      </c>
      <c r="AB790" s="57"/>
      <c r="AC790" s="57"/>
      <c r="AD790" s="57"/>
    </row>
    <row r="791" spans="1:30" s="38" customFormat="1" x14ac:dyDescent="0.2">
      <c r="A791" s="57" t="s">
        <v>426</v>
      </c>
      <c r="B791" s="57" t="s">
        <v>200</v>
      </c>
      <c r="C791" s="57" t="s">
        <v>42</v>
      </c>
      <c r="D791" s="57" t="s">
        <v>620</v>
      </c>
      <c r="E791" s="57">
        <v>1</v>
      </c>
      <c r="F791" s="57" t="str">
        <f t="shared" si="32"/>
        <v>B3_P6_C3_F1</v>
      </c>
      <c r="G791" s="57" t="s">
        <v>11</v>
      </c>
      <c r="H791" s="57" t="s">
        <v>133</v>
      </c>
      <c r="I791" s="57" t="str">
        <f t="shared" si="31"/>
        <v>B3-P6-C3</v>
      </c>
      <c r="J791" s="57" t="str">
        <f t="shared" si="30"/>
        <v>Robinia-B3-P6-C3-F1</v>
      </c>
      <c r="K791" s="57" t="s">
        <v>21</v>
      </c>
      <c r="L791" s="57" t="s">
        <v>44</v>
      </c>
      <c r="M791" s="57" t="str">
        <f t="shared" si="33"/>
        <v>Control_Yellow_Yes</v>
      </c>
      <c r="N791" s="37">
        <v>813</v>
      </c>
      <c r="O791" s="57">
        <v>7.8</v>
      </c>
      <c r="P791" s="57">
        <v>89</v>
      </c>
      <c r="Q791" s="57">
        <v>8.35</v>
      </c>
      <c r="R791" s="57">
        <v>93</v>
      </c>
      <c r="S791" s="57">
        <v>12.33</v>
      </c>
      <c r="T791" s="57">
        <v>127</v>
      </c>
      <c r="U791" s="57">
        <v>12.85</v>
      </c>
      <c r="V791" s="57">
        <v>125</v>
      </c>
      <c r="W791" s="57">
        <v>15.79</v>
      </c>
      <c r="X791" s="57">
        <v>158</v>
      </c>
      <c r="Y791" s="57">
        <v>16.690000000000001</v>
      </c>
      <c r="Z791" s="57"/>
      <c r="AA791" s="57">
        <v>17.05</v>
      </c>
      <c r="AB791" s="57"/>
      <c r="AC791" s="57"/>
      <c r="AD791" s="57"/>
    </row>
    <row r="792" spans="1:30" s="38" customFormat="1" x14ac:dyDescent="0.2">
      <c r="A792" s="57" t="s">
        <v>426</v>
      </c>
      <c r="B792" s="57" t="s">
        <v>200</v>
      </c>
      <c r="C792" s="57" t="s">
        <v>42</v>
      </c>
      <c r="D792" s="57" t="s">
        <v>618</v>
      </c>
      <c r="E792" s="57">
        <v>2</v>
      </c>
      <c r="F792" s="57" t="str">
        <f t="shared" si="32"/>
        <v>B3_P6_C3_D2</v>
      </c>
      <c r="G792" s="57" t="s">
        <v>11</v>
      </c>
      <c r="H792" s="57" t="s">
        <v>133</v>
      </c>
      <c r="I792" s="57" t="str">
        <f t="shared" si="31"/>
        <v>B3-P6-C3</v>
      </c>
      <c r="J792" s="57" t="str">
        <f t="shared" si="30"/>
        <v>Robinia-B3-P6-C3-D2</v>
      </c>
      <c r="K792" s="57" t="s">
        <v>21</v>
      </c>
      <c r="L792" s="57" t="s">
        <v>44</v>
      </c>
      <c r="M792" s="57" t="str">
        <f t="shared" si="33"/>
        <v>Control_Yellow_Yes</v>
      </c>
      <c r="N792" s="37">
        <v>814</v>
      </c>
      <c r="O792" s="57">
        <v>12.6</v>
      </c>
      <c r="P792" s="57">
        <v>120</v>
      </c>
      <c r="Q792" s="57">
        <v>13.74</v>
      </c>
      <c r="R792" s="57">
        <v>122</v>
      </c>
      <c r="S792" s="57">
        <v>18.68</v>
      </c>
      <c r="T792" s="57">
        <v>163</v>
      </c>
      <c r="U792" s="57">
        <v>19.18</v>
      </c>
      <c r="V792" s="57">
        <v>170</v>
      </c>
      <c r="W792" s="57">
        <v>21.61</v>
      </c>
      <c r="X792" s="57">
        <v>184</v>
      </c>
      <c r="Y792" s="57">
        <v>23.56</v>
      </c>
      <c r="Z792" s="57"/>
      <c r="AA792" s="57">
        <v>23.13</v>
      </c>
      <c r="AB792" s="57"/>
      <c r="AC792" s="57"/>
      <c r="AD792" s="57"/>
    </row>
    <row r="793" spans="1:30" s="38" customFormat="1" x14ac:dyDescent="0.2">
      <c r="A793" s="57" t="s">
        <v>426</v>
      </c>
      <c r="B793" s="57" t="s">
        <v>200</v>
      </c>
      <c r="C793" s="57" t="s">
        <v>42</v>
      </c>
      <c r="D793" s="57" t="s">
        <v>619</v>
      </c>
      <c r="E793" s="57">
        <v>2</v>
      </c>
      <c r="F793" s="57" t="str">
        <f t="shared" si="32"/>
        <v>B3_P6_C3_E2</v>
      </c>
      <c r="G793" s="57" t="s">
        <v>11</v>
      </c>
      <c r="H793" s="57" t="s">
        <v>133</v>
      </c>
      <c r="I793" s="57" t="str">
        <f t="shared" si="31"/>
        <v>B3-P6-C3</v>
      </c>
      <c r="J793" s="57" t="str">
        <f t="shared" si="30"/>
        <v>Robinia-B3-P6-C3-E2</v>
      </c>
      <c r="K793" s="57" t="s">
        <v>21</v>
      </c>
      <c r="L793" s="57" t="s">
        <v>44</v>
      </c>
      <c r="M793" s="57" t="str">
        <f t="shared" si="33"/>
        <v>Control_Yellow_Yes</v>
      </c>
      <c r="N793" s="37">
        <v>815</v>
      </c>
      <c r="O793" s="57">
        <v>4.5</v>
      </c>
      <c r="P793" s="57">
        <v>40</v>
      </c>
      <c r="Q793" s="57">
        <v>4.8499999999999996</v>
      </c>
      <c r="R793" s="57">
        <v>42</v>
      </c>
      <c r="S793" s="57">
        <v>6.6</v>
      </c>
      <c r="T793" s="57">
        <v>90</v>
      </c>
      <c r="U793" s="57">
        <v>7.38</v>
      </c>
      <c r="V793" s="57">
        <v>95</v>
      </c>
      <c r="W793" s="57">
        <v>8.3000000000000007</v>
      </c>
      <c r="X793" s="57">
        <v>107</v>
      </c>
      <c r="Y793" s="57">
        <v>9.77</v>
      </c>
      <c r="Z793" s="57"/>
      <c r="AA793" s="57">
        <v>8.81</v>
      </c>
      <c r="AB793" s="57"/>
      <c r="AC793" s="57"/>
      <c r="AD793" s="57"/>
    </row>
    <row r="794" spans="1:30" s="38" customFormat="1" x14ac:dyDescent="0.2">
      <c r="A794" s="57" t="s">
        <v>426</v>
      </c>
      <c r="B794" s="57" t="s">
        <v>200</v>
      </c>
      <c r="C794" s="57" t="s">
        <v>42</v>
      </c>
      <c r="D794" s="57" t="s">
        <v>620</v>
      </c>
      <c r="E794" s="57">
        <v>2</v>
      </c>
      <c r="F794" s="57" t="str">
        <f t="shared" si="32"/>
        <v>B3_P6_C3_F2</v>
      </c>
      <c r="G794" s="57" t="s">
        <v>11</v>
      </c>
      <c r="H794" s="57" t="s">
        <v>133</v>
      </c>
      <c r="I794" s="57" t="str">
        <f t="shared" si="31"/>
        <v>B3-P6-C3</v>
      </c>
      <c r="J794" s="57" t="str">
        <f t="shared" si="30"/>
        <v>Robinia-B3-P6-C3-F2</v>
      </c>
      <c r="K794" s="57" t="s">
        <v>21</v>
      </c>
      <c r="L794" s="57" t="s">
        <v>44</v>
      </c>
      <c r="M794" s="57" t="str">
        <f t="shared" si="33"/>
        <v>Control_Yellow_Yes</v>
      </c>
      <c r="N794" s="37">
        <v>816</v>
      </c>
      <c r="O794" s="57">
        <v>2.2000000000000002</v>
      </c>
      <c r="P794" s="57">
        <v>11</v>
      </c>
      <c r="Q794" s="57">
        <v>2.2000000000000002</v>
      </c>
      <c r="R794" s="57">
        <v>14</v>
      </c>
      <c r="S794" s="57">
        <v>3.08</v>
      </c>
      <c r="T794" s="57">
        <v>21</v>
      </c>
      <c r="U794" s="57">
        <v>3.11</v>
      </c>
      <c r="V794" s="57">
        <v>30</v>
      </c>
      <c r="W794" s="57">
        <v>3.71</v>
      </c>
      <c r="X794" s="57">
        <v>41</v>
      </c>
      <c r="Y794" s="57">
        <v>4.22</v>
      </c>
      <c r="Z794" s="57"/>
      <c r="AA794" s="57">
        <v>4.8099999999999996</v>
      </c>
      <c r="AB794" s="57"/>
      <c r="AC794" s="57"/>
      <c r="AD794" s="57"/>
    </row>
    <row r="795" spans="1:30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1"/>
      <c r="O795" s="3"/>
      <c r="P795" s="3"/>
      <c r="Q795" s="3"/>
      <c r="R795" s="3"/>
      <c r="S795" s="3"/>
      <c r="T795" s="3"/>
      <c r="U795" s="3"/>
      <c r="V795" s="3" t="s">
        <v>1800</v>
      </c>
      <c r="W795" s="3"/>
      <c r="X795" s="3"/>
      <c r="Y795" s="3"/>
      <c r="Z795" s="3"/>
      <c r="AA795" s="3"/>
      <c r="AB795" s="3"/>
      <c r="AC795" s="3"/>
      <c r="AD795" s="3"/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FBA6F-3A06-476C-8F8B-0BEE616D04E2}">
  <dimension ref="A1:I507"/>
  <sheetViews>
    <sheetView topLeftCell="A307" workbookViewId="0">
      <selection activeCell="P28" sqref="P28"/>
    </sheetView>
  </sheetViews>
  <sheetFormatPr baseColWidth="10" defaultColWidth="8.83203125" defaultRowHeight="16" x14ac:dyDescent="0.2"/>
  <cols>
    <col min="1" max="1" width="18.83203125" style="8" bestFit="1" customWidth="1"/>
    <col min="2" max="2" width="10.33203125" style="8" bestFit="1" customWidth="1"/>
    <col min="3" max="3" width="13.83203125" customWidth="1"/>
    <col min="4" max="4" width="15.1640625" customWidth="1"/>
    <col min="5" max="5" width="20.33203125" customWidth="1"/>
    <col min="6" max="6" width="16.6640625" customWidth="1"/>
    <col min="7" max="7" width="14.5" customWidth="1"/>
    <col min="8" max="8" width="21.5" customWidth="1"/>
    <col min="9" max="9" width="14.33203125" customWidth="1"/>
  </cols>
  <sheetData>
    <row r="1" spans="1:9" x14ac:dyDescent="0.2">
      <c r="A1" s="17" t="s">
        <v>9</v>
      </c>
      <c r="B1" s="17" t="s">
        <v>13</v>
      </c>
      <c r="C1" s="1" t="s">
        <v>2022</v>
      </c>
      <c r="D1" s="1" t="s">
        <v>2044</v>
      </c>
      <c r="E1" s="1" t="s">
        <v>2045</v>
      </c>
      <c r="F1" s="1" t="s">
        <v>2046</v>
      </c>
      <c r="G1" s="1" t="s">
        <v>2047</v>
      </c>
      <c r="H1" s="1" t="s">
        <v>2048</v>
      </c>
      <c r="I1" s="1" t="s">
        <v>708</v>
      </c>
    </row>
    <row r="2" spans="1:9" x14ac:dyDescent="0.2">
      <c r="A2" s="19" t="s">
        <v>710</v>
      </c>
      <c r="B2" s="19">
        <v>1</v>
      </c>
      <c r="C2" s="37">
        <v>4</v>
      </c>
      <c r="D2" s="37">
        <v>6.6489999999999994E-2</v>
      </c>
      <c r="E2" s="37">
        <f t="shared" ref="E2:E61" si="0">IF(D2=0, "", D2/C2)</f>
        <v>1.6622499999999998E-2</v>
      </c>
      <c r="F2" s="37">
        <f t="shared" ref="F2:F61" si="1">IF(D2=0, "", PI()*100)</f>
        <v>314.15926535897933</v>
      </c>
      <c r="G2" s="37">
        <f t="shared" ref="G2:G61" si="2">IF(D2=0, "", D2*1000)</f>
        <v>66.489999999999995</v>
      </c>
      <c r="H2" s="37">
        <f>IFERROR(F2/G2, "")</f>
        <v>4.7249099918631279</v>
      </c>
      <c r="I2" s="37"/>
    </row>
    <row r="3" spans="1:9" x14ac:dyDescent="0.2">
      <c r="A3" s="19" t="s">
        <v>712</v>
      </c>
      <c r="B3" s="19">
        <v>3</v>
      </c>
      <c r="C3" s="37">
        <v>4</v>
      </c>
      <c r="D3" s="37">
        <v>6.9010000000000002E-2</v>
      </c>
      <c r="E3" s="37">
        <f t="shared" si="0"/>
        <v>1.72525E-2</v>
      </c>
      <c r="F3" s="37">
        <f t="shared" si="1"/>
        <v>314.15926535897933</v>
      </c>
      <c r="G3" s="37">
        <f t="shared" si="2"/>
        <v>69.010000000000005</v>
      </c>
      <c r="H3" s="37">
        <f t="shared" ref="H3:H35" si="3">IFERROR(F3/G3, "")</f>
        <v>4.5523730670769353</v>
      </c>
      <c r="I3" s="37"/>
    </row>
    <row r="4" spans="1:9" x14ac:dyDescent="0.2">
      <c r="A4" s="19" t="s">
        <v>716</v>
      </c>
      <c r="B4" s="19">
        <v>7</v>
      </c>
      <c r="C4" s="37">
        <v>4</v>
      </c>
      <c r="D4" s="37">
        <v>7.4690000000000006E-2</v>
      </c>
      <c r="E4" s="37">
        <f t="shared" si="0"/>
        <v>1.8672500000000002E-2</v>
      </c>
      <c r="F4" s="37">
        <f t="shared" si="1"/>
        <v>314.15926535897933</v>
      </c>
      <c r="G4" s="37">
        <f t="shared" si="2"/>
        <v>74.690000000000012</v>
      </c>
      <c r="H4" s="37">
        <f t="shared" si="3"/>
        <v>4.2061757311417765</v>
      </c>
      <c r="I4" s="37"/>
    </row>
    <row r="5" spans="1:9" x14ac:dyDescent="0.2">
      <c r="A5" s="13" t="s">
        <v>719</v>
      </c>
      <c r="B5" s="13">
        <v>9</v>
      </c>
      <c r="C5" s="15">
        <v>4</v>
      </c>
      <c r="D5" s="15">
        <v>6.5259999999999999E-2</v>
      </c>
      <c r="E5" s="15">
        <f t="shared" si="0"/>
        <v>1.6315E-2</v>
      </c>
      <c r="F5" s="15">
        <f t="shared" si="1"/>
        <v>314.15926535897933</v>
      </c>
      <c r="G5" s="15">
        <f t="shared" si="2"/>
        <v>65.260000000000005</v>
      </c>
      <c r="H5" s="15">
        <f t="shared" si="3"/>
        <v>4.8139636126107765</v>
      </c>
      <c r="I5" s="15"/>
    </row>
    <row r="6" spans="1:9" x14ac:dyDescent="0.2">
      <c r="A6" s="13" t="s">
        <v>720</v>
      </c>
      <c r="B6" s="13">
        <v>10</v>
      </c>
      <c r="C6" s="15">
        <v>3</v>
      </c>
      <c r="D6" s="15">
        <v>9.8619999999999999E-2</v>
      </c>
      <c r="E6" s="15">
        <f t="shared" si="0"/>
        <v>3.2873333333333331E-2</v>
      </c>
      <c r="F6" s="15">
        <f t="shared" si="1"/>
        <v>314.15926535897933</v>
      </c>
      <c r="G6" s="15">
        <f t="shared" si="2"/>
        <v>98.62</v>
      </c>
      <c r="H6" s="15">
        <f t="shared" si="3"/>
        <v>3.185553288977685</v>
      </c>
      <c r="I6" s="15"/>
    </row>
    <row r="7" spans="1:9" x14ac:dyDescent="0.2">
      <c r="A7" s="13" t="s">
        <v>721</v>
      </c>
      <c r="B7" s="13">
        <v>11</v>
      </c>
      <c r="C7" s="15">
        <v>3</v>
      </c>
      <c r="D7" s="15">
        <v>9.3509999999999996E-2</v>
      </c>
      <c r="E7" s="15">
        <f t="shared" si="0"/>
        <v>3.117E-2</v>
      </c>
      <c r="F7" s="15">
        <f t="shared" si="1"/>
        <v>314.15926535897933</v>
      </c>
      <c r="G7" s="15">
        <f t="shared" si="2"/>
        <v>93.509999999999991</v>
      </c>
      <c r="H7" s="15">
        <f t="shared" si="3"/>
        <v>3.3596328238581901</v>
      </c>
      <c r="I7" s="15"/>
    </row>
    <row r="8" spans="1:9" x14ac:dyDescent="0.2">
      <c r="A8" s="13" t="s">
        <v>723</v>
      </c>
      <c r="B8" s="13">
        <v>13</v>
      </c>
      <c r="C8" s="15">
        <v>4</v>
      </c>
      <c r="D8" s="15">
        <v>8.0579999999999999E-2</v>
      </c>
      <c r="E8" s="15">
        <f t="shared" si="0"/>
        <v>2.0145E-2</v>
      </c>
      <c r="F8" s="15">
        <f t="shared" si="1"/>
        <v>314.15926535897933</v>
      </c>
      <c r="G8" s="15">
        <f t="shared" si="2"/>
        <v>80.58</v>
      </c>
      <c r="H8" s="15">
        <f t="shared" si="3"/>
        <v>3.898725060300066</v>
      </c>
      <c r="I8" s="15"/>
    </row>
    <row r="9" spans="1:9" x14ac:dyDescent="0.2">
      <c r="A9" s="13" t="s">
        <v>724</v>
      </c>
      <c r="B9" s="13">
        <v>14</v>
      </c>
      <c r="C9" s="15">
        <v>3</v>
      </c>
      <c r="D9" s="15">
        <v>8.0729999999999996E-2</v>
      </c>
      <c r="E9" s="15">
        <f t="shared" si="0"/>
        <v>2.691E-2</v>
      </c>
      <c r="F9" s="15">
        <f t="shared" si="1"/>
        <v>314.15926535897933</v>
      </c>
      <c r="G9" s="15">
        <f t="shared" si="2"/>
        <v>80.72999999999999</v>
      </c>
      <c r="H9" s="15">
        <f t="shared" si="3"/>
        <v>3.8914810523842358</v>
      </c>
      <c r="I9" s="15"/>
    </row>
    <row r="10" spans="1:9" x14ac:dyDescent="0.2">
      <c r="A10" s="13" t="s">
        <v>726</v>
      </c>
      <c r="B10" s="13">
        <v>16</v>
      </c>
      <c r="C10" s="15">
        <v>4</v>
      </c>
      <c r="D10" s="15">
        <v>7.4630000000000002E-2</v>
      </c>
      <c r="E10" s="15">
        <f t="shared" si="0"/>
        <v>1.86575E-2</v>
      </c>
      <c r="F10" s="15">
        <f t="shared" si="1"/>
        <v>314.15926535897933</v>
      </c>
      <c r="G10" s="15">
        <f t="shared" si="2"/>
        <v>74.63</v>
      </c>
      <c r="H10" s="15">
        <f t="shared" si="3"/>
        <v>4.2095573544014382</v>
      </c>
      <c r="I10" s="15"/>
    </row>
    <row r="11" spans="1:9" x14ac:dyDescent="0.2">
      <c r="A11" s="19" t="s">
        <v>728</v>
      </c>
      <c r="B11" s="19">
        <v>17</v>
      </c>
      <c r="C11" s="37">
        <v>4</v>
      </c>
      <c r="D11" s="37">
        <v>7.5139999999999998E-2</v>
      </c>
      <c r="E11" s="37">
        <f t="shared" si="0"/>
        <v>1.8785E-2</v>
      </c>
      <c r="F11" s="37">
        <f t="shared" si="1"/>
        <v>314.15926535897933</v>
      </c>
      <c r="G11" s="37">
        <f t="shared" si="2"/>
        <v>75.14</v>
      </c>
      <c r="H11" s="37">
        <f t="shared" si="3"/>
        <v>4.1809856981498443</v>
      </c>
      <c r="I11" s="37"/>
    </row>
    <row r="12" spans="1:9" x14ac:dyDescent="0.2">
      <c r="A12" s="19" t="s">
        <v>729</v>
      </c>
      <c r="B12" s="19">
        <v>18</v>
      </c>
      <c r="C12" s="37">
        <v>3</v>
      </c>
      <c r="D12" s="37">
        <v>0.13141</v>
      </c>
      <c r="E12" s="37">
        <f t="shared" si="0"/>
        <v>4.3803333333333333E-2</v>
      </c>
      <c r="F12" s="37">
        <f t="shared" si="1"/>
        <v>314.15926535897933</v>
      </c>
      <c r="G12" s="37">
        <f t="shared" si="2"/>
        <v>131.41</v>
      </c>
      <c r="H12" s="37">
        <f t="shared" si="3"/>
        <v>2.3906800499123304</v>
      </c>
      <c r="I12" s="37"/>
    </row>
    <row r="13" spans="1:9" x14ac:dyDescent="0.2">
      <c r="A13" s="19" t="s">
        <v>730</v>
      </c>
      <c r="B13" s="19">
        <v>19</v>
      </c>
      <c r="C13" s="37">
        <v>3</v>
      </c>
      <c r="D13" s="37">
        <v>9.4109999999999999E-2</v>
      </c>
      <c r="E13" s="37">
        <f t="shared" si="0"/>
        <v>3.1370000000000002E-2</v>
      </c>
      <c r="F13" s="37">
        <f t="shared" si="1"/>
        <v>314.15926535897933</v>
      </c>
      <c r="G13" s="37">
        <f t="shared" si="2"/>
        <v>94.11</v>
      </c>
      <c r="H13" s="37">
        <f t="shared" si="3"/>
        <v>3.338213424279878</v>
      </c>
      <c r="I13" s="37"/>
    </row>
    <row r="14" spans="1:9" x14ac:dyDescent="0.2">
      <c r="A14" s="19" t="s">
        <v>731</v>
      </c>
      <c r="B14" s="19">
        <v>20</v>
      </c>
      <c r="C14" s="37">
        <v>4</v>
      </c>
      <c r="D14" s="37">
        <v>6.7890000000000006E-2</v>
      </c>
      <c r="E14" s="37">
        <f t="shared" si="0"/>
        <v>1.6972500000000001E-2</v>
      </c>
      <c r="F14" s="37">
        <f t="shared" si="1"/>
        <v>314.15926535897933</v>
      </c>
      <c r="G14" s="37">
        <f t="shared" si="2"/>
        <v>67.89</v>
      </c>
      <c r="H14" s="37">
        <f t="shared" si="3"/>
        <v>4.6274748174838614</v>
      </c>
      <c r="I14" s="37"/>
    </row>
    <row r="15" spans="1:9" x14ac:dyDescent="0.2">
      <c r="A15" s="19" t="s">
        <v>734</v>
      </c>
      <c r="B15" s="19">
        <v>23</v>
      </c>
      <c r="C15" s="37">
        <v>3</v>
      </c>
      <c r="D15" s="37">
        <v>0.11577999999999999</v>
      </c>
      <c r="E15" s="37">
        <f t="shared" si="0"/>
        <v>3.8593333333333334E-2</v>
      </c>
      <c r="F15" s="37">
        <f t="shared" si="1"/>
        <v>314.15926535897933</v>
      </c>
      <c r="G15" s="37">
        <f t="shared" si="2"/>
        <v>115.78</v>
      </c>
      <c r="H15" s="37">
        <f t="shared" si="3"/>
        <v>2.7134156621089938</v>
      </c>
      <c r="I15" s="37"/>
    </row>
    <row r="16" spans="1:9" x14ac:dyDescent="0.2">
      <c r="A16" s="19" t="s">
        <v>735</v>
      </c>
      <c r="B16" s="19">
        <v>24</v>
      </c>
      <c r="C16" s="37">
        <v>4</v>
      </c>
      <c r="D16" s="37">
        <v>7.1099999999999997E-2</v>
      </c>
      <c r="E16" s="37">
        <f t="shared" si="0"/>
        <v>1.7774999999999999E-2</v>
      </c>
      <c r="F16" s="37">
        <f t="shared" si="1"/>
        <v>314.15926535897933</v>
      </c>
      <c r="G16" s="37">
        <f t="shared" si="2"/>
        <v>71.099999999999994</v>
      </c>
      <c r="H16" s="37">
        <f t="shared" si="3"/>
        <v>4.4185550683400754</v>
      </c>
      <c r="I16" s="37"/>
    </row>
    <row r="17" spans="1:9" x14ac:dyDescent="0.2">
      <c r="A17" s="13" t="s">
        <v>737</v>
      </c>
      <c r="B17" s="13">
        <v>25</v>
      </c>
      <c r="C17" s="15">
        <v>3</v>
      </c>
      <c r="D17" s="15">
        <v>9.4740000000000005E-2</v>
      </c>
      <c r="E17" s="15">
        <f t="shared" si="0"/>
        <v>3.1580000000000004E-2</v>
      </c>
      <c r="F17" s="15">
        <f t="shared" si="1"/>
        <v>314.15926535897933</v>
      </c>
      <c r="G17" s="15">
        <f t="shared" si="2"/>
        <v>94.740000000000009</v>
      </c>
      <c r="H17" s="15">
        <f t="shared" si="3"/>
        <v>3.3160150449543941</v>
      </c>
      <c r="I17" s="15"/>
    </row>
    <row r="18" spans="1:9" x14ac:dyDescent="0.2">
      <c r="A18" s="13" t="s">
        <v>738</v>
      </c>
      <c r="B18" s="13">
        <v>26</v>
      </c>
      <c r="C18" s="15">
        <v>3</v>
      </c>
      <c r="D18" s="15">
        <v>9.5750000000000002E-2</v>
      </c>
      <c r="E18" s="15">
        <f t="shared" si="0"/>
        <v>3.191666666666667E-2</v>
      </c>
      <c r="F18" s="15">
        <f t="shared" si="1"/>
        <v>314.15926535897933</v>
      </c>
      <c r="G18" s="15">
        <f t="shared" si="2"/>
        <v>95.75</v>
      </c>
      <c r="H18" s="15">
        <f t="shared" si="3"/>
        <v>3.2810367139318988</v>
      </c>
      <c r="I18" s="15"/>
    </row>
    <row r="19" spans="1:9" x14ac:dyDescent="0.2">
      <c r="A19" s="13" t="s">
        <v>743</v>
      </c>
      <c r="B19" s="13">
        <v>31</v>
      </c>
      <c r="C19" s="15">
        <v>4</v>
      </c>
      <c r="D19" s="15">
        <v>8.269E-2</v>
      </c>
      <c r="E19" s="15">
        <f t="shared" si="0"/>
        <v>2.06725E-2</v>
      </c>
      <c r="F19" s="15">
        <f t="shared" si="1"/>
        <v>314.15926535897933</v>
      </c>
      <c r="G19" s="15">
        <f t="shared" si="2"/>
        <v>82.69</v>
      </c>
      <c r="H19" s="15">
        <f t="shared" si="3"/>
        <v>3.7992413273549319</v>
      </c>
      <c r="I19" s="15"/>
    </row>
    <row r="20" spans="1:9" x14ac:dyDescent="0.2">
      <c r="A20" s="19" t="s">
        <v>746</v>
      </c>
      <c r="B20" s="19">
        <v>33</v>
      </c>
      <c r="C20" s="37">
        <v>3</v>
      </c>
      <c r="D20" s="37">
        <v>9.9040000000000003E-2</v>
      </c>
      <c r="E20" s="37">
        <f t="shared" si="0"/>
        <v>3.3013333333333332E-2</v>
      </c>
      <c r="F20" s="37">
        <f t="shared" si="1"/>
        <v>314.15926535897933</v>
      </c>
      <c r="G20" s="37">
        <f t="shared" si="2"/>
        <v>99.04</v>
      </c>
      <c r="H20" s="37">
        <f t="shared" si="3"/>
        <v>3.172044278664977</v>
      </c>
      <c r="I20" s="37"/>
    </row>
    <row r="21" spans="1:9" x14ac:dyDescent="0.2">
      <c r="A21" s="19" t="s">
        <v>749</v>
      </c>
      <c r="B21" s="19">
        <v>36</v>
      </c>
      <c r="C21" s="37">
        <v>3</v>
      </c>
      <c r="D21" s="37">
        <v>7.6060000000000003E-2</v>
      </c>
      <c r="E21" s="37">
        <f t="shared" si="0"/>
        <v>2.5353333333333335E-2</v>
      </c>
      <c r="F21" s="37">
        <f t="shared" si="1"/>
        <v>314.15926535897933</v>
      </c>
      <c r="G21" s="37">
        <f t="shared" si="2"/>
        <v>76.06</v>
      </c>
      <c r="H21" s="37">
        <f t="shared" si="3"/>
        <v>4.1304136912829259</v>
      </c>
      <c r="I21" s="37"/>
    </row>
    <row r="22" spans="1:9" x14ac:dyDescent="0.2">
      <c r="A22" s="19" t="s">
        <v>751</v>
      </c>
      <c r="B22" s="19">
        <v>38</v>
      </c>
      <c r="C22" s="37">
        <v>3</v>
      </c>
      <c r="D22" s="37">
        <v>7.8729999999999994E-2</v>
      </c>
      <c r="E22" s="37">
        <f t="shared" si="0"/>
        <v>2.624333333333333E-2</v>
      </c>
      <c r="F22" s="37">
        <f t="shared" si="1"/>
        <v>314.15926535897933</v>
      </c>
      <c r="G22" s="37">
        <f t="shared" si="2"/>
        <v>78.72999999999999</v>
      </c>
      <c r="H22" s="37">
        <f t="shared" si="3"/>
        <v>3.9903374235866806</v>
      </c>
      <c r="I22" s="37"/>
    </row>
    <row r="23" spans="1:9" x14ac:dyDescent="0.2">
      <c r="A23" s="13" t="s">
        <v>755</v>
      </c>
      <c r="B23" s="13">
        <v>41</v>
      </c>
      <c r="C23" s="15">
        <v>4</v>
      </c>
      <c r="D23" s="15">
        <v>5.9209999999999999E-2</v>
      </c>
      <c r="E23" s="15">
        <f t="shared" si="0"/>
        <v>1.48025E-2</v>
      </c>
      <c r="F23" s="15">
        <f t="shared" si="1"/>
        <v>314.15926535897933</v>
      </c>
      <c r="G23" s="15">
        <f t="shared" si="2"/>
        <v>59.21</v>
      </c>
      <c r="H23" s="15">
        <f t="shared" si="3"/>
        <v>5.3058480891568873</v>
      </c>
      <c r="I23" s="15"/>
    </row>
    <row r="24" spans="1:9" x14ac:dyDescent="0.2">
      <c r="A24" s="13" t="s">
        <v>756</v>
      </c>
      <c r="B24" s="13">
        <v>42</v>
      </c>
      <c r="C24" s="15">
        <v>3</v>
      </c>
      <c r="D24" s="15">
        <v>0.10331</v>
      </c>
      <c r="E24" s="15">
        <f t="shared" si="0"/>
        <v>3.4436666666666664E-2</v>
      </c>
      <c r="F24" s="15">
        <f t="shared" si="1"/>
        <v>314.15926535897933</v>
      </c>
      <c r="G24" s="15">
        <f t="shared" si="2"/>
        <v>103.31</v>
      </c>
      <c r="H24" s="15">
        <f t="shared" si="3"/>
        <v>3.0409376184200885</v>
      </c>
      <c r="I24" s="15"/>
    </row>
    <row r="25" spans="1:9" x14ac:dyDescent="0.2">
      <c r="A25" s="13" t="s">
        <v>757</v>
      </c>
      <c r="B25" s="13">
        <v>43</v>
      </c>
      <c r="C25" s="15">
        <v>3</v>
      </c>
      <c r="D25" s="15">
        <v>9.7909999999999997E-2</v>
      </c>
      <c r="E25" s="15">
        <f t="shared" si="0"/>
        <v>3.2636666666666668E-2</v>
      </c>
      <c r="F25" s="15">
        <f t="shared" si="1"/>
        <v>314.15926535897933</v>
      </c>
      <c r="G25" s="15">
        <f t="shared" si="2"/>
        <v>97.91</v>
      </c>
      <c r="H25" s="15">
        <f t="shared" si="3"/>
        <v>3.2086535119903927</v>
      </c>
      <c r="I25" s="15"/>
    </row>
    <row r="26" spans="1:9" x14ac:dyDescent="0.2">
      <c r="A26" s="13" t="s">
        <v>758</v>
      </c>
      <c r="B26" s="13">
        <v>44</v>
      </c>
      <c r="C26" s="15">
        <v>4</v>
      </c>
      <c r="D26" s="15">
        <v>8.8120000000000004E-2</v>
      </c>
      <c r="E26" s="15">
        <f t="shared" si="0"/>
        <v>2.2030000000000001E-2</v>
      </c>
      <c r="F26" s="15">
        <f t="shared" si="1"/>
        <v>314.15926535897933</v>
      </c>
      <c r="G26" s="15">
        <f t="shared" si="2"/>
        <v>88.12</v>
      </c>
      <c r="H26" s="15">
        <f t="shared" si="3"/>
        <v>3.5651301107464741</v>
      </c>
      <c r="I26" s="15"/>
    </row>
    <row r="27" spans="1:9" x14ac:dyDescent="0.2">
      <c r="A27" s="13" t="s">
        <v>760</v>
      </c>
      <c r="B27" s="13">
        <v>46</v>
      </c>
      <c r="C27" s="15">
        <v>3</v>
      </c>
      <c r="D27" s="15">
        <v>9.7009999999999999E-2</v>
      </c>
      <c r="E27" s="15">
        <f t="shared" si="0"/>
        <v>3.2336666666666666E-2</v>
      </c>
      <c r="F27" s="15">
        <f t="shared" si="1"/>
        <v>314.15926535897933</v>
      </c>
      <c r="G27" s="15">
        <f t="shared" si="2"/>
        <v>97.01</v>
      </c>
      <c r="H27" s="15">
        <f t="shared" si="3"/>
        <v>3.2384214550971993</v>
      </c>
      <c r="I27" s="15"/>
    </row>
    <row r="28" spans="1:9" x14ac:dyDescent="0.2">
      <c r="A28" s="13" t="s">
        <v>762</v>
      </c>
      <c r="B28" s="13">
        <v>48</v>
      </c>
      <c r="C28" s="15">
        <v>4</v>
      </c>
      <c r="D28" s="15">
        <v>7.2340000000000002E-2</v>
      </c>
      <c r="E28" s="15">
        <f t="shared" si="0"/>
        <v>1.8085E-2</v>
      </c>
      <c r="F28" s="15">
        <f t="shared" si="1"/>
        <v>314.15926535897933</v>
      </c>
      <c r="G28" s="15">
        <f t="shared" si="2"/>
        <v>72.34</v>
      </c>
      <c r="H28" s="15">
        <f t="shared" si="3"/>
        <v>4.34281539064113</v>
      </c>
      <c r="I28" s="15"/>
    </row>
    <row r="29" spans="1:9" x14ac:dyDescent="0.2">
      <c r="A29" s="19" t="s">
        <v>767</v>
      </c>
      <c r="B29" s="19">
        <v>52</v>
      </c>
      <c r="C29" s="37">
        <v>4</v>
      </c>
      <c r="D29" s="37">
        <v>6.6280000000000006E-2</v>
      </c>
      <c r="E29" s="37">
        <f t="shared" si="0"/>
        <v>1.6570000000000001E-2</v>
      </c>
      <c r="F29" s="37">
        <f t="shared" si="1"/>
        <v>314.15926535897933</v>
      </c>
      <c r="G29" s="37">
        <f t="shared" si="2"/>
        <v>66.28</v>
      </c>
      <c r="H29" s="37">
        <f t="shared" si="3"/>
        <v>4.7398802860437437</v>
      </c>
      <c r="I29" s="37"/>
    </row>
    <row r="30" spans="1:9" x14ac:dyDescent="0.2">
      <c r="A30" s="19" t="s">
        <v>768</v>
      </c>
      <c r="B30" s="19">
        <v>53</v>
      </c>
      <c r="C30" s="37">
        <v>4</v>
      </c>
      <c r="D30" s="37">
        <v>6.8099999999999994E-2</v>
      </c>
      <c r="E30" s="37">
        <f t="shared" si="0"/>
        <v>1.7024999999999998E-2</v>
      </c>
      <c r="F30" s="37">
        <f t="shared" si="1"/>
        <v>314.15926535897933</v>
      </c>
      <c r="G30" s="37">
        <f t="shared" si="2"/>
        <v>68.099999999999994</v>
      </c>
      <c r="H30" s="37">
        <f t="shared" si="3"/>
        <v>4.6132050713506514</v>
      </c>
      <c r="I30" s="37"/>
    </row>
    <row r="31" spans="1:9" x14ac:dyDescent="0.2">
      <c r="A31" s="19" t="s">
        <v>770</v>
      </c>
      <c r="B31" s="19">
        <v>55</v>
      </c>
      <c r="C31" s="37">
        <v>4</v>
      </c>
      <c r="D31" s="37">
        <v>6.2789999999999999E-2</v>
      </c>
      <c r="E31" s="37">
        <f t="shared" si="0"/>
        <v>1.56975E-2</v>
      </c>
      <c r="F31" s="37">
        <f t="shared" si="1"/>
        <v>314.15926535897933</v>
      </c>
      <c r="G31" s="37">
        <f t="shared" si="2"/>
        <v>62.79</v>
      </c>
      <c r="H31" s="37">
        <f t="shared" si="3"/>
        <v>5.0033327816368738</v>
      </c>
      <c r="I31" s="37"/>
    </row>
    <row r="32" spans="1:9" x14ac:dyDescent="0.2">
      <c r="A32" s="13" t="s">
        <v>775</v>
      </c>
      <c r="B32" s="13">
        <v>59</v>
      </c>
      <c r="C32" s="15">
        <v>3</v>
      </c>
      <c r="D32" s="15">
        <v>0.10428999999999999</v>
      </c>
      <c r="E32" s="15">
        <f t="shared" si="0"/>
        <v>3.4763333333333334E-2</v>
      </c>
      <c r="F32" s="15">
        <f t="shared" si="1"/>
        <v>314.15926535897933</v>
      </c>
      <c r="G32" s="15">
        <f t="shared" si="2"/>
        <v>104.28999999999999</v>
      </c>
      <c r="H32" s="15">
        <f t="shared" si="3"/>
        <v>3.0123623104706048</v>
      </c>
      <c r="I32" s="15"/>
    </row>
    <row r="33" spans="1:9" x14ac:dyDescent="0.2">
      <c r="A33" s="13" t="s">
        <v>778</v>
      </c>
      <c r="B33" s="13">
        <v>62</v>
      </c>
      <c r="C33" s="15">
        <v>3</v>
      </c>
      <c r="D33" s="15">
        <v>0.11655</v>
      </c>
      <c r="E33" s="15">
        <f t="shared" si="0"/>
        <v>3.8850000000000003E-2</v>
      </c>
      <c r="F33" s="15">
        <f t="shared" si="1"/>
        <v>314.15926535897933</v>
      </c>
      <c r="G33" s="15">
        <f t="shared" si="2"/>
        <v>116.55</v>
      </c>
      <c r="H33" s="15">
        <f t="shared" si="3"/>
        <v>2.695489192269235</v>
      </c>
      <c r="I33" s="15"/>
    </row>
    <row r="34" spans="1:9" x14ac:dyDescent="0.2">
      <c r="A34" s="13" t="s">
        <v>779</v>
      </c>
      <c r="B34" s="13">
        <v>63</v>
      </c>
      <c r="C34" s="15">
        <v>3</v>
      </c>
      <c r="D34" s="15">
        <v>9.8989999999999995E-2</v>
      </c>
      <c r="E34" s="15">
        <f t="shared" si="0"/>
        <v>3.2996666666666667E-2</v>
      </c>
      <c r="F34" s="15">
        <f t="shared" si="1"/>
        <v>314.15926535897933</v>
      </c>
      <c r="G34" s="15">
        <f t="shared" si="2"/>
        <v>98.99</v>
      </c>
      <c r="H34" s="15">
        <f t="shared" si="3"/>
        <v>3.1736464830687883</v>
      </c>
      <c r="I34" s="15"/>
    </row>
    <row r="35" spans="1:9" x14ac:dyDescent="0.2">
      <c r="A35" s="19" t="s">
        <v>782</v>
      </c>
      <c r="B35" s="21">
        <v>65</v>
      </c>
      <c r="C35" s="37">
        <v>3</v>
      </c>
      <c r="D35" s="37">
        <v>0.12701999999999999</v>
      </c>
      <c r="E35" s="37">
        <f t="shared" si="0"/>
        <v>4.2339999999999996E-2</v>
      </c>
      <c r="F35" s="37">
        <f t="shared" si="1"/>
        <v>314.15926535897933</v>
      </c>
      <c r="G35" s="37">
        <f t="shared" si="2"/>
        <v>127.02</v>
      </c>
      <c r="H35" s="37">
        <f t="shared" si="3"/>
        <v>2.4733055058965463</v>
      </c>
      <c r="I35" s="37"/>
    </row>
    <row r="36" spans="1:9" x14ac:dyDescent="0.2">
      <c r="A36" s="19" t="s">
        <v>784</v>
      </c>
      <c r="B36" s="21">
        <v>67</v>
      </c>
      <c r="C36" s="37">
        <v>3</v>
      </c>
      <c r="D36" s="37">
        <v>0.12944</v>
      </c>
      <c r="E36" s="37">
        <f t="shared" si="0"/>
        <v>4.3146666666666667E-2</v>
      </c>
      <c r="F36" s="37">
        <f t="shared" si="1"/>
        <v>314.15926535897933</v>
      </c>
      <c r="G36" s="37">
        <f t="shared" si="2"/>
        <v>129.44</v>
      </c>
      <c r="H36" s="37">
        <f t="shared" ref="H36:H68" si="4">IFERROR(F36/G36, "")</f>
        <v>2.4270647818215338</v>
      </c>
      <c r="I36" s="37"/>
    </row>
    <row r="37" spans="1:9" x14ac:dyDescent="0.2">
      <c r="A37" s="19" t="s">
        <v>787</v>
      </c>
      <c r="B37" s="21">
        <v>70</v>
      </c>
      <c r="C37" s="37">
        <v>3</v>
      </c>
      <c r="D37" s="37">
        <v>0.11795</v>
      </c>
      <c r="E37" s="37">
        <f t="shared" si="0"/>
        <v>3.9316666666666666E-2</v>
      </c>
      <c r="F37" s="37">
        <f t="shared" si="1"/>
        <v>314.15926535897933</v>
      </c>
      <c r="G37" s="37">
        <f t="shared" si="2"/>
        <v>117.95</v>
      </c>
      <c r="H37" s="37">
        <f t="shared" si="4"/>
        <v>2.6634952552690065</v>
      </c>
      <c r="I37" s="37"/>
    </row>
    <row r="38" spans="1:9" x14ac:dyDescent="0.2">
      <c r="A38" s="13" t="s">
        <v>792</v>
      </c>
      <c r="B38" s="13">
        <v>74</v>
      </c>
      <c r="C38" s="15">
        <v>4</v>
      </c>
      <c r="D38" s="15">
        <v>6.1620000000000001E-2</v>
      </c>
      <c r="E38" s="15">
        <f t="shared" si="0"/>
        <v>1.5405E-2</v>
      </c>
      <c r="F38" s="15">
        <f t="shared" si="1"/>
        <v>314.15926535897933</v>
      </c>
      <c r="G38" s="15">
        <f t="shared" si="2"/>
        <v>61.620000000000005</v>
      </c>
      <c r="H38" s="15">
        <f t="shared" si="4"/>
        <v>5.0983327711616244</v>
      </c>
      <c r="I38" s="15"/>
    </row>
    <row r="39" spans="1:9" x14ac:dyDescent="0.2">
      <c r="A39" s="13" t="s">
        <v>794</v>
      </c>
      <c r="B39" s="13">
        <v>76</v>
      </c>
      <c r="C39" s="15">
        <v>4</v>
      </c>
      <c r="D39" s="15">
        <v>6.0609999999999997E-2</v>
      </c>
      <c r="E39" s="15">
        <f t="shared" si="0"/>
        <v>1.5152499999999999E-2</v>
      </c>
      <c r="F39" s="15">
        <f t="shared" si="1"/>
        <v>314.15926535897933</v>
      </c>
      <c r="G39" s="15">
        <f t="shared" si="2"/>
        <v>60.61</v>
      </c>
      <c r="H39" s="15">
        <f t="shared" si="4"/>
        <v>5.1832909645104657</v>
      </c>
      <c r="I39" s="15"/>
    </row>
    <row r="40" spans="1:9" x14ac:dyDescent="0.2">
      <c r="A40" s="13" t="s">
        <v>797</v>
      </c>
      <c r="B40" s="13">
        <v>79</v>
      </c>
      <c r="C40" s="15">
        <v>4</v>
      </c>
      <c r="D40" s="15">
        <v>7.6590000000000005E-2</v>
      </c>
      <c r="E40" s="15">
        <f t="shared" si="0"/>
        <v>1.9147500000000001E-2</v>
      </c>
      <c r="F40" s="15">
        <f t="shared" si="1"/>
        <v>314.15926535897933</v>
      </c>
      <c r="G40" s="15">
        <f t="shared" si="2"/>
        <v>76.59</v>
      </c>
      <c r="H40" s="15">
        <f t="shared" si="4"/>
        <v>4.1018313795401395</v>
      </c>
      <c r="I40" s="15"/>
    </row>
    <row r="41" spans="1:9" x14ac:dyDescent="0.2">
      <c r="A41" s="19" t="s">
        <v>800</v>
      </c>
      <c r="B41" s="21">
        <v>81</v>
      </c>
      <c r="C41" s="37">
        <v>4</v>
      </c>
      <c r="D41" s="37">
        <v>5.3999999999999999E-2</v>
      </c>
      <c r="E41" s="37">
        <f t="shared" si="0"/>
        <v>1.35E-2</v>
      </c>
      <c r="F41" s="37">
        <f t="shared" si="1"/>
        <v>314.15926535897933</v>
      </c>
      <c r="G41" s="37">
        <f t="shared" si="2"/>
        <v>54</v>
      </c>
      <c r="H41" s="37">
        <f t="shared" si="4"/>
        <v>5.8177641733144316</v>
      </c>
      <c r="I41" s="37"/>
    </row>
    <row r="42" spans="1:9" x14ac:dyDescent="0.2">
      <c r="A42" s="19" t="s">
        <v>801</v>
      </c>
      <c r="B42" s="21">
        <v>82</v>
      </c>
      <c r="C42" s="37">
        <v>3</v>
      </c>
      <c r="D42" s="37">
        <v>9.1230000000000006E-2</v>
      </c>
      <c r="E42" s="37">
        <f t="shared" si="0"/>
        <v>3.0410000000000003E-2</v>
      </c>
      <c r="F42" s="37">
        <f t="shared" si="1"/>
        <v>314.15926535897933</v>
      </c>
      <c r="G42" s="37">
        <f t="shared" si="2"/>
        <v>91.23</v>
      </c>
      <c r="H42" s="37">
        <f t="shared" si="4"/>
        <v>3.4435960249805908</v>
      </c>
      <c r="I42" s="37"/>
    </row>
    <row r="43" spans="1:9" x14ac:dyDescent="0.2">
      <c r="A43" s="19" t="s">
        <v>802</v>
      </c>
      <c r="B43" s="21">
        <v>83</v>
      </c>
      <c r="C43" s="37">
        <v>3</v>
      </c>
      <c r="D43" s="37">
        <v>6.7409999999999998E-2</v>
      </c>
      <c r="E43" s="37">
        <f t="shared" si="0"/>
        <v>2.247E-2</v>
      </c>
      <c r="F43" s="37">
        <f t="shared" si="1"/>
        <v>314.15926535897933</v>
      </c>
      <c r="G43" s="37">
        <f t="shared" si="2"/>
        <v>67.41</v>
      </c>
      <c r="H43" s="37">
        <f t="shared" si="4"/>
        <v>4.6604252389701726</v>
      </c>
      <c r="I43" s="37"/>
    </row>
    <row r="44" spans="1:9" x14ac:dyDescent="0.2">
      <c r="A44" s="19" t="s">
        <v>803</v>
      </c>
      <c r="B44" s="21">
        <v>84</v>
      </c>
      <c r="C44" s="37">
        <v>4</v>
      </c>
      <c r="D44" s="37">
        <v>4.7210000000000002E-2</v>
      </c>
      <c r="E44" s="37">
        <f t="shared" si="0"/>
        <v>1.18025E-2</v>
      </c>
      <c r="F44" s="37">
        <f t="shared" si="1"/>
        <v>314.15926535897933</v>
      </c>
      <c r="G44" s="37">
        <f t="shared" si="2"/>
        <v>47.21</v>
      </c>
      <c r="H44" s="37">
        <f t="shared" si="4"/>
        <v>6.6545067858288354</v>
      </c>
      <c r="I44" s="37"/>
    </row>
    <row r="45" spans="1:9" x14ac:dyDescent="0.2">
      <c r="A45" s="19" t="s">
        <v>804</v>
      </c>
      <c r="B45" s="21">
        <v>85</v>
      </c>
      <c r="C45" s="37">
        <v>4</v>
      </c>
      <c r="D45" s="37">
        <v>5.7799999999999997E-2</v>
      </c>
      <c r="E45" s="37">
        <f t="shared" si="0"/>
        <v>1.4449999999999999E-2</v>
      </c>
      <c r="F45" s="37">
        <f t="shared" si="1"/>
        <v>314.15926535897933</v>
      </c>
      <c r="G45" s="37">
        <f t="shared" si="2"/>
        <v>57.8</v>
      </c>
      <c r="H45" s="37">
        <f t="shared" si="4"/>
        <v>5.4352814075947986</v>
      </c>
      <c r="I45" s="37"/>
    </row>
    <row r="46" spans="1:9" x14ac:dyDescent="0.2">
      <c r="A46" s="19" t="s">
        <v>806</v>
      </c>
      <c r="B46" s="21">
        <v>87</v>
      </c>
      <c r="C46" s="37">
        <v>3</v>
      </c>
      <c r="D46" s="37">
        <v>0.11398</v>
      </c>
      <c r="E46" s="37">
        <f t="shared" si="0"/>
        <v>3.799333333333333E-2</v>
      </c>
      <c r="F46" s="37">
        <f t="shared" si="1"/>
        <v>314.15926535897933</v>
      </c>
      <c r="G46" s="37">
        <f t="shared" si="2"/>
        <v>113.98</v>
      </c>
      <c r="H46" s="37">
        <f t="shared" si="4"/>
        <v>2.7562665850059598</v>
      </c>
      <c r="I46" s="37"/>
    </row>
    <row r="47" spans="1:9" x14ac:dyDescent="0.2">
      <c r="A47" s="13" t="s">
        <v>809</v>
      </c>
      <c r="B47" s="13">
        <v>89</v>
      </c>
      <c r="C47" s="15">
        <v>4</v>
      </c>
      <c r="D47" s="15">
        <v>4.496E-2</v>
      </c>
      <c r="E47" s="15">
        <f t="shared" si="0"/>
        <v>1.124E-2</v>
      </c>
      <c r="F47" s="15">
        <f t="shared" si="1"/>
        <v>314.15926535897933</v>
      </c>
      <c r="G47" s="15">
        <f t="shared" si="2"/>
        <v>44.96</v>
      </c>
      <c r="H47" s="15">
        <f t="shared" si="4"/>
        <v>6.9875281441054122</v>
      </c>
      <c r="I47" s="15"/>
    </row>
    <row r="48" spans="1:9" x14ac:dyDescent="0.2">
      <c r="A48" s="13" t="s">
        <v>811</v>
      </c>
      <c r="B48" s="13">
        <v>91</v>
      </c>
      <c r="C48" s="15">
        <v>4</v>
      </c>
      <c r="D48" s="15">
        <v>4.1410000000000002E-2</v>
      </c>
      <c r="E48" s="15">
        <f t="shared" si="0"/>
        <v>1.0352500000000001E-2</v>
      </c>
      <c r="F48" s="15">
        <f t="shared" si="1"/>
        <v>314.15926535897933</v>
      </c>
      <c r="G48" s="15">
        <f t="shared" si="2"/>
        <v>41.410000000000004</v>
      </c>
      <c r="H48" s="15">
        <f t="shared" si="4"/>
        <v>7.586555550808483</v>
      </c>
      <c r="I48" s="15"/>
    </row>
    <row r="49" spans="1:9" x14ac:dyDescent="0.2">
      <c r="A49" s="13" t="s">
        <v>813</v>
      </c>
      <c r="B49" s="13">
        <v>93</v>
      </c>
      <c r="C49" s="15">
        <v>4</v>
      </c>
      <c r="D49" s="15">
        <v>5.5829999999999998E-2</v>
      </c>
      <c r="E49" s="15">
        <f t="shared" si="0"/>
        <v>1.3957499999999999E-2</v>
      </c>
      <c r="F49" s="15">
        <f t="shared" si="1"/>
        <v>314.15926535897933</v>
      </c>
      <c r="G49" s="15">
        <f t="shared" si="2"/>
        <v>55.83</v>
      </c>
      <c r="H49" s="15">
        <f t="shared" si="4"/>
        <v>5.627069055328306</v>
      </c>
      <c r="I49" s="15"/>
    </row>
    <row r="50" spans="1:9" x14ac:dyDescent="0.2">
      <c r="A50" s="19" t="s">
        <v>818</v>
      </c>
      <c r="B50" s="21">
        <v>97</v>
      </c>
      <c r="C50" s="37">
        <v>4</v>
      </c>
      <c r="D50" s="37">
        <v>7.238E-2</v>
      </c>
      <c r="E50" s="37">
        <f t="shared" si="0"/>
        <v>1.8095E-2</v>
      </c>
      <c r="F50" s="37">
        <f t="shared" si="1"/>
        <v>314.15926535897933</v>
      </c>
      <c r="G50" s="37">
        <f t="shared" si="2"/>
        <v>72.38</v>
      </c>
      <c r="H50" s="37">
        <f t="shared" si="4"/>
        <v>4.3404153821356637</v>
      </c>
      <c r="I50" s="37"/>
    </row>
    <row r="51" spans="1:9" x14ac:dyDescent="0.2">
      <c r="A51" s="19" t="s">
        <v>819</v>
      </c>
      <c r="B51" s="21">
        <v>98</v>
      </c>
      <c r="C51" s="37">
        <v>3</v>
      </c>
      <c r="D51" s="37">
        <v>0.11162999999999999</v>
      </c>
      <c r="E51" s="37">
        <f t="shared" si="0"/>
        <v>3.721E-2</v>
      </c>
      <c r="F51" s="37">
        <f t="shared" si="1"/>
        <v>314.15926535897933</v>
      </c>
      <c r="G51" s="37">
        <f t="shared" si="2"/>
        <v>111.63</v>
      </c>
      <c r="H51" s="37">
        <f t="shared" si="4"/>
        <v>2.8142906508911523</v>
      </c>
      <c r="I51" s="37"/>
    </row>
    <row r="52" spans="1:9" x14ac:dyDescent="0.2">
      <c r="A52" s="19" t="s">
        <v>820</v>
      </c>
      <c r="B52" s="21">
        <v>99</v>
      </c>
      <c r="C52" s="37">
        <v>3</v>
      </c>
      <c r="D52" s="37">
        <v>0.1056</v>
      </c>
      <c r="E52" s="37">
        <f t="shared" si="0"/>
        <v>3.5200000000000002E-2</v>
      </c>
      <c r="F52" s="37">
        <f t="shared" si="1"/>
        <v>314.15926535897933</v>
      </c>
      <c r="G52" s="37">
        <f t="shared" si="2"/>
        <v>105.6</v>
      </c>
      <c r="H52" s="37">
        <f t="shared" si="4"/>
        <v>2.974993043172153</v>
      </c>
      <c r="I52" s="37"/>
    </row>
    <row r="53" spans="1:9" x14ac:dyDescent="0.2">
      <c r="A53" s="19" t="s">
        <v>821</v>
      </c>
      <c r="B53" s="21">
        <v>100</v>
      </c>
      <c r="C53" s="37">
        <v>4</v>
      </c>
      <c r="D53" s="37">
        <v>6.7250000000000004E-2</v>
      </c>
      <c r="E53" s="37">
        <f t="shared" si="0"/>
        <v>1.6812500000000001E-2</v>
      </c>
      <c r="F53" s="37">
        <f t="shared" si="1"/>
        <v>314.15926535897933</v>
      </c>
      <c r="G53" s="37">
        <f t="shared" si="2"/>
        <v>67.25</v>
      </c>
      <c r="H53" s="37">
        <f t="shared" si="4"/>
        <v>4.6715132395387258</v>
      </c>
      <c r="I53" s="37"/>
    </row>
    <row r="54" spans="1:9" x14ac:dyDescent="0.2">
      <c r="A54" s="19" t="s">
        <v>823</v>
      </c>
      <c r="B54" s="21">
        <v>102</v>
      </c>
      <c r="C54" s="37">
        <v>3</v>
      </c>
      <c r="D54" s="37">
        <v>0.10568</v>
      </c>
      <c r="E54" s="37">
        <f t="shared" si="0"/>
        <v>3.5226666666666663E-2</v>
      </c>
      <c r="F54" s="37">
        <f t="shared" si="1"/>
        <v>314.15926535897933</v>
      </c>
      <c r="G54" s="37">
        <f t="shared" si="2"/>
        <v>105.67999999999999</v>
      </c>
      <c r="H54" s="37">
        <f t="shared" si="4"/>
        <v>2.9727409666822422</v>
      </c>
      <c r="I54" s="37"/>
    </row>
    <row r="55" spans="1:9" x14ac:dyDescent="0.2">
      <c r="A55" s="19" t="s">
        <v>825</v>
      </c>
      <c r="B55" s="21">
        <v>104</v>
      </c>
      <c r="C55" s="37">
        <v>4</v>
      </c>
      <c r="D55" s="37">
        <v>6.1289999999999997E-2</v>
      </c>
      <c r="E55" s="37">
        <f t="shared" si="0"/>
        <v>1.5322499999999999E-2</v>
      </c>
      <c r="F55" s="37">
        <f t="shared" si="1"/>
        <v>314.15926535897933</v>
      </c>
      <c r="G55" s="37">
        <f t="shared" si="2"/>
        <v>61.29</v>
      </c>
      <c r="H55" s="37">
        <f t="shared" si="4"/>
        <v>5.1257834126118347</v>
      </c>
      <c r="I55" s="37"/>
    </row>
    <row r="56" spans="1:9" x14ac:dyDescent="0.2">
      <c r="A56" s="13" t="s">
        <v>827</v>
      </c>
      <c r="B56" s="13">
        <v>105</v>
      </c>
      <c r="C56" s="15">
        <v>4</v>
      </c>
      <c r="D56" s="15">
        <v>6.1839999999999999E-2</v>
      </c>
      <c r="E56" s="15">
        <f t="shared" si="0"/>
        <v>1.546E-2</v>
      </c>
      <c r="F56" s="15">
        <f t="shared" si="1"/>
        <v>314.15926535897933</v>
      </c>
      <c r="G56" s="15">
        <f t="shared" si="2"/>
        <v>61.839999999999996</v>
      </c>
      <c r="H56" s="15">
        <f t="shared" si="4"/>
        <v>5.0801951060637025</v>
      </c>
      <c r="I56" s="15"/>
    </row>
    <row r="57" spans="1:9" x14ac:dyDescent="0.2">
      <c r="A57" s="13" t="s">
        <v>828</v>
      </c>
      <c r="B57" s="13">
        <v>106</v>
      </c>
      <c r="C57" s="15">
        <v>4</v>
      </c>
      <c r="D57" s="15">
        <v>7.1220000000000006E-2</v>
      </c>
      <c r="E57" s="15">
        <f t="shared" si="0"/>
        <v>1.7805000000000001E-2</v>
      </c>
      <c r="F57" s="15">
        <f t="shared" si="1"/>
        <v>314.15926535897933</v>
      </c>
      <c r="G57" s="15">
        <f t="shared" si="2"/>
        <v>71.22</v>
      </c>
      <c r="H57" s="15">
        <f t="shared" si="4"/>
        <v>4.4111101566832254</v>
      </c>
      <c r="I57" s="15"/>
    </row>
    <row r="58" spans="1:9" x14ac:dyDescent="0.2">
      <c r="A58" s="13" t="s">
        <v>829</v>
      </c>
      <c r="B58" s="13">
        <v>107</v>
      </c>
      <c r="C58" s="15">
        <v>4</v>
      </c>
      <c r="D58" s="15">
        <v>7.6939999999999995E-2</v>
      </c>
      <c r="E58" s="15">
        <f t="shared" si="0"/>
        <v>1.9234999999999999E-2</v>
      </c>
      <c r="F58" s="15">
        <f t="shared" si="1"/>
        <v>314.15926535897933</v>
      </c>
      <c r="G58" s="15">
        <f t="shared" si="2"/>
        <v>76.94</v>
      </c>
      <c r="H58" s="15">
        <f t="shared" si="4"/>
        <v>4.0831721517933373</v>
      </c>
      <c r="I58" s="15"/>
    </row>
    <row r="59" spans="1:9" x14ac:dyDescent="0.2">
      <c r="A59" s="19" t="s">
        <v>836</v>
      </c>
      <c r="B59" s="19">
        <v>113</v>
      </c>
      <c r="C59" s="37">
        <v>3</v>
      </c>
      <c r="D59" s="37">
        <v>9.5170000000000005E-2</v>
      </c>
      <c r="E59" s="37">
        <f t="shared" si="0"/>
        <v>3.1723333333333333E-2</v>
      </c>
      <c r="F59" s="37">
        <f t="shared" si="1"/>
        <v>314.15926535897933</v>
      </c>
      <c r="G59" s="37">
        <f t="shared" si="2"/>
        <v>95.17</v>
      </c>
      <c r="H59" s="37">
        <f t="shared" si="4"/>
        <v>3.3010325245243179</v>
      </c>
      <c r="I59" s="37"/>
    </row>
    <row r="60" spans="1:9" x14ac:dyDescent="0.2">
      <c r="A60" s="19" t="s">
        <v>838</v>
      </c>
      <c r="B60" s="19">
        <v>115</v>
      </c>
      <c r="C60" s="37">
        <v>3</v>
      </c>
      <c r="D60" s="37">
        <v>6.9089999999999999E-2</v>
      </c>
      <c r="E60" s="37">
        <f t="shared" si="0"/>
        <v>2.3029999999999998E-2</v>
      </c>
      <c r="F60" s="37">
        <f t="shared" si="1"/>
        <v>314.15926535897933</v>
      </c>
      <c r="G60" s="37">
        <f t="shared" si="2"/>
        <v>69.09</v>
      </c>
      <c r="H60" s="37">
        <f t="shared" si="4"/>
        <v>4.5471018289040286</v>
      </c>
      <c r="I60" s="37"/>
    </row>
    <row r="61" spans="1:9" x14ac:dyDescent="0.2">
      <c r="A61" s="19" t="s">
        <v>839</v>
      </c>
      <c r="B61" s="19">
        <v>116</v>
      </c>
      <c r="C61" s="37">
        <v>3</v>
      </c>
      <c r="D61" s="37">
        <v>7.281E-2</v>
      </c>
      <c r="E61" s="37">
        <f t="shared" si="0"/>
        <v>2.427E-2</v>
      </c>
      <c r="F61" s="37">
        <f t="shared" si="1"/>
        <v>314.15926535897933</v>
      </c>
      <c r="G61" s="37">
        <f t="shared" si="2"/>
        <v>72.81</v>
      </c>
      <c r="H61" s="37">
        <f t="shared" si="4"/>
        <v>4.3147818343493931</v>
      </c>
      <c r="I61" s="37"/>
    </row>
    <row r="62" spans="1:9" x14ac:dyDescent="0.2">
      <c r="A62" s="13" t="s">
        <v>845</v>
      </c>
      <c r="B62" s="13">
        <v>121</v>
      </c>
      <c r="C62" s="15">
        <v>4</v>
      </c>
      <c r="D62" s="15">
        <v>5.919E-2</v>
      </c>
      <c r="E62" s="15">
        <f t="shared" ref="E62:E124" si="5">IF(D62=0, "", D62/C62)</f>
        <v>1.47975E-2</v>
      </c>
      <c r="F62" s="15">
        <f t="shared" ref="F62:F124" si="6">IF(D62=0, "", PI()*100)</f>
        <v>314.15926535897933</v>
      </c>
      <c r="G62" s="15">
        <f t="shared" ref="G62:G124" si="7">IF(D62=0, "", D62*1000)</f>
        <v>59.19</v>
      </c>
      <c r="H62" s="15">
        <f t="shared" si="4"/>
        <v>5.307640908244287</v>
      </c>
      <c r="I62" s="15"/>
    </row>
    <row r="63" spans="1:9" x14ac:dyDescent="0.2">
      <c r="A63" s="13" t="s">
        <v>846</v>
      </c>
      <c r="B63" s="13">
        <v>122</v>
      </c>
      <c r="C63" s="15">
        <v>3</v>
      </c>
      <c r="D63" s="15">
        <v>9.9019999999999997E-2</v>
      </c>
      <c r="E63" s="15">
        <f t="shared" si="5"/>
        <v>3.3006666666666663E-2</v>
      </c>
      <c r="F63" s="15">
        <f t="shared" si="6"/>
        <v>314.15926535897933</v>
      </c>
      <c r="G63" s="15">
        <f t="shared" si="7"/>
        <v>99.02</v>
      </c>
      <c r="H63" s="15">
        <f t="shared" si="4"/>
        <v>3.172684966259133</v>
      </c>
      <c r="I63" s="15"/>
    </row>
    <row r="64" spans="1:9" x14ac:dyDescent="0.2">
      <c r="A64" s="13" t="s">
        <v>848</v>
      </c>
      <c r="B64" s="13">
        <v>124</v>
      </c>
      <c r="C64" s="15">
        <v>4</v>
      </c>
      <c r="D64" s="15">
        <v>6.4089999999999994E-2</v>
      </c>
      <c r="E64" s="15">
        <f t="shared" si="5"/>
        <v>1.6022499999999999E-2</v>
      </c>
      <c r="F64" s="15">
        <f t="shared" si="6"/>
        <v>314.15926535897933</v>
      </c>
      <c r="G64" s="15">
        <f t="shared" si="7"/>
        <v>64.089999999999989</v>
      </c>
      <c r="H64" s="15">
        <f t="shared" si="4"/>
        <v>4.9018453012791294</v>
      </c>
      <c r="I64" s="15"/>
    </row>
    <row r="65" spans="1:9" x14ac:dyDescent="0.2">
      <c r="A65" s="13" t="s">
        <v>849</v>
      </c>
      <c r="B65" s="13">
        <v>125</v>
      </c>
      <c r="C65" s="15">
        <v>4</v>
      </c>
      <c r="D65" s="15">
        <v>6.6199999999999995E-2</v>
      </c>
      <c r="E65" s="15">
        <f t="shared" si="5"/>
        <v>1.6549999999999999E-2</v>
      </c>
      <c r="F65" s="15">
        <f t="shared" si="6"/>
        <v>314.15926535897933</v>
      </c>
      <c r="G65" s="15">
        <f t="shared" si="7"/>
        <v>66.199999999999989</v>
      </c>
      <c r="H65" s="15">
        <f t="shared" si="4"/>
        <v>4.745608238051048</v>
      </c>
      <c r="I65" s="15"/>
    </row>
    <row r="66" spans="1:9" x14ac:dyDescent="0.2">
      <c r="A66" s="13" t="s">
        <v>850</v>
      </c>
      <c r="B66" s="13">
        <v>126</v>
      </c>
      <c r="C66" s="15">
        <v>3</v>
      </c>
      <c r="D66" s="15">
        <v>8.6209999999999995E-2</v>
      </c>
      <c r="E66" s="15">
        <f t="shared" si="5"/>
        <v>2.8736666666666664E-2</v>
      </c>
      <c r="F66" s="15">
        <f t="shared" si="6"/>
        <v>314.15926535897933</v>
      </c>
      <c r="G66" s="15">
        <f t="shared" si="7"/>
        <v>86.21</v>
      </c>
      <c r="H66" s="15">
        <f t="shared" si="4"/>
        <v>3.6441162899777213</v>
      </c>
      <c r="I66" s="15"/>
    </row>
    <row r="67" spans="1:9" x14ac:dyDescent="0.2">
      <c r="A67" s="13" t="s">
        <v>851</v>
      </c>
      <c r="B67" s="13">
        <v>127</v>
      </c>
      <c r="C67" s="15">
        <v>3</v>
      </c>
      <c r="D67" s="15">
        <v>8.5900000000000004E-2</v>
      </c>
      <c r="E67" s="15">
        <f t="shared" si="5"/>
        <v>2.8633333333333334E-2</v>
      </c>
      <c r="F67" s="15">
        <f t="shared" si="6"/>
        <v>314.15926535897933</v>
      </c>
      <c r="G67" s="15">
        <f t="shared" si="7"/>
        <v>85.9</v>
      </c>
      <c r="H67" s="15">
        <f t="shared" si="4"/>
        <v>3.6572673499299104</v>
      </c>
      <c r="I67" s="15"/>
    </row>
    <row r="68" spans="1:9" x14ac:dyDescent="0.2">
      <c r="A68" s="19" t="s">
        <v>854</v>
      </c>
      <c r="B68" s="21">
        <v>129</v>
      </c>
      <c r="C68" s="37">
        <v>3</v>
      </c>
      <c r="D68" s="37">
        <v>0.1007</v>
      </c>
      <c r="E68" s="37">
        <f t="shared" si="5"/>
        <v>3.3566666666666668E-2</v>
      </c>
      <c r="F68" s="37">
        <f t="shared" si="6"/>
        <v>314.15926535897933</v>
      </c>
      <c r="G68" s="37">
        <f t="shared" si="7"/>
        <v>100.7</v>
      </c>
      <c r="H68" s="37">
        <f t="shared" si="4"/>
        <v>3.1197543729789405</v>
      </c>
      <c r="I68" s="37"/>
    </row>
    <row r="69" spans="1:9" x14ac:dyDescent="0.2">
      <c r="A69" s="19" t="s">
        <v>858</v>
      </c>
      <c r="B69" s="21">
        <v>133</v>
      </c>
      <c r="C69" s="37">
        <v>3</v>
      </c>
      <c r="D69" s="37">
        <v>7.4899999999999994E-2</v>
      </c>
      <c r="E69" s="37">
        <f t="shared" si="5"/>
        <v>2.4966666666666665E-2</v>
      </c>
      <c r="F69" s="37">
        <f t="shared" si="6"/>
        <v>314.15926535897933</v>
      </c>
      <c r="G69" s="37">
        <f t="shared" si="7"/>
        <v>74.899999999999991</v>
      </c>
      <c r="H69" s="37">
        <f t="shared" ref="H69:H97" si="8">IFERROR(F69/G69, "")</f>
        <v>4.1943827150731554</v>
      </c>
      <c r="I69" s="37"/>
    </row>
    <row r="70" spans="1:9" x14ac:dyDescent="0.2">
      <c r="A70" s="19" t="s">
        <v>859</v>
      </c>
      <c r="B70" s="21">
        <v>134</v>
      </c>
      <c r="C70" s="37">
        <v>3</v>
      </c>
      <c r="D70" s="37">
        <v>5.2720000000000003E-2</v>
      </c>
      <c r="E70" s="37">
        <f t="shared" si="5"/>
        <v>1.7573333333333333E-2</v>
      </c>
      <c r="F70" s="37">
        <f t="shared" si="6"/>
        <v>314.15926535897933</v>
      </c>
      <c r="G70" s="37">
        <f t="shared" si="7"/>
        <v>52.720000000000006</v>
      </c>
      <c r="H70" s="37">
        <f t="shared" si="8"/>
        <v>5.9590148967939927</v>
      </c>
      <c r="I70" s="37"/>
    </row>
    <row r="71" spans="1:9" x14ac:dyDescent="0.2">
      <c r="A71" s="13" t="s">
        <v>863</v>
      </c>
      <c r="B71" s="13">
        <v>137</v>
      </c>
      <c r="C71" s="15">
        <v>4</v>
      </c>
      <c r="D71" s="15">
        <v>6.4140000000000003E-2</v>
      </c>
      <c r="E71" s="15">
        <f t="shared" si="5"/>
        <v>1.6035000000000001E-2</v>
      </c>
      <c r="F71" s="15">
        <f t="shared" si="6"/>
        <v>314.15926535897933</v>
      </c>
      <c r="G71" s="15">
        <f t="shared" si="7"/>
        <v>64.14</v>
      </c>
      <c r="H71" s="15">
        <f t="shared" si="8"/>
        <v>4.8980240935294566</v>
      </c>
      <c r="I71" s="15"/>
    </row>
    <row r="72" spans="1:9" x14ac:dyDescent="0.2">
      <c r="A72" s="13" t="s">
        <v>865</v>
      </c>
      <c r="B72" s="13">
        <v>139</v>
      </c>
      <c r="C72" s="15">
        <v>3</v>
      </c>
      <c r="D72" s="15">
        <v>5.3039999999999997E-2</v>
      </c>
      <c r="E72" s="15">
        <f t="shared" si="5"/>
        <v>1.7679999999999998E-2</v>
      </c>
      <c r="F72" s="15">
        <f t="shared" si="6"/>
        <v>314.15926535897933</v>
      </c>
      <c r="G72" s="15">
        <f t="shared" si="7"/>
        <v>53.04</v>
      </c>
      <c r="H72" s="15">
        <f t="shared" si="8"/>
        <v>5.9230630723789464</v>
      </c>
      <c r="I72" s="15"/>
    </row>
    <row r="73" spans="1:9" x14ac:dyDescent="0.2">
      <c r="A73" s="13" t="s">
        <v>867</v>
      </c>
      <c r="B73" s="13">
        <v>141</v>
      </c>
      <c r="C73" s="15">
        <v>4</v>
      </c>
      <c r="D73" s="15">
        <v>5.4080000000000003E-2</v>
      </c>
      <c r="E73" s="15">
        <f t="shared" si="5"/>
        <v>1.3520000000000001E-2</v>
      </c>
      <c r="F73" s="15">
        <f t="shared" si="6"/>
        <v>314.15926535897933</v>
      </c>
      <c r="G73" s="15">
        <f t="shared" si="7"/>
        <v>54.080000000000005</v>
      </c>
      <c r="H73" s="15">
        <f t="shared" si="8"/>
        <v>5.8091580132947351</v>
      </c>
      <c r="I73" s="15"/>
    </row>
    <row r="74" spans="1:9" x14ac:dyDescent="0.2">
      <c r="A74" s="13" t="s">
        <v>868</v>
      </c>
      <c r="B74" s="13">
        <v>142</v>
      </c>
      <c r="C74" s="15">
        <v>3</v>
      </c>
      <c r="D74" s="15">
        <v>5.9979999999999999E-2</v>
      </c>
      <c r="E74" s="15">
        <f t="shared" si="5"/>
        <v>1.9993333333333332E-2</v>
      </c>
      <c r="F74" s="15">
        <f t="shared" si="6"/>
        <v>314.15926535897933</v>
      </c>
      <c r="G74" s="15">
        <f t="shared" si="7"/>
        <v>59.98</v>
      </c>
      <c r="H74" s="15">
        <f t="shared" si="8"/>
        <v>5.2377336672053909</v>
      </c>
      <c r="I74" s="15"/>
    </row>
    <row r="75" spans="1:9" x14ac:dyDescent="0.2">
      <c r="A75" s="13" t="s">
        <v>869</v>
      </c>
      <c r="B75" s="13">
        <v>143</v>
      </c>
      <c r="C75" s="15">
        <v>3</v>
      </c>
      <c r="D75" s="15">
        <v>9.9220000000000003E-2</v>
      </c>
      <c r="E75" s="15">
        <f t="shared" si="5"/>
        <v>3.3073333333333337E-2</v>
      </c>
      <c r="F75" s="15">
        <f t="shared" si="6"/>
        <v>314.15926535897933</v>
      </c>
      <c r="G75" s="15">
        <f t="shared" si="7"/>
        <v>99.22</v>
      </c>
      <c r="H75" s="15">
        <f t="shared" si="8"/>
        <v>3.166289713353954</v>
      </c>
      <c r="I75" s="15"/>
    </row>
    <row r="76" spans="1:9" x14ac:dyDescent="0.2">
      <c r="A76" s="13" t="s">
        <v>870</v>
      </c>
      <c r="B76" s="13">
        <v>144</v>
      </c>
      <c r="C76" s="15">
        <v>4</v>
      </c>
      <c r="D76" s="15">
        <v>5.8740000000000001E-2</v>
      </c>
      <c r="E76" s="15">
        <f t="shared" si="5"/>
        <v>1.4685E-2</v>
      </c>
      <c r="F76" s="15">
        <f t="shared" si="6"/>
        <v>314.15926535897933</v>
      </c>
      <c r="G76" s="15">
        <f t="shared" si="7"/>
        <v>58.74</v>
      </c>
      <c r="H76" s="15">
        <f t="shared" si="8"/>
        <v>5.3483021000847684</v>
      </c>
      <c r="I76" s="15"/>
    </row>
    <row r="77" spans="1:9" x14ac:dyDescent="0.2">
      <c r="A77" s="19" t="s">
        <v>875</v>
      </c>
      <c r="B77" s="21">
        <v>148</v>
      </c>
      <c r="C77" s="37">
        <v>4</v>
      </c>
      <c r="D77" s="37">
        <v>7.084E-2</v>
      </c>
      <c r="E77" s="37">
        <f t="shared" si="5"/>
        <v>1.771E-2</v>
      </c>
      <c r="F77" s="37">
        <f t="shared" si="6"/>
        <v>314.15926535897933</v>
      </c>
      <c r="G77" s="37">
        <f t="shared" si="7"/>
        <v>70.84</v>
      </c>
      <c r="H77" s="37">
        <f t="shared" si="8"/>
        <v>4.4347722382690469</v>
      </c>
      <c r="I77" s="37"/>
    </row>
    <row r="78" spans="1:9" x14ac:dyDescent="0.2">
      <c r="A78" s="19" t="s">
        <v>876</v>
      </c>
      <c r="B78" s="21">
        <v>149</v>
      </c>
      <c r="C78" s="37">
        <v>4</v>
      </c>
      <c r="D78" s="37">
        <v>7.8839999999999993E-2</v>
      </c>
      <c r="E78" s="37">
        <f t="shared" si="5"/>
        <v>1.9709999999999998E-2</v>
      </c>
      <c r="F78" s="37">
        <f t="shared" si="6"/>
        <v>314.15926535897933</v>
      </c>
      <c r="G78" s="37">
        <f t="shared" si="7"/>
        <v>78.839999999999989</v>
      </c>
      <c r="H78" s="37">
        <f t="shared" si="8"/>
        <v>3.9847699817222142</v>
      </c>
      <c r="I78" s="37"/>
    </row>
    <row r="79" spans="1:9" x14ac:dyDescent="0.2">
      <c r="A79" s="19" t="s">
        <v>879</v>
      </c>
      <c r="B79" s="21">
        <v>152</v>
      </c>
      <c r="C79" s="37">
        <v>4</v>
      </c>
      <c r="D79" s="37">
        <v>7.9079999999999998E-2</v>
      </c>
      <c r="E79" s="37">
        <f t="shared" si="5"/>
        <v>1.9769999999999999E-2</v>
      </c>
      <c r="F79" s="37">
        <f t="shared" si="6"/>
        <v>314.15926535897933</v>
      </c>
      <c r="G79" s="37">
        <f t="shared" si="7"/>
        <v>79.08</v>
      </c>
      <c r="H79" s="37">
        <f t="shared" si="8"/>
        <v>3.9726765978626624</v>
      </c>
      <c r="I79" s="37"/>
    </row>
    <row r="80" spans="1:9" x14ac:dyDescent="0.2">
      <c r="A80" s="13" t="s">
        <v>883</v>
      </c>
      <c r="B80" s="13">
        <v>155</v>
      </c>
      <c r="C80" s="15">
        <v>3</v>
      </c>
      <c r="D80" s="15">
        <v>0.11074000000000001</v>
      </c>
      <c r="E80" s="15">
        <f t="shared" si="5"/>
        <v>3.6913333333333333E-2</v>
      </c>
      <c r="F80" s="15">
        <f t="shared" si="6"/>
        <v>314.15926535897933</v>
      </c>
      <c r="G80" s="15">
        <f t="shared" si="7"/>
        <v>110.74000000000001</v>
      </c>
      <c r="H80" s="15">
        <f t="shared" si="8"/>
        <v>2.8369086631657874</v>
      </c>
      <c r="I80" s="15"/>
    </row>
    <row r="81" spans="1:9" x14ac:dyDescent="0.2">
      <c r="A81" s="13" t="s">
        <v>884</v>
      </c>
      <c r="B81" s="13">
        <v>156</v>
      </c>
      <c r="C81" s="15">
        <v>3</v>
      </c>
      <c r="D81" s="15">
        <v>0.10499</v>
      </c>
      <c r="E81" s="15">
        <f t="shared" si="5"/>
        <v>3.4996666666666669E-2</v>
      </c>
      <c r="F81" s="15">
        <f t="shared" si="6"/>
        <v>314.15926535897933</v>
      </c>
      <c r="G81" s="15">
        <f t="shared" si="7"/>
        <v>104.99</v>
      </c>
      <c r="H81" s="15">
        <f t="shared" si="8"/>
        <v>2.9922779822743055</v>
      </c>
      <c r="I81" s="15"/>
    </row>
    <row r="82" spans="1:9" x14ac:dyDescent="0.2">
      <c r="A82" s="13" t="s">
        <v>887</v>
      </c>
      <c r="B82" s="13">
        <v>159</v>
      </c>
      <c r="C82" s="15">
        <v>3</v>
      </c>
      <c r="D82" s="15">
        <v>0.11515</v>
      </c>
      <c r="E82" s="15">
        <f t="shared" si="5"/>
        <v>3.8383333333333332E-2</v>
      </c>
      <c r="F82" s="15">
        <f t="shared" si="6"/>
        <v>314.15926535897933</v>
      </c>
      <c r="G82" s="15">
        <f t="shared" si="7"/>
        <v>115.15</v>
      </c>
      <c r="H82" s="15">
        <f t="shared" si="8"/>
        <v>2.7282610973424171</v>
      </c>
      <c r="I82" s="15"/>
    </row>
    <row r="83" spans="1:9" x14ac:dyDescent="0.2">
      <c r="A83" s="19" t="s">
        <v>892</v>
      </c>
      <c r="B83" s="21">
        <v>163</v>
      </c>
      <c r="C83" s="37">
        <v>4</v>
      </c>
      <c r="D83" s="37">
        <v>7.0529999999999995E-2</v>
      </c>
      <c r="E83" s="37">
        <f t="shared" si="5"/>
        <v>1.7632499999999999E-2</v>
      </c>
      <c r="F83" s="37">
        <f t="shared" si="6"/>
        <v>314.15926535897933</v>
      </c>
      <c r="G83" s="37">
        <f t="shared" si="7"/>
        <v>70.53</v>
      </c>
      <c r="H83" s="37">
        <f t="shared" si="8"/>
        <v>4.4542643606831041</v>
      </c>
      <c r="I83" s="37"/>
    </row>
    <row r="84" spans="1:9" x14ac:dyDescent="0.2">
      <c r="A84" s="19" t="s">
        <v>894</v>
      </c>
      <c r="B84" s="21">
        <v>165</v>
      </c>
      <c r="C84" s="37">
        <v>4</v>
      </c>
      <c r="D84" s="37">
        <v>7.2859999999999994E-2</v>
      </c>
      <c r="E84" s="37">
        <f t="shared" si="5"/>
        <v>1.8214999999999999E-2</v>
      </c>
      <c r="F84" s="37">
        <f t="shared" si="6"/>
        <v>314.15926535897933</v>
      </c>
      <c r="G84" s="37">
        <f t="shared" si="7"/>
        <v>72.86</v>
      </c>
      <c r="H84" s="37">
        <f t="shared" si="8"/>
        <v>4.3118208256791011</v>
      </c>
      <c r="I84" s="37"/>
    </row>
    <row r="85" spans="1:9" x14ac:dyDescent="0.2">
      <c r="A85" s="19" t="s">
        <v>895</v>
      </c>
      <c r="B85" s="21">
        <v>166</v>
      </c>
      <c r="C85" s="37">
        <v>4</v>
      </c>
      <c r="D85" s="37">
        <v>6.7320000000000005E-2</v>
      </c>
      <c r="E85" s="37">
        <f t="shared" si="5"/>
        <v>1.6830000000000001E-2</v>
      </c>
      <c r="F85" s="37">
        <f t="shared" si="6"/>
        <v>314.15926535897933</v>
      </c>
      <c r="G85" s="37">
        <f t="shared" si="7"/>
        <v>67.320000000000007</v>
      </c>
      <c r="H85" s="37">
        <f t="shared" si="8"/>
        <v>4.6666557539955331</v>
      </c>
      <c r="I85" s="37"/>
    </row>
    <row r="86" spans="1:9" x14ac:dyDescent="0.2">
      <c r="A86" s="13" t="s">
        <v>899</v>
      </c>
      <c r="B86" s="13">
        <v>169</v>
      </c>
      <c r="C86" s="15">
        <v>3</v>
      </c>
      <c r="D86" s="15">
        <v>0.11317000000000001</v>
      </c>
      <c r="E86" s="15">
        <f t="shared" si="5"/>
        <v>3.7723333333333338E-2</v>
      </c>
      <c r="F86" s="15">
        <f t="shared" si="6"/>
        <v>314.15926535897933</v>
      </c>
      <c r="G86" s="15">
        <f t="shared" si="7"/>
        <v>113.17</v>
      </c>
      <c r="H86" s="15">
        <f t="shared" si="8"/>
        <v>2.775994215419098</v>
      </c>
      <c r="I86" s="15"/>
    </row>
    <row r="87" spans="1:9" x14ac:dyDescent="0.2">
      <c r="A87" s="13" t="s">
        <v>904</v>
      </c>
      <c r="B87" s="13">
        <v>174</v>
      </c>
      <c r="C87" s="15">
        <v>3</v>
      </c>
      <c r="D87" s="15">
        <v>0.10743999999999999</v>
      </c>
      <c r="E87" s="15">
        <f t="shared" si="5"/>
        <v>3.5813333333333329E-2</v>
      </c>
      <c r="F87" s="15">
        <f t="shared" si="6"/>
        <v>314.15926535897933</v>
      </c>
      <c r="G87" s="15">
        <f t="shared" si="7"/>
        <v>107.44</v>
      </c>
      <c r="H87" s="15">
        <f t="shared" si="8"/>
        <v>2.9240437952250495</v>
      </c>
      <c r="I87" s="15"/>
    </row>
    <row r="88" spans="1:9" x14ac:dyDescent="0.2">
      <c r="A88" s="13" t="s">
        <v>905</v>
      </c>
      <c r="B88" s="13">
        <v>175</v>
      </c>
      <c r="C88" s="15">
        <v>3</v>
      </c>
      <c r="D88" s="15">
        <v>0.12417</v>
      </c>
      <c r="E88" s="15">
        <f t="shared" si="5"/>
        <v>4.1390000000000003E-2</v>
      </c>
      <c r="F88" s="15">
        <f t="shared" si="6"/>
        <v>314.15926535897933</v>
      </c>
      <c r="G88" s="15">
        <f t="shared" si="7"/>
        <v>124.17</v>
      </c>
      <c r="H88" s="15">
        <f t="shared" si="8"/>
        <v>2.5300738129900888</v>
      </c>
      <c r="I88" s="15"/>
    </row>
    <row r="89" spans="1:9" x14ac:dyDescent="0.2">
      <c r="A89" s="19" t="s">
        <v>908</v>
      </c>
      <c r="B89" s="21">
        <v>177</v>
      </c>
      <c r="C89" s="37">
        <v>4</v>
      </c>
      <c r="D89" s="37">
        <v>6.8790000000000004E-2</v>
      </c>
      <c r="E89" s="37">
        <f t="shared" si="5"/>
        <v>1.7197500000000001E-2</v>
      </c>
      <c r="F89" s="37">
        <f t="shared" si="6"/>
        <v>314.15926535897933</v>
      </c>
      <c r="G89" s="37">
        <f t="shared" si="7"/>
        <v>68.790000000000006</v>
      </c>
      <c r="H89" s="37">
        <f t="shared" si="8"/>
        <v>4.5669321901290783</v>
      </c>
      <c r="I89" s="37"/>
    </row>
    <row r="90" spans="1:9" x14ac:dyDescent="0.2">
      <c r="A90" s="19" t="s">
        <v>909</v>
      </c>
      <c r="B90" s="21">
        <v>178</v>
      </c>
      <c r="C90" s="37">
        <v>3</v>
      </c>
      <c r="D90" s="37">
        <v>0.12417</v>
      </c>
      <c r="E90" s="37">
        <f t="shared" si="5"/>
        <v>4.1390000000000003E-2</v>
      </c>
      <c r="F90" s="37">
        <f t="shared" si="6"/>
        <v>314.15926535897933</v>
      </c>
      <c r="G90" s="37">
        <f t="shared" si="7"/>
        <v>124.17</v>
      </c>
      <c r="H90" s="37">
        <f t="shared" si="8"/>
        <v>2.5300738129900888</v>
      </c>
      <c r="I90" s="37"/>
    </row>
    <row r="91" spans="1:9" x14ac:dyDescent="0.2">
      <c r="A91" s="19" t="s">
        <v>910</v>
      </c>
      <c r="B91" s="21">
        <v>179</v>
      </c>
      <c r="C91" s="37">
        <v>3</v>
      </c>
      <c r="D91" s="37">
        <v>0.12479999999999999</v>
      </c>
      <c r="E91" s="37">
        <f t="shared" si="5"/>
        <v>4.1599999999999998E-2</v>
      </c>
      <c r="F91" s="37">
        <f t="shared" si="6"/>
        <v>314.15926535897933</v>
      </c>
      <c r="G91" s="37">
        <f t="shared" si="7"/>
        <v>124.8</v>
      </c>
      <c r="H91" s="37">
        <f t="shared" si="8"/>
        <v>2.5173018057610523</v>
      </c>
      <c r="I91" s="37"/>
    </row>
    <row r="92" spans="1:9" x14ac:dyDescent="0.2">
      <c r="A92" s="19" t="s">
        <v>912</v>
      </c>
      <c r="B92" s="21">
        <v>181</v>
      </c>
      <c r="C92" s="37">
        <v>4</v>
      </c>
      <c r="D92" s="37">
        <v>7.9699999999999993E-2</v>
      </c>
      <c r="E92" s="37">
        <f t="shared" si="5"/>
        <v>1.9924999999999998E-2</v>
      </c>
      <c r="F92" s="37">
        <f t="shared" si="6"/>
        <v>314.15926535897933</v>
      </c>
      <c r="G92" s="37">
        <f t="shared" si="7"/>
        <v>79.699999999999989</v>
      </c>
      <c r="H92" s="37">
        <f t="shared" si="8"/>
        <v>3.9417724637262155</v>
      </c>
      <c r="I92" s="37"/>
    </row>
    <row r="93" spans="1:9" x14ac:dyDescent="0.2">
      <c r="A93" s="19" t="s">
        <v>914</v>
      </c>
      <c r="B93" s="21">
        <v>183</v>
      </c>
      <c r="C93" s="37">
        <v>3</v>
      </c>
      <c r="D93" s="37">
        <v>0.12792999999999999</v>
      </c>
      <c r="E93" s="37">
        <f t="shared" si="5"/>
        <v>4.2643333333333332E-2</v>
      </c>
      <c r="F93" s="37">
        <f t="shared" si="6"/>
        <v>314.15926535897933</v>
      </c>
      <c r="G93" s="37">
        <f t="shared" si="7"/>
        <v>127.92999999999999</v>
      </c>
      <c r="H93" s="37">
        <f t="shared" si="8"/>
        <v>2.455712228241846</v>
      </c>
      <c r="I93" s="37"/>
    </row>
    <row r="94" spans="1:9" x14ac:dyDescent="0.2">
      <c r="A94" s="19" t="s">
        <v>915</v>
      </c>
      <c r="B94" s="21">
        <v>184</v>
      </c>
      <c r="C94" s="37">
        <v>4</v>
      </c>
      <c r="D94" s="37">
        <v>7.4620000000000006E-2</v>
      </c>
      <c r="E94" s="37">
        <f t="shared" si="5"/>
        <v>1.8655000000000001E-2</v>
      </c>
      <c r="F94" s="37">
        <f t="shared" si="6"/>
        <v>314.15926535897933</v>
      </c>
      <c r="G94" s="37">
        <f t="shared" si="7"/>
        <v>74.62</v>
      </c>
      <c r="H94" s="37">
        <f t="shared" si="8"/>
        <v>4.2101214869871253</v>
      </c>
      <c r="I94" s="37"/>
    </row>
    <row r="95" spans="1:9" x14ac:dyDescent="0.2">
      <c r="A95" s="13" t="s">
        <v>918</v>
      </c>
      <c r="B95" s="13">
        <v>186</v>
      </c>
      <c r="C95" s="15">
        <v>3</v>
      </c>
      <c r="D95" s="15">
        <v>8.1769999999999995E-2</v>
      </c>
      <c r="E95" s="15">
        <f t="shared" si="5"/>
        <v>2.7256666666666665E-2</v>
      </c>
      <c r="F95" s="15">
        <f t="shared" si="6"/>
        <v>314.15926535897933</v>
      </c>
      <c r="G95" s="15">
        <f t="shared" si="7"/>
        <v>81.77</v>
      </c>
      <c r="H95" s="15">
        <f t="shared" si="8"/>
        <v>3.8419868577593168</v>
      </c>
      <c r="I95" s="15"/>
    </row>
    <row r="96" spans="1:9" x14ac:dyDescent="0.2">
      <c r="A96" s="13" t="s">
        <v>920</v>
      </c>
      <c r="B96" s="13">
        <v>188</v>
      </c>
      <c r="C96" s="15">
        <v>3</v>
      </c>
      <c r="D96" s="15">
        <v>8.1960000000000005E-2</v>
      </c>
      <c r="E96" s="15">
        <f t="shared" si="5"/>
        <v>2.7320000000000001E-2</v>
      </c>
      <c r="F96" s="15">
        <f t="shared" si="6"/>
        <v>314.15926535897933</v>
      </c>
      <c r="G96" s="15">
        <f t="shared" si="7"/>
        <v>81.960000000000008</v>
      </c>
      <c r="H96" s="15">
        <f t="shared" si="8"/>
        <v>3.8330803484502112</v>
      </c>
      <c r="I96" s="15"/>
    </row>
    <row r="97" spans="1:9" x14ac:dyDescent="0.2">
      <c r="A97" s="13" t="s">
        <v>924</v>
      </c>
      <c r="B97" s="13">
        <v>192</v>
      </c>
      <c r="C97" s="15">
        <v>3</v>
      </c>
      <c r="D97" s="15">
        <v>0.11133</v>
      </c>
      <c r="E97" s="15">
        <f t="shared" si="5"/>
        <v>3.7109999999999997E-2</v>
      </c>
      <c r="F97" s="15">
        <f t="shared" si="6"/>
        <v>314.15926535897933</v>
      </c>
      <c r="G97" s="15">
        <f t="shared" si="7"/>
        <v>111.33</v>
      </c>
      <c r="H97" s="15">
        <f t="shared" si="8"/>
        <v>2.8218742958679539</v>
      </c>
      <c r="I97" s="15"/>
    </row>
    <row r="98" spans="1:9" x14ac:dyDescent="0.2">
      <c r="A98" s="19" t="s">
        <v>928</v>
      </c>
      <c r="B98" s="21">
        <v>195</v>
      </c>
      <c r="C98" s="37">
        <v>4</v>
      </c>
      <c r="D98" s="37">
        <v>6.5979999999999997E-2</v>
      </c>
      <c r="E98" s="37">
        <f t="shared" si="5"/>
        <v>1.6494999999999999E-2</v>
      </c>
      <c r="F98" s="37">
        <f t="shared" si="6"/>
        <v>314.15926535897933</v>
      </c>
      <c r="G98" s="37">
        <f t="shared" si="7"/>
        <v>65.98</v>
      </c>
      <c r="H98" s="37">
        <f t="shared" ref="H98:H133" si="9">IFERROR(F98/G98, "")</f>
        <v>4.7614317271745881</v>
      </c>
      <c r="I98" s="37"/>
    </row>
    <row r="99" spans="1:9" x14ac:dyDescent="0.2">
      <c r="A99" s="19" t="s">
        <v>932</v>
      </c>
      <c r="B99" s="21">
        <v>199</v>
      </c>
      <c r="C99" s="37">
        <v>4</v>
      </c>
      <c r="D99" s="37">
        <v>7.1110000000000007E-2</v>
      </c>
      <c r="E99" s="37">
        <f t="shared" si="5"/>
        <v>1.7777500000000002E-2</v>
      </c>
      <c r="F99" s="37">
        <f t="shared" si="6"/>
        <v>314.15926535897933</v>
      </c>
      <c r="G99" s="37">
        <f t="shared" si="7"/>
        <v>71.110000000000014</v>
      </c>
      <c r="H99" s="37">
        <f t="shared" si="9"/>
        <v>4.4179336993246983</v>
      </c>
      <c r="I99" s="37"/>
    </row>
    <row r="100" spans="1:9" x14ac:dyDescent="0.2">
      <c r="A100" s="19" t="s">
        <v>933</v>
      </c>
      <c r="B100" s="21">
        <v>200</v>
      </c>
      <c r="C100" s="37">
        <v>4</v>
      </c>
      <c r="D100" s="37">
        <v>6.1330000000000003E-2</v>
      </c>
      <c r="E100" s="37">
        <f t="shared" si="5"/>
        <v>1.5332500000000001E-2</v>
      </c>
      <c r="F100" s="37">
        <f t="shared" si="6"/>
        <v>314.15926535897933</v>
      </c>
      <c r="G100" s="37">
        <f t="shared" si="7"/>
        <v>61.330000000000005</v>
      </c>
      <c r="H100" s="37">
        <f t="shared" si="9"/>
        <v>5.1224403286968743</v>
      </c>
      <c r="I100" s="37"/>
    </row>
    <row r="101" spans="1:9" x14ac:dyDescent="0.2">
      <c r="A101" s="13" t="s">
        <v>936</v>
      </c>
      <c r="B101" s="13">
        <v>202</v>
      </c>
      <c r="C101" s="15">
        <v>4</v>
      </c>
      <c r="D101" s="15">
        <v>8.6010000000000003E-2</v>
      </c>
      <c r="E101" s="15">
        <f t="shared" si="5"/>
        <v>2.1502500000000001E-2</v>
      </c>
      <c r="F101" s="15">
        <f t="shared" si="6"/>
        <v>314.15926535897933</v>
      </c>
      <c r="G101" s="15">
        <f t="shared" si="7"/>
        <v>86.01</v>
      </c>
      <c r="H101" s="15">
        <f t="shared" si="9"/>
        <v>3.652589993709793</v>
      </c>
      <c r="I101" s="15"/>
    </row>
    <row r="102" spans="1:9" x14ac:dyDescent="0.2">
      <c r="A102" s="13" t="s">
        <v>937</v>
      </c>
      <c r="B102" s="13">
        <v>203</v>
      </c>
      <c r="C102" s="15">
        <v>4</v>
      </c>
      <c r="D102" s="15">
        <v>5.9180000000000003E-2</v>
      </c>
      <c r="E102" s="15">
        <f t="shared" si="5"/>
        <v>1.4795000000000001E-2</v>
      </c>
      <c r="F102" s="15">
        <f t="shared" si="6"/>
        <v>314.15926535897933</v>
      </c>
      <c r="G102" s="15">
        <f t="shared" si="7"/>
        <v>59.180000000000007</v>
      </c>
      <c r="H102" s="15">
        <f t="shared" si="9"/>
        <v>5.3085377722030973</v>
      </c>
      <c r="I102" s="15"/>
    </row>
    <row r="103" spans="1:9" x14ac:dyDescent="0.2">
      <c r="A103" s="13" t="s">
        <v>942</v>
      </c>
      <c r="B103" s="13">
        <v>208</v>
      </c>
      <c r="C103" s="15">
        <v>4</v>
      </c>
      <c r="D103" s="15">
        <v>8.0610000000000001E-2</v>
      </c>
      <c r="E103" s="15">
        <f t="shared" si="5"/>
        <v>2.01525E-2</v>
      </c>
      <c r="F103" s="15">
        <f t="shared" si="6"/>
        <v>314.15926535897933</v>
      </c>
      <c r="G103" s="15">
        <f t="shared" si="7"/>
        <v>80.61</v>
      </c>
      <c r="H103" s="15">
        <f t="shared" si="9"/>
        <v>3.8972741019597983</v>
      </c>
      <c r="I103" s="15"/>
    </row>
    <row r="104" spans="1:9" x14ac:dyDescent="0.2">
      <c r="A104" s="19" t="s">
        <v>944</v>
      </c>
      <c r="B104" s="21">
        <v>209</v>
      </c>
      <c r="C104" s="37">
        <v>4</v>
      </c>
      <c r="D104" s="37">
        <v>6.173E-2</v>
      </c>
      <c r="E104" s="37">
        <f t="shared" si="5"/>
        <v>1.54325E-2</v>
      </c>
      <c r="F104" s="37">
        <f t="shared" si="6"/>
        <v>314.15926535897933</v>
      </c>
      <c r="G104" s="37">
        <f t="shared" si="7"/>
        <v>61.73</v>
      </c>
      <c r="H104" s="37">
        <f t="shared" si="9"/>
        <v>5.0892477783732275</v>
      </c>
      <c r="I104" s="37"/>
    </row>
    <row r="105" spans="1:9" x14ac:dyDescent="0.2">
      <c r="A105" s="19" t="s">
        <v>945</v>
      </c>
      <c r="B105" s="21">
        <v>210</v>
      </c>
      <c r="C105" s="37">
        <v>3</v>
      </c>
      <c r="D105" s="37">
        <v>8.5769999999999999E-2</v>
      </c>
      <c r="E105" s="37">
        <f t="shared" si="5"/>
        <v>2.8590000000000001E-2</v>
      </c>
      <c r="F105" s="37">
        <f t="shared" si="6"/>
        <v>314.15926535897933</v>
      </c>
      <c r="G105" s="37">
        <f t="shared" si="7"/>
        <v>85.77</v>
      </c>
      <c r="H105" s="37">
        <f t="shared" si="9"/>
        <v>3.6628106022965996</v>
      </c>
      <c r="I105" s="37"/>
    </row>
    <row r="106" spans="1:9" x14ac:dyDescent="0.2">
      <c r="A106" s="19" t="s">
        <v>946</v>
      </c>
      <c r="B106" s="21">
        <v>211</v>
      </c>
      <c r="C106" s="37">
        <v>3</v>
      </c>
      <c r="D106" s="37">
        <v>6.5839999999999996E-2</v>
      </c>
      <c r="E106" s="37">
        <f t="shared" si="5"/>
        <v>2.1946666666666666E-2</v>
      </c>
      <c r="F106" s="37">
        <f t="shared" si="6"/>
        <v>314.15926535897933</v>
      </c>
      <c r="G106" s="37">
        <f t="shared" si="7"/>
        <v>65.839999999999989</v>
      </c>
      <c r="H106" s="37">
        <f t="shared" si="9"/>
        <v>4.7715562782348018</v>
      </c>
      <c r="I106" s="37"/>
    </row>
    <row r="107" spans="1:9" x14ac:dyDescent="0.2">
      <c r="A107" s="19" t="s">
        <v>947</v>
      </c>
      <c r="B107" s="21">
        <v>212</v>
      </c>
      <c r="C107" s="37">
        <v>4</v>
      </c>
      <c r="D107" s="37">
        <v>7.7950000000000005E-2</v>
      </c>
      <c r="E107" s="37">
        <f t="shared" si="5"/>
        <v>1.9487500000000001E-2</v>
      </c>
      <c r="F107" s="37">
        <f t="shared" si="6"/>
        <v>314.15926535897933</v>
      </c>
      <c r="G107" s="37">
        <f t="shared" si="7"/>
        <v>77.95</v>
      </c>
      <c r="H107" s="37">
        <f t="shared" si="9"/>
        <v>4.030266393315963</v>
      </c>
      <c r="I107" s="37"/>
    </row>
    <row r="108" spans="1:9" x14ac:dyDescent="0.2">
      <c r="A108" s="19" t="s">
        <v>948</v>
      </c>
      <c r="B108" s="21">
        <v>213</v>
      </c>
      <c r="C108" s="37">
        <v>4</v>
      </c>
      <c r="D108" s="37">
        <v>5.3440000000000001E-2</v>
      </c>
      <c r="E108" s="37">
        <f t="shared" si="5"/>
        <v>1.336E-2</v>
      </c>
      <c r="F108" s="37">
        <f t="shared" si="6"/>
        <v>314.15926535897933</v>
      </c>
      <c r="G108" s="37">
        <f t="shared" si="7"/>
        <v>53.440000000000005</v>
      </c>
      <c r="H108" s="37">
        <f t="shared" si="9"/>
        <v>5.8787287679449722</v>
      </c>
      <c r="I108" s="37"/>
    </row>
    <row r="109" spans="1:9" x14ac:dyDescent="0.2">
      <c r="A109" s="19" t="s">
        <v>950</v>
      </c>
      <c r="B109" s="21">
        <v>215</v>
      </c>
      <c r="C109" s="37">
        <v>3</v>
      </c>
      <c r="D109" s="37">
        <v>0.11148</v>
      </c>
      <c r="E109" s="37">
        <f t="shared" si="5"/>
        <v>3.7159999999999999E-2</v>
      </c>
      <c r="F109" s="37">
        <f t="shared" si="6"/>
        <v>314.15926535897933</v>
      </c>
      <c r="G109" s="37">
        <f t="shared" si="7"/>
        <v>111.47999999999999</v>
      </c>
      <c r="H109" s="37">
        <f t="shared" si="9"/>
        <v>2.8180773713579059</v>
      </c>
      <c r="I109" s="37"/>
    </row>
    <row r="110" spans="1:9" x14ac:dyDescent="0.2">
      <c r="A110" s="13" t="s">
        <v>953</v>
      </c>
      <c r="B110" s="13">
        <v>217</v>
      </c>
      <c r="C110" s="15">
        <v>4</v>
      </c>
      <c r="D110" s="15">
        <v>7.1540000000000006E-2</v>
      </c>
      <c r="E110" s="15">
        <f t="shared" si="5"/>
        <v>1.7885000000000002E-2</v>
      </c>
      <c r="F110" s="15">
        <f t="shared" si="6"/>
        <v>314.15926535897933</v>
      </c>
      <c r="G110" s="15">
        <f t="shared" si="7"/>
        <v>71.540000000000006</v>
      </c>
      <c r="H110" s="15">
        <f t="shared" si="9"/>
        <v>4.3913791635306021</v>
      </c>
      <c r="I110" s="15"/>
    </row>
    <row r="111" spans="1:9" x14ac:dyDescent="0.2">
      <c r="A111" s="13" t="s">
        <v>955</v>
      </c>
      <c r="B111" s="13">
        <v>219</v>
      </c>
      <c r="C111" s="15">
        <v>3</v>
      </c>
      <c r="D111" s="15">
        <v>7.0440000000000003E-2</v>
      </c>
      <c r="E111" s="15">
        <f t="shared" si="5"/>
        <v>2.3480000000000001E-2</v>
      </c>
      <c r="F111" s="15">
        <f t="shared" si="6"/>
        <v>314.15926535897933</v>
      </c>
      <c r="G111" s="15">
        <f t="shared" si="7"/>
        <v>70.44</v>
      </c>
      <c r="H111" s="15">
        <f t="shared" si="9"/>
        <v>4.4599554991337218</v>
      </c>
      <c r="I111" s="15"/>
    </row>
    <row r="112" spans="1:9" x14ac:dyDescent="0.2">
      <c r="A112" s="13" t="s">
        <v>957</v>
      </c>
      <c r="B112" s="13">
        <v>221</v>
      </c>
      <c r="C112" s="15">
        <v>4</v>
      </c>
      <c r="D112" s="15">
        <v>6.2960000000000002E-2</v>
      </c>
      <c r="E112" s="15">
        <f t="shared" si="5"/>
        <v>1.5740000000000001E-2</v>
      </c>
      <c r="F112" s="15">
        <f t="shared" si="6"/>
        <v>314.15926535897933</v>
      </c>
      <c r="G112" s="15">
        <f t="shared" si="7"/>
        <v>62.96</v>
      </c>
      <c r="H112" s="15">
        <f t="shared" si="9"/>
        <v>4.98982314737896</v>
      </c>
      <c r="I112" s="15"/>
    </row>
    <row r="113" spans="1:9" x14ac:dyDescent="0.2">
      <c r="A113" s="13" t="s">
        <v>958</v>
      </c>
      <c r="B113" s="13">
        <v>222</v>
      </c>
      <c r="C113" s="15">
        <v>3</v>
      </c>
      <c r="D113" s="15">
        <v>0.10909000000000001</v>
      </c>
      <c r="E113" s="15">
        <f t="shared" si="5"/>
        <v>3.6363333333333338E-2</v>
      </c>
      <c r="F113" s="15">
        <f t="shared" si="6"/>
        <v>314.15926535897933</v>
      </c>
      <c r="G113" s="15">
        <f t="shared" si="7"/>
        <v>109.09</v>
      </c>
      <c r="H113" s="15">
        <f t="shared" si="9"/>
        <v>2.8798172642678459</v>
      </c>
      <c r="I113" s="15"/>
    </row>
    <row r="114" spans="1:9" x14ac:dyDescent="0.2">
      <c r="A114" s="13" t="s">
        <v>959</v>
      </c>
      <c r="B114" s="13">
        <v>223</v>
      </c>
      <c r="C114" s="15">
        <v>3</v>
      </c>
      <c r="D114" s="15">
        <v>0.11368</v>
      </c>
      <c r="E114" s="15">
        <f t="shared" si="5"/>
        <v>3.7893333333333334E-2</v>
      </c>
      <c r="F114" s="15">
        <f t="shared" si="6"/>
        <v>314.15926535897933</v>
      </c>
      <c r="G114" s="15">
        <f t="shared" si="7"/>
        <v>113.68</v>
      </c>
      <c r="H114" s="15">
        <f t="shared" si="9"/>
        <v>2.7635403356701205</v>
      </c>
      <c r="I114" s="15"/>
    </row>
    <row r="115" spans="1:9" x14ac:dyDescent="0.2">
      <c r="A115" s="13" t="s">
        <v>960</v>
      </c>
      <c r="B115" s="13">
        <v>224</v>
      </c>
      <c r="C115" s="15">
        <v>4</v>
      </c>
      <c r="D115" s="15">
        <v>7.0290000000000005E-2</v>
      </c>
      <c r="E115" s="15">
        <f t="shared" si="5"/>
        <v>1.7572500000000001E-2</v>
      </c>
      <c r="F115" s="15">
        <f t="shared" si="6"/>
        <v>314.15926535897933</v>
      </c>
      <c r="G115" s="15">
        <f t="shared" si="7"/>
        <v>70.290000000000006</v>
      </c>
      <c r="H115" s="15">
        <f t="shared" si="9"/>
        <v>4.4694731165027646</v>
      </c>
      <c r="I115" s="15"/>
    </row>
    <row r="116" spans="1:9" x14ac:dyDescent="0.2">
      <c r="A116" s="19" t="s">
        <v>962</v>
      </c>
      <c r="B116" s="21">
        <v>225</v>
      </c>
      <c r="C116" s="37">
        <v>4</v>
      </c>
      <c r="D116" s="37">
        <v>6.7519999999999997E-2</v>
      </c>
      <c r="E116" s="37">
        <f t="shared" si="5"/>
        <v>1.6879999999999999E-2</v>
      </c>
      <c r="F116" s="37">
        <f t="shared" si="6"/>
        <v>314.15926535897933</v>
      </c>
      <c r="G116" s="37">
        <f t="shared" si="7"/>
        <v>67.52</v>
      </c>
      <c r="H116" s="37">
        <f t="shared" si="9"/>
        <v>4.6528327215488643</v>
      </c>
      <c r="I116" s="37"/>
    </row>
    <row r="117" spans="1:9" x14ac:dyDescent="0.2">
      <c r="A117" s="19" t="s">
        <v>963</v>
      </c>
      <c r="B117" s="21">
        <v>226</v>
      </c>
      <c r="C117" s="37">
        <v>4</v>
      </c>
      <c r="D117" s="37">
        <v>5.8630000000000002E-2</v>
      </c>
      <c r="E117" s="37">
        <f t="shared" si="5"/>
        <v>1.46575E-2</v>
      </c>
      <c r="F117" s="37">
        <f t="shared" si="6"/>
        <v>314.15926535897933</v>
      </c>
      <c r="G117" s="37">
        <f t="shared" si="7"/>
        <v>58.63</v>
      </c>
      <c r="H117" s="37">
        <f t="shared" si="9"/>
        <v>5.3583364379836143</v>
      </c>
      <c r="I117" s="37"/>
    </row>
    <row r="118" spans="1:9" x14ac:dyDescent="0.2">
      <c r="A118" s="19" t="s">
        <v>969</v>
      </c>
      <c r="B118" s="21">
        <v>232</v>
      </c>
      <c r="C118" s="37">
        <v>4</v>
      </c>
      <c r="D118" s="37">
        <v>8.448E-2</v>
      </c>
      <c r="E118" s="37">
        <f t="shared" si="5"/>
        <v>2.112E-2</v>
      </c>
      <c r="F118" s="37">
        <f t="shared" si="6"/>
        <v>314.15926535897933</v>
      </c>
      <c r="G118" s="37">
        <f t="shared" si="7"/>
        <v>84.48</v>
      </c>
      <c r="H118" s="37">
        <f t="shared" si="9"/>
        <v>3.7187413039651909</v>
      </c>
      <c r="I118" s="37"/>
    </row>
    <row r="119" spans="1:9" x14ac:dyDescent="0.2">
      <c r="A119" s="13" t="s">
        <v>971</v>
      </c>
      <c r="B119" s="13">
        <v>233</v>
      </c>
      <c r="C119" s="15">
        <v>4</v>
      </c>
      <c r="D119" s="15">
        <v>5.8610000000000002E-2</v>
      </c>
      <c r="E119" s="15">
        <f t="shared" si="5"/>
        <v>1.4652500000000001E-2</v>
      </c>
      <c r="F119" s="15">
        <f t="shared" si="6"/>
        <v>314.15926535897933</v>
      </c>
      <c r="G119" s="15">
        <f t="shared" si="7"/>
        <v>58.61</v>
      </c>
      <c r="H119" s="15">
        <f t="shared" si="9"/>
        <v>5.3601649097249497</v>
      </c>
      <c r="I119" s="15"/>
    </row>
    <row r="120" spans="1:9" x14ac:dyDescent="0.2">
      <c r="A120" s="13" t="s">
        <v>972</v>
      </c>
      <c r="B120" s="13">
        <v>234</v>
      </c>
      <c r="C120" s="15">
        <v>3</v>
      </c>
      <c r="D120" s="15">
        <v>9.2322000000000001E-2</v>
      </c>
      <c r="E120" s="15">
        <f t="shared" si="5"/>
        <v>3.0773999999999999E-2</v>
      </c>
      <c r="F120" s="15">
        <f t="shared" si="6"/>
        <v>314.15926535897933</v>
      </c>
      <c r="G120" s="15">
        <f t="shared" si="7"/>
        <v>92.322000000000003</v>
      </c>
      <c r="H120" s="15">
        <f t="shared" si="9"/>
        <v>3.4028645973763494</v>
      </c>
      <c r="I120" s="15"/>
    </row>
    <row r="121" spans="1:9" x14ac:dyDescent="0.2">
      <c r="A121" s="13" t="s">
        <v>973</v>
      </c>
      <c r="B121" s="13">
        <v>235</v>
      </c>
      <c r="C121" s="15">
        <v>3</v>
      </c>
      <c r="D121" s="15">
        <v>8.6970000000000006E-2</v>
      </c>
      <c r="E121" s="15">
        <f t="shared" si="5"/>
        <v>2.8990000000000002E-2</v>
      </c>
      <c r="F121" s="15">
        <f t="shared" si="6"/>
        <v>314.15926535897933</v>
      </c>
      <c r="G121" s="15">
        <f t="shared" si="7"/>
        <v>86.97</v>
      </c>
      <c r="H121" s="15">
        <f t="shared" si="9"/>
        <v>3.6122716495225862</v>
      </c>
      <c r="I121" s="15"/>
    </row>
    <row r="122" spans="1:9" x14ac:dyDescent="0.2">
      <c r="A122" s="13" t="s">
        <v>974</v>
      </c>
      <c r="B122" s="13">
        <v>236</v>
      </c>
      <c r="C122" s="15">
        <v>4</v>
      </c>
      <c r="D122" s="15">
        <v>7.3260000000000006E-2</v>
      </c>
      <c r="E122" s="15">
        <f t="shared" si="5"/>
        <v>1.8315000000000001E-2</v>
      </c>
      <c r="F122" s="15">
        <f t="shared" si="6"/>
        <v>314.15926535897933</v>
      </c>
      <c r="G122" s="15">
        <f t="shared" si="7"/>
        <v>73.260000000000005</v>
      </c>
      <c r="H122" s="15">
        <f t="shared" si="9"/>
        <v>4.2882782604283278</v>
      </c>
      <c r="I122" s="15"/>
    </row>
    <row r="123" spans="1:9" x14ac:dyDescent="0.2">
      <c r="A123" s="13" t="s">
        <v>977</v>
      </c>
      <c r="B123" s="13">
        <v>239</v>
      </c>
      <c r="C123" s="15">
        <v>3</v>
      </c>
      <c r="D123" s="15">
        <v>0.11505</v>
      </c>
      <c r="E123" s="15">
        <f t="shared" si="5"/>
        <v>3.8350000000000002E-2</v>
      </c>
      <c r="F123" s="15">
        <f t="shared" si="6"/>
        <v>314.15926535897933</v>
      </c>
      <c r="G123" s="15">
        <f t="shared" si="7"/>
        <v>115.05</v>
      </c>
      <c r="H123" s="15">
        <f t="shared" si="9"/>
        <v>2.7306324672662261</v>
      </c>
      <c r="I123" s="15"/>
    </row>
    <row r="124" spans="1:9" x14ac:dyDescent="0.2">
      <c r="A124" s="13" t="s">
        <v>978</v>
      </c>
      <c r="B124" s="13">
        <v>240</v>
      </c>
      <c r="C124" s="15">
        <v>4</v>
      </c>
      <c r="D124" s="15">
        <v>7.0169999999999996E-2</v>
      </c>
      <c r="E124" s="15">
        <f t="shared" si="5"/>
        <v>1.7542499999999999E-2</v>
      </c>
      <c r="F124" s="15">
        <f t="shared" si="6"/>
        <v>314.15926535897933</v>
      </c>
      <c r="G124" s="15">
        <f t="shared" si="7"/>
        <v>70.17</v>
      </c>
      <c r="H124" s="15">
        <f t="shared" si="9"/>
        <v>4.4771165078948174</v>
      </c>
      <c r="I124" s="15"/>
    </row>
    <row r="125" spans="1:9" x14ac:dyDescent="0.2">
      <c r="A125" s="19" t="s">
        <v>980</v>
      </c>
      <c r="B125" s="21">
        <v>241</v>
      </c>
      <c r="C125" s="37">
        <v>4</v>
      </c>
      <c r="D125" s="37">
        <v>7.4429999999999996E-2</v>
      </c>
      <c r="E125" s="37">
        <f t="shared" ref="E125:E188" si="10">IF(D125=0, "", D125/C125)</f>
        <v>1.8607499999999999E-2</v>
      </c>
      <c r="F125" s="37">
        <f t="shared" ref="F125:F188" si="11">IF(D125=0, "", PI()*100)</f>
        <v>314.15926535897933</v>
      </c>
      <c r="G125" s="37">
        <f t="shared" ref="G125:G188" si="12">IF(D125=0, "", D125*1000)</f>
        <v>74.429999999999993</v>
      </c>
      <c r="H125" s="37">
        <f t="shared" si="9"/>
        <v>4.2208688077251022</v>
      </c>
      <c r="I125" s="37"/>
    </row>
    <row r="126" spans="1:9" x14ac:dyDescent="0.2">
      <c r="A126" s="19" t="s">
        <v>981</v>
      </c>
      <c r="B126" s="21">
        <v>242</v>
      </c>
      <c r="C126" s="37">
        <v>3</v>
      </c>
      <c r="D126" s="37">
        <v>0.12463</v>
      </c>
      <c r="E126" s="37">
        <f t="shared" si="10"/>
        <v>4.1543333333333335E-2</v>
      </c>
      <c r="F126" s="37">
        <f t="shared" si="11"/>
        <v>314.15926535897933</v>
      </c>
      <c r="G126" s="37">
        <f t="shared" si="12"/>
        <v>124.63000000000001</v>
      </c>
      <c r="H126" s="37">
        <f t="shared" si="9"/>
        <v>2.5207354999516913</v>
      </c>
      <c r="I126" s="37"/>
    </row>
    <row r="127" spans="1:9" x14ac:dyDescent="0.2">
      <c r="A127" s="19" t="s">
        <v>982</v>
      </c>
      <c r="B127" s="21">
        <v>243</v>
      </c>
      <c r="C127" s="37">
        <v>4</v>
      </c>
      <c r="D127" s="37">
        <v>0.13100000000000001</v>
      </c>
      <c r="E127" s="37">
        <f t="shared" si="10"/>
        <v>3.2750000000000001E-2</v>
      </c>
      <c r="F127" s="37">
        <f t="shared" si="11"/>
        <v>314.15926535897933</v>
      </c>
      <c r="G127" s="37">
        <f t="shared" si="12"/>
        <v>131</v>
      </c>
      <c r="H127" s="37">
        <f t="shared" si="9"/>
        <v>2.398162330984575</v>
      </c>
      <c r="I127" s="37"/>
    </row>
    <row r="128" spans="1:9" x14ac:dyDescent="0.2">
      <c r="A128" s="19" t="s">
        <v>983</v>
      </c>
      <c r="B128" s="21">
        <v>244</v>
      </c>
      <c r="C128" s="37">
        <v>4</v>
      </c>
      <c r="D128" s="37">
        <v>6.0650000000000003E-2</v>
      </c>
      <c r="E128" s="37">
        <f t="shared" si="10"/>
        <v>1.5162500000000001E-2</v>
      </c>
      <c r="F128" s="37">
        <f t="shared" si="11"/>
        <v>314.15926535897933</v>
      </c>
      <c r="G128" s="37">
        <f t="shared" si="12"/>
        <v>60.650000000000006</v>
      </c>
      <c r="H128" s="37">
        <f t="shared" si="9"/>
        <v>5.1798724708817687</v>
      </c>
      <c r="I128" s="37"/>
    </row>
    <row r="129" spans="1:9" x14ac:dyDescent="0.2">
      <c r="A129" s="19" t="s">
        <v>986</v>
      </c>
      <c r="B129" s="21">
        <v>247</v>
      </c>
      <c r="C129" s="37">
        <v>3</v>
      </c>
      <c r="D129" s="37">
        <v>0.14574000000000001</v>
      </c>
      <c r="E129" s="37">
        <f t="shared" si="10"/>
        <v>4.8580000000000005E-2</v>
      </c>
      <c r="F129" s="37">
        <f t="shared" si="11"/>
        <v>314.15926535897933</v>
      </c>
      <c r="G129" s="37">
        <f t="shared" si="12"/>
        <v>145.74</v>
      </c>
      <c r="H129" s="37">
        <f t="shared" si="9"/>
        <v>2.1556145557772699</v>
      </c>
      <c r="I129" s="37"/>
    </row>
    <row r="130" spans="1:9" x14ac:dyDescent="0.2">
      <c r="A130" s="19" t="s">
        <v>987</v>
      </c>
      <c r="B130" s="21">
        <v>248</v>
      </c>
      <c r="C130" s="37">
        <v>4</v>
      </c>
      <c r="D130" s="37">
        <v>7.3770000000000002E-2</v>
      </c>
      <c r="E130" s="37">
        <f t="shared" si="10"/>
        <v>1.8442500000000001E-2</v>
      </c>
      <c r="F130" s="37">
        <f t="shared" si="11"/>
        <v>314.15926535897933</v>
      </c>
      <c r="G130" s="37">
        <f t="shared" si="12"/>
        <v>73.77</v>
      </c>
      <c r="H130" s="37">
        <f t="shared" si="9"/>
        <v>4.2586317657446031</v>
      </c>
      <c r="I130" s="37"/>
    </row>
    <row r="131" spans="1:9" x14ac:dyDescent="0.2">
      <c r="A131" s="13" t="s">
        <v>990</v>
      </c>
      <c r="B131" s="13">
        <v>250</v>
      </c>
      <c r="C131" s="15">
        <v>3</v>
      </c>
      <c r="D131" s="15">
        <v>9.3289999999999998E-2</v>
      </c>
      <c r="E131" s="15">
        <f t="shared" si="10"/>
        <v>3.1096666666666665E-2</v>
      </c>
      <c r="F131" s="15">
        <f t="shared" si="11"/>
        <v>314.15926535897933</v>
      </c>
      <c r="G131" s="15">
        <f t="shared" si="12"/>
        <v>93.289999999999992</v>
      </c>
      <c r="H131" s="15">
        <f t="shared" si="9"/>
        <v>3.3675556368204456</v>
      </c>
      <c r="I131" s="15"/>
    </row>
    <row r="132" spans="1:9" x14ac:dyDescent="0.2">
      <c r="A132" s="13" t="s">
        <v>994</v>
      </c>
      <c r="B132" s="13">
        <v>254</v>
      </c>
      <c r="C132" s="15">
        <v>3</v>
      </c>
      <c r="D132" s="15">
        <v>0.10523</v>
      </c>
      <c r="E132" s="15">
        <f t="shared" si="10"/>
        <v>3.5076666666666666E-2</v>
      </c>
      <c r="F132" s="15">
        <f t="shared" si="11"/>
        <v>314.15926535897933</v>
      </c>
      <c r="G132" s="15">
        <f t="shared" si="12"/>
        <v>105.23</v>
      </c>
      <c r="H132" s="15">
        <f t="shared" si="9"/>
        <v>2.9854534387435079</v>
      </c>
      <c r="I132" s="15"/>
    </row>
    <row r="133" spans="1:9" x14ac:dyDescent="0.2">
      <c r="A133" s="13" t="s">
        <v>996</v>
      </c>
      <c r="B133" s="13">
        <v>256</v>
      </c>
      <c r="C133" s="15">
        <v>3</v>
      </c>
      <c r="D133" s="15">
        <v>0.11543</v>
      </c>
      <c r="E133" s="15">
        <f t="shared" si="10"/>
        <v>3.8476666666666666E-2</v>
      </c>
      <c r="F133" s="15">
        <f t="shared" si="11"/>
        <v>314.15926535897933</v>
      </c>
      <c r="G133" s="15">
        <f t="shared" si="12"/>
        <v>115.43</v>
      </c>
      <c r="H133" s="15">
        <f t="shared" si="9"/>
        <v>2.7216431201505613</v>
      </c>
      <c r="I133" s="15"/>
    </row>
    <row r="134" spans="1:9" x14ac:dyDescent="0.2">
      <c r="A134" s="19" t="s">
        <v>1000</v>
      </c>
      <c r="B134" s="21">
        <v>259</v>
      </c>
      <c r="C134" s="37">
        <v>3</v>
      </c>
      <c r="D134" s="37">
        <v>0.10779</v>
      </c>
      <c r="E134" s="37">
        <f t="shared" si="10"/>
        <v>3.5929999999999997E-2</v>
      </c>
      <c r="F134" s="37">
        <f t="shared" si="11"/>
        <v>314.15926535897933</v>
      </c>
      <c r="G134" s="37">
        <f t="shared" si="12"/>
        <v>107.78999999999999</v>
      </c>
      <c r="H134" s="37">
        <f t="shared" ref="H134:H161" si="13">IFERROR(F134/G134, "")</f>
        <v>2.9145492657851317</v>
      </c>
      <c r="I134" s="37"/>
    </row>
    <row r="135" spans="1:9" x14ac:dyDescent="0.2">
      <c r="A135" s="19" t="s">
        <v>1001</v>
      </c>
      <c r="B135" s="21">
        <v>260</v>
      </c>
      <c r="C135" s="37">
        <v>3</v>
      </c>
      <c r="D135" s="37">
        <v>9.7159999999999996E-2</v>
      </c>
      <c r="E135" s="37">
        <f t="shared" si="10"/>
        <v>3.2386666666666668E-2</v>
      </c>
      <c r="F135" s="37">
        <f t="shared" si="11"/>
        <v>314.15926535897933</v>
      </c>
      <c r="G135" s="37">
        <f t="shared" si="12"/>
        <v>97.16</v>
      </c>
      <c r="H135" s="37">
        <f t="shared" si="13"/>
        <v>3.2334218336659051</v>
      </c>
      <c r="I135" s="37"/>
    </row>
    <row r="136" spans="1:9" x14ac:dyDescent="0.2">
      <c r="A136" s="19" t="s">
        <v>1005</v>
      </c>
      <c r="B136" s="21">
        <v>264</v>
      </c>
      <c r="C136" s="37">
        <v>3</v>
      </c>
      <c r="D136" s="37">
        <v>0.11243</v>
      </c>
      <c r="E136" s="37">
        <f t="shared" si="10"/>
        <v>3.7476666666666665E-2</v>
      </c>
      <c r="F136" s="37">
        <f t="shared" si="11"/>
        <v>314.15926535897933</v>
      </c>
      <c r="G136" s="37">
        <f t="shared" si="12"/>
        <v>112.43</v>
      </c>
      <c r="H136" s="37">
        <f t="shared" si="13"/>
        <v>2.7942654572532182</v>
      </c>
      <c r="I136" s="37"/>
    </row>
    <row r="137" spans="1:9" x14ac:dyDescent="0.2">
      <c r="A137" s="13" t="s">
        <v>1007</v>
      </c>
      <c r="B137" s="13">
        <v>265</v>
      </c>
      <c r="C137" s="15">
        <v>3</v>
      </c>
      <c r="D137" s="15">
        <v>9.0399999999999994E-2</v>
      </c>
      <c r="E137" s="15">
        <f t="shared" si="10"/>
        <v>3.0133333333333331E-2</v>
      </c>
      <c r="F137" s="15">
        <f t="shared" si="11"/>
        <v>314.15926535897933</v>
      </c>
      <c r="G137" s="15">
        <f t="shared" si="12"/>
        <v>90.399999999999991</v>
      </c>
      <c r="H137" s="15">
        <f t="shared" si="13"/>
        <v>3.4752131123780901</v>
      </c>
      <c r="I137" s="15"/>
    </row>
    <row r="138" spans="1:9" x14ac:dyDescent="0.2">
      <c r="A138" s="13" t="s">
        <v>1012</v>
      </c>
      <c r="B138" s="13">
        <v>270</v>
      </c>
      <c r="C138" s="15">
        <v>3</v>
      </c>
      <c r="D138" s="15">
        <v>8.7599999999999997E-2</v>
      </c>
      <c r="E138" s="15">
        <f t="shared" si="10"/>
        <v>2.92E-2</v>
      </c>
      <c r="F138" s="15">
        <f t="shared" si="11"/>
        <v>314.15926535897933</v>
      </c>
      <c r="G138" s="15">
        <f t="shared" si="12"/>
        <v>87.6</v>
      </c>
      <c r="H138" s="15">
        <f t="shared" si="13"/>
        <v>3.5862929835499924</v>
      </c>
      <c r="I138" s="15"/>
    </row>
    <row r="139" spans="1:9" x14ac:dyDescent="0.2">
      <c r="A139" s="13" t="s">
        <v>1014</v>
      </c>
      <c r="B139" s="13">
        <v>272</v>
      </c>
      <c r="C139" s="15">
        <v>3</v>
      </c>
      <c r="D139" s="15">
        <v>0.10059</v>
      </c>
      <c r="E139" s="15">
        <f t="shared" si="10"/>
        <v>3.3529999999999997E-2</v>
      </c>
      <c r="F139" s="15">
        <f t="shared" si="11"/>
        <v>314.15926535897933</v>
      </c>
      <c r="G139" s="15">
        <f t="shared" si="12"/>
        <v>100.59</v>
      </c>
      <c r="H139" s="15">
        <f t="shared" si="13"/>
        <v>3.1231659743411804</v>
      </c>
      <c r="I139" s="15"/>
    </row>
    <row r="140" spans="1:9" x14ac:dyDescent="0.2">
      <c r="A140" s="19" t="s">
        <v>1016</v>
      </c>
      <c r="B140" s="21">
        <v>273</v>
      </c>
      <c r="C140" s="37">
        <v>4</v>
      </c>
      <c r="D140" s="37">
        <v>6.3189999999999996E-2</v>
      </c>
      <c r="E140" s="37">
        <f t="shared" si="10"/>
        <v>1.5797499999999999E-2</v>
      </c>
      <c r="F140" s="37">
        <f t="shared" si="11"/>
        <v>314.15926535897933</v>
      </c>
      <c r="G140" s="37">
        <f t="shared" si="12"/>
        <v>63.19</v>
      </c>
      <c r="H140" s="37">
        <f t="shared" si="13"/>
        <v>4.9716611071210526</v>
      </c>
      <c r="I140" s="37"/>
    </row>
    <row r="141" spans="1:9" x14ac:dyDescent="0.2">
      <c r="A141" s="19" t="s">
        <v>1024</v>
      </c>
      <c r="B141" s="21">
        <v>279</v>
      </c>
      <c r="C141" s="37">
        <v>4</v>
      </c>
      <c r="D141" s="37">
        <v>6.7070000000000005E-2</v>
      </c>
      <c r="E141" s="37">
        <f t="shared" si="10"/>
        <v>1.6767500000000001E-2</v>
      </c>
      <c r="F141" s="37">
        <f t="shared" si="11"/>
        <v>314.15926535897933</v>
      </c>
      <c r="G141" s="37">
        <f t="shared" si="12"/>
        <v>67.070000000000007</v>
      </c>
      <c r="H141" s="37">
        <f t="shared" si="13"/>
        <v>4.6840504750108733</v>
      </c>
      <c r="I141" s="37"/>
    </row>
    <row r="142" spans="1:9" x14ac:dyDescent="0.2">
      <c r="A142" s="19" t="s">
        <v>1025</v>
      </c>
      <c r="B142" s="21">
        <v>280</v>
      </c>
      <c r="C142" s="37">
        <v>4</v>
      </c>
      <c r="D142" s="37">
        <v>7.1510000000000004E-2</v>
      </c>
      <c r="E142" s="37">
        <f t="shared" si="10"/>
        <v>1.7877500000000001E-2</v>
      </c>
      <c r="F142" s="37">
        <f t="shared" si="11"/>
        <v>314.15926535897933</v>
      </c>
      <c r="G142" s="37">
        <f t="shared" si="12"/>
        <v>71.510000000000005</v>
      </c>
      <c r="H142" s="37">
        <f t="shared" si="13"/>
        <v>4.3932214425811678</v>
      </c>
      <c r="I142" s="37"/>
    </row>
    <row r="143" spans="1:9" x14ac:dyDescent="0.2">
      <c r="A143" s="13" t="s">
        <v>1029</v>
      </c>
      <c r="B143" s="13">
        <v>283</v>
      </c>
      <c r="C143" s="15">
        <v>3</v>
      </c>
      <c r="D143" s="15">
        <v>0.11799</v>
      </c>
      <c r="E143" s="15">
        <f t="shared" si="10"/>
        <v>3.9329999999999997E-2</v>
      </c>
      <c r="F143" s="15">
        <f t="shared" si="11"/>
        <v>314.15926535897933</v>
      </c>
      <c r="G143" s="15">
        <f t="shared" si="12"/>
        <v>117.99</v>
      </c>
      <c r="H143" s="15">
        <f t="shared" si="13"/>
        <v>2.6625922989997401</v>
      </c>
      <c r="I143" s="15"/>
    </row>
    <row r="144" spans="1:9" x14ac:dyDescent="0.2">
      <c r="A144" s="13" t="s">
        <v>1032</v>
      </c>
      <c r="B144" s="13">
        <v>286</v>
      </c>
      <c r="C144" s="15">
        <v>3</v>
      </c>
      <c r="D144" s="15">
        <v>0.11049</v>
      </c>
      <c r="E144" s="15">
        <f t="shared" si="10"/>
        <v>3.6830000000000002E-2</v>
      </c>
      <c r="F144" s="15">
        <f t="shared" si="11"/>
        <v>314.15926535897933</v>
      </c>
      <c r="G144" s="15">
        <f t="shared" si="12"/>
        <v>110.49000000000001</v>
      </c>
      <c r="H144" s="15">
        <f t="shared" si="13"/>
        <v>2.8433275894558721</v>
      </c>
      <c r="I144" s="15"/>
    </row>
    <row r="145" spans="1:9" x14ac:dyDescent="0.2">
      <c r="A145" s="13" t="s">
        <v>1033</v>
      </c>
      <c r="B145" s="13">
        <v>287</v>
      </c>
      <c r="C145" s="15">
        <v>3</v>
      </c>
      <c r="D145" s="15">
        <v>0.12139</v>
      </c>
      <c r="E145" s="15">
        <f t="shared" si="10"/>
        <v>4.046333333333333E-2</v>
      </c>
      <c r="F145" s="15">
        <f t="shared" si="11"/>
        <v>314.15926535897933</v>
      </c>
      <c r="G145" s="15">
        <f t="shared" si="12"/>
        <v>121.39</v>
      </c>
      <c r="H145" s="15">
        <f t="shared" si="13"/>
        <v>2.5880160256938738</v>
      </c>
      <c r="I145" s="15"/>
    </row>
    <row r="146" spans="1:9" x14ac:dyDescent="0.2">
      <c r="A146" s="19" t="s">
        <v>1036</v>
      </c>
      <c r="B146" s="21">
        <v>289</v>
      </c>
      <c r="C146" s="37">
        <v>3</v>
      </c>
      <c r="D146" s="37">
        <v>8.7819999999999995E-2</v>
      </c>
      <c r="E146" s="37">
        <f t="shared" si="10"/>
        <v>2.9273333333333332E-2</v>
      </c>
      <c r="F146" s="37">
        <f t="shared" si="11"/>
        <v>314.15926535897933</v>
      </c>
      <c r="G146" s="37">
        <f t="shared" si="12"/>
        <v>87.82</v>
      </c>
      <c r="H146" s="37">
        <f t="shared" si="13"/>
        <v>3.5773088745044337</v>
      </c>
      <c r="I146" s="37"/>
    </row>
    <row r="147" spans="1:9" x14ac:dyDescent="0.2">
      <c r="A147" s="19" t="s">
        <v>1038</v>
      </c>
      <c r="B147" s="21">
        <v>291</v>
      </c>
      <c r="C147" s="37">
        <v>3</v>
      </c>
      <c r="D147" s="37">
        <v>9.425E-2</v>
      </c>
      <c r="E147" s="37">
        <f t="shared" si="10"/>
        <v>3.1416666666666669E-2</v>
      </c>
      <c r="F147" s="37">
        <f t="shared" si="11"/>
        <v>314.15926535897933</v>
      </c>
      <c r="G147" s="37">
        <f t="shared" si="12"/>
        <v>94.25</v>
      </c>
      <c r="H147" s="37">
        <f t="shared" si="13"/>
        <v>3.333254804869807</v>
      </c>
      <c r="I147" s="37"/>
    </row>
    <row r="148" spans="1:9" x14ac:dyDescent="0.2">
      <c r="A148" s="19" t="s">
        <v>1043</v>
      </c>
      <c r="B148" s="21">
        <v>296</v>
      </c>
      <c r="C148" s="37">
        <v>3</v>
      </c>
      <c r="D148" s="37">
        <v>0.10045</v>
      </c>
      <c r="E148" s="37">
        <f t="shared" si="10"/>
        <v>3.348333333333333E-2</v>
      </c>
      <c r="F148" s="37">
        <f t="shared" si="11"/>
        <v>314.15926535897933</v>
      </c>
      <c r="G148" s="37">
        <f t="shared" si="12"/>
        <v>100.45</v>
      </c>
      <c r="H148" s="37">
        <f t="shared" si="13"/>
        <v>3.1275188189047221</v>
      </c>
      <c r="I148" s="37"/>
    </row>
    <row r="149" spans="1:9" x14ac:dyDescent="0.2">
      <c r="A149" s="13" t="s">
        <v>1045</v>
      </c>
      <c r="B149" s="13">
        <v>297</v>
      </c>
      <c r="C149" s="15">
        <v>4</v>
      </c>
      <c r="D149" s="15">
        <v>5.9920000000000001E-2</v>
      </c>
      <c r="E149" s="15">
        <f t="shared" si="10"/>
        <v>1.498E-2</v>
      </c>
      <c r="F149" s="15">
        <f t="shared" si="11"/>
        <v>314.15926535897933</v>
      </c>
      <c r="G149" s="15">
        <f t="shared" si="12"/>
        <v>59.92</v>
      </c>
      <c r="H149" s="15">
        <f t="shared" si="13"/>
        <v>5.2429783938414438</v>
      </c>
      <c r="I149" s="15"/>
    </row>
    <row r="150" spans="1:9" x14ac:dyDescent="0.2">
      <c r="A150" s="13" t="s">
        <v>1046</v>
      </c>
      <c r="B150" s="13">
        <v>298</v>
      </c>
      <c r="C150" s="15">
        <v>3</v>
      </c>
      <c r="D150" s="15">
        <v>8.4779999999999994E-2</v>
      </c>
      <c r="E150" s="15">
        <f t="shared" si="10"/>
        <v>2.8259999999999997E-2</v>
      </c>
      <c r="F150" s="15">
        <f t="shared" si="11"/>
        <v>314.15926535897933</v>
      </c>
      <c r="G150" s="15">
        <f t="shared" si="12"/>
        <v>84.78</v>
      </c>
      <c r="H150" s="15">
        <f t="shared" si="13"/>
        <v>3.7055822759964534</v>
      </c>
      <c r="I150" s="15"/>
    </row>
    <row r="151" spans="1:9" x14ac:dyDescent="0.2">
      <c r="A151" s="13" t="s">
        <v>1049</v>
      </c>
      <c r="B151" s="13">
        <v>301</v>
      </c>
      <c r="C151" s="15">
        <v>4</v>
      </c>
      <c r="D151" s="15">
        <v>6.0040000000000003E-2</v>
      </c>
      <c r="E151" s="15">
        <f t="shared" si="10"/>
        <v>1.5010000000000001E-2</v>
      </c>
      <c r="F151" s="15">
        <f t="shared" si="11"/>
        <v>314.15926535897933</v>
      </c>
      <c r="G151" s="15">
        <f t="shared" si="12"/>
        <v>60.040000000000006</v>
      </c>
      <c r="H151" s="15">
        <f t="shared" si="13"/>
        <v>5.2324994230342989</v>
      </c>
      <c r="I151" s="15"/>
    </row>
    <row r="152" spans="1:9" x14ac:dyDescent="0.2">
      <c r="A152" s="13" t="s">
        <v>1050</v>
      </c>
      <c r="B152" s="13">
        <v>302</v>
      </c>
      <c r="C152" s="15">
        <v>3</v>
      </c>
      <c r="D152" s="15">
        <v>7.2470000000000007E-2</v>
      </c>
      <c r="E152" s="15">
        <f t="shared" si="10"/>
        <v>2.415666666666667E-2</v>
      </c>
      <c r="F152" s="15">
        <f t="shared" si="11"/>
        <v>314.15926535897933</v>
      </c>
      <c r="G152" s="15">
        <f t="shared" si="12"/>
        <v>72.470000000000013</v>
      </c>
      <c r="H152" s="15">
        <f t="shared" si="13"/>
        <v>4.335025049799631</v>
      </c>
      <c r="I152" s="15"/>
    </row>
    <row r="153" spans="1:9" x14ac:dyDescent="0.2">
      <c r="A153" s="13" t="s">
        <v>1051</v>
      </c>
      <c r="B153" s="13">
        <v>303</v>
      </c>
      <c r="C153" s="15">
        <v>3</v>
      </c>
      <c r="D153" s="15">
        <v>9.8250000000000004E-2</v>
      </c>
      <c r="E153" s="15">
        <f t="shared" si="10"/>
        <v>3.2750000000000001E-2</v>
      </c>
      <c r="F153" s="15">
        <f t="shared" si="11"/>
        <v>314.15926535897933</v>
      </c>
      <c r="G153" s="15">
        <f t="shared" si="12"/>
        <v>98.25</v>
      </c>
      <c r="H153" s="15">
        <f t="shared" si="13"/>
        <v>3.1975497746461001</v>
      </c>
      <c r="I153" s="15"/>
    </row>
    <row r="154" spans="1:9" x14ac:dyDescent="0.2">
      <c r="A154" s="13" t="s">
        <v>1052</v>
      </c>
      <c r="B154" s="13">
        <v>304</v>
      </c>
      <c r="C154" s="15">
        <v>4</v>
      </c>
      <c r="D154" s="15">
        <v>5.9310000000000002E-2</v>
      </c>
      <c r="E154" s="15">
        <f t="shared" si="10"/>
        <v>1.48275E-2</v>
      </c>
      <c r="F154" s="15">
        <f t="shared" si="11"/>
        <v>314.15926535897933</v>
      </c>
      <c r="G154" s="15">
        <f t="shared" si="12"/>
        <v>59.31</v>
      </c>
      <c r="H154" s="15">
        <f t="shared" si="13"/>
        <v>5.2969021304835495</v>
      </c>
      <c r="I154" s="15"/>
    </row>
    <row r="155" spans="1:9" x14ac:dyDescent="0.2">
      <c r="A155" s="19" t="s">
        <v>1054</v>
      </c>
      <c r="B155" s="21">
        <v>305</v>
      </c>
      <c r="C155" s="37">
        <v>4</v>
      </c>
      <c r="D155" s="37">
        <v>8.3949999999999997E-2</v>
      </c>
      <c r="E155" s="37">
        <f t="shared" si="10"/>
        <v>2.0987499999999999E-2</v>
      </c>
      <c r="F155" s="37">
        <f t="shared" si="11"/>
        <v>314.15926535897933</v>
      </c>
      <c r="G155" s="37">
        <f t="shared" si="12"/>
        <v>83.95</v>
      </c>
      <c r="H155" s="37">
        <f t="shared" si="13"/>
        <v>3.7422187654434702</v>
      </c>
      <c r="I155" s="37"/>
    </row>
    <row r="156" spans="1:9" x14ac:dyDescent="0.2">
      <c r="A156" s="19" t="s">
        <v>1055</v>
      </c>
      <c r="B156" s="21">
        <v>306</v>
      </c>
      <c r="C156" s="37">
        <v>4</v>
      </c>
      <c r="D156" s="37">
        <v>6.6089999999999996E-2</v>
      </c>
      <c r="E156" s="37">
        <f t="shared" si="10"/>
        <v>1.6522499999999999E-2</v>
      </c>
      <c r="F156" s="37">
        <f t="shared" si="11"/>
        <v>314.15926535897933</v>
      </c>
      <c r="G156" s="37">
        <f t="shared" si="12"/>
        <v>66.089999999999989</v>
      </c>
      <c r="H156" s="37">
        <f t="shared" si="13"/>
        <v>4.7535068143286336</v>
      </c>
      <c r="I156" s="37"/>
    </row>
    <row r="157" spans="1:9" x14ac:dyDescent="0.2">
      <c r="A157" s="19" t="s">
        <v>1060</v>
      </c>
      <c r="B157" s="21">
        <v>311</v>
      </c>
      <c r="C157" s="37">
        <v>4</v>
      </c>
      <c r="D157" s="37">
        <v>6.5240000000000006E-2</v>
      </c>
      <c r="E157" s="37">
        <f t="shared" si="10"/>
        <v>1.6310000000000002E-2</v>
      </c>
      <c r="F157" s="37">
        <f t="shared" si="11"/>
        <v>314.15926535897933</v>
      </c>
      <c r="G157" s="37">
        <f t="shared" si="12"/>
        <v>65.240000000000009</v>
      </c>
      <c r="H157" s="37">
        <f t="shared" si="13"/>
        <v>4.8154393831848452</v>
      </c>
      <c r="I157" s="37"/>
    </row>
    <row r="158" spans="1:9" x14ac:dyDescent="0.2">
      <c r="A158" s="13" t="s">
        <v>1063</v>
      </c>
      <c r="B158" s="13">
        <v>313</v>
      </c>
      <c r="C158" s="15">
        <v>3</v>
      </c>
      <c r="D158" s="15">
        <v>9.8659999999999998E-2</v>
      </c>
      <c r="E158" s="15">
        <f t="shared" si="10"/>
        <v>3.2886666666666668E-2</v>
      </c>
      <c r="F158" s="15">
        <f t="shared" si="11"/>
        <v>314.15926535897933</v>
      </c>
      <c r="G158" s="15">
        <f t="shared" si="12"/>
        <v>98.66</v>
      </c>
      <c r="H158" s="15">
        <f t="shared" si="13"/>
        <v>3.1842617611897359</v>
      </c>
      <c r="I158" s="15"/>
    </row>
    <row r="159" spans="1:9" x14ac:dyDescent="0.2">
      <c r="A159" s="13" t="s">
        <v>1064</v>
      </c>
      <c r="B159" s="13">
        <v>314</v>
      </c>
      <c r="C159" s="15">
        <v>3</v>
      </c>
      <c r="D159" s="15">
        <v>8.6690000000000003E-2</v>
      </c>
      <c r="E159" s="15">
        <f t="shared" si="10"/>
        <v>2.8896666666666668E-2</v>
      </c>
      <c r="F159" s="15">
        <f t="shared" si="11"/>
        <v>314.15926535897933</v>
      </c>
      <c r="G159" s="15">
        <f t="shared" si="12"/>
        <v>86.69</v>
      </c>
      <c r="H159" s="15">
        <f t="shared" si="13"/>
        <v>3.6239389244316453</v>
      </c>
      <c r="I159" s="15"/>
    </row>
    <row r="160" spans="1:9" x14ac:dyDescent="0.2">
      <c r="A160" s="13" t="s">
        <v>1070</v>
      </c>
      <c r="B160" s="13">
        <v>320</v>
      </c>
      <c r="C160" s="15">
        <v>3</v>
      </c>
      <c r="D160" s="15">
        <v>0.11339</v>
      </c>
      <c r="E160" s="15">
        <f t="shared" si="10"/>
        <v>3.7796666666666666E-2</v>
      </c>
      <c r="F160" s="15">
        <f t="shared" si="11"/>
        <v>314.15926535897933</v>
      </c>
      <c r="G160" s="15">
        <f t="shared" si="12"/>
        <v>113.39</v>
      </c>
      <c r="H160" s="15">
        <f t="shared" si="13"/>
        <v>2.7706082137664638</v>
      </c>
      <c r="I160" s="15"/>
    </row>
    <row r="161" spans="1:9" x14ac:dyDescent="0.2">
      <c r="A161" s="19" t="s">
        <v>1072</v>
      </c>
      <c r="B161" s="21">
        <v>321</v>
      </c>
      <c r="C161" s="37">
        <v>4</v>
      </c>
      <c r="D161" s="37">
        <v>6.9779999999999995E-2</v>
      </c>
      <c r="E161" s="37">
        <f t="shared" si="10"/>
        <v>1.7444999999999999E-2</v>
      </c>
      <c r="F161" s="37">
        <f t="shared" si="11"/>
        <v>314.15926535897933</v>
      </c>
      <c r="G161" s="37">
        <f t="shared" si="12"/>
        <v>69.78</v>
      </c>
      <c r="H161" s="37">
        <f t="shared" si="13"/>
        <v>4.5021390851100502</v>
      </c>
      <c r="I161" s="37"/>
    </row>
    <row r="162" spans="1:9" x14ac:dyDescent="0.2">
      <c r="A162" s="19" t="s">
        <v>1075</v>
      </c>
      <c r="B162" s="21">
        <v>324</v>
      </c>
      <c r="C162" s="37">
        <v>4</v>
      </c>
      <c r="D162" s="37">
        <v>7.1480000000000002E-2</v>
      </c>
      <c r="E162" s="37">
        <f t="shared" si="10"/>
        <v>1.787E-2</v>
      </c>
      <c r="F162" s="37">
        <f t="shared" si="11"/>
        <v>314.15926535897933</v>
      </c>
      <c r="G162" s="37">
        <f t="shared" si="12"/>
        <v>71.48</v>
      </c>
      <c r="H162" s="37">
        <f t="shared" ref="H162:H193" si="14">IFERROR(F162/G162, "")</f>
        <v>4.3950652680327265</v>
      </c>
      <c r="I162" s="37"/>
    </row>
    <row r="163" spans="1:9" x14ac:dyDescent="0.2">
      <c r="A163" s="19" t="s">
        <v>1076</v>
      </c>
      <c r="B163" s="21">
        <v>325</v>
      </c>
      <c r="C163" s="37">
        <v>4</v>
      </c>
      <c r="D163" s="37">
        <v>6.0970000000000003E-2</v>
      </c>
      <c r="E163" s="37">
        <f t="shared" si="10"/>
        <v>1.5242500000000001E-2</v>
      </c>
      <c r="F163" s="37">
        <f t="shared" si="11"/>
        <v>314.15926535897933</v>
      </c>
      <c r="G163" s="37">
        <f t="shared" si="12"/>
        <v>60.970000000000006</v>
      </c>
      <c r="H163" s="37">
        <f t="shared" si="14"/>
        <v>5.1526859989991687</v>
      </c>
      <c r="I163" s="37"/>
    </row>
    <row r="164" spans="1:9" x14ac:dyDescent="0.2">
      <c r="A164" s="13" t="s">
        <v>1081</v>
      </c>
      <c r="B164" s="13">
        <v>329</v>
      </c>
      <c r="C164" s="15">
        <v>3</v>
      </c>
      <c r="D164" s="15">
        <v>0.1227</v>
      </c>
      <c r="E164" s="15">
        <f t="shared" si="10"/>
        <v>4.0899999999999999E-2</v>
      </c>
      <c r="F164" s="15">
        <f t="shared" si="11"/>
        <v>314.15926535897933</v>
      </c>
      <c r="G164" s="15">
        <f t="shared" si="12"/>
        <v>122.7</v>
      </c>
      <c r="H164" s="15">
        <f t="shared" si="14"/>
        <v>2.5603852107496277</v>
      </c>
      <c r="I164" s="15"/>
    </row>
    <row r="165" spans="1:9" x14ac:dyDescent="0.2">
      <c r="A165" s="13" t="s">
        <v>1085</v>
      </c>
      <c r="B165" s="13">
        <v>332</v>
      </c>
      <c r="C165" s="15">
        <v>3</v>
      </c>
      <c r="D165" s="15">
        <v>0.12609000000000001</v>
      </c>
      <c r="E165" s="15">
        <f t="shared" si="10"/>
        <v>4.2030000000000005E-2</v>
      </c>
      <c r="F165" s="15">
        <f t="shared" si="11"/>
        <v>314.15926535897933</v>
      </c>
      <c r="G165" s="15">
        <f t="shared" si="12"/>
        <v>126.09</v>
      </c>
      <c r="H165" s="15">
        <f t="shared" si="14"/>
        <v>2.4915478258305916</v>
      </c>
      <c r="I165" s="15"/>
    </row>
    <row r="166" spans="1:9" x14ac:dyDescent="0.2">
      <c r="A166" s="13" t="s">
        <v>1089</v>
      </c>
      <c r="B166" s="13">
        <v>336</v>
      </c>
      <c r="C166" s="15">
        <v>3</v>
      </c>
      <c r="D166" s="15">
        <v>0.12318</v>
      </c>
      <c r="E166" s="15">
        <f t="shared" si="10"/>
        <v>4.1059999999999999E-2</v>
      </c>
      <c r="F166" s="15">
        <f t="shared" si="11"/>
        <v>314.15926535897933</v>
      </c>
      <c r="G166" s="15">
        <f t="shared" si="12"/>
        <v>123.17999999999999</v>
      </c>
      <c r="H166" s="15">
        <f t="shared" si="14"/>
        <v>2.5504080642878662</v>
      </c>
      <c r="I166" s="15"/>
    </row>
    <row r="167" spans="1:9" x14ac:dyDescent="0.2">
      <c r="A167" s="19" t="s">
        <v>1091</v>
      </c>
      <c r="B167" s="21">
        <v>337</v>
      </c>
      <c r="C167" s="37">
        <v>4</v>
      </c>
      <c r="D167" s="37">
        <v>6.7419999999999994E-2</v>
      </c>
      <c r="E167" s="37">
        <f t="shared" si="10"/>
        <v>1.6854999999999998E-2</v>
      </c>
      <c r="F167" s="37">
        <f t="shared" si="11"/>
        <v>314.15926535897933</v>
      </c>
      <c r="G167" s="37">
        <f t="shared" si="12"/>
        <v>67.419999999999987</v>
      </c>
      <c r="H167" s="37">
        <f t="shared" si="14"/>
        <v>4.6597339863390594</v>
      </c>
      <c r="I167" s="37"/>
    </row>
    <row r="168" spans="1:9" x14ac:dyDescent="0.2">
      <c r="A168" s="19" t="s">
        <v>1092</v>
      </c>
      <c r="B168" s="21">
        <v>338</v>
      </c>
      <c r="C168" s="37">
        <v>3</v>
      </c>
      <c r="D168" s="37">
        <v>8.5050000000000001E-2</v>
      </c>
      <c r="E168" s="37">
        <f t="shared" si="10"/>
        <v>2.835E-2</v>
      </c>
      <c r="F168" s="37">
        <f t="shared" si="11"/>
        <v>314.15926535897933</v>
      </c>
      <c r="G168" s="37">
        <f t="shared" si="12"/>
        <v>85.05</v>
      </c>
      <c r="H168" s="37">
        <f t="shared" si="14"/>
        <v>3.6938185227393219</v>
      </c>
      <c r="I168" s="37"/>
    </row>
    <row r="169" spans="1:9" x14ac:dyDescent="0.2">
      <c r="A169" s="19" t="s">
        <v>1093</v>
      </c>
      <c r="B169" s="21">
        <v>339</v>
      </c>
      <c r="C169" s="37">
        <v>3</v>
      </c>
      <c r="D169" s="37">
        <v>0.10022</v>
      </c>
      <c r="E169" s="37">
        <f t="shared" si="10"/>
        <v>3.3406666666666668E-2</v>
      </c>
      <c r="F169" s="37">
        <f t="shared" si="11"/>
        <v>314.15926535897933</v>
      </c>
      <c r="G169" s="37">
        <f t="shared" si="12"/>
        <v>100.22</v>
      </c>
      <c r="H169" s="37">
        <f t="shared" si="14"/>
        <v>3.1346963216820929</v>
      </c>
      <c r="I169" s="37"/>
    </row>
    <row r="170" spans="1:9" x14ac:dyDescent="0.2">
      <c r="A170" s="19" t="s">
        <v>1095</v>
      </c>
      <c r="B170" s="21">
        <v>341</v>
      </c>
      <c r="C170" s="37">
        <v>4</v>
      </c>
      <c r="D170" s="37">
        <v>7.5740000000000002E-2</v>
      </c>
      <c r="E170" s="37">
        <f t="shared" si="10"/>
        <v>1.8935E-2</v>
      </c>
      <c r="F170" s="37">
        <f t="shared" si="11"/>
        <v>314.15926535897933</v>
      </c>
      <c r="G170" s="37">
        <f t="shared" si="12"/>
        <v>75.739999999999995</v>
      </c>
      <c r="H170" s="37">
        <f t="shared" si="14"/>
        <v>4.1478646073274277</v>
      </c>
      <c r="I170" s="37"/>
    </row>
    <row r="171" spans="1:9" x14ac:dyDescent="0.2">
      <c r="A171" s="19" t="s">
        <v>1096</v>
      </c>
      <c r="B171" s="21">
        <v>342</v>
      </c>
      <c r="C171" s="37">
        <v>3</v>
      </c>
      <c r="D171" s="37">
        <v>0.11067</v>
      </c>
      <c r="E171" s="37">
        <f t="shared" si="10"/>
        <v>3.6889999999999999E-2</v>
      </c>
      <c r="F171" s="37">
        <f t="shared" si="11"/>
        <v>314.15926535897933</v>
      </c>
      <c r="G171" s="37">
        <f t="shared" si="12"/>
        <v>110.67</v>
      </c>
      <c r="H171" s="37">
        <f t="shared" si="14"/>
        <v>2.8387030392968224</v>
      </c>
      <c r="I171" s="37"/>
    </row>
    <row r="172" spans="1:9" x14ac:dyDescent="0.2">
      <c r="A172" s="19" t="s">
        <v>1098</v>
      </c>
      <c r="B172" s="21">
        <v>344</v>
      </c>
      <c r="C172" s="37">
        <v>4</v>
      </c>
      <c r="D172" s="37">
        <v>9.4469999999999998E-2</v>
      </c>
      <c r="E172" s="37">
        <f t="shared" si="10"/>
        <v>2.36175E-2</v>
      </c>
      <c r="F172" s="37">
        <f t="shared" si="11"/>
        <v>314.15926535897933</v>
      </c>
      <c r="G172" s="37">
        <f t="shared" si="12"/>
        <v>94.47</v>
      </c>
      <c r="H172" s="37">
        <f t="shared" si="14"/>
        <v>3.3254923823327971</v>
      </c>
      <c r="I172" s="37"/>
    </row>
    <row r="173" spans="1:9" x14ac:dyDescent="0.2">
      <c r="A173" s="13" t="s">
        <v>1101</v>
      </c>
      <c r="B173" s="13">
        <v>346</v>
      </c>
      <c r="C173" s="15">
        <v>4</v>
      </c>
      <c r="D173" s="15">
        <v>6.8709999999999993E-2</v>
      </c>
      <c r="E173" s="15">
        <f t="shared" si="10"/>
        <v>1.7177499999999998E-2</v>
      </c>
      <c r="F173" s="15">
        <f t="shared" si="11"/>
        <v>314.15926535897933</v>
      </c>
      <c r="G173" s="15">
        <f t="shared" si="12"/>
        <v>68.709999999999994</v>
      </c>
      <c r="H173" s="15">
        <f t="shared" si="14"/>
        <v>4.5722495322220835</v>
      </c>
      <c r="I173" s="15"/>
    </row>
    <row r="174" spans="1:9" x14ac:dyDescent="0.2">
      <c r="A174" s="13" t="s">
        <v>1102</v>
      </c>
      <c r="B174" s="13">
        <v>347</v>
      </c>
      <c r="C174" s="15">
        <v>4</v>
      </c>
      <c r="D174" s="15">
        <v>6.0240000000000002E-2</v>
      </c>
      <c r="E174" s="15">
        <f t="shared" si="10"/>
        <v>1.506E-2</v>
      </c>
      <c r="F174" s="15">
        <f t="shared" si="11"/>
        <v>314.15926535897933</v>
      </c>
      <c r="G174" s="15">
        <f t="shared" si="12"/>
        <v>60.24</v>
      </c>
      <c r="H174" s="15">
        <f t="shared" si="14"/>
        <v>5.2151272469950083</v>
      </c>
      <c r="I174" s="15"/>
    </row>
    <row r="175" spans="1:9" x14ac:dyDescent="0.2">
      <c r="A175" s="13" t="s">
        <v>1107</v>
      </c>
      <c r="B175" s="13">
        <v>352</v>
      </c>
      <c r="C175" s="15">
        <v>4</v>
      </c>
      <c r="D175" s="15">
        <v>7.3039999999999994E-2</v>
      </c>
      <c r="E175" s="15">
        <f t="shared" si="10"/>
        <v>1.8259999999999998E-2</v>
      </c>
      <c r="F175" s="15">
        <f t="shared" si="11"/>
        <v>314.15926535897933</v>
      </c>
      <c r="G175" s="15">
        <f t="shared" si="12"/>
        <v>73.039999999999992</v>
      </c>
      <c r="H175" s="15">
        <f t="shared" si="14"/>
        <v>4.3011947612127512</v>
      </c>
      <c r="I175" s="15"/>
    </row>
    <row r="176" spans="1:9" x14ac:dyDescent="0.2">
      <c r="A176" s="19" t="s">
        <v>1109</v>
      </c>
      <c r="B176" s="21">
        <v>353</v>
      </c>
      <c r="C176" s="37">
        <v>4</v>
      </c>
      <c r="D176" s="37">
        <v>7.1879999999999999E-2</v>
      </c>
      <c r="E176" s="37">
        <f t="shared" si="10"/>
        <v>1.797E-2</v>
      </c>
      <c r="F176" s="37">
        <f t="shared" si="11"/>
        <v>314.15926535897933</v>
      </c>
      <c r="G176" s="37">
        <f t="shared" si="12"/>
        <v>71.88</v>
      </c>
      <c r="H176" s="37">
        <f t="shared" si="14"/>
        <v>4.3706074757787885</v>
      </c>
      <c r="I176" s="37"/>
    </row>
    <row r="177" spans="1:9" x14ac:dyDescent="0.2">
      <c r="A177" s="19" t="s">
        <v>1111</v>
      </c>
      <c r="B177" s="21">
        <v>355</v>
      </c>
      <c r="C177" s="37">
        <v>4</v>
      </c>
      <c r="D177" s="37">
        <v>7.349E-2</v>
      </c>
      <c r="E177" s="37">
        <f t="shared" si="10"/>
        <v>1.83725E-2</v>
      </c>
      <c r="F177" s="37">
        <f t="shared" si="11"/>
        <v>314.15926535897933</v>
      </c>
      <c r="G177" s="37">
        <f t="shared" si="12"/>
        <v>73.489999999999995</v>
      </c>
      <c r="H177" s="37">
        <f t="shared" si="14"/>
        <v>4.2748573324122923</v>
      </c>
      <c r="I177" s="37"/>
    </row>
    <row r="178" spans="1:9" x14ac:dyDescent="0.2">
      <c r="A178" s="19" t="s">
        <v>1112</v>
      </c>
      <c r="B178" s="21">
        <v>356</v>
      </c>
      <c r="C178" s="37">
        <v>4</v>
      </c>
      <c r="D178" s="37">
        <v>5.262E-2</v>
      </c>
      <c r="E178" s="37">
        <f t="shared" si="10"/>
        <v>1.3155E-2</v>
      </c>
      <c r="F178" s="37">
        <f t="shared" si="11"/>
        <v>314.15926535897933</v>
      </c>
      <c r="G178" s="37">
        <f t="shared" si="12"/>
        <v>52.62</v>
      </c>
      <c r="H178" s="37">
        <f t="shared" si="14"/>
        <v>5.9703395165142403</v>
      </c>
      <c r="I178" s="37"/>
    </row>
    <row r="179" spans="1:9" x14ac:dyDescent="0.2">
      <c r="A179" s="13" t="s">
        <v>1118</v>
      </c>
      <c r="B179" s="13">
        <v>361</v>
      </c>
      <c r="C179" s="15">
        <v>4</v>
      </c>
      <c r="D179" s="15">
        <v>6.7449999999999996E-2</v>
      </c>
      <c r="E179" s="15">
        <f t="shared" si="10"/>
        <v>1.6862499999999999E-2</v>
      </c>
      <c r="F179" s="15">
        <f t="shared" si="11"/>
        <v>314.15926535897933</v>
      </c>
      <c r="G179" s="15">
        <f t="shared" si="12"/>
        <v>67.45</v>
      </c>
      <c r="H179" s="15">
        <f t="shared" si="14"/>
        <v>4.6576614582502494</v>
      </c>
      <c r="I179" s="15"/>
    </row>
    <row r="180" spans="1:9" x14ac:dyDescent="0.2">
      <c r="A180" s="13" t="s">
        <v>1119</v>
      </c>
      <c r="B180" s="13">
        <v>362</v>
      </c>
      <c r="C180" s="15">
        <v>3</v>
      </c>
      <c r="D180" s="15">
        <v>8.2919999999999994E-2</v>
      </c>
      <c r="E180" s="15">
        <f t="shared" si="10"/>
        <v>2.7639999999999998E-2</v>
      </c>
      <c r="F180" s="15">
        <f t="shared" si="11"/>
        <v>314.15926535897933</v>
      </c>
      <c r="G180" s="15">
        <f t="shared" si="12"/>
        <v>82.919999999999987</v>
      </c>
      <c r="H180" s="15">
        <f t="shared" si="14"/>
        <v>3.7887031519413816</v>
      </c>
      <c r="I180" s="15"/>
    </row>
    <row r="181" spans="1:9" x14ac:dyDescent="0.2">
      <c r="A181" s="13" t="s">
        <v>1120</v>
      </c>
      <c r="B181" s="13">
        <v>363</v>
      </c>
      <c r="C181" s="15">
        <v>3</v>
      </c>
      <c r="D181" s="15">
        <v>8.9620000000000005E-2</v>
      </c>
      <c r="E181" s="15">
        <f t="shared" si="10"/>
        <v>2.9873333333333335E-2</v>
      </c>
      <c r="F181" s="15">
        <f t="shared" si="11"/>
        <v>314.15926535897933</v>
      </c>
      <c r="G181" s="15">
        <f t="shared" si="12"/>
        <v>89.62</v>
      </c>
      <c r="H181" s="15">
        <f t="shared" si="14"/>
        <v>3.5054593322805099</v>
      </c>
      <c r="I181" s="15"/>
    </row>
    <row r="182" spans="1:9" x14ac:dyDescent="0.2">
      <c r="A182" s="13" t="s">
        <v>1121</v>
      </c>
      <c r="B182" s="13">
        <v>364</v>
      </c>
      <c r="C182" s="15">
        <v>4</v>
      </c>
      <c r="D182" s="15">
        <v>5.5140000000000002E-2</v>
      </c>
      <c r="E182" s="15">
        <f t="shared" si="10"/>
        <v>1.3785E-2</v>
      </c>
      <c r="F182" s="15">
        <f t="shared" si="11"/>
        <v>314.15926535897933</v>
      </c>
      <c r="G182" s="15">
        <f t="shared" si="12"/>
        <v>55.14</v>
      </c>
      <c r="H182" s="15">
        <f t="shared" si="14"/>
        <v>5.6974839564559181</v>
      </c>
      <c r="I182" s="15"/>
    </row>
    <row r="183" spans="1:9" x14ac:dyDescent="0.2">
      <c r="A183" s="13" t="s">
        <v>1124</v>
      </c>
      <c r="B183" s="13">
        <v>367</v>
      </c>
      <c r="C183" s="15">
        <v>3</v>
      </c>
      <c r="D183" s="15">
        <v>0.11339</v>
      </c>
      <c r="E183" s="15">
        <f t="shared" si="10"/>
        <v>3.7796666666666666E-2</v>
      </c>
      <c r="F183" s="15">
        <f t="shared" si="11"/>
        <v>314.15926535897933</v>
      </c>
      <c r="G183" s="15">
        <f t="shared" si="12"/>
        <v>113.39</v>
      </c>
      <c r="H183" s="15">
        <f t="shared" si="14"/>
        <v>2.7706082137664638</v>
      </c>
      <c r="I183" s="15"/>
    </row>
    <row r="184" spans="1:9" x14ac:dyDescent="0.2">
      <c r="A184" s="13" t="s">
        <v>1125</v>
      </c>
      <c r="B184" s="13">
        <v>368</v>
      </c>
      <c r="C184" s="15">
        <v>4</v>
      </c>
      <c r="D184" s="15">
        <v>8.0939999999999998E-2</v>
      </c>
      <c r="E184" s="15">
        <f t="shared" si="10"/>
        <v>2.0235E-2</v>
      </c>
      <c r="F184" s="15">
        <f t="shared" si="11"/>
        <v>314.15926535897933</v>
      </c>
      <c r="G184" s="15">
        <f t="shared" si="12"/>
        <v>80.94</v>
      </c>
      <c r="H184" s="15">
        <f t="shared" si="14"/>
        <v>3.8813845485418748</v>
      </c>
      <c r="I184" s="15"/>
    </row>
    <row r="185" spans="1:9" x14ac:dyDescent="0.2">
      <c r="A185" s="19" t="s">
        <v>1127</v>
      </c>
      <c r="B185" s="21">
        <v>369</v>
      </c>
      <c r="C185" s="37">
        <v>3</v>
      </c>
      <c r="D185" s="37">
        <v>5.5590000000000001E-2</v>
      </c>
      <c r="E185" s="37">
        <f t="shared" si="10"/>
        <v>1.8530000000000001E-2</v>
      </c>
      <c r="F185" s="37">
        <f t="shared" si="11"/>
        <v>314.15926535897933</v>
      </c>
      <c r="G185" s="37">
        <f t="shared" si="12"/>
        <v>55.59</v>
      </c>
      <c r="H185" s="37">
        <f t="shared" si="14"/>
        <v>5.6513629314441323</v>
      </c>
      <c r="I185" s="37" t="s">
        <v>1807</v>
      </c>
    </row>
    <row r="186" spans="1:9" x14ac:dyDescent="0.2">
      <c r="A186" s="19" t="s">
        <v>1128</v>
      </c>
      <c r="B186" s="21">
        <v>370</v>
      </c>
      <c r="C186" s="37">
        <v>3</v>
      </c>
      <c r="D186" s="37">
        <v>8.6199999999999999E-2</v>
      </c>
      <c r="E186" s="37">
        <f t="shared" si="10"/>
        <v>2.8733333333333333E-2</v>
      </c>
      <c r="F186" s="37">
        <f t="shared" si="11"/>
        <v>314.15926535897933</v>
      </c>
      <c r="G186" s="37">
        <f t="shared" si="12"/>
        <v>86.2</v>
      </c>
      <c r="H186" s="37">
        <f t="shared" si="14"/>
        <v>3.6445390412874632</v>
      </c>
      <c r="I186" s="37"/>
    </row>
    <row r="187" spans="1:9" x14ac:dyDescent="0.2">
      <c r="A187" s="19" t="s">
        <v>1129</v>
      </c>
      <c r="B187" s="21">
        <v>371</v>
      </c>
      <c r="C187" s="37">
        <v>3</v>
      </c>
      <c r="D187" s="37">
        <v>7.4819999999999998E-2</v>
      </c>
      <c r="E187" s="37">
        <f t="shared" si="10"/>
        <v>2.494E-2</v>
      </c>
      <c r="F187" s="37">
        <f t="shared" si="11"/>
        <v>314.15926535897933</v>
      </c>
      <c r="G187" s="37">
        <f t="shared" si="12"/>
        <v>74.819999999999993</v>
      </c>
      <c r="H187" s="37">
        <f t="shared" si="14"/>
        <v>4.1988674867546028</v>
      </c>
      <c r="I187" s="37"/>
    </row>
    <row r="188" spans="1:9" x14ac:dyDescent="0.2">
      <c r="A188" s="19" t="s">
        <v>1130</v>
      </c>
      <c r="B188" s="21">
        <v>372</v>
      </c>
      <c r="C188" s="37">
        <v>4</v>
      </c>
      <c r="D188" s="37">
        <v>6.1030000000000001E-2</v>
      </c>
      <c r="E188" s="37">
        <f t="shared" si="10"/>
        <v>1.52575E-2</v>
      </c>
      <c r="F188" s="37">
        <f t="shared" si="11"/>
        <v>314.15926535897933</v>
      </c>
      <c r="G188" s="37">
        <f t="shared" si="12"/>
        <v>61.03</v>
      </c>
      <c r="H188" s="37">
        <f t="shared" si="14"/>
        <v>5.1476202746023159</v>
      </c>
      <c r="I188" s="37"/>
    </row>
    <row r="189" spans="1:9" x14ac:dyDescent="0.2">
      <c r="A189" s="19" t="s">
        <v>1133</v>
      </c>
      <c r="B189" s="21">
        <v>375</v>
      </c>
      <c r="C189" s="37">
        <v>3</v>
      </c>
      <c r="D189" s="37">
        <v>9.5699999999999993E-2</v>
      </c>
      <c r="E189" s="37">
        <f t="shared" ref="E189:E251" si="15">IF(D189=0, "", D189/C189)</f>
        <v>3.1899999999999998E-2</v>
      </c>
      <c r="F189" s="37">
        <f t="shared" ref="F189:F251" si="16">IF(D189=0, "", PI()*100)</f>
        <v>314.15926535897933</v>
      </c>
      <c r="G189" s="37">
        <f t="shared" ref="G189:G251" si="17">IF(D189=0, "", D189*1000)</f>
        <v>95.699999999999989</v>
      </c>
      <c r="H189" s="37">
        <f t="shared" si="14"/>
        <v>3.2827509441899618</v>
      </c>
      <c r="I189" s="37"/>
    </row>
    <row r="190" spans="1:9" x14ac:dyDescent="0.2">
      <c r="A190" s="19" t="s">
        <v>1134</v>
      </c>
      <c r="B190" s="21">
        <v>376</v>
      </c>
      <c r="C190" s="37">
        <v>4</v>
      </c>
      <c r="D190" s="37">
        <v>6.6890000000000005E-2</v>
      </c>
      <c r="E190" s="37">
        <f t="shared" si="15"/>
        <v>1.6722500000000001E-2</v>
      </c>
      <c r="F190" s="37">
        <f t="shared" si="16"/>
        <v>314.15926535897933</v>
      </c>
      <c r="G190" s="37">
        <f t="shared" si="17"/>
        <v>66.89</v>
      </c>
      <c r="H190" s="37">
        <f t="shared" si="14"/>
        <v>4.6966551855132206</v>
      </c>
      <c r="I190" s="37"/>
    </row>
    <row r="191" spans="1:9" x14ac:dyDescent="0.2">
      <c r="A191" s="13" t="s">
        <v>1137</v>
      </c>
      <c r="B191" s="13">
        <v>378</v>
      </c>
      <c r="C191" s="15">
        <v>3</v>
      </c>
      <c r="D191" s="15">
        <v>0.10664</v>
      </c>
      <c r="E191" s="15">
        <f t="shared" si="15"/>
        <v>3.5546666666666664E-2</v>
      </c>
      <c r="F191" s="15">
        <f t="shared" si="16"/>
        <v>314.15926535897933</v>
      </c>
      <c r="G191" s="15">
        <f t="shared" si="17"/>
        <v>106.64</v>
      </c>
      <c r="H191" s="15">
        <f t="shared" si="14"/>
        <v>2.9459796076423417</v>
      </c>
      <c r="I191" s="15"/>
    </row>
    <row r="192" spans="1:9" x14ac:dyDescent="0.2">
      <c r="A192" s="13" t="s">
        <v>1138</v>
      </c>
      <c r="B192" s="13">
        <v>379</v>
      </c>
      <c r="C192" s="15">
        <v>3</v>
      </c>
      <c r="D192" s="15">
        <v>9.1139999999999999E-2</v>
      </c>
      <c r="E192" s="15">
        <f t="shared" si="15"/>
        <v>3.0380000000000001E-2</v>
      </c>
      <c r="F192" s="15">
        <f t="shared" si="16"/>
        <v>314.15926535897933</v>
      </c>
      <c r="G192" s="15">
        <f t="shared" si="17"/>
        <v>91.14</v>
      </c>
      <c r="H192" s="15">
        <f t="shared" si="14"/>
        <v>3.4469965477175699</v>
      </c>
      <c r="I192" s="15"/>
    </row>
    <row r="193" spans="1:9" x14ac:dyDescent="0.2">
      <c r="A193" s="13" t="s">
        <v>1142</v>
      </c>
      <c r="B193" s="13">
        <v>383</v>
      </c>
      <c r="C193" s="15">
        <v>3</v>
      </c>
      <c r="D193" s="15">
        <v>0.11994</v>
      </c>
      <c r="E193" s="15">
        <f t="shared" si="15"/>
        <v>3.9980000000000002E-2</v>
      </c>
      <c r="F193" s="15">
        <f t="shared" si="16"/>
        <v>314.15926535897933</v>
      </c>
      <c r="G193" s="15">
        <f t="shared" si="17"/>
        <v>119.94000000000001</v>
      </c>
      <c r="H193" s="15">
        <f t="shared" si="14"/>
        <v>2.6193035297563725</v>
      </c>
      <c r="I193" s="15"/>
    </row>
    <row r="194" spans="1:9" x14ac:dyDescent="0.2">
      <c r="A194" s="19" t="s">
        <v>1146</v>
      </c>
      <c r="B194" s="21">
        <v>386</v>
      </c>
      <c r="C194" s="37">
        <v>4</v>
      </c>
      <c r="D194" s="37">
        <v>6.6720000000000002E-2</v>
      </c>
      <c r="E194" s="37">
        <f t="shared" si="15"/>
        <v>1.668E-2</v>
      </c>
      <c r="F194" s="37">
        <f t="shared" si="16"/>
        <v>314.15926535897933</v>
      </c>
      <c r="G194" s="37">
        <f t="shared" si="17"/>
        <v>66.72</v>
      </c>
      <c r="H194" s="37">
        <f t="shared" ref="H194:H230" si="18">IFERROR(F194/G194, "")</f>
        <v>4.7086220827185148</v>
      </c>
      <c r="I194" s="37"/>
    </row>
    <row r="195" spans="1:9" x14ac:dyDescent="0.2">
      <c r="A195" s="19" t="s">
        <v>1149</v>
      </c>
      <c r="B195" s="21">
        <v>389</v>
      </c>
      <c r="C195" s="37">
        <v>4</v>
      </c>
      <c r="D195" s="37">
        <v>6.5769999999999995E-2</v>
      </c>
      <c r="E195" s="37">
        <f t="shared" si="15"/>
        <v>1.6442499999999999E-2</v>
      </c>
      <c r="F195" s="37">
        <f t="shared" si="16"/>
        <v>314.15926535897933</v>
      </c>
      <c r="G195" s="37">
        <f t="shared" si="17"/>
        <v>65.77</v>
      </c>
      <c r="H195" s="37">
        <f t="shared" si="18"/>
        <v>4.7766347173328167</v>
      </c>
      <c r="I195" s="37"/>
    </row>
    <row r="196" spans="1:9" x14ac:dyDescent="0.2">
      <c r="A196" s="19" t="s">
        <v>1152</v>
      </c>
      <c r="B196" s="21">
        <v>392</v>
      </c>
      <c r="C196" s="37">
        <v>4</v>
      </c>
      <c r="D196" s="37">
        <v>6.0850000000000001E-2</v>
      </c>
      <c r="E196" s="37">
        <f t="shared" si="15"/>
        <v>1.52125E-2</v>
      </c>
      <c r="F196" s="37">
        <f t="shared" si="16"/>
        <v>314.15926535897933</v>
      </c>
      <c r="G196" s="37">
        <f t="shared" si="17"/>
        <v>60.85</v>
      </c>
      <c r="H196" s="37">
        <f t="shared" si="18"/>
        <v>5.1628474175674501</v>
      </c>
      <c r="I196" s="37"/>
    </row>
    <row r="197" spans="1:9" x14ac:dyDescent="0.2">
      <c r="A197" s="13" t="s">
        <v>1155</v>
      </c>
      <c r="B197" s="13">
        <v>394</v>
      </c>
      <c r="C197" s="15">
        <v>3</v>
      </c>
      <c r="D197" s="15">
        <v>9.9739999999999995E-2</v>
      </c>
      <c r="E197" s="15">
        <f t="shared" si="15"/>
        <v>3.3246666666666667E-2</v>
      </c>
      <c r="F197" s="15">
        <f t="shared" si="16"/>
        <v>314.15926535897933</v>
      </c>
      <c r="G197" s="15">
        <f t="shared" si="17"/>
        <v>99.74</v>
      </c>
      <c r="H197" s="15">
        <f t="shared" si="18"/>
        <v>3.1497820870160349</v>
      </c>
      <c r="I197" s="15"/>
    </row>
    <row r="198" spans="1:9" x14ac:dyDescent="0.2">
      <c r="A198" s="13" t="s">
        <v>1160</v>
      </c>
      <c r="B198" s="13">
        <v>399</v>
      </c>
      <c r="C198" s="15">
        <v>3</v>
      </c>
      <c r="D198" s="15">
        <v>0.11090999999999999</v>
      </c>
      <c r="E198" s="15">
        <f t="shared" si="15"/>
        <v>3.6969999999999996E-2</v>
      </c>
      <c r="F198" s="15">
        <f t="shared" si="16"/>
        <v>314.15926535897933</v>
      </c>
      <c r="G198" s="15">
        <f t="shared" si="17"/>
        <v>110.91</v>
      </c>
      <c r="H198" s="15">
        <f t="shared" si="18"/>
        <v>2.832560322414384</v>
      </c>
      <c r="I198" s="15"/>
    </row>
    <row r="199" spans="1:9" x14ac:dyDescent="0.2">
      <c r="A199" s="13" t="s">
        <v>1161</v>
      </c>
      <c r="B199" s="13">
        <v>400</v>
      </c>
      <c r="C199" s="15">
        <v>3</v>
      </c>
      <c r="D199" s="15">
        <v>0.10575</v>
      </c>
      <c r="E199" s="15">
        <f t="shared" si="15"/>
        <v>3.5249999999999997E-2</v>
      </c>
      <c r="F199" s="15">
        <f t="shared" si="16"/>
        <v>314.15926535897933</v>
      </c>
      <c r="G199" s="15">
        <f t="shared" si="17"/>
        <v>105.75</v>
      </c>
      <c r="H199" s="15">
        <f t="shared" si="18"/>
        <v>2.9707731948839653</v>
      </c>
      <c r="I199" s="15"/>
    </row>
    <row r="200" spans="1:9" x14ac:dyDescent="0.2">
      <c r="A200" s="19" t="s">
        <v>1163</v>
      </c>
      <c r="B200" s="21">
        <v>401</v>
      </c>
      <c r="C200" s="37">
        <v>4</v>
      </c>
      <c r="D200" s="37">
        <v>6.7589999999999997E-2</v>
      </c>
      <c r="E200" s="37">
        <f t="shared" si="15"/>
        <v>1.6897499999999999E-2</v>
      </c>
      <c r="F200" s="37">
        <f t="shared" si="16"/>
        <v>314.15926535897933</v>
      </c>
      <c r="G200" s="37">
        <f t="shared" si="17"/>
        <v>67.59</v>
      </c>
      <c r="H200" s="37">
        <f t="shared" si="18"/>
        <v>4.6480139866693193</v>
      </c>
      <c r="I200" s="37"/>
    </row>
    <row r="201" spans="1:9" x14ac:dyDescent="0.2">
      <c r="A201" s="19" t="s">
        <v>1164</v>
      </c>
      <c r="B201" s="21">
        <v>402</v>
      </c>
      <c r="C201" s="37">
        <v>3</v>
      </c>
      <c r="D201" s="37">
        <v>8.1570000000000004E-2</v>
      </c>
      <c r="E201" s="37">
        <f t="shared" si="15"/>
        <v>2.7190000000000002E-2</v>
      </c>
      <c r="F201" s="37">
        <f t="shared" si="16"/>
        <v>314.15926535897933</v>
      </c>
      <c r="G201" s="37">
        <f t="shared" si="17"/>
        <v>81.570000000000007</v>
      </c>
      <c r="H201" s="37">
        <f t="shared" si="18"/>
        <v>3.8514069554858317</v>
      </c>
      <c r="I201" s="37"/>
    </row>
    <row r="202" spans="1:9" x14ac:dyDescent="0.2">
      <c r="A202" s="19" t="s">
        <v>1167</v>
      </c>
      <c r="B202" s="21">
        <v>405</v>
      </c>
      <c r="C202" s="37">
        <v>4</v>
      </c>
      <c r="D202" s="37">
        <v>6.3469999999999999E-2</v>
      </c>
      <c r="E202" s="37">
        <f t="shared" si="15"/>
        <v>1.58675E-2</v>
      </c>
      <c r="F202" s="37">
        <f t="shared" si="16"/>
        <v>314.15926535897933</v>
      </c>
      <c r="G202" s="37">
        <f t="shared" si="17"/>
        <v>63.47</v>
      </c>
      <c r="H202" s="37">
        <f t="shared" si="18"/>
        <v>4.9497284600437901</v>
      </c>
      <c r="I202" s="37"/>
    </row>
    <row r="203" spans="1:9" x14ac:dyDescent="0.2">
      <c r="A203" s="19" t="s">
        <v>1168</v>
      </c>
      <c r="B203" s="21">
        <v>406</v>
      </c>
      <c r="C203" s="37">
        <v>3</v>
      </c>
      <c r="D203" s="37">
        <v>9.2130000000000004E-2</v>
      </c>
      <c r="E203" s="37">
        <f t="shared" si="15"/>
        <v>3.0710000000000001E-2</v>
      </c>
      <c r="F203" s="37">
        <f t="shared" si="16"/>
        <v>314.15926535897933</v>
      </c>
      <c r="G203" s="37">
        <f t="shared" si="17"/>
        <v>92.13000000000001</v>
      </c>
      <c r="H203" s="37">
        <f t="shared" si="18"/>
        <v>3.409956207087586</v>
      </c>
      <c r="I203" s="37"/>
    </row>
    <row r="204" spans="1:9" x14ac:dyDescent="0.2">
      <c r="A204" s="19" t="s">
        <v>1169</v>
      </c>
      <c r="B204" s="21">
        <v>407</v>
      </c>
      <c r="C204" s="37">
        <v>3</v>
      </c>
      <c r="D204" s="37">
        <v>0.11358</v>
      </c>
      <c r="E204" s="37">
        <f t="shared" si="15"/>
        <v>3.7859999999999998E-2</v>
      </c>
      <c r="F204" s="37">
        <f t="shared" si="16"/>
        <v>314.15926535897933</v>
      </c>
      <c r="G204" s="37">
        <f t="shared" si="17"/>
        <v>113.58</v>
      </c>
      <c r="H204" s="37">
        <f t="shared" si="18"/>
        <v>2.7659734579941833</v>
      </c>
      <c r="I204" s="37"/>
    </row>
    <row r="205" spans="1:9" x14ac:dyDescent="0.2">
      <c r="A205" s="19" t="s">
        <v>1170</v>
      </c>
      <c r="B205" s="21">
        <v>408</v>
      </c>
      <c r="C205" s="37">
        <v>4</v>
      </c>
      <c r="D205" s="37">
        <v>6.5989999999999993E-2</v>
      </c>
      <c r="E205" s="37">
        <f t="shared" si="15"/>
        <v>1.6497499999999998E-2</v>
      </c>
      <c r="F205" s="37">
        <f t="shared" si="16"/>
        <v>314.15926535897933</v>
      </c>
      <c r="G205" s="37">
        <f t="shared" si="17"/>
        <v>65.989999999999995</v>
      </c>
      <c r="H205" s="37">
        <f t="shared" si="18"/>
        <v>4.7607101888010206</v>
      </c>
      <c r="I205" s="37"/>
    </row>
    <row r="206" spans="1:9" x14ac:dyDescent="0.2">
      <c r="A206" s="13" t="s">
        <v>1172</v>
      </c>
      <c r="B206" s="13">
        <v>409</v>
      </c>
      <c r="C206" s="15">
        <v>4</v>
      </c>
      <c r="D206" s="15">
        <v>5.3530000000000001E-2</v>
      </c>
      <c r="E206" s="15">
        <f t="shared" si="15"/>
        <v>1.33825E-2</v>
      </c>
      <c r="F206" s="15">
        <f t="shared" si="16"/>
        <v>314.15926535897933</v>
      </c>
      <c r="G206" s="15">
        <f t="shared" si="17"/>
        <v>53.53</v>
      </c>
      <c r="H206" s="15">
        <f t="shared" si="18"/>
        <v>5.8688448600593937</v>
      </c>
      <c r="I206" s="15"/>
    </row>
    <row r="207" spans="1:9" x14ac:dyDescent="0.2">
      <c r="A207" s="13" t="s">
        <v>1173</v>
      </c>
      <c r="B207" s="13">
        <v>410</v>
      </c>
      <c r="C207" s="15">
        <v>3</v>
      </c>
      <c r="D207" s="15">
        <v>7.9960000000000003E-2</v>
      </c>
      <c r="E207" s="15">
        <f t="shared" si="15"/>
        <v>2.6653333333333334E-2</v>
      </c>
      <c r="F207" s="15">
        <f t="shared" si="16"/>
        <v>314.15926535897933</v>
      </c>
      <c r="G207" s="15">
        <f t="shared" si="17"/>
        <v>79.960000000000008</v>
      </c>
      <c r="H207" s="15">
        <f t="shared" si="18"/>
        <v>3.9289552946345583</v>
      </c>
      <c r="I207" s="15"/>
    </row>
    <row r="208" spans="1:9" x14ac:dyDescent="0.2">
      <c r="A208" s="13" t="s">
        <v>1175</v>
      </c>
      <c r="B208" s="13">
        <v>412</v>
      </c>
      <c r="C208" s="15">
        <v>4</v>
      </c>
      <c r="D208" s="15">
        <v>5.33E-2</v>
      </c>
      <c r="E208" s="15">
        <f t="shared" si="15"/>
        <v>1.3325E-2</v>
      </c>
      <c r="F208" s="15">
        <f t="shared" si="16"/>
        <v>314.15926535897933</v>
      </c>
      <c r="G208" s="15">
        <f t="shared" si="17"/>
        <v>53.3</v>
      </c>
      <c r="H208" s="15">
        <f t="shared" si="18"/>
        <v>5.8941700817819767</v>
      </c>
      <c r="I208" s="15"/>
    </row>
    <row r="209" spans="1:9" x14ac:dyDescent="0.2">
      <c r="A209" s="13" t="s">
        <v>1177</v>
      </c>
      <c r="B209" s="13">
        <v>414</v>
      </c>
      <c r="C209" s="15">
        <v>3</v>
      </c>
      <c r="D209" s="15">
        <v>7.9140000000000002E-2</v>
      </c>
      <c r="E209" s="15">
        <f t="shared" si="15"/>
        <v>2.6380000000000001E-2</v>
      </c>
      <c r="F209" s="15">
        <f t="shared" si="16"/>
        <v>314.15926535897933</v>
      </c>
      <c r="G209" s="15">
        <f t="shared" si="17"/>
        <v>79.14</v>
      </c>
      <c r="H209" s="15">
        <f t="shared" si="18"/>
        <v>3.9696647126482096</v>
      </c>
      <c r="I209" s="15"/>
    </row>
    <row r="210" spans="1:9" x14ac:dyDescent="0.2">
      <c r="A210" s="13" t="s">
        <v>1178</v>
      </c>
      <c r="B210" s="13">
        <v>415</v>
      </c>
      <c r="C210" s="15">
        <v>3</v>
      </c>
      <c r="D210" s="15">
        <v>9.2130000000000004E-2</v>
      </c>
      <c r="E210" s="15">
        <f t="shared" si="15"/>
        <v>3.0710000000000001E-2</v>
      </c>
      <c r="F210" s="15">
        <f t="shared" si="16"/>
        <v>314.15926535897933</v>
      </c>
      <c r="G210" s="15">
        <f t="shared" si="17"/>
        <v>92.13000000000001</v>
      </c>
      <c r="H210" s="15">
        <f t="shared" si="18"/>
        <v>3.409956207087586</v>
      </c>
      <c r="I210" s="15"/>
    </row>
    <row r="211" spans="1:9" x14ac:dyDescent="0.2">
      <c r="A211" s="13" t="s">
        <v>1179</v>
      </c>
      <c r="B211" s="13">
        <v>416</v>
      </c>
      <c r="C211" s="15">
        <v>4</v>
      </c>
      <c r="D211" s="15">
        <v>5.3929999999999999E-2</v>
      </c>
      <c r="E211" s="15">
        <f t="shared" si="15"/>
        <v>1.34825E-2</v>
      </c>
      <c r="F211" s="15">
        <f t="shared" si="16"/>
        <v>314.15926535897933</v>
      </c>
      <c r="G211" s="15">
        <f t="shared" si="17"/>
        <v>53.93</v>
      </c>
      <c r="H211" s="15">
        <f t="shared" si="18"/>
        <v>5.825315508232511</v>
      </c>
      <c r="I211" s="15"/>
    </row>
    <row r="212" spans="1:9" x14ac:dyDescent="0.2">
      <c r="A212" s="19" t="s">
        <v>1182</v>
      </c>
      <c r="B212" s="21">
        <v>418</v>
      </c>
      <c r="C212" s="37">
        <v>4</v>
      </c>
      <c r="D212" s="37">
        <v>6.6439999999999999E-2</v>
      </c>
      <c r="E212" s="37">
        <f t="shared" si="15"/>
        <v>1.661E-2</v>
      </c>
      <c r="F212" s="37">
        <f t="shared" si="16"/>
        <v>314.15926535897933</v>
      </c>
      <c r="G212" s="37">
        <f t="shared" si="17"/>
        <v>66.44</v>
      </c>
      <c r="H212" s="37">
        <f t="shared" si="18"/>
        <v>4.7284657639822294</v>
      </c>
      <c r="I212" s="37"/>
    </row>
    <row r="213" spans="1:9" x14ac:dyDescent="0.2">
      <c r="A213" s="19" t="s">
        <v>1183</v>
      </c>
      <c r="B213" s="21">
        <v>419</v>
      </c>
      <c r="C213" s="37">
        <v>4</v>
      </c>
      <c r="D213" s="37">
        <v>5.9929999999999997E-2</v>
      </c>
      <c r="E213" s="37">
        <f t="shared" si="15"/>
        <v>1.4982499999999999E-2</v>
      </c>
      <c r="F213" s="37">
        <f t="shared" si="16"/>
        <v>314.15926535897933</v>
      </c>
      <c r="G213" s="37">
        <f t="shared" si="17"/>
        <v>59.93</v>
      </c>
      <c r="H213" s="37">
        <f t="shared" si="18"/>
        <v>5.2421035434503471</v>
      </c>
      <c r="I213" s="37"/>
    </row>
    <row r="214" spans="1:9" x14ac:dyDescent="0.2">
      <c r="A214" s="19" t="s">
        <v>1188</v>
      </c>
      <c r="B214" s="21">
        <v>424</v>
      </c>
      <c r="C214" s="37">
        <v>4</v>
      </c>
      <c r="D214" s="37">
        <v>6.0609999999999997E-2</v>
      </c>
      <c r="E214" s="37">
        <f t="shared" si="15"/>
        <v>1.5152499999999999E-2</v>
      </c>
      <c r="F214" s="37">
        <f t="shared" si="16"/>
        <v>314.15926535897933</v>
      </c>
      <c r="G214" s="37">
        <f t="shared" si="17"/>
        <v>60.61</v>
      </c>
      <c r="H214" s="37">
        <f t="shared" si="18"/>
        <v>5.1832909645104657</v>
      </c>
      <c r="I214" s="37"/>
    </row>
    <row r="215" spans="1:9" x14ac:dyDescent="0.2">
      <c r="A215" s="13" t="s">
        <v>1190</v>
      </c>
      <c r="B215" s="13">
        <v>425</v>
      </c>
      <c r="C215" s="15">
        <v>4</v>
      </c>
      <c r="D215" s="15">
        <v>6.7650000000000002E-2</v>
      </c>
      <c r="E215" s="15">
        <f t="shared" si="15"/>
        <v>1.69125E-2</v>
      </c>
      <c r="F215" s="15">
        <f t="shared" si="16"/>
        <v>314.15926535897933</v>
      </c>
      <c r="G215" s="15">
        <f t="shared" si="17"/>
        <v>67.650000000000006</v>
      </c>
      <c r="H215" s="15">
        <f t="shared" si="18"/>
        <v>4.6438915795857989</v>
      </c>
      <c r="I215" s="15"/>
    </row>
    <row r="216" spans="1:9" x14ac:dyDescent="0.2">
      <c r="A216" s="13" t="s">
        <v>1192</v>
      </c>
      <c r="B216" s="13">
        <v>427</v>
      </c>
      <c r="C216" s="15">
        <v>3</v>
      </c>
      <c r="D216" s="15">
        <v>7.6560000000000003E-2</v>
      </c>
      <c r="E216" s="15">
        <f t="shared" si="15"/>
        <v>2.5520000000000001E-2</v>
      </c>
      <c r="F216" s="15">
        <f t="shared" si="16"/>
        <v>314.15926535897933</v>
      </c>
      <c r="G216" s="15">
        <f t="shared" si="17"/>
        <v>76.56</v>
      </c>
      <c r="H216" s="15">
        <f t="shared" si="18"/>
        <v>4.1034386802374518</v>
      </c>
      <c r="I216" s="15"/>
    </row>
    <row r="217" spans="1:9" x14ac:dyDescent="0.2">
      <c r="A217" s="13" t="s">
        <v>1194</v>
      </c>
      <c r="B217" s="13">
        <v>429</v>
      </c>
      <c r="C217" s="15">
        <v>4</v>
      </c>
      <c r="D217" s="15">
        <v>5.2670000000000002E-2</v>
      </c>
      <c r="E217" s="15">
        <f t="shared" si="15"/>
        <v>1.31675E-2</v>
      </c>
      <c r="F217" s="15">
        <f t="shared" si="16"/>
        <v>314.15926535897933</v>
      </c>
      <c r="G217" s="15">
        <f t="shared" si="17"/>
        <v>52.67</v>
      </c>
      <c r="H217" s="15">
        <f t="shared" si="18"/>
        <v>5.9646718313836971</v>
      </c>
      <c r="I217" s="15"/>
    </row>
    <row r="218" spans="1:9" x14ac:dyDescent="0.2">
      <c r="A218" s="13" t="s">
        <v>1195</v>
      </c>
      <c r="B218" s="13">
        <v>430</v>
      </c>
      <c r="C218" s="15">
        <v>3</v>
      </c>
      <c r="D218" s="15">
        <v>8.226E-2</v>
      </c>
      <c r="E218" s="15">
        <f t="shared" si="15"/>
        <v>2.742E-2</v>
      </c>
      <c r="F218" s="15">
        <f t="shared" si="16"/>
        <v>314.15926535897933</v>
      </c>
      <c r="G218" s="15">
        <f t="shared" si="17"/>
        <v>82.26</v>
      </c>
      <c r="H218" s="15">
        <f t="shared" si="18"/>
        <v>3.8191012078650535</v>
      </c>
      <c r="I218" s="15"/>
    </row>
    <row r="219" spans="1:9" x14ac:dyDescent="0.2">
      <c r="A219" s="13" t="s">
        <v>1196</v>
      </c>
      <c r="B219" s="13">
        <v>431</v>
      </c>
      <c r="C219" s="15">
        <v>3</v>
      </c>
      <c r="D219" s="15">
        <v>7.707E-2</v>
      </c>
      <c r="E219" s="15">
        <f t="shared" si="15"/>
        <v>2.5690000000000001E-2</v>
      </c>
      <c r="F219" s="15">
        <f t="shared" si="16"/>
        <v>314.15926535897933</v>
      </c>
      <c r="G219" s="15">
        <f t="shared" si="17"/>
        <v>77.069999999999993</v>
      </c>
      <c r="H219" s="15">
        <f t="shared" si="18"/>
        <v>4.0762847458022495</v>
      </c>
      <c r="I219" s="15"/>
    </row>
    <row r="220" spans="1:9" x14ac:dyDescent="0.2">
      <c r="A220" s="13" t="s">
        <v>1197</v>
      </c>
      <c r="B220" s="13">
        <v>432</v>
      </c>
      <c r="C220" s="15">
        <v>4</v>
      </c>
      <c r="D220" s="15">
        <v>6.2960000000000002E-2</v>
      </c>
      <c r="E220" s="15">
        <f t="shared" si="15"/>
        <v>1.5740000000000001E-2</v>
      </c>
      <c r="F220" s="15">
        <f t="shared" si="16"/>
        <v>314.15926535897933</v>
      </c>
      <c r="G220" s="15">
        <f t="shared" si="17"/>
        <v>62.96</v>
      </c>
      <c r="H220" s="15">
        <f t="shared" si="18"/>
        <v>4.98982314737896</v>
      </c>
      <c r="I220" s="15"/>
    </row>
    <row r="221" spans="1:9" x14ac:dyDescent="0.2">
      <c r="A221" s="19" t="s">
        <v>1199</v>
      </c>
      <c r="B221" s="21">
        <v>433</v>
      </c>
      <c r="C221" s="37">
        <v>4</v>
      </c>
      <c r="D221" s="37">
        <v>6.3289999999999999E-2</v>
      </c>
      <c r="E221" s="37">
        <f t="shared" si="15"/>
        <v>1.58225E-2</v>
      </c>
      <c r="F221" s="37">
        <f t="shared" si="16"/>
        <v>314.15926535897933</v>
      </c>
      <c r="G221" s="37">
        <f t="shared" si="17"/>
        <v>63.29</v>
      </c>
      <c r="H221" s="37">
        <f t="shared" si="18"/>
        <v>4.9638057411752143</v>
      </c>
      <c r="I221" s="37"/>
    </row>
    <row r="222" spans="1:9" x14ac:dyDescent="0.2">
      <c r="A222" s="19" t="s">
        <v>1201</v>
      </c>
      <c r="B222" s="21">
        <v>435</v>
      </c>
      <c r="C222" s="37">
        <v>3</v>
      </c>
      <c r="D222" s="37">
        <v>7.0269999999999999E-2</v>
      </c>
      <c r="E222" s="37">
        <f t="shared" si="15"/>
        <v>2.3423333333333334E-2</v>
      </c>
      <c r="F222" s="37">
        <f t="shared" si="16"/>
        <v>314.15926535897933</v>
      </c>
      <c r="G222" s="37">
        <f t="shared" si="17"/>
        <v>70.27</v>
      </c>
      <c r="H222" s="37">
        <f t="shared" si="18"/>
        <v>4.4707452022054834</v>
      </c>
      <c r="I222" s="37"/>
    </row>
    <row r="223" spans="1:9" x14ac:dyDescent="0.2">
      <c r="A223" s="19" t="s">
        <v>1203</v>
      </c>
      <c r="B223" s="21">
        <v>437</v>
      </c>
      <c r="C223" s="37">
        <v>4</v>
      </c>
      <c r="D223" s="37">
        <v>6.3310000000000005E-2</v>
      </c>
      <c r="E223" s="37">
        <f t="shared" si="15"/>
        <v>1.5827500000000001E-2</v>
      </c>
      <c r="F223" s="37">
        <f t="shared" si="16"/>
        <v>314.15926535897933</v>
      </c>
      <c r="G223" s="37">
        <f t="shared" si="17"/>
        <v>63.31</v>
      </c>
      <c r="H223" s="37">
        <f t="shared" si="18"/>
        <v>4.962237645853409</v>
      </c>
      <c r="I223" s="37"/>
    </row>
    <row r="224" spans="1:9" x14ac:dyDescent="0.2">
      <c r="A224" s="19" t="s">
        <v>1204</v>
      </c>
      <c r="B224" s="21">
        <v>438</v>
      </c>
      <c r="C224" s="37">
        <v>3</v>
      </c>
      <c r="D224" s="37">
        <v>8.3699999999999997E-2</v>
      </c>
      <c r="E224" s="37">
        <f t="shared" si="15"/>
        <v>2.7899999999999998E-2</v>
      </c>
      <c r="F224" s="37">
        <f t="shared" si="16"/>
        <v>314.15926535897933</v>
      </c>
      <c r="G224" s="37">
        <f t="shared" si="17"/>
        <v>83.7</v>
      </c>
      <c r="H224" s="37">
        <f t="shared" si="18"/>
        <v>3.7533962408480206</v>
      </c>
      <c r="I224" s="37"/>
    </row>
    <row r="225" spans="1:9" x14ac:dyDescent="0.2">
      <c r="A225" s="19" t="s">
        <v>1205</v>
      </c>
      <c r="B225" s="21">
        <v>439</v>
      </c>
      <c r="C225" s="37">
        <v>3</v>
      </c>
      <c r="D225" s="37">
        <v>8.6550000000000002E-2</v>
      </c>
      <c r="E225" s="37">
        <f t="shared" si="15"/>
        <v>2.8850000000000001E-2</v>
      </c>
      <c r="F225" s="37">
        <f t="shared" si="16"/>
        <v>314.15926535897933</v>
      </c>
      <c r="G225" s="37">
        <f t="shared" si="17"/>
        <v>86.55</v>
      </c>
      <c r="H225" s="37">
        <f t="shared" si="18"/>
        <v>3.6298008706987792</v>
      </c>
      <c r="I225" s="37"/>
    </row>
    <row r="226" spans="1:9" x14ac:dyDescent="0.2">
      <c r="A226" s="19" t="s">
        <v>1206</v>
      </c>
      <c r="B226" s="21">
        <v>440</v>
      </c>
      <c r="C226" s="37">
        <v>4</v>
      </c>
      <c r="D226" s="37">
        <v>7.102E-2</v>
      </c>
      <c r="E226" s="37">
        <f t="shared" si="15"/>
        <v>1.7755E-2</v>
      </c>
      <c r="F226" s="37">
        <f t="shared" si="16"/>
        <v>314.15926535897933</v>
      </c>
      <c r="G226" s="37">
        <f t="shared" si="17"/>
        <v>71.02</v>
      </c>
      <c r="H226" s="37">
        <f t="shared" si="18"/>
        <v>4.4235323198955134</v>
      </c>
      <c r="I226" s="37"/>
    </row>
    <row r="227" spans="1:9" x14ac:dyDescent="0.2">
      <c r="A227" s="13" t="s">
        <v>1208</v>
      </c>
      <c r="B227" s="13">
        <v>441</v>
      </c>
      <c r="C227" s="15">
        <v>3</v>
      </c>
      <c r="D227" s="15">
        <v>0.11337</v>
      </c>
      <c r="E227" s="15">
        <f t="shared" si="15"/>
        <v>3.7789999999999997E-2</v>
      </c>
      <c r="F227" s="15">
        <f t="shared" si="16"/>
        <v>314.15926535897933</v>
      </c>
      <c r="G227" s="15">
        <f t="shared" si="17"/>
        <v>113.37</v>
      </c>
      <c r="H227" s="15">
        <f t="shared" si="18"/>
        <v>2.7710969864953632</v>
      </c>
      <c r="I227" s="15"/>
    </row>
    <row r="228" spans="1:9" x14ac:dyDescent="0.2">
      <c r="A228" s="13" t="s">
        <v>1213</v>
      </c>
      <c r="B228" s="13">
        <v>446</v>
      </c>
      <c r="C228" s="15">
        <v>3</v>
      </c>
      <c r="D228" s="15">
        <v>9.511E-2</v>
      </c>
      <c r="E228" s="15">
        <f t="shared" si="15"/>
        <v>3.1703333333333333E-2</v>
      </c>
      <c r="F228" s="15">
        <f t="shared" si="16"/>
        <v>314.15926535897933</v>
      </c>
      <c r="G228" s="15">
        <f t="shared" si="17"/>
        <v>95.11</v>
      </c>
      <c r="H228" s="15">
        <f t="shared" si="18"/>
        <v>3.3031149759118845</v>
      </c>
      <c r="I228" s="15"/>
    </row>
    <row r="229" spans="1:9" x14ac:dyDescent="0.2">
      <c r="A229" s="13" t="s">
        <v>1215</v>
      </c>
      <c r="B229" s="13">
        <v>448</v>
      </c>
      <c r="C229" s="15">
        <v>3</v>
      </c>
      <c r="D229" s="15">
        <v>0.11183999999999999</v>
      </c>
      <c r="E229" s="15">
        <f t="shared" si="15"/>
        <v>3.7280000000000001E-2</v>
      </c>
      <c r="F229" s="15">
        <f t="shared" si="16"/>
        <v>314.15926535897933</v>
      </c>
      <c r="G229" s="15">
        <f t="shared" si="17"/>
        <v>111.83999999999999</v>
      </c>
      <c r="H229" s="15">
        <f t="shared" si="18"/>
        <v>2.8090063068578268</v>
      </c>
      <c r="I229" s="15"/>
    </row>
    <row r="230" spans="1:9" x14ac:dyDescent="0.2">
      <c r="A230" s="19" t="s">
        <v>1217</v>
      </c>
      <c r="B230" s="21">
        <v>449</v>
      </c>
      <c r="C230" s="37">
        <v>3</v>
      </c>
      <c r="D230" s="37">
        <v>0.12006</v>
      </c>
      <c r="E230" s="37">
        <f t="shared" si="15"/>
        <v>4.002E-2</v>
      </c>
      <c r="F230" s="37">
        <f t="shared" si="16"/>
        <v>314.15926535897933</v>
      </c>
      <c r="G230" s="37">
        <f t="shared" si="17"/>
        <v>120.06</v>
      </c>
      <c r="H230" s="37">
        <f t="shared" si="18"/>
        <v>2.6166855352238825</v>
      </c>
      <c r="I230" s="37"/>
    </row>
    <row r="231" spans="1:9" x14ac:dyDescent="0.2">
      <c r="A231" s="19" t="s">
        <v>1223</v>
      </c>
      <c r="B231" s="21">
        <v>455</v>
      </c>
      <c r="C231" s="37">
        <v>3</v>
      </c>
      <c r="D231" s="37">
        <v>0.11959</v>
      </c>
      <c r="E231" s="37">
        <f t="shared" si="15"/>
        <v>3.9863333333333334E-2</v>
      </c>
      <c r="F231" s="37">
        <f t="shared" si="16"/>
        <v>314.15926535897933</v>
      </c>
      <c r="G231" s="37">
        <f t="shared" si="17"/>
        <v>119.59</v>
      </c>
      <c r="H231" s="37">
        <f t="shared" ref="H231:H260" si="19">IFERROR(F231/G231, "")</f>
        <v>2.6269693566266352</v>
      </c>
      <c r="I231" s="37"/>
    </row>
    <row r="232" spans="1:9" x14ac:dyDescent="0.2">
      <c r="A232" s="19" t="s">
        <v>1224</v>
      </c>
      <c r="B232" s="21">
        <v>456</v>
      </c>
      <c r="C232" s="37">
        <v>3</v>
      </c>
      <c r="D232" s="37">
        <v>0.12178</v>
      </c>
      <c r="E232" s="37">
        <f t="shared" si="15"/>
        <v>4.0593333333333335E-2</v>
      </c>
      <c r="F232" s="37">
        <f t="shared" si="16"/>
        <v>314.15926535897933</v>
      </c>
      <c r="G232" s="37">
        <f t="shared" si="17"/>
        <v>121.78</v>
      </c>
      <c r="H232" s="37">
        <f t="shared" si="19"/>
        <v>2.5797279139347951</v>
      </c>
      <c r="I232" s="37"/>
    </row>
    <row r="233" spans="1:9" x14ac:dyDescent="0.2">
      <c r="A233" s="13" t="s">
        <v>1227</v>
      </c>
      <c r="B233" s="13">
        <v>458</v>
      </c>
      <c r="C233" s="15">
        <v>4</v>
      </c>
      <c r="D233" s="15">
        <v>7.2459999999999997E-2</v>
      </c>
      <c r="E233" s="15">
        <f t="shared" si="15"/>
        <v>1.8114999999999999E-2</v>
      </c>
      <c r="F233" s="15">
        <f t="shared" si="16"/>
        <v>314.15926535897933</v>
      </c>
      <c r="G233" s="15">
        <f t="shared" si="17"/>
        <v>72.459999999999994</v>
      </c>
      <c r="H233" s="15">
        <f t="shared" si="19"/>
        <v>4.3356233143662619</v>
      </c>
      <c r="I233" s="15"/>
    </row>
    <row r="234" spans="1:9" x14ac:dyDescent="0.2">
      <c r="A234" s="13" t="s">
        <v>1231</v>
      </c>
      <c r="B234" s="13">
        <v>462</v>
      </c>
      <c r="C234" s="15">
        <v>4</v>
      </c>
      <c r="D234" s="15">
        <v>6.4229999999999995E-2</v>
      </c>
      <c r="E234" s="15">
        <f t="shared" si="15"/>
        <v>1.6057499999999999E-2</v>
      </c>
      <c r="F234" s="15">
        <f t="shared" si="16"/>
        <v>314.15926535897933</v>
      </c>
      <c r="G234" s="15">
        <f t="shared" si="17"/>
        <v>64.22999999999999</v>
      </c>
      <c r="H234" s="15">
        <f t="shared" si="19"/>
        <v>4.8911609117076038</v>
      </c>
      <c r="I234" s="15"/>
    </row>
    <row r="235" spans="1:9" x14ac:dyDescent="0.2">
      <c r="A235" s="13" t="s">
        <v>1232</v>
      </c>
      <c r="B235" s="13">
        <v>463</v>
      </c>
      <c r="C235" s="15">
        <v>4</v>
      </c>
      <c r="D235" s="15">
        <v>8.5169999999999996E-2</v>
      </c>
      <c r="E235" s="15">
        <f t="shared" si="15"/>
        <v>2.1292499999999999E-2</v>
      </c>
      <c r="F235" s="15">
        <f t="shared" si="16"/>
        <v>314.15926535897933</v>
      </c>
      <c r="G235" s="15">
        <f t="shared" si="17"/>
        <v>85.17</v>
      </c>
      <c r="H235" s="15">
        <f t="shared" si="19"/>
        <v>3.6886141289066492</v>
      </c>
      <c r="I235" s="15"/>
    </row>
    <row r="236" spans="1:9" x14ac:dyDescent="0.2">
      <c r="A236" s="19" t="s">
        <v>1236</v>
      </c>
      <c r="B236" s="21">
        <v>466</v>
      </c>
      <c r="C236" s="37">
        <v>3</v>
      </c>
      <c r="D236" s="37">
        <v>9.2359999999999998E-2</v>
      </c>
      <c r="E236" s="37">
        <f t="shared" si="15"/>
        <v>3.0786666666666667E-2</v>
      </c>
      <c r="F236" s="37">
        <f t="shared" si="16"/>
        <v>314.15926535897933</v>
      </c>
      <c r="G236" s="37">
        <f t="shared" si="17"/>
        <v>92.36</v>
      </c>
      <c r="H236" s="37">
        <f t="shared" si="19"/>
        <v>3.4014645448135483</v>
      </c>
      <c r="I236" s="37"/>
    </row>
    <row r="237" spans="1:9" x14ac:dyDescent="0.2">
      <c r="A237" s="19" t="s">
        <v>1240</v>
      </c>
      <c r="B237" s="21">
        <v>470</v>
      </c>
      <c r="C237" s="37">
        <v>3</v>
      </c>
      <c r="D237" s="37">
        <v>9.1079999999999994E-2</v>
      </c>
      <c r="E237" s="37">
        <f t="shared" si="15"/>
        <v>3.0359999999999998E-2</v>
      </c>
      <c r="F237" s="37">
        <f t="shared" si="16"/>
        <v>314.15926535897933</v>
      </c>
      <c r="G237" s="37">
        <f t="shared" si="17"/>
        <v>91.08</v>
      </c>
      <c r="H237" s="37">
        <f t="shared" si="19"/>
        <v>3.4492672964314814</v>
      </c>
      <c r="I237" s="37"/>
    </row>
    <row r="238" spans="1:9" x14ac:dyDescent="0.2">
      <c r="A238" s="19" t="s">
        <v>1242</v>
      </c>
      <c r="B238" s="21">
        <v>472</v>
      </c>
      <c r="C238" s="37">
        <v>3</v>
      </c>
      <c r="D238" s="37">
        <v>0.11704000000000001</v>
      </c>
      <c r="E238" s="37">
        <f t="shared" si="15"/>
        <v>3.9013333333333337E-2</v>
      </c>
      <c r="F238" s="37">
        <f t="shared" si="16"/>
        <v>314.15926535897933</v>
      </c>
      <c r="G238" s="37">
        <f t="shared" si="17"/>
        <v>117.04</v>
      </c>
      <c r="H238" s="37">
        <f t="shared" si="19"/>
        <v>2.684204249478634</v>
      </c>
      <c r="I238" s="37"/>
    </row>
    <row r="239" spans="1:9" x14ac:dyDescent="0.2">
      <c r="A239" s="13" t="s">
        <v>1244</v>
      </c>
      <c r="B239" s="13">
        <v>473</v>
      </c>
      <c r="C239" s="15">
        <v>4</v>
      </c>
      <c r="D239" s="15">
        <v>6.5809999999999994E-2</v>
      </c>
      <c r="E239" s="15">
        <f t="shared" si="15"/>
        <v>1.6452499999999998E-2</v>
      </c>
      <c r="F239" s="15">
        <f t="shared" si="16"/>
        <v>314.15926535897933</v>
      </c>
      <c r="G239" s="15">
        <f t="shared" si="17"/>
        <v>65.809999999999988</v>
      </c>
      <c r="H239" s="15">
        <f t="shared" si="19"/>
        <v>4.7737314292505602</v>
      </c>
      <c r="I239" s="15"/>
    </row>
    <row r="240" spans="1:9" x14ac:dyDescent="0.2">
      <c r="A240" s="13" t="s">
        <v>1247</v>
      </c>
      <c r="B240" s="13">
        <v>476</v>
      </c>
      <c r="C240" s="15">
        <v>4</v>
      </c>
      <c r="D240" s="15">
        <v>5.441E-2</v>
      </c>
      <c r="E240" s="15">
        <f t="shared" si="15"/>
        <v>1.36025E-2</v>
      </c>
      <c r="F240" s="15">
        <f t="shared" si="16"/>
        <v>314.15926535897933</v>
      </c>
      <c r="G240" s="15">
        <f t="shared" si="17"/>
        <v>54.41</v>
      </c>
      <c r="H240" s="15">
        <f t="shared" si="19"/>
        <v>5.7739251122767756</v>
      </c>
      <c r="I240" s="15"/>
    </row>
    <row r="241" spans="1:9" x14ac:dyDescent="0.2">
      <c r="A241" s="13" t="s">
        <v>1250</v>
      </c>
      <c r="B241" s="13">
        <v>479</v>
      </c>
      <c r="C241" s="15">
        <v>4</v>
      </c>
      <c r="D241" s="15">
        <v>5.459E-2</v>
      </c>
      <c r="E241" s="15">
        <f t="shared" si="15"/>
        <v>1.36475E-2</v>
      </c>
      <c r="F241" s="15">
        <f t="shared" si="16"/>
        <v>314.15926535897933</v>
      </c>
      <c r="G241" s="15">
        <f t="shared" si="17"/>
        <v>54.589999999999996</v>
      </c>
      <c r="H241" s="15">
        <f t="shared" si="19"/>
        <v>5.7548867074368815</v>
      </c>
      <c r="I241" s="15"/>
    </row>
    <row r="242" spans="1:9" x14ac:dyDescent="0.2">
      <c r="A242" s="19" t="s">
        <v>1254</v>
      </c>
      <c r="B242" s="21">
        <v>482</v>
      </c>
      <c r="C242" s="37">
        <v>4</v>
      </c>
      <c r="D242" s="37">
        <v>8.9889999999999998E-2</v>
      </c>
      <c r="E242" s="37">
        <f t="shared" si="15"/>
        <v>2.2472499999999999E-2</v>
      </c>
      <c r="F242" s="37">
        <f t="shared" si="16"/>
        <v>314.15926535897933</v>
      </c>
      <c r="G242" s="37">
        <f t="shared" si="17"/>
        <v>89.89</v>
      </c>
      <c r="H242" s="37">
        <f t="shared" si="19"/>
        <v>3.4949300852039085</v>
      </c>
      <c r="I242" s="37"/>
    </row>
    <row r="243" spans="1:9" x14ac:dyDescent="0.2">
      <c r="A243" s="19" t="s">
        <v>1255</v>
      </c>
      <c r="B243" s="21">
        <v>483</v>
      </c>
      <c r="C243" s="37">
        <v>4</v>
      </c>
      <c r="D243" s="37">
        <v>8.4029999999999994E-2</v>
      </c>
      <c r="E243" s="37">
        <f t="shared" si="15"/>
        <v>2.1007499999999998E-2</v>
      </c>
      <c r="F243" s="37">
        <f t="shared" si="16"/>
        <v>314.15926535897933</v>
      </c>
      <c r="G243" s="37">
        <f t="shared" si="17"/>
        <v>84.029999999999987</v>
      </c>
      <c r="H243" s="37">
        <f t="shared" si="19"/>
        <v>3.7386560199807137</v>
      </c>
      <c r="I243" s="37"/>
    </row>
    <row r="244" spans="1:9" x14ac:dyDescent="0.2">
      <c r="A244" s="19" t="s">
        <v>1259</v>
      </c>
      <c r="B244" s="21">
        <v>487</v>
      </c>
      <c r="C244" s="37">
        <v>4</v>
      </c>
      <c r="D244" s="37">
        <v>6.7080000000000001E-2</v>
      </c>
      <c r="E244" s="37">
        <f t="shared" si="15"/>
        <v>1.677E-2</v>
      </c>
      <c r="F244" s="37">
        <f t="shared" si="16"/>
        <v>314.15926535897933</v>
      </c>
      <c r="G244" s="37">
        <f t="shared" si="17"/>
        <v>67.08</v>
      </c>
      <c r="H244" s="37">
        <f t="shared" si="19"/>
        <v>4.6833521967647487</v>
      </c>
      <c r="I244" s="37"/>
    </row>
    <row r="245" spans="1:9" x14ac:dyDescent="0.2">
      <c r="A245" s="13" t="s">
        <v>1262</v>
      </c>
      <c r="B245" s="13">
        <v>489</v>
      </c>
      <c r="C245" s="15">
        <v>3</v>
      </c>
      <c r="D245" s="15">
        <v>0.10156</v>
      </c>
      <c r="E245" s="15">
        <f t="shared" si="15"/>
        <v>3.3853333333333332E-2</v>
      </c>
      <c r="F245" s="15">
        <f t="shared" si="16"/>
        <v>314.15926535897933</v>
      </c>
      <c r="G245" s="15">
        <f t="shared" si="17"/>
        <v>101.56</v>
      </c>
      <c r="H245" s="15">
        <f t="shared" si="19"/>
        <v>3.0933366025893987</v>
      </c>
      <c r="I245" s="15"/>
    </row>
    <row r="246" spans="1:9" x14ac:dyDescent="0.2">
      <c r="A246" s="13" t="s">
        <v>1264</v>
      </c>
      <c r="B246" s="13">
        <v>491</v>
      </c>
      <c r="C246" s="15">
        <v>3</v>
      </c>
      <c r="D246" s="15">
        <v>0.10019</v>
      </c>
      <c r="E246" s="15">
        <f t="shared" si="15"/>
        <v>3.3396666666666665E-2</v>
      </c>
      <c r="F246" s="15">
        <f t="shared" si="16"/>
        <v>314.15926535897933</v>
      </c>
      <c r="G246" s="15">
        <f t="shared" si="17"/>
        <v>100.19</v>
      </c>
      <c r="H246" s="15">
        <f t="shared" si="19"/>
        <v>3.1356349471901321</v>
      </c>
      <c r="I246" s="15"/>
    </row>
    <row r="247" spans="1:9" x14ac:dyDescent="0.2">
      <c r="A247" s="13" t="s">
        <v>1268</v>
      </c>
      <c r="B247" s="13">
        <v>495</v>
      </c>
      <c r="C247" s="15">
        <v>3</v>
      </c>
      <c r="D247" s="15">
        <v>0.12422999999999999</v>
      </c>
      <c r="E247" s="15">
        <f t="shared" si="15"/>
        <v>4.1409999999999995E-2</v>
      </c>
      <c r="F247" s="15">
        <f t="shared" si="16"/>
        <v>314.15926535897933</v>
      </c>
      <c r="G247" s="15">
        <f t="shared" si="17"/>
        <v>124.22999999999999</v>
      </c>
      <c r="H247" s="15">
        <f t="shared" si="19"/>
        <v>2.5288518502694948</v>
      </c>
      <c r="I247" s="15"/>
    </row>
    <row r="248" spans="1:9" x14ac:dyDescent="0.2">
      <c r="A248" s="19" t="s">
        <v>1271</v>
      </c>
      <c r="B248" s="19">
        <v>497</v>
      </c>
      <c r="C248" s="37">
        <v>4</v>
      </c>
      <c r="D248" s="37">
        <v>7.6420000000000002E-2</v>
      </c>
      <c r="E248" s="37">
        <f t="shared" si="15"/>
        <v>1.9105E-2</v>
      </c>
      <c r="F248" s="37">
        <f t="shared" si="16"/>
        <v>314.15926535897933</v>
      </c>
      <c r="G248" s="37">
        <f t="shared" si="17"/>
        <v>76.42</v>
      </c>
      <c r="H248" s="37">
        <f t="shared" si="19"/>
        <v>4.1109561025775889</v>
      </c>
      <c r="I248" s="37"/>
    </row>
    <row r="249" spans="1:9" x14ac:dyDescent="0.2">
      <c r="A249" s="19" t="s">
        <v>1272</v>
      </c>
      <c r="B249" s="19">
        <v>498</v>
      </c>
      <c r="C249" s="37">
        <v>3</v>
      </c>
      <c r="D249" s="37">
        <v>0.10399</v>
      </c>
      <c r="E249" s="37">
        <f t="shared" si="15"/>
        <v>3.4663333333333331E-2</v>
      </c>
      <c r="F249" s="37">
        <f t="shared" si="16"/>
        <v>314.15926535897933</v>
      </c>
      <c r="G249" s="37">
        <f t="shared" si="17"/>
        <v>103.99</v>
      </c>
      <c r="H249" s="37">
        <f t="shared" si="19"/>
        <v>3.0210526527452575</v>
      </c>
      <c r="I249" s="37"/>
    </row>
    <row r="250" spans="1:9" x14ac:dyDescent="0.2">
      <c r="A250" s="19" t="s">
        <v>1273</v>
      </c>
      <c r="B250" s="19">
        <v>499</v>
      </c>
      <c r="C250" s="37">
        <v>3</v>
      </c>
      <c r="D250" s="37">
        <v>5.8900000000000001E-2</v>
      </c>
      <c r="E250" s="37">
        <f t="shared" si="15"/>
        <v>1.9633333333333332E-2</v>
      </c>
      <c r="F250" s="37">
        <f t="shared" si="16"/>
        <v>314.15926535897933</v>
      </c>
      <c r="G250" s="37">
        <f t="shared" si="17"/>
        <v>58.9</v>
      </c>
      <c r="H250" s="37">
        <f t="shared" si="19"/>
        <v>5.3337736054156082</v>
      </c>
      <c r="I250" s="37"/>
    </row>
    <row r="251" spans="1:9" x14ac:dyDescent="0.2">
      <c r="A251" s="19" t="s">
        <v>1275</v>
      </c>
      <c r="B251" s="19">
        <v>500</v>
      </c>
      <c r="C251" s="37">
        <v>4</v>
      </c>
      <c r="D251" s="37">
        <v>6.5350000000000005E-2</v>
      </c>
      <c r="E251" s="37">
        <f t="shared" si="15"/>
        <v>1.6337500000000001E-2</v>
      </c>
      <c r="F251" s="37">
        <f t="shared" si="16"/>
        <v>314.15926535897933</v>
      </c>
      <c r="G251" s="37">
        <f t="shared" si="17"/>
        <v>65.350000000000009</v>
      </c>
      <c r="H251" s="37">
        <f t="shared" si="19"/>
        <v>4.8073338233967755</v>
      </c>
      <c r="I251" s="37"/>
    </row>
    <row r="252" spans="1:9" x14ac:dyDescent="0.2">
      <c r="A252" s="19" t="s">
        <v>1277</v>
      </c>
      <c r="B252" s="19">
        <v>502</v>
      </c>
      <c r="C252" s="37">
        <v>3</v>
      </c>
      <c r="D252" s="37">
        <v>0.11302</v>
      </c>
      <c r="E252" s="37">
        <f t="shared" ref="E252:E289" si="20">IF(D252=0, "", D252/C252)</f>
        <v>3.767333333333333E-2</v>
      </c>
      <c r="F252" s="37">
        <f t="shared" ref="F252:F289" si="21">IF(D252=0, "", PI()*100)</f>
        <v>314.15926535897933</v>
      </c>
      <c r="G252" s="37">
        <f t="shared" ref="G252:G289" si="22">IF(D252=0, "", D252*1000)</f>
        <v>113.02</v>
      </c>
      <c r="H252" s="37">
        <f t="shared" si="19"/>
        <v>2.7796785114048781</v>
      </c>
      <c r="I252" s="37"/>
    </row>
    <row r="253" spans="1:9" x14ac:dyDescent="0.2">
      <c r="A253" s="19" t="s">
        <v>1279</v>
      </c>
      <c r="B253" s="19">
        <v>504</v>
      </c>
      <c r="C253" s="37">
        <v>4</v>
      </c>
      <c r="D253" s="37">
        <v>6.3560000000000005E-2</v>
      </c>
      <c r="E253" s="37">
        <f t="shared" si="20"/>
        <v>1.5890000000000001E-2</v>
      </c>
      <c r="F253" s="37">
        <f t="shared" si="21"/>
        <v>314.15926535897933</v>
      </c>
      <c r="G253" s="37">
        <f t="shared" si="22"/>
        <v>63.56</v>
      </c>
      <c r="H253" s="37">
        <f t="shared" si="19"/>
        <v>4.9427197193042689</v>
      </c>
      <c r="I253" s="37"/>
    </row>
    <row r="254" spans="1:9" x14ac:dyDescent="0.2">
      <c r="A254" s="13" t="s">
        <v>1281</v>
      </c>
      <c r="B254" s="13">
        <v>505</v>
      </c>
      <c r="C254" s="15">
        <v>3</v>
      </c>
      <c r="D254" s="15">
        <v>9.0399999999999994E-2</v>
      </c>
      <c r="E254" s="15">
        <f t="shared" si="20"/>
        <v>3.0133333333333331E-2</v>
      </c>
      <c r="F254" s="15">
        <f t="shared" si="21"/>
        <v>314.15926535897933</v>
      </c>
      <c r="G254" s="15">
        <f t="shared" si="22"/>
        <v>90.399999999999991</v>
      </c>
      <c r="H254" s="15">
        <f t="shared" si="19"/>
        <v>3.4752131123780901</v>
      </c>
      <c r="I254" s="15"/>
    </row>
    <row r="255" spans="1:9" x14ac:dyDescent="0.2">
      <c r="A255" s="13" t="s">
        <v>1282</v>
      </c>
      <c r="B255" s="13">
        <v>506</v>
      </c>
      <c r="C255" s="15">
        <v>3</v>
      </c>
      <c r="D255" s="15">
        <v>4.3049999999999998E-2</v>
      </c>
      <c r="E255" s="15">
        <f t="shared" si="20"/>
        <v>1.435E-2</v>
      </c>
      <c r="F255" s="15">
        <f t="shared" si="21"/>
        <v>314.15926535897933</v>
      </c>
      <c r="G255" s="15">
        <f t="shared" si="22"/>
        <v>43.05</v>
      </c>
      <c r="H255" s="15">
        <f t="shared" si="19"/>
        <v>7.2975439107776854</v>
      </c>
      <c r="I255" s="15"/>
    </row>
    <row r="256" spans="1:9" x14ac:dyDescent="0.2">
      <c r="A256" s="13" t="s">
        <v>1284</v>
      </c>
      <c r="B256" s="13">
        <v>508</v>
      </c>
      <c r="C256" s="15">
        <v>3</v>
      </c>
      <c r="D256" s="15">
        <v>6.7960000000000007E-2</v>
      </c>
      <c r="E256" s="15">
        <f t="shared" si="20"/>
        <v>2.2653333333333334E-2</v>
      </c>
      <c r="F256" s="15">
        <f t="shared" si="21"/>
        <v>314.15926535897933</v>
      </c>
      <c r="G256" s="15">
        <f t="shared" si="22"/>
        <v>67.960000000000008</v>
      </c>
      <c r="H256" s="15">
        <f t="shared" si="19"/>
        <v>4.6227084367124673</v>
      </c>
      <c r="I256" s="15"/>
    </row>
    <row r="257" spans="1:9" x14ac:dyDescent="0.2">
      <c r="A257" s="13" t="s">
        <v>1286</v>
      </c>
      <c r="B257" s="13">
        <v>510</v>
      </c>
      <c r="C257" s="15">
        <v>4</v>
      </c>
      <c r="D257" s="15">
        <v>6.4070000000000002E-2</v>
      </c>
      <c r="E257" s="15">
        <f t="shared" si="20"/>
        <v>1.60175E-2</v>
      </c>
      <c r="F257" s="15">
        <f t="shared" si="21"/>
        <v>314.15926535897933</v>
      </c>
      <c r="G257" s="15">
        <f t="shared" si="22"/>
        <v>64.070000000000007</v>
      </c>
      <c r="H257" s="15">
        <f t="shared" si="19"/>
        <v>4.9033754543308774</v>
      </c>
      <c r="I257" s="15"/>
    </row>
    <row r="258" spans="1:9" x14ac:dyDescent="0.2">
      <c r="A258" s="13" t="s">
        <v>1287</v>
      </c>
      <c r="B258" s="13">
        <v>511</v>
      </c>
      <c r="C258" s="15">
        <v>4</v>
      </c>
      <c r="D258" s="15">
        <v>6.7080000000000001E-2</v>
      </c>
      <c r="E258" s="15">
        <f t="shared" si="20"/>
        <v>1.677E-2</v>
      </c>
      <c r="F258" s="15">
        <f t="shared" si="21"/>
        <v>314.15926535897933</v>
      </c>
      <c r="G258" s="15">
        <f t="shared" si="22"/>
        <v>67.08</v>
      </c>
      <c r="H258" s="15">
        <f t="shared" si="19"/>
        <v>4.6833521967647487</v>
      </c>
      <c r="I258" s="15"/>
    </row>
    <row r="259" spans="1:9" x14ac:dyDescent="0.2">
      <c r="A259" s="13" t="s">
        <v>1288</v>
      </c>
      <c r="B259" s="13">
        <v>512</v>
      </c>
      <c r="C259" s="15">
        <v>3</v>
      </c>
      <c r="D259" s="15">
        <v>7.8539999999999999E-2</v>
      </c>
      <c r="E259" s="15">
        <f t="shared" si="20"/>
        <v>2.6179999999999998E-2</v>
      </c>
      <c r="F259" s="15">
        <f t="shared" si="21"/>
        <v>314.15926535897933</v>
      </c>
      <c r="G259" s="15">
        <f t="shared" si="22"/>
        <v>78.539999999999992</v>
      </c>
      <c r="H259" s="15">
        <f t="shared" si="19"/>
        <v>3.9999906462818866</v>
      </c>
      <c r="I259" s="15"/>
    </row>
    <row r="260" spans="1:9" x14ac:dyDescent="0.2">
      <c r="A260" s="19" t="s">
        <v>1290</v>
      </c>
      <c r="B260" s="21">
        <v>513</v>
      </c>
      <c r="C260" s="37">
        <v>3</v>
      </c>
      <c r="D260" s="37">
        <v>9.3710000000000002E-2</v>
      </c>
      <c r="E260" s="37">
        <f t="shared" si="20"/>
        <v>3.1236666666666666E-2</v>
      </c>
      <c r="F260" s="37">
        <f t="shared" si="21"/>
        <v>314.15926535897933</v>
      </c>
      <c r="G260" s="37">
        <f t="shared" si="22"/>
        <v>93.710000000000008</v>
      </c>
      <c r="H260" s="37">
        <f t="shared" si="19"/>
        <v>3.3524625478495285</v>
      </c>
      <c r="I260" s="37"/>
    </row>
    <row r="261" spans="1:9" x14ac:dyDescent="0.2">
      <c r="A261" s="19" t="s">
        <v>1291</v>
      </c>
      <c r="B261" s="21">
        <v>514</v>
      </c>
      <c r="C261" s="37">
        <v>3</v>
      </c>
      <c r="D261" s="37">
        <v>0.10037</v>
      </c>
      <c r="E261" s="37">
        <f t="shared" si="20"/>
        <v>3.3456666666666669E-2</v>
      </c>
      <c r="F261" s="37">
        <f t="shared" si="21"/>
        <v>314.15926535897933</v>
      </c>
      <c r="G261" s="37">
        <f t="shared" si="22"/>
        <v>100.37</v>
      </c>
      <c r="H261" s="37">
        <f t="shared" ref="H261:H289" si="23">IFERROR(F261/G261, "")</f>
        <v>3.1300116106304605</v>
      </c>
      <c r="I261" s="37"/>
    </row>
    <row r="262" spans="1:9" x14ac:dyDescent="0.2">
      <c r="A262" s="19" t="s">
        <v>1296</v>
      </c>
      <c r="B262" s="21">
        <v>519</v>
      </c>
      <c r="C262" s="37">
        <v>3</v>
      </c>
      <c r="D262" s="37">
        <v>0.10712000000000001</v>
      </c>
      <c r="E262" s="37">
        <f t="shared" si="20"/>
        <v>3.5706666666666671E-2</v>
      </c>
      <c r="F262" s="37">
        <f t="shared" si="21"/>
        <v>314.15926535897933</v>
      </c>
      <c r="G262" s="37">
        <f t="shared" si="22"/>
        <v>107.12</v>
      </c>
      <c r="H262" s="37">
        <f t="shared" si="23"/>
        <v>2.9327788028284103</v>
      </c>
      <c r="I262" s="37"/>
    </row>
    <row r="263" spans="1:9" x14ac:dyDescent="0.2">
      <c r="A263" s="13" t="s">
        <v>1300</v>
      </c>
      <c r="B263" s="13">
        <v>521</v>
      </c>
      <c r="C263" s="15">
        <v>4</v>
      </c>
      <c r="D263" s="15">
        <v>5.5370000000000003E-2</v>
      </c>
      <c r="E263" s="15">
        <f t="shared" si="20"/>
        <v>1.3842500000000001E-2</v>
      </c>
      <c r="F263" s="15">
        <f t="shared" si="21"/>
        <v>314.15926535897933</v>
      </c>
      <c r="G263" s="15">
        <f t="shared" si="22"/>
        <v>55.370000000000005</v>
      </c>
      <c r="H263" s="15">
        <f t="shared" si="23"/>
        <v>5.6738173263315748</v>
      </c>
      <c r="I263" s="15"/>
    </row>
    <row r="264" spans="1:9" x14ac:dyDescent="0.2">
      <c r="A264" s="13" t="s">
        <v>1306</v>
      </c>
      <c r="B264" s="13">
        <v>527</v>
      </c>
      <c r="C264" s="15">
        <v>4</v>
      </c>
      <c r="D264" s="15">
        <v>6.5140000000000003E-2</v>
      </c>
      <c r="E264" s="15">
        <f t="shared" si="20"/>
        <v>1.6285000000000001E-2</v>
      </c>
      <c r="F264" s="15">
        <f t="shared" si="21"/>
        <v>314.15926535897933</v>
      </c>
      <c r="G264" s="15">
        <f t="shared" si="22"/>
        <v>65.14</v>
      </c>
      <c r="H264" s="15">
        <f t="shared" si="23"/>
        <v>4.8228318292750894</v>
      </c>
      <c r="I264" s="15"/>
    </row>
    <row r="265" spans="1:9" x14ac:dyDescent="0.2">
      <c r="A265" s="13" t="s">
        <v>1307</v>
      </c>
      <c r="B265" s="13">
        <v>528</v>
      </c>
      <c r="C265" s="15">
        <v>4</v>
      </c>
      <c r="D265" s="15">
        <v>5.756E-2</v>
      </c>
      <c r="E265" s="15">
        <f t="shared" si="20"/>
        <v>1.439E-2</v>
      </c>
      <c r="F265" s="15">
        <f t="shared" si="21"/>
        <v>314.15926535897933</v>
      </c>
      <c r="G265" s="15">
        <f t="shared" si="22"/>
        <v>57.56</v>
      </c>
      <c r="H265" s="15">
        <f t="shared" si="23"/>
        <v>5.4579441514763607</v>
      </c>
      <c r="I265" s="15"/>
    </row>
    <row r="266" spans="1:9" x14ac:dyDescent="0.2">
      <c r="A266" s="19" t="s">
        <v>1309</v>
      </c>
      <c r="B266" s="21">
        <v>529</v>
      </c>
      <c r="C266" s="37">
        <v>4</v>
      </c>
      <c r="D266" s="37">
        <v>5.2109999999999997E-2</v>
      </c>
      <c r="E266" s="37">
        <f t="shared" si="20"/>
        <v>1.3027499999999999E-2</v>
      </c>
      <c r="F266" s="37">
        <f t="shared" si="21"/>
        <v>314.15926535897933</v>
      </c>
      <c r="G266" s="37">
        <f t="shared" si="22"/>
        <v>52.11</v>
      </c>
      <c r="H266" s="37">
        <f t="shared" si="23"/>
        <v>6.0287711640564066</v>
      </c>
      <c r="I266" s="37"/>
    </row>
    <row r="267" spans="1:9" x14ac:dyDescent="0.2">
      <c r="A267" s="19" t="s">
        <v>1310</v>
      </c>
      <c r="B267" s="21">
        <v>530</v>
      </c>
      <c r="C267" s="37">
        <v>4</v>
      </c>
      <c r="D267" s="37">
        <v>7.2099999999999997E-2</v>
      </c>
      <c r="E267" s="37">
        <f t="shared" si="20"/>
        <v>1.8024999999999999E-2</v>
      </c>
      <c r="F267" s="37">
        <f t="shared" si="21"/>
        <v>314.15926535897933</v>
      </c>
      <c r="G267" s="37">
        <f t="shared" si="22"/>
        <v>72.099999999999994</v>
      </c>
      <c r="H267" s="37">
        <f t="shared" si="23"/>
        <v>4.3572713642022105</v>
      </c>
      <c r="I267" s="37"/>
    </row>
    <row r="268" spans="1:9" x14ac:dyDescent="0.2">
      <c r="A268" s="19" t="s">
        <v>1316</v>
      </c>
      <c r="B268" s="21">
        <v>536</v>
      </c>
      <c r="C268" s="37">
        <v>4</v>
      </c>
      <c r="D268" s="37">
        <v>6.6369999999999998E-2</v>
      </c>
      <c r="E268" s="37">
        <f t="shared" si="20"/>
        <v>1.65925E-2</v>
      </c>
      <c r="F268" s="37">
        <f t="shared" si="21"/>
        <v>314.15926535897933</v>
      </c>
      <c r="G268" s="37">
        <f t="shared" si="22"/>
        <v>66.37</v>
      </c>
      <c r="H268" s="37">
        <f t="shared" si="23"/>
        <v>4.733452845547375</v>
      </c>
      <c r="I268" s="37"/>
    </row>
    <row r="269" spans="1:9" x14ac:dyDescent="0.2">
      <c r="A269" s="13" t="s">
        <v>1318</v>
      </c>
      <c r="B269" s="13">
        <v>537</v>
      </c>
      <c r="C269" s="15">
        <v>3</v>
      </c>
      <c r="D269" s="15">
        <v>7.646E-2</v>
      </c>
      <c r="E269" s="15">
        <f t="shared" si="20"/>
        <v>2.5486666666666668E-2</v>
      </c>
      <c r="F269" s="15">
        <f t="shared" si="21"/>
        <v>314.15926535897933</v>
      </c>
      <c r="G269" s="15">
        <f t="shared" si="22"/>
        <v>76.459999999999994</v>
      </c>
      <c r="H269" s="15">
        <f t="shared" si="23"/>
        <v>4.1088054585270646</v>
      </c>
      <c r="I269" s="15"/>
    </row>
    <row r="270" spans="1:9" x14ac:dyDescent="0.2">
      <c r="A270" s="13" t="s">
        <v>1323</v>
      </c>
      <c r="B270" s="13">
        <v>542</v>
      </c>
      <c r="C270" s="15">
        <v>3</v>
      </c>
      <c r="D270" s="15">
        <v>8.0890000000000004E-2</v>
      </c>
      <c r="E270" s="15">
        <f t="shared" si="20"/>
        <v>2.6963333333333336E-2</v>
      </c>
      <c r="F270" s="15">
        <f t="shared" si="21"/>
        <v>314.15926535897933</v>
      </c>
      <c r="G270" s="15">
        <f t="shared" si="22"/>
        <v>80.89</v>
      </c>
      <c r="H270" s="15">
        <f t="shared" si="23"/>
        <v>3.8837837230681087</v>
      </c>
      <c r="I270" s="15"/>
    </row>
    <row r="271" spans="1:9" x14ac:dyDescent="0.2">
      <c r="A271" s="13" t="s">
        <v>1325</v>
      </c>
      <c r="B271" s="13">
        <v>544</v>
      </c>
      <c r="C271" s="15">
        <v>3</v>
      </c>
      <c r="D271" s="15">
        <v>0.11081000000000001</v>
      </c>
      <c r="E271" s="15">
        <f t="shared" si="20"/>
        <v>3.6936666666666666E-2</v>
      </c>
      <c r="F271" s="15">
        <f t="shared" si="21"/>
        <v>314.15926535897933</v>
      </c>
      <c r="G271" s="15">
        <f t="shared" si="22"/>
        <v>110.81</v>
      </c>
      <c r="H271" s="15">
        <f t="shared" si="23"/>
        <v>2.8351165540924042</v>
      </c>
      <c r="I271" s="15"/>
    </row>
    <row r="272" spans="1:9" x14ac:dyDescent="0.2">
      <c r="A272" s="19" t="s">
        <v>1327</v>
      </c>
      <c r="B272" s="21">
        <v>545</v>
      </c>
      <c r="C272" s="37">
        <v>4</v>
      </c>
      <c r="D272" s="37">
        <v>7.2400000000000006E-2</v>
      </c>
      <c r="E272" s="37">
        <f t="shared" si="20"/>
        <v>1.8100000000000002E-2</v>
      </c>
      <c r="F272" s="37">
        <f t="shared" si="21"/>
        <v>314.15926535897933</v>
      </c>
      <c r="G272" s="37">
        <f t="shared" si="22"/>
        <v>72.400000000000006</v>
      </c>
      <c r="H272" s="37">
        <f t="shared" si="23"/>
        <v>4.3392163723615926</v>
      </c>
      <c r="I272" s="37"/>
    </row>
    <row r="273" spans="1:9" x14ac:dyDescent="0.2">
      <c r="A273" s="19" t="s">
        <v>1328</v>
      </c>
      <c r="B273" s="21">
        <v>546</v>
      </c>
      <c r="C273" s="37">
        <v>3</v>
      </c>
      <c r="D273" s="37">
        <v>9.4109999999999999E-2</v>
      </c>
      <c r="E273" s="37">
        <f t="shared" si="20"/>
        <v>3.1370000000000002E-2</v>
      </c>
      <c r="F273" s="37">
        <f t="shared" si="21"/>
        <v>314.15926535897933</v>
      </c>
      <c r="G273" s="37">
        <f t="shared" si="22"/>
        <v>94.11</v>
      </c>
      <c r="H273" s="37">
        <f t="shared" si="23"/>
        <v>3.338213424279878</v>
      </c>
      <c r="I273" s="37"/>
    </row>
    <row r="274" spans="1:9" x14ac:dyDescent="0.2">
      <c r="A274" s="19" t="s">
        <v>1329</v>
      </c>
      <c r="B274" s="21">
        <v>547</v>
      </c>
      <c r="C274" s="37">
        <v>3</v>
      </c>
      <c r="D274" s="37">
        <v>0.10739</v>
      </c>
      <c r="E274" s="37">
        <f t="shared" si="20"/>
        <v>3.5796666666666664E-2</v>
      </c>
      <c r="F274" s="37">
        <f t="shared" si="21"/>
        <v>314.15926535897933</v>
      </c>
      <c r="G274" s="37">
        <f t="shared" si="22"/>
        <v>107.39</v>
      </c>
      <c r="H274" s="37">
        <f t="shared" si="23"/>
        <v>2.9254052086691433</v>
      </c>
      <c r="I274" s="37"/>
    </row>
    <row r="275" spans="1:9" x14ac:dyDescent="0.2">
      <c r="A275" s="19" t="s">
        <v>1330</v>
      </c>
      <c r="B275" s="21">
        <v>548</v>
      </c>
      <c r="C275" s="37">
        <v>4</v>
      </c>
      <c r="D275" s="37">
        <v>6.5519999999999995E-2</v>
      </c>
      <c r="E275" s="37">
        <f t="shared" si="20"/>
        <v>1.6379999999999999E-2</v>
      </c>
      <c r="F275" s="37">
        <f t="shared" si="21"/>
        <v>314.15926535897933</v>
      </c>
      <c r="G275" s="37">
        <f t="shared" si="22"/>
        <v>65.52</v>
      </c>
      <c r="H275" s="37">
        <f t="shared" si="23"/>
        <v>4.7948605824020047</v>
      </c>
      <c r="I275" s="37"/>
    </row>
    <row r="276" spans="1:9" x14ac:dyDescent="0.2">
      <c r="A276" s="19" t="s">
        <v>1333</v>
      </c>
      <c r="B276" s="21">
        <v>551</v>
      </c>
      <c r="C276" s="37">
        <v>3</v>
      </c>
      <c r="D276" s="37">
        <v>0.10241</v>
      </c>
      <c r="E276" s="37">
        <f t="shared" si="20"/>
        <v>3.4136666666666669E-2</v>
      </c>
      <c r="F276" s="37">
        <f t="shared" si="21"/>
        <v>314.15926535897933</v>
      </c>
      <c r="G276" s="37">
        <f t="shared" si="22"/>
        <v>102.41</v>
      </c>
      <c r="H276" s="37">
        <f t="shared" si="23"/>
        <v>3.0676619994041534</v>
      </c>
      <c r="I276" s="37"/>
    </row>
    <row r="277" spans="1:9" x14ac:dyDescent="0.2">
      <c r="A277" s="19" t="s">
        <v>1334</v>
      </c>
      <c r="B277" s="21">
        <v>552</v>
      </c>
      <c r="C277" s="37">
        <v>4</v>
      </c>
      <c r="D277" s="37">
        <v>8.4250000000000005E-2</v>
      </c>
      <c r="E277" s="37">
        <f t="shared" si="20"/>
        <v>2.1062500000000001E-2</v>
      </c>
      <c r="F277" s="37">
        <f t="shared" si="21"/>
        <v>314.15926535897933</v>
      </c>
      <c r="G277" s="37">
        <f t="shared" si="22"/>
        <v>84.25</v>
      </c>
      <c r="H277" s="37">
        <f t="shared" si="23"/>
        <v>3.7288933573766094</v>
      </c>
      <c r="I277" s="37"/>
    </row>
    <row r="278" spans="1:9" x14ac:dyDescent="0.2">
      <c r="A278" s="13" t="s">
        <v>1336</v>
      </c>
      <c r="B278" s="13">
        <v>553</v>
      </c>
      <c r="C278" s="15">
        <v>4</v>
      </c>
      <c r="D278" s="15">
        <v>6.7239999999999994E-2</v>
      </c>
      <c r="E278" s="15">
        <f t="shared" si="20"/>
        <v>1.6809999999999999E-2</v>
      </c>
      <c r="F278" s="15">
        <f t="shared" si="21"/>
        <v>314.15926535897933</v>
      </c>
      <c r="G278" s="15">
        <f t="shared" si="22"/>
        <v>67.239999999999995</v>
      </c>
      <c r="H278" s="15">
        <f t="shared" si="23"/>
        <v>4.6722079916564452</v>
      </c>
      <c r="I278" s="15"/>
    </row>
    <row r="279" spans="1:9" x14ac:dyDescent="0.2">
      <c r="A279" s="13" t="s">
        <v>1337</v>
      </c>
      <c r="B279" s="13">
        <v>554</v>
      </c>
      <c r="C279" s="15">
        <v>4</v>
      </c>
      <c r="D279" s="15">
        <v>6.3930000000000001E-2</v>
      </c>
      <c r="E279" s="15">
        <f t="shared" si="20"/>
        <v>1.59825E-2</v>
      </c>
      <c r="F279" s="15">
        <f t="shared" si="21"/>
        <v>314.15926535897933</v>
      </c>
      <c r="G279" s="15">
        <f t="shared" si="22"/>
        <v>63.93</v>
      </c>
      <c r="H279" s="15">
        <f t="shared" si="23"/>
        <v>4.9141133326916835</v>
      </c>
      <c r="I279" s="15"/>
    </row>
    <row r="280" spans="1:9" x14ac:dyDescent="0.2">
      <c r="A280" s="13" t="s">
        <v>1342</v>
      </c>
      <c r="B280" s="13">
        <v>559</v>
      </c>
      <c r="C280" s="15">
        <v>4</v>
      </c>
      <c r="D280" s="15">
        <v>7.22E-2</v>
      </c>
      <c r="E280" s="15">
        <f t="shared" si="20"/>
        <v>1.805E-2</v>
      </c>
      <c r="F280" s="15">
        <f t="shared" si="21"/>
        <v>314.15926535897933</v>
      </c>
      <c r="G280" s="15">
        <f t="shared" si="22"/>
        <v>72.2</v>
      </c>
      <c r="H280" s="15">
        <f t="shared" si="23"/>
        <v>4.3512363623127328</v>
      </c>
      <c r="I280" s="15"/>
    </row>
    <row r="281" spans="1:9" x14ac:dyDescent="0.2">
      <c r="A281" s="19" t="s">
        <v>1345</v>
      </c>
      <c r="B281" s="21">
        <v>561</v>
      </c>
      <c r="C281" s="37">
        <v>4</v>
      </c>
      <c r="D281" s="37">
        <v>5.4989999999999997E-2</v>
      </c>
      <c r="E281" s="37">
        <f t="shared" si="20"/>
        <v>1.3747499999999999E-2</v>
      </c>
      <c r="F281" s="37">
        <f t="shared" si="21"/>
        <v>314.15926535897933</v>
      </c>
      <c r="G281" s="37">
        <f t="shared" si="22"/>
        <v>54.989999999999995</v>
      </c>
      <c r="H281" s="37">
        <f t="shared" si="23"/>
        <v>5.7130253747768567</v>
      </c>
      <c r="I281" s="37"/>
    </row>
    <row r="282" spans="1:9" x14ac:dyDescent="0.2">
      <c r="A282" s="19" t="s">
        <v>1346</v>
      </c>
      <c r="B282" s="21">
        <v>562</v>
      </c>
      <c r="C282" s="37">
        <v>3</v>
      </c>
      <c r="D282" s="37">
        <v>9.3030000000000002E-2</v>
      </c>
      <c r="E282" s="37">
        <f t="shared" si="20"/>
        <v>3.1009999999999999E-2</v>
      </c>
      <c r="F282" s="37">
        <f t="shared" si="21"/>
        <v>314.15926535897933</v>
      </c>
      <c r="G282" s="37">
        <f t="shared" si="22"/>
        <v>93.03</v>
      </c>
      <c r="H282" s="37">
        <f t="shared" si="23"/>
        <v>3.3769672724817728</v>
      </c>
      <c r="I282" s="37"/>
    </row>
    <row r="283" spans="1:9" x14ac:dyDescent="0.2">
      <c r="A283" s="19" t="s">
        <v>1347</v>
      </c>
      <c r="B283" s="21">
        <v>563</v>
      </c>
      <c r="C283" s="37">
        <v>3</v>
      </c>
      <c r="D283" s="37">
        <v>7.0389999999999994E-2</v>
      </c>
      <c r="E283" s="37">
        <f t="shared" si="20"/>
        <v>2.3463333333333333E-2</v>
      </c>
      <c r="F283" s="37">
        <f t="shared" si="21"/>
        <v>314.15926535897933</v>
      </c>
      <c r="G283" s="37">
        <f t="shared" si="22"/>
        <v>70.39</v>
      </c>
      <c r="H283" s="37">
        <f t="shared" si="23"/>
        <v>4.4631235311689066</v>
      </c>
      <c r="I283" s="37"/>
    </row>
    <row r="284" spans="1:9" x14ac:dyDescent="0.2">
      <c r="A284" s="19" t="s">
        <v>1349</v>
      </c>
      <c r="B284" s="21">
        <v>565</v>
      </c>
      <c r="C284" s="37">
        <v>4</v>
      </c>
      <c r="D284" s="37">
        <v>6.8750000000000006E-2</v>
      </c>
      <c r="E284" s="37">
        <f t="shared" si="20"/>
        <v>1.7187500000000001E-2</v>
      </c>
      <c r="F284" s="37">
        <f t="shared" si="21"/>
        <v>314.15926535897933</v>
      </c>
      <c r="G284" s="37">
        <f t="shared" si="22"/>
        <v>68.75</v>
      </c>
      <c r="H284" s="37">
        <f t="shared" si="23"/>
        <v>4.5695893143124264</v>
      </c>
      <c r="I284" s="37"/>
    </row>
    <row r="285" spans="1:9" x14ac:dyDescent="0.2">
      <c r="A285" s="19" t="s">
        <v>1351</v>
      </c>
      <c r="B285" s="21">
        <v>567</v>
      </c>
      <c r="C285" s="37">
        <v>3</v>
      </c>
      <c r="D285" s="37">
        <v>9.9720000000000003E-2</v>
      </c>
      <c r="E285" s="37">
        <f t="shared" si="20"/>
        <v>3.3239999999999999E-2</v>
      </c>
      <c r="F285" s="37">
        <f t="shared" si="21"/>
        <v>314.15926535897933</v>
      </c>
      <c r="G285" s="37">
        <f t="shared" si="22"/>
        <v>99.72</v>
      </c>
      <c r="H285" s="37">
        <f t="shared" si="23"/>
        <v>3.1504138122641328</v>
      </c>
      <c r="I285" s="37"/>
    </row>
    <row r="286" spans="1:9" x14ac:dyDescent="0.2">
      <c r="A286" s="19" t="s">
        <v>1352</v>
      </c>
      <c r="B286" s="21">
        <v>568</v>
      </c>
      <c r="C286" s="37">
        <v>4</v>
      </c>
      <c r="D286" s="37">
        <v>7.3249999999999996E-2</v>
      </c>
      <c r="E286" s="37">
        <f t="shared" si="20"/>
        <v>1.8312499999999999E-2</v>
      </c>
      <c r="F286" s="37">
        <f t="shared" si="21"/>
        <v>314.15926535897933</v>
      </c>
      <c r="G286" s="37">
        <f t="shared" si="22"/>
        <v>73.25</v>
      </c>
      <c r="H286" s="37">
        <f t="shared" si="23"/>
        <v>4.2888636909075677</v>
      </c>
      <c r="I286" s="37"/>
    </row>
    <row r="287" spans="1:9" x14ac:dyDescent="0.2">
      <c r="A287" s="13" t="s">
        <v>1355</v>
      </c>
      <c r="B287" s="13">
        <v>570</v>
      </c>
      <c r="C287" s="15">
        <v>3</v>
      </c>
      <c r="D287" s="15">
        <v>0.10531</v>
      </c>
      <c r="E287" s="15">
        <f t="shared" si="20"/>
        <v>3.5103333333333334E-2</v>
      </c>
      <c r="F287" s="15">
        <f t="shared" si="21"/>
        <v>314.15926535897933</v>
      </c>
      <c r="G287" s="15">
        <f t="shared" si="22"/>
        <v>105.31</v>
      </c>
      <c r="H287" s="15">
        <f t="shared" si="23"/>
        <v>2.9831855033613079</v>
      </c>
      <c r="I287" s="15"/>
    </row>
    <row r="288" spans="1:9" x14ac:dyDescent="0.2">
      <c r="A288" s="13" t="s">
        <v>1356</v>
      </c>
      <c r="B288" s="13">
        <v>571</v>
      </c>
      <c r="C288" s="15">
        <v>3</v>
      </c>
      <c r="D288" s="15">
        <v>0.10198</v>
      </c>
      <c r="E288" s="15">
        <f t="shared" si="20"/>
        <v>3.3993333333333334E-2</v>
      </c>
      <c r="F288" s="15">
        <f t="shared" si="21"/>
        <v>314.15926535897933</v>
      </c>
      <c r="G288" s="15">
        <f t="shared" si="22"/>
        <v>101.98</v>
      </c>
      <c r="H288" s="15">
        <f t="shared" si="23"/>
        <v>3.0805968362323917</v>
      </c>
      <c r="I288" s="15"/>
    </row>
    <row r="289" spans="1:9" x14ac:dyDescent="0.2">
      <c r="A289" s="13" t="s">
        <v>1360</v>
      </c>
      <c r="B289" s="13">
        <v>575</v>
      </c>
      <c r="C289" s="15">
        <v>3</v>
      </c>
      <c r="D289" s="15">
        <v>0.13339000000000001</v>
      </c>
      <c r="E289" s="15">
        <f t="shared" si="20"/>
        <v>4.4463333333333334E-2</v>
      </c>
      <c r="F289" s="15">
        <f t="shared" si="21"/>
        <v>314.15926535897933</v>
      </c>
      <c r="G289" s="15">
        <f t="shared" si="22"/>
        <v>133.39000000000001</v>
      </c>
      <c r="H289" s="15">
        <f t="shared" si="23"/>
        <v>2.3551935329408447</v>
      </c>
      <c r="I289" s="15"/>
    </row>
    <row r="290" spans="1:9" x14ac:dyDescent="0.2">
      <c r="A290"/>
      <c r="B290"/>
    </row>
    <row r="291" spans="1:9" x14ac:dyDescent="0.2">
      <c r="A291"/>
      <c r="B291"/>
    </row>
    <row r="292" spans="1:9" x14ac:dyDescent="0.2">
      <c r="A292"/>
      <c r="B292"/>
    </row>
    <row r="293" spans="1:9" x14ac:dyDescent="0.2">
      <c r="A293"/>
      <c r="B293"/>
    </row>
    <row r="294" spans="1:9" x14ac:dyDescent="0.2">
      <c r="A294"/>
      <c r="B294"/>
    </row>
    <row r="295" spans="1:9" x14ac:dyDescent="0.2">
      <c r="A295"/>
      <c r="B295"/>
    </row>
    <row r="296" spans="1:9" x14ac:dyDescent="0.2">
      <c r="A296"/>
      <c r="B296"/>
    </row>
    <row r="297" spans="1:9" x14ac:dyDescent="0.2">
      <c r="A297"/>
      <c r="B297"/>
    </row>
    <row r="298" spans="1:9" x14ac:dyDescent="0.2">
      <c r="A298"/>
      <c r="B298"/>
    </row>
    <row r="299" spans="1:9" x14ac:dyDescent="0.2">
      <c r="A299"/>
      <c r="B299"/>
    </row>
    <row r="300" spans="1:9" x14ac:dyDescent="0.2">
      <c r="A300"/>
      <c r="B300"/>
    </row>
    <row r="301" spans="1:9" x14ac:dyDescent="0.2">
      <c r="A301"/>
      <c r="B301"/>
    </row>
    <row r="302" spans="1:9" x14ac:dyDescent="0.2">
      <c r="A302"/>
      <c r="B302"/>
    </row>
    <row r="303" spans="1:9" x14ac:dyDescent="0.2">
      <c r="A303"/>
      <c r="B303"/>
    </row>
    <row r="304" spans="1:9" x14ac:dyDescent="0.2">
      <c r="A304"/>
      <c r="B304"/>
    </row>
    <row r="305" spans="1:2" x14ac:dyDescent="0.2">
      <c r="A305"/>
      <c r="B305"/>
    </row>
    <row r="306" spans="1:2" x14ac:dyDescent="0.2">
      <c r="A306"/>
      <c r="B306"/>
    </row>
    <row r="307" spans="1:2" x14ac:dyDescent="0.2">
      <c r="A307"/>
      <c r="B307"/>
    </row>
    <row r="308" spans="1:2" x14ac:dyDescent="0.2">
      <c r="A308"/>
      <c r="B308"/>
    </row>
    <row r="309" spans="1:2" x14ac:dyDescent="0.2">
      <c r="A309"/>
      <c r="B309"/>
    </row>
    <row r="310" spans="1:2" x14ac:dyDescent="0.2">
      <c r="A310"/>
      <c r="B310"/>
    </row>
    <row r="311" spans="1:2" x14ac:dyDescent="0.2">
      <c r="A311"/>
      <c r="B311"/>
    </row>
    <row r="312" spans="1:2" x14ac:dyDescent="0.2">
      <c r="A312"/>
      <c r="B312"/>
    </row>
    <row r="313" spans="1:2" x14ac:dyDescent="0.2">
      <c r="A313"/>
      <c r="B313"/>
    </row>
    <row r="314" spans="1:2" x14ac:dyDescent="0.2">
      <c r="A314"/>
      <c r="B314"/>
    </row>
    <row r="315" spans="1:2" x14ac:dyDescent="0.2">
      <c r="A315"/>
      <c r="B315"/>
    </row>
    <row r="316" spans="1:2" x14ac:dyDescent="0.2">
      <c r="A316"/>
      <c r="B316"/>
    </row>
    <row r="317" spans="1:2" x14ac:dyDescent="0.2">
      <c r="A317"/>
      <c r="B317"/>
    </row>
    <row r="318" spans="1:2" x14ac:dyDescent="0.2">
      <c r="A318"/>
      <c r="B318"/>
    </row>
    <row r="319" spans="1:2" x14ac:dyDescent="0.2">
      <c r="A319"/>
      <c r="B319"/>
    </row>
    <row r="320" spans="1:2" x14ac:dyDescent="0.2">
      <c r="A320"/>
      <c r="B320"/>
    </row>
    <row r="321" spans="1:2" x14ac:dyDescent="0.2">
      <c r="A321"/>
      <c r="B321"/>
    </row>
    <row r="322" spans="1:2" x14ac:dyDescent="0.2">
      <c r="A322"/>
      <c r="B322"/>
    </row>
    <row r="323" spans="1:2" x14ac:dyDescent="0.2">
      <c r="A323"/>
      <c r="B323"/>
    </row>
    <row r="324" spans="1:2" x14ac:dyDescent="0.2">
      <c r="A324"/>
      <c r="B324"/>
    </row>
    <row r="325" spans="1:2" x14ac:dyDescent="0.2">
      <c r="A325"/>
      <c r="B325"/>
    </row>
    <row r="326" spans="1:2" x14ac:dyDescent="0.2">
      <c r="A326"/>
      <c r="B326"/>
    </row>
    <row r="327" spans="1:2" x14ac:dyDescent="0.2">
      <c r="A327"/>
      <c r="B327"/>
    </row>
    <row r="328" spans="1:2" x14ac:dyDescent="0.2">
      <c r="A328"/>
      <c r="B328"/>
    </row>
    <row r="329" spans="1:2" x14ac:dyDescent="0.2">
      <c r="A329"/>
      <c r="B329"/>
    </row>
    <row r="330" spans="1:2" x14ac:dyDescent="0.2">
      <c r="A330"/>
      <c r="B330"/>
    </row>
    <row r="331" spans="1:2" x14ac:dyDescent="0.2">
      <c r="A331"/>
      <c r="B331"/>
    </row>
    <row r="332" spans="1:2" x14ac:dyDescent="0.2">
      <c r="A332"/>
      <c r="B332"/>
    </row>
    <row r="333" spans="1:2" x14ac:dyDescent="0.2">
      <c r="A333"/>
      <c r="B333"/>
    </row>
    <row r="334" spans="1:2" x14ac:dyDescent="0.2">
      <c r="A334"/>
      <c r="B334"/>
    </row>
    <row r="335" spans="1:2" x14ac:dyDescent="0.2">
      <c r="A335"/>
      <c r="B335"/>
    </row>
    <row r="336" spans="1:2" x14ac:dyDescent="0.2">
      <c r="A336"/>
      <c r="B336"/>
    </row>
    <row r="337" spans="1:2" x14ac:dyDescent="0.2">
      <c r="A337"/>
      <c r="B337"/>
    </row>
    <row r="338" spans="1:2" x14ac:dyDescent="0.2">
      <c r="A338"/>
      <c r="B338"/>
    </row>
    <row r="339" spans="1:2" x14ac:dyDescent="0.2">
      <c r="A339"/>
      <c r="B339"/>
    </row>
    <row r="340" spans="1:2" x14ac:dyDescent="0.2">
      <c r="A340"/>
      <c r="B340"/>
    </row>
    <row r="341" spans="1:2" x14ac:dyDescent="0.2">
      <c r="A341"/>
      <c r="B341"/>
    </row>
    <row r="342" spans="1:2" x14ac:dyDescent="0.2">
      <c r="A342"/>
      <c r="B342"/>
    </row>
    <row r="343" spans="1:2" x14ac:dyDescent="0.2">
      <c r="A343"/>
      <c r="B343"/>
    </row>
    <row r="344" spans="1:2" x14ac:dyDescent="0.2">
      <c r="A344"/>
      <c r="B344"/>
    </row>
    <row r="345" spans="1:2" x14ac:dyDescent="0.2">
      <c r="A345"/>
      <c r="B345"/>
    </row>
    <row r="346" spans="1:2" x14ac:dyDescent="0.2">
      <c r="A346"/>
      <c r="B346"/>
    </row>
    <row r="347" spans="1:2" x14ac:dyDescent="0.2">
      <c r="A347"/>
      <c r="B347"/>
    </row>
    <row r="348" spans="1:2" x14ac:dyDescent="0.2">
      <c r="A348"/>
      <c r="B348"/>
    </row>
    <row r="349" spans="1:2" x14ac:dyDescent="0.2">
      <c r="A349"/>
      <c r="B349"/>
    </row>
    <row r="350" spans="1:2" x14ac:dyDescent="0.2">
      <c r="A350"/>
      <c r="B350"/>
    </row>
    <row r="351" spans="1:2" x14ac:dyDescent="0.2">
      <c r="A351"/>
      <c r="B351"/>
    </row>
    <row r="352" spans="1:2" x14ac:dyDescent="0.2">
      <c r="A352"/>
      <c r="B352"/>
    </row>
    <row r="353" spans="1:2" x14ac:dyDescent="0.2">
      <c r="A353"/>
      <c r="B353"/>
    </row>
    <row r="354" spans="1:2" x14ac:dyDescent="0.2">
      <c r="A354"/>
      <c r="B354"/>
    </row>
    <row r="355" spans="1:2" x14ac:dyDescent="0.2">
      <c r="A355"/>
      <c r="B355"/>
    </row>
    <row r="356" spans="1:2" x14ac:dyDescent="0.2">
      <c r="A356"/>
      <c r="B356"/>
    </row>
    <row r="357" spans="1:2" x14ac:dyDescent="0.2">
      <c r="A357"/>
      <c r="B357"/>
    </row>
    <row r="358" spans="1:2" x14ac:dyDescent="0.2">
      <c r="A358"/>
      <c r="B358"/>
    </row>
    <row r="359" spans="1:2" x14ac:dyDescent="0.2">
      <c r="A359"/>
      <c r="B359"/>
    </row>
    <row r="360" spans="1:2" x14ac:dyDescent="0.2">
      <c r="A360"/>
      <c r="B360"/>
    </row>
    <row r="361" spans="1:2" x14ac:dyDescent="0.2">
      <c r="A361"/>
      <c r="B361"/>
    </row>
    <row r="362" spans="1:2" x14ac:dyDescent="0.2">
      <c r="A362"/>
      <c r="B362"/>
    </row>
    <row r="363" spans="1:2" x14ac:dyDescent="0.2">
      <c r="A363"/>
      <c r="B363"/>
    </row>
    <row r="364" spans="1:2" x14ac:dyDescent="0.2">
      <c r="A364"/>
      <c r="B364"/>
    </row>
    <row r="365" spans="1:2" x14ac:dyDescent="0.2">
      <c r="A365"/>
      <c r="B365"/>
    </row>
    <row r="366" spans="1:2" x14ac:dyDescent="0.2">
      <c r="A366"/>
      <c r="B366"/>
    </row>
    <row r="367" spans="1:2" x14ac:dyDescent="0.2">
      <c r="A367"/>
      <c r="B367"/>
    </row>
    <row r="368" spans="1:2" x14ac:dyDescent="0.2">
      <c r="A368"/>
      <c r="B368"/>
    </row>
    <row r="369" spans="1:2" x14ac:dyDescent="0.2">
      <c r="A369"/>
      <c r="B369"/>
    </row>
    <row r="370" spans="1:2" x14ac:dyDescent="0.2">
      <c r="A370"/>
      <c r="B370"/>
    </row>
    <row r="371" spans="1:2" x14ac:dyDescent="0.2">
      <c r="A371"/>
      <c r="B371"/>
    </row>
    <row r="372" spans="1:2" x14ac:dyDescent="0.2">
      <c r="A372"/>
      <c r="B372"/>
    </row>
    <row r="373" spans="1:2" x14ac:dyDescent="0.2">
      <c r="A373"/>
      <c r="B373"/>
    </row>
    <row r="374" spans="1:2" x14ac:dyDescent="0.2">
      <c r="A374"/>
      <c r="B374"/>
    </row>
    <row r="375" spans="1:2" x14ac:dyDescent="0.2">
      <c r="A375"/>
      <c r="B375"/>
    </row>
    <row r="376" spans="1:2" x14ac:dyDescent="0.2">
      <c r="A376"/>
      <c r="B376"/>
    </row>
    <row r="377" spans="1:2" x14ac:dyDescent="0.2">
      <c r="A377"/>
      <c r="B377"/>
    </row>
    <row r="378" spans="1:2" x14ac:dyDescent="0.2">
      <c r="A378"/>
      <c r="B378"/>
    </row>
    <row r="379" spans="1:2" x14ac:dyDescent="0.2">
      <c r="A379"/>
      <c r="B379"/>
    </row>
    <row r="380" spans="1:2" x14ac:dyDescent="0.2">
      <c r="A380"/>
      <c r="B380"/>
    </row>
    <row r="381" spans="1:2" x14ac:dyDescent="0.2">
      <c r="A381"/>
      <c r="B381"/>
    </row>
    <row r="382" spans="1:2" x14ac:dyDescent="0.2">
      <c r="A382"/>
      <c r="B382"/>
    </row>
    <row r="383" spans="1:2" x14ac:dyDescent="0.2">
      <c r="A383"/>
      <c r="B383"/>
    </row>
    <row r="384" spans="1:2" x14ac:dyDescent="0.2">
      <c r="A384"/>
      <c r="B384"/>
    </row>
    <row r="385" spans="1:2" x14ac:dyDescent="0.2">
      <c r="A385"/>
      <c r="B385"/>
    </row>
    <row r="386" spans="1:2" x14ac:dyDescent="0.2">
      <c r="A386"/>
      <c r="B386"/>
    </row>
    <row r="387" spans="1:2" x14ac:dyDescent="0.2">
      <c r="A387"/>
      <c r="B387"/>
    </row>
    <row r="388" spans="1:2" x14ac:dyDescent="0.2">
      <c r="A388"/>
      <c r="B388"/>
    </row>
    <row r="389" spans="1:2" x14ac:dyDescent="0.2">
      <c r="A389"/>
      <c r="B389"/>
    </row>
    <row r="390" spans="1:2" x14ac:dyDescent="0.2">
      <c r="A390"/>
      <c r="B390"/>
    </row>
    <row r="391" spans="1:2" x14ac:dyDescent="0.2">
      <c r="A391"/>
      <c r="B391"/>
    </row>
    <row r="392" spans="1:2" x14ac:dyDescent="0.2">
      <c r="A392"/>
      <c r="B392"/>
    </row>
    <row r="393" spans="1:2" x14ac:dyDescent="0.2">
      <c r="A393"/>
      <c r="B393"/>
    </row>
    <row r="394" spans="1:2" x14ac:dyDescent="0.2">
      <c r="A394"/>
      <c r="B394"/>
    </row>
    <row r="395" spans="1:2" x14ac:dyDescent="0.2">
      <c r="A395"/>
      <c r="B395"/>
    </row>
    <row r="396" spans="1:2" x14ac:dyDescent="0.2">
      <c r="A396"/>
      <c r="B396"/>
    </row>
    <row r="397" spans="1:2" x14ac:dyDescent="0.2">
      <c r="A397"/>
      <c r="B397"/>
    </row>
    <row r="398" spans="1:2" x14ac:dyDescent="0.2">
      <c r="A398"/>
      <c r="B398"/>
    </row>
    <row r="399" spans="1:2" x14ac:dyDescent="0.2">
      <c r="A399"/>
      <c r="B399"/>
    </row>
    <row r="400" spans="1:2" x14ac:dyDescent="0.2">
      <c r="A400"/>
      <c r="B400"/>
    </row>
    <row r="401" spans="1:2" x14ac:dyDescent="0.2">
      <c r="A401"/>
      <c r="B401"/>
    </row>
    <row r="402" spans="1:2" x14ac:dyDescent="0.2">
      <c r="A402"/>
      <c r="B402"/>
    </row>
    <row r="403" spans="1:2" x14ac:dyDescent="0.2">
      <c r="A403"/>
      <c r="B403"/>
    </row>
    <row r="404" spans="1:2" x14ac:dyDescent="0.2">
      <c r="A404"/>
      <c r="B404"/>
    </row>
    <row r="405" spans="1:2" x14ac:dyDescent="0.2">
      <c r="A405"/>
      <c r="B405"/>
    </row>
    <row r="406" spans="1:2" x14ac:dyDescent="0.2">
      <c r="A406"/>
      <c r="B406"/>
    </row>
    <row r="407" spans="1:2" x14ac:dyDescent="0.2">
      <c r="A407"/>
      <c r="B407"/>
    </row>
    <row r="408" spans="1:2" x14ac:dyDescent="0.2">
      <c r="A408"/>
      <c r="B408"/>
    </row>
    <row r="409" spans="1:2" x14ac:dyDescent="0.2">
      <c r="A409"/>
      <c r="B409"/>
    </row>
    <row r="410" spans="1:2" x14ac:dyDescent="0.2">
      <c r="A410"/>
      <c r="B410"/>
    </row>
    <row r="411" spans="1:2" x14ac:dyDescent="0.2">
      <c r="A411"/>
      <c r="B411"/>
    </row>
    <row r="412" spans="1:2" x14ac:dyDescent="0.2">
      <c r="A412"/>
      <c r="B412"/>
    </row>
    <row r="413" spans="1:2" x14ac:dyDescent="0.2">
      <c r="A413"/>
      <c r="B413"/>
    </row>
    <row r="414" spans="1:2" x14ac:dyDescent="0.2">
      <c r="A414"/>
      <c r="B414"/>
    </row>
    <row r="415" spans="1:2" x14ac:dyDescent="0.2">
      <c r="A415"/>
      <c r="B415"/>
    </row>
    <row r="416" spans="1:2" x14ac:dyDescent="0.2">
      <c r="A416"/>
      <c r="B416"/>
    </row>
    <row r="417" spans="1:2" x14ac:dyDescent="0.2">
      <c r="A417"/>
      <c r="B417"/>
    </row>
    <row r="418" spans="1:2" x14ac:dyDescent="0.2">
      <c r="A418"/>
      <c r="B418"/>
    </row>
    <row r="419" spans="1:2" x14ac:dyDescent="0.2">
      <c r="A419"/>
      <c r="B419"/>
    </row>
    <row r="420" spans="1:2" x14ac:dyDescent="0.2">
      <c r="A420"/>
      <c r="B420"/>
    </row>
    <row r="421" spans="1:2" x14ac:dyDescent="0.2">
      <c r="A421"/>
      <c r="B421"/>
    </row>
    <row r="422" spans="1:2" x14ac:dyDescent="0.2">
      <c r="A422"/>
      <c r="B422"/>
    </row>
    <row r="423" spans="1:2" x14ac:dyDescent="0.2">
      <c r="A423"/>
      <c r="B423"/>
    </row>
    <row r="424" spans="1:2" x14ac:dyDescent="0.2">
      <c r="A424"/>
      <c r="B424"/>
    </row>
    <row r="425" spans="1:2" x14ac:dyDescent="0.2">
      <c r="A425"/>
      <c r="B425"/>
    </row>
    <row r="426" spans="1:2" x14ac:dyDescent="0.2">
      <c r="A426"/>
      <c r="B426"/>
    </row>
    <row r="427" spans="1:2" x14ac:dyDescent="0.2">
      <c r="A427"/>
      <c r="B427"/>
    </row>
    <row r="428" spans="1:2" x14ac:dyDescent="0.2">
      <c r="A428"/>
      <c r="B428"/>
    </row>
    <row r="429" spans="1:2" x14ac:dyDescent="0.2">
      <c r="A429"/>
      <c r="B429"/>
    </row>
    <row r="430" spans="1:2" x14ac:dyDescent="0.2">
      <c r="A430"/>
      <c r="B430"/>
    </row>
    <row r="431" spans="1:2" x14ac:dyDescent="0.2">
      <c r="A431"/>
      <c r="B431"/>
    </row>
    <row r="432" spans="1:2" x14ac:dyDescent="0.2">
      <c r="A432"/>
      <c r="B432"/>
    </row>
    <row r="433" spans="1:2" x14ac:dyDescent="0.2">
      <c r="A433"/>
      <c r="B433"/>
    </row>
    <row r="434" spans="1:2" x14ac:dyDescent="0.2">
      <c r="A434"/>
      <c r="B434"/>
    </row>
    <row r="435" spans="1:2" x14ac:dyDescent="0.2">
      <c r="A435"/>
      <c r="B435"/>
    </row>
    <row r="436" spans="1:2" x14ac:dyDescent="0.2">
      <c r="A436"/>
      <c r="B436"/>
    </row>
    <row r="437" spans="1:2" x14ac:dyDescent="0.2">
      <c r="A437"/>
      <c r="B437"/>
    </row>
    <row r="438" spans="1:2" x14ac:dyDescent="0.2">
      <c r="A438"/>
      <c r="B438"/>
    </row>
    <row r="439" spans="1:2" x14ac:dyDescent="0.2">
      <c r="A439"/>
      <c r="B439"/>
    </row>
    <row r="440" spans="1:2" x14ac:dyDescent="0.2">
      <c r="A440"/>
      <c r="B440"/>
    </row>
    <row r="441" spans="1:2" x14ac:dyDescent="0.2">
      <c r="A441"/>
      <c r="B441"/>
    </row>
    <row r="442" spans="1:2" x14ac:dyDescent="0.2">
      <c r="A442"/>
      <c r="B442"/>
    </row>
    <row r="443" spans="1:2" x14ac:dyDescent="0.2">
      <c r="A443"/>
      <c r="B443"/>
    </row>
    <row r="444" spans="1:2" x14ac:dyDescent="0.2">
      <c r="A444"/>
      <c r="B444"/>
    </row>
    <row r="445" spans="1:2" x14ac:dyDescent="0.2">
      <c r="A445"/>
      <c r="B445"/>
    </row>
    <row r="446" spans="1:2" x14ac:dyDescent="0.2">
      <c r="A446"/>
      <c r="B446"/>
    </row>
    <row r="447" spans="1:2" x14ac:dyDescent="0.2">
      <c r="A447"/>
      <c r="B447"/>
    </row>
    <row r="448" spans="1:2" x14ac:dyDescent="0.2">
      <c r="A448"/>
      <c r="B448"/>
    </row>
    <row r="449" spans="1:2" x14ac:dyDescent="0.2">
      <c r="A449"/>
      <c r="B449"/>
    </row>
    <row r="450" spans="1:2" x14ac:dyDescent="0.2">
      <c r="A450"/>
      <c r="B450"/>
    </row>
    <row r="451" spans="1:2" x14ac:dyDescent="0.2">
      <c r="A451"/>
      <c r="B451"/>
    </row>
    <row r="452" spans="1:2" x14ac:dyDescent="0.2">
      <c r="A452"/>
      <c r="B452"/>
    </row>
    <row r="453" spans="1:2" x14ac:dyDescent="0.2">
      <c r="A453"/>
      <c r="B453"/>
    </row>
    <row r="454" spans="1:2" x14ac:dyDescent="0.2">
      <c r="A454"/>
      <c r="B454"/>
    </row>
    <row r="455" spans="1:2" x14ac:dyDescent="0.2">
      <c r="A455"/>
      <c r="B455"/>
    </row>
    <row r="456" spans="1:2" x14ac:dyDescent="0.2">
      <c r="A456"/>
      <c r="B456"/>
    </row>
    <row r="457" spans="1:2" x14ac:dyDescent="0.2">
      <c r="A457"/>
      <c r="B457"/>
    </row>
    <row r="458" spans="1:2" x14ac:dyDescent="0.2">
      <c r="A458"/>
      <c r="B458"/>
    </row>
    <row r="459" spans="1:2" x14ac:dyDescent="0.2">
      <c r="A459"/>
      <c r="B459"/>
    </row>
    <row r="460" spans="1:2" x14ac:dyDescent="0.2">
      <c r="A460"/>
      <c r="B460"/>
    </row>
    <row r="461" spans="1:2" x14ac:dyDescent="0.2">
      <c r="A461"/>
      <c r="B461"/>
    </row>
    <row r="462" spans="1:2" x14ac:dyDescent="0.2">
      <c r="A462"/>
      <c r="B462"/>
    </row>
    <row r="463" spans="1:2" x14ac:dyDescent="0.2">
      <c r="A463"/>
      <c r="B463"/>
    </row>
    <row r="464" spans="1:2" x14ac:dyDescent="0.2">
      <c r="A464"/>
      <c r="B464"/>
    </row>
    <row r="465" spans="1:2" x14ac:dyDescent="0.2">
      <c r="A465"/>
      <c r="B465"/>
    </row>
    <row r="466" spans="1:2" x14ac:dyDescent="0.2">
      <c r="A466"/>
      <c r="B466"/>
    </row>
    <row r="467" spans="1:2" x14ac:dyDescent="0.2">
      <c r="A467"/>
      <c r="B467"/>
    </row>
    <row r="468" spans="1:2" x14ac:dyDescent="0.2">
      <c r="A468"/>
      <c r="B468"/>
    </row>
    <row r="469" spans="1:2" x14ac:dyDescent="0.2">
      <c r="A469"/>
      <c r="B469"/>
    </row>
    <row r="470" spans="1:2" x14ac:dyDescent="0.2">
      <c r="A470"/>
      <c r="B470"/>
    </row>
    <row r="471" spans="1:2" x14ac:dyDescent="0.2">
      <c r="A471"/>
      <c r="B471"/>
    </row>
    <row r="472" spans="1:2" x14ac:dyDescent="0.2">
      <c r="A472"/>
      <c r="B472"/>
    </row>
    <row r="473" spans="1:2" x14ac:dyDescent="0.2">
      <c r="A473"/>
      <c r="B473"/>
    </row>
    <row r="474" spans="1:2" x14ac:dyDescent="0.2">
      <c r="A474"/>
      <c r="B474"/>
    </row>
    <row r="475" spans="1:2" x14ac:dyDescent="0.2">
      <c r="A475"/>
      <c r="B475"/>
    </row>
    <row r="476" spans="1:2" x14ac:dyDescent="0.2">
      <c r="A476"/>
      <c r="B476"/>
    </row>
    <row r="477" spans="1:2" x14ac:dyDescent="0.2">
      <c r="A477"/>
      <c r="B477"/>
    </row>
    <row r="478" spans="1:2" x14ac:dyDescent="0.2">
      <c r="A478"/>
      <c r="B478"/>
    </row>
    <row r="479" spans="1:2" x14ac:dyDescent="0.2">
      <c r="A479"/>
      <c r="B479"/>
    </row>
    <row r="480" spans="1:2" x14ac:dyDescent="0.2">
      <c r="A480"/>
      <c r="B480"/>
    </row>
    <row r="481" spans="1:2" x14ac:dyDescent="0.2">
      <c r="A481"/>
      <c r="B481"/>
    </row>
    <row r="482" spans="1:2" x14ac:dyDescent="0.2">
      <c r="A482"/>
      <c r="B482"/>
    </row>
    <row r="483" spans="1:2" x14ac:dyDescent="0.2">
      <c r="A483"/>
      <c r="B483"/>
    </row>
    <row r="484" spans="1:2" x14ac:dyDescent="0.2">
      <c r="A484"/>
      <c r="B484"/>
    </row>
    <row r="485" spans="1:2" x14ac:dyDescent="0.2">
      <c r="A485"/>
      <c r="B485"/>
    </row>
    <row r="486" spans="1:2" x14ac:dyDescent="0.2">
      <c r="A486"/>
      <c r="B486"/>
    </row>
    <row r="487" spans="1:2" x14ac:dyDescent="0.2">
      <c r="A487"/>
      <c r="B487"/>
    </row>
    <row r="488" spans="1:2" x14ac:dyDescent="0.2">
      <c r="A488"/>
      <c r="B488"/>
    </row>
    <row r="489" spans="1:2" x14ac:dyDescent="0.2">
      <c r="A489"/>
      <c r="B489"/>
    </row>
    <row r="490" spans="1:2" x14ac:dyDescent="0.2">
      <c r="A490"/>
      <c r="B490"/>
    </row>
    <row r="491" spans="1:2" x14ac:dyDescent="0.2">
      <c r="A491"/>
      <c r="B491"/>
    </row>
    <row r="492" spans="1:2" x14ac:dyDescent="0.2">
      <c r="A492"/>
      <c r="B492"/>
    </row>
    <row r="493" spans="1:2" x14ac:dyDescent="0.2">
      <c r="A493"/>
      <c r="B493"/>
    </row>
    <row r="494" spans="1:2" x14ac:dyDescent="0.2">
      <c r="A494"/>
      <c r="B494"/>
    </row>
    <row r="495" spans="1:2" x14ac:dyDescent="0.2">
      <c r="A495"/>
      <c r="B495"/>
    </row>
    <row r="496" spans="1:2" x14ac:dyDescent="0.2">
      <c r="A496"/>
      <c r="B496"/>
    </row>
    <row r="497" spans="1:2" x14ac:dyDescent="0.2">
      <c r="A497"/>
      <c r="B497"/>
    </row>
    <row r="498" spans="1:2" x14ac:dyDescent="0.2">
      <c r="A498"/>
      <c r="B498"/>
    </row>
    <row r="499" spans="1:2" x14ac:dyDescent="0.2">
      <c r="A499"/>
      <c r="B499"/>
    </row>
    <row r="500" spans="1:2" x14ac:dyDescent="0.2">
      <c r="A500"/>
      <c r="B500"/>
    </row>
    <row r="501" spans="1:2" x14ac:dyDescent="0.2">
      <c r="A501"/>
      <c r="B501"/>
    </row>
    <row r="502" spans="1:2" x14ac:dyDescent="0.2">
      <c r="A502"/>
      <c r="B502"/>
    </row>
    <row r="503" spans="1:2" x14ac:dyDescent="0.2">
      <c r="A503"/>
      <c r="B503"/>
    </row>
    <row r="504" spans="1:2" x14ac:dyDescent="0.2">
      <c r="A504"/>
      <c r="B504"/>
    </row>
    <row r="505" spans="1:2" x14ac:dyDescent="0.2">
      <c r="A505"/>
      <c r="B505"/>
    </row>
    <row r="506" spans="1:2" x14ac:dyDescent="0.2">
      <c r="A506"/>
      <c r="B506"/>
    </row>
    <row r="507" spans="1:2" x14ac:dyDescent="0.2">
      <c r="A507"/>
      <c r="B507"/>
    </row>
  </sheetData>
  <phoneticPr fontId="3" type="noConversion"/>
  <pageMargins left="0.25" right="0.25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DF79B-C902-4F8C-ADDD-8D2F9AAD512D}">
  <dimension ref="A1:AS73"/>
  <sheetViews>
    <sheetView workbookViewId="0">
      <selection activeCell="H21" sqref="H21"/>
    </sheetView>
  </sheetViews>
  <sheetFormatPr baseColWidth="10" defaultColWidth="8.83203125" defaultRowHeight="16" x14ac:dyDescent="0.2"/>
  <cols>
    <col min="1" max="1" width="12" customWidth="1"/>
    <col min="2" max="25" width="14.33203125" customWidth="1"/>
    <col min="26" max="26" width="14.33203125" style="64" customWidth="1"/>
    <col min="27" max="28" width="14.33203125" customWidth="1"/>
    <col min="29" max="29" width="14.33203125" style="65" customWidth="1"/>
    <col min="30" max="30" width="14.33203125" style="64" customWidth="1"/>
    <col min="31" max="32" width="14.33203125" customWidth="1"/>
    <col min="33" max="33" width="14.33203125" style="65" customWidth="1"/>
    <col min="34" max="34" width="14.33203125" style="64" customWidth="1"/>
    <col min="35" max="36" width="14.33203125" customWidth="1"/>
    <col min="37" max="37" width="14.33203125" style="65" customWidth="1"/>
    <col min="38" max="38" width="14.33203125" style="64" customWidth="1"/>
    <col min="39" max="40" width="14.33203125" customWidth="1"/>
    <col min="41" max="41" width="14.33203125" style="65" customWidth="1"/>
    <col min="42" max="42" width="14.33203125" style="64" customWidth="1"/>
    <col min="43" max="44" width="14.33203125" customWidth="1"/>
    <col min="45" max="45" width="14.33203125" style="65" customWidth="1"/>
  </cols>
  <sheetData>
    <row r="1" spans="1:45" s="8" customFormat="1" x14ac:dyDescent="0.2">
      <c r="A1" s="48" t="s">
        <v>621</v>
      </c>
      <c r="B1" s="72" t="s">
        <v>1946</v>
      </c>
      <c r="C1" s="72" t="s">
        <v>1947</v>
      </c>
      <c r="D1" s="72" t="s">
        <v>1948</v>
      </c>
      <c r="E1" s="72" t="s">
        <v>1949</v>
      </c>
      <c r="F1" s="73" t="s">
        <v>1950</v>
      </c>
      <c r="G1" s="73" t="s">
        <v>1951</v>
      </c>
      <c r="H1" s="73" t="s">
        <v>1952</v>
      </c>
      <c r="I1" s="73" t="s">
        <v>1953</v>
      </c>
      <c r="J1" s="74" t="s">
        <v>1910</v>
      </c>
      <c r="K1" s="74" t="s">
        <v>1911</v>
      </c>
      <c r="L1" s="74" t="s">
        <v>1912</v>
      </c>
      <c r="M1" s="74" t="s">
        <v>1913</v>
      </c>
      <c r="N1" s="75" t="s">
        <v>1914</v>
      </c>
      <c r="O1" s="75" t="s">
        <v>1915</v>
      </c>
      <c r="P1" s="75" t="s">
        <v>1916</v>
      </c>
      <c r="Q1" s="75" t="s">
        <v>1917</v>
      </c>
      <c r="R1" s="76" t="s">
        <v>1918</v>
      </c>
      <c r="S1" s="76" t="s">
        <v>1919</v>
      </c>
      <c r="T1" s="76" t="s">
        <v>1920</v>
      </c>
      <c r="U1" s="76" t="s">
        <v>1921</v>
      </c>
      <c r="V1" s="77" t="s">
        <v>1954</v>
      </c>
      <c r="W1" s="77" t="s">
        <v>1955</v>
      </c>
      <c r="X1" s="77" t="s">
        <v>1956</v>
      </c>
      <c r="Y1" s="78" t="s">
        <v>1957</v>
      </c>
      <c r="Z1" s="79" t="s">
        <v>1958</v>
      </c>
      <c r="AA1" s="80" t="s">
        <v>1959</v>
      </c>
      <c r="AB1" s="80" t="s">
        <v>1960</v>
      </c>
      <c r="AC1" s="81" t="s">
        <v>1961</v>
      </c>
      <c r="AD1" s="85" t="s">
        <v>1930</v>
      </c>
      <c r="AE1" s="84" t="s">
        <v>1931</v>
      </c>
      <c r="AF1" s="84" t="s">
        <v>1932</v>
      </c>
      <c r="AG1" s="86" t="s">
        <v>1933</v>
      </c>
      <c r="AH1" s="97" t="s">
        <v>1962</v>
      </c>
      <c r="AI1" s="98" t="s">
        <v>1963</v>
      </c>
      <c r="AJ1" s="98" t="s">
        <v>1964</v>
      </c>
      <c r="AK1" s="99" t="s">
        <v>1965</v>
      </c>
      <c r="AL1" s="107" t="s">
        <v>1966</v>
      </c>
      <c r="AM1" s="108" t="s">
        <v>1967</v>
      </c>
      <c r="AN1" s="108" t="s">
        <v>1968</v>
      </c>
      <c r="AO1" s="109" t="s">
        <v>1969</v>
      </c>
      <c r="AP1" s="123" t="s">
        <v>1942</v>
      </c>
      <c r="AQ1" s="124" t="s">
        <v>1943</v>
      </c>
      <c r="AR1" s="124" t="s">
        <v>1944</v>
      </c>
      <c r="AS1" s="125" t="s">
        <v>1945</v>
      </c>
    </row>
    <row r="2" spans="1:45" x14ac:dyDescent="0.2">
      <c r="A2" s="69" t="s">
        <v>709</v>
      </c>
      <c r="B2" s="69">
        <v>9.6</v>
      </c>
      <c r="C2" s="71">
        <v>7.5</v>
      </c>
      <c r="D2" s="71">
        <v>10.6</v>
      </c>
      <c r="E2" s="70">
        <v>9.6</v>
      </c>
      <c r="F2" s="69">
        <v>9.1999999999999993</v>
      </c>
      <c r="G2" s="71">
        <v>9.9</v>
      </c>
      <c r="H2" s="71">
        <v>7.9</v>
      </c>
      <c r="I2" s="70">
        <v>8</v>
      </c>
      <c r="J2" s="69">
        <v>8.1999999999999993</v>
      </c>
      <c r="K2" s="71">
        <v>8.6999999999999993</v>
      </c>
      <c r="L2" s="71">
        <v>5.9</v>
      </c>
      <c r="M2" s="70">
        <v>9.9</v>
      </c>
      <c r="N2" s="69">
        <v>9</v>
      </c>
      <c r="O2" s="71">
        <v>4.7</v>
      </c>
      <c r="P2" s="71">
        <v>6.5</v>
      </c>
      <c r="Q2" s="70">
        <v>6.6</v>
      </c>
      <c r="R2" s="69">
        <v>8.5</v>
      </c>
      <c r="S2" s="71">
        <v>8.8000000000000007</v>
      </c>
      <c r="T2" s="71">
        <v>8.1999999999999993</v>
      </c>
      <c r="U2" s="70">
        <v>6.4</v>
      </c>
      <c r="V2" s="69">
        <v>9.9</v>
      </c>
      <c r="W2" s="71">
        <v>8</v>
      </c>
      <c r="X2" s="71">
        <v>9.4</v>
      </c>
      <c r="Y2" s="70">
        <v>9.5</v>
      </c>
      <c r="Z2" s="69">
        <v>8.1999999999999993</v>
      </c>
      <c r="AA2" s="71">
        <v>9.1</v>
      </c>
      <c r="AB2" s="71">
        <v>9</v>
      </c>
      <c r="AC2" s="70">
        <v>8.5</v>
      </c>
      <c r="AD2" s="69">
        <v>6.7</v>
      </c>
      <c r="AE2" s="71">
        <v>6.4</v>
      </c>
      <c r="AF2" s="71">
        <v>7.6</v>
      </c>
      <c r="AG2" s="70">
        <v>8.6999999999999993</v>
      </c>
      <c r="AH2" s="69">
        <v>7.4</v>
      </c>
      <c r="AI2" s="71">
        <v>7.2</v>
      </c>
      <c r="AJ2" s="71">
        <v>7</v>
      </c>
      <c r="AK2" s="70">
        <v>6</v>
      </c>
      <c r="AL2" s="69">
        <v>4.0999999999999996</v>
      </c>
      <c r="AM2" s="71">
        <v>3.8</v>
      </c>
      <c r="AN2" s="71">
        <v>6.4</v>
      </c>
      <c r="AO2" s="70">
        <v>5.9</v>
      </c>
      <c r="AP2" s="69">
        <v>1.9</v>
      </c>
      <c r="AQ2" s="71">
        <v>3.8</v>
      </c>
      <c r="AR2" s="71">
        <v>4.9000000000000004</v>
      </c>
      <c r="AS2" s="70">
        <v>4</v>
      </c>
    </row>
    <row r="3" spans="1:45" x14ac:dyDescent="0.2">
      <c r="A3" s="64" t="s">
        <v>718</v>
      </c>
      <c r="B3" s="64">
        <v>9.5</v>
      </c>
      <c r="C3">
        <v>11.2</v>
      </c>
      <c r="D3">
        <v>9.6999999999999993</v>
      </c>
      <c r="E3" s="65">
        <v>10.8</v>
      </c>
      <c r="F3" s="64">
        <v>12.4</v>
      </c>
      <c r="G3">
        <v>16.5</v>
      </c>
      <c r="H3">
        <v>10</v>
      </c>
      <c r="I3" s="65">
        <v>18</v>
      </c>
      <c r="J3" s="64">
        <v>12.3</v>
      </c>
      <c r="K3">
        <v>13.8</v>
      </c>
      <c r="L3">
        <v>9.6</v>
      </c>
      <c r="M3" s="65">
        <v>17</v>
      </c>
      <c r="N3" s="64">
        <v>12.9</v>
      </c>
      <c r="O3">
        <v>17</v>
      </c>
      <c r="P3">
        <v>8.3000000000000007</v>
      </c>
      <c r="Q3" s="65">
        <v>17</v>
      </c>
      <c r="R3" s="64">
        <v>11.5</v>
      </c>
      <c r="S3">
        <v>16.100000000000001</v>
      </c>
      <c r="T3">
        <v>10.3</v>
      </c>
      <c r="U3" s="65">
        <v>18.5</v>
      </c>
      <c r="V3" s="64">
        <v>15.8</v>
      </c>
      <c r="W3">
        <v>16</v>
      </c>
      <c r="X3">
        <v>9.8000000000000007</v>
      </c>
      <c r="Y3" s="65">
        <v>14.1</v>
      </c>
      <c r="Z3" s="64">
        <v>13.5</v>
      </c>
      <c r="AA3">
        <v>10.4</v>
      </c>
      <c r="AB3">
        <v>8.9</v>
      </c>
      <c r="AC3" s="65">
        <v>18</v>
      </c>
      <c r="AD3" s="64">
        <v>14.3</v>
      </c>
      <c r="AE3">
        <v>12.8</v>
      </c>
      <c r="AF3">
        <v>9.1</v>
      </c>
      <c r="AG3" s="65">
        <v>16.600000000000001</v>
      </c>
      <c r="AH3" s="64">
        <v>7.7</v>
      </c>
      <c r="AI3">
        <v>14.3</v>
      </c>
      <c r="AJ3">
        <v>9.3000000000000007</v>
      </c>
      <c r="AK3" s="65">
        <v>17.100000000000001</v>
      </c>
      <c r="AL3" s="64">
        <v>13.2</v>
      </c>
      <c r="AM3">
        <v>13.4</v>
      </c>
      <c r="AN3">
        <v>9.1</v>
      </c>
      <c r="AO3" s="65">
        <v>19.3</v>
      </c>
      <c r="AP3" s="64">
        <v>12.3</v>
      </c>
      <c r="AQ3">
        <v>9.9</v>
      </c>
      <c r="AR3">
        <v>6.8</v>
      </c>
      <c r="AS3" s="65">
        <v>17.8</v>
      </c>
    </row>
    <row r="4" spans="1:45" x14ac:dyDescent="0.2">
      <c r="A4" s="64" t="s">
        <v>727</v>
      </c>
      <c r="B4" s="64">
        <v>6.8</v>
      </c>
      <c r="C4">
        <v>9.5</v>
      </c>
      <c r="D4">
        <v>12.4</v>
      </c>
      <c r="E4" s="65">
        <v>9.9</v>
      </c>
      <c r="F4" s="64">
        <v>10.5</v>
      </c>
      <c r="G4">
        <v>10.1</v>
      </c>
      <c r="H4">
        <v>15.1</v>
      </c>
      <c r="I4" s="65">
        <v>14.6</v>
      </c>
      <c r="J4" s="64">
        <v>12.4</v>
      </c>
      <c r="K4">
        <v>9.9</v>
      </c>
      <c r="L4">
        <v>15.5</v>
      </c>
      <c r="M4" s="65">
        <v>16</v>
      </c>
      <c r="N4" s="64">
        <v>11.1</v>
      </c>
      <c r="O4">
        <v>9.5</v>
      </c>
      <c r="P4">
        <v>15.1</v>
      </c>
      <c r="Q4" s="65">
        <v>16.5</v>
      </c>
      <c r="R4" s="64">
        <v>15.7</v>
      </c>
      <c r="S4">
        <v>10.5</v>
      </c>
      <c r="T4">
        <v>9.3000000000000007</v>
      </c>
      <c r="U4" s="65">
        <v>15.1</v>
      </c>
      <c r="V4" s="64">
        <v>19.3</v>
      </c>
      <c r="W4">
        <v>12.1</v>
      </c>
      <c r="X4">
        <v>11.6</v>
      </c>
      <c r="Y4" s="65">
        <v>15</v>
      </c>
      <c r="Z4" s="64">
        <v>19.7</v>
      </c>
      <c r="AA4">
        <v>11.2</v>
      </c>
      <c r="AB4">
        <v>13.3</v>
      </c>
      <c r="AC4" s="65">
        <v>15.2</v>
      </c>
      <c r="AD4" s="64">
        <v>23.5</v>
      </c>
      <c r="AE4">
        <v>9.9</v>
      </c>
      <c r="AF4">
        <v>13.6</v>
      </c>
      <c r="AG4" s="65">
        <v>15.6</v>
      </c>
      <c r="AH4" s="64">
        <v>24.6</v>
      </c>
      <c r="AI4">
        <v>8.6</v>
      </c>
      <c r="AJ4">
        <v>13.1</v>
      </c>
      <c r="AK4" s="65">
        <v>15.7</v>
      </c>
      <c r="AL4" s="64">
        <v>22.4</v>
      </c>
      <c r="AM4">
        <v>11</v>
      </c>
      <c r="AN4">
        <v>9.8000000000000007</v>
      </c>
      <c r="AO4" s="65">
        <v>16.2</v>
      </c>
      <c r="AP4" s="64">
        <v>24.1</v>
      </c>
      <c r="AQ4">
        <v>10</v>
      </c>
      <c r="AR4">
        <v>8.1999999999999993</v>
      </c>
      <c r="AS4" s="65">
        <v>15.6</v>
      </c>
    </row>
    <row r="5" spans="1:45" x14ac:dyDescent="0.2">
      <c r="A5" s="66" t="s">
        <v>736</v>
      </c>
      <c r="B5" s="66">
        <v>6.6</v>
      </c>
      <c r="C5" s="68">
        <v>13.4</v>
      </c>
      <c r="D5" s="68">
        <v>16.100000000000001</v>
      </c>
      <c r="E5" s="67">
        <v>5.3</v>
      </c>
      <c r="F5" s="66">
        <v>9.4</v>
      </c>
      <c r="G5" s="68">
        <v>13.5</v>
      </c>
      <c r="H5" s="68">
        <v>16.7</v>
      </c>
      <c r="I5" s="67">
        <v>11</v>
      </c>
      <c r="J5" s="66">
        <v>10.9</v>
      </c>
      <c r="K5" s="68">
        <v>12.8</v>
      </c>
      <c r="L5" s="68">
        <v>19.100000000000001</v>
      </c>
      <c r="M5" s="67">
        <v>15.6</v>
      </c>
      <c r="N5" s="66">
        <v>9.6999999999999993</v>
      </c>
      <c r="O5" s="68">
        <v>17.100000000000001</v>
      </c>
      <c r="P5" s="68">
        <v>16.2</v>
      </c>
      <c r="Q5" s="67">
        <v>18.100000000000001</v>
      </c>
      <c r="R5" s="66">
        <v>12.8</v>
      </c>
      <c r="S5" s="68">
        <v>14.7</v>
      </c>
      <c r="T5" s="68">
        <v>18.8</v>
      </c>
      <c r="U5" s="67">
        <v>16.399999999999999</v>
      </c>
      <c r="V5" s="66">
        <v>13.2</v>
      </c>
      <c r="W5" s="68">
        <v>18.899999999999999</v>
      </c>
      <c r="X5" s="68">
        <v>15.8</v>
      </c>
      <c r="Y5" s="67">
        <v>17.3</v>
      </c>
      <c r="Z5" s="66">
        <v>8</v>
      </c>
      <c r="AA5" s="68">
        <v>17.8</v>
      </c>
      <c r="AB5" s="68">
        <v>19.3</v>
      </c>
      <c r="AC5" s="67">
        <v>17.600000000000001</v>
      </c>
      <c r="AD5" s="66">
        <v>8.1</v>
      </c>
      <c r="AE5" s="68">
        <v>22.7</v>
      </c>
      <c r="AF5" s="68">
        <v>24.4</v>
      </c>
      <c r="AG5" s="67">
        <v>23.3</v>
      </c>
      <c r="AH5" s="66">
        <v>7.8</v>
      </c>
      <c r="AI5" s="68">
        <v>21.8</v>
      </c>
      <c r="AJ5" s="68">
        <v>17.8</v>
      </c>
      <c r="AK5" s="67">
        <v>16.7</v>
      </c>
      <c r="AL5" s="66">
        <v>7.4</v>
      </c>
      <c r="AM5" s="68">
        <v>21.7</v>
      </c>
      <c r="AN5" s="68">
        <v>19</v>
      </c>
      <c r="AO5" s="67">
        <v>25.9</v>
      </c>
      <c r="AP5" s="66">
        <v>16.899999999999999</v>
      </c>
      <c r="AQ5" s="68">
        <v>21.2</v>
      </c>
      <c r="AR5" s="68">
        <v>26.9</v>
      </c>
      <c r="AS5" s="67">
        <v>20.6</v>
      </c>
    </row>
    <row r="6" spans="1:45" x14ac:dyDescent="0.2">
      <c r="A6" s="69" t="s">
        <v>745</v>
      </c>
      <c r="B6" s="69">
        <v>16.600000000000001</v>
      </c>
      <c r="C6" s="71">
        <v>12.7</v>
      </c>
      <c r="D6" s="71">
        <v>12</v>
      </c>
      <c r="E6" s="70">
        <v>14.8</v>
      </c>
      <c r="F6" s="69">
        <v>16.100000000000001</v>
      </c>
      <c r="G6" s="71">
        <v>14.9</v>
      </c>
      <c r="H6" s="71">
        <v>12.8</v>
      </c>
      <c r="I6" s="70">
        <v>13.7</v>
      </c>
      <c r="J6" s="69">
        <v>14.5</v>
      </c>
      <c r="K6" s="71">
        <v>11.1</v>
      </c>
      <c r="L6" s="71">
        <v>11.2</v>
      </c>
      <c r="M6" s="70">
        <v>14.8</v>
      </c>
      <c r="N6" s="69">
        <v>16.899999999999999</v>
      </c>
      <c r="O6" s="71">
        <v>10.8</v>
      </c>
      <c r="P6" s="71">
        <v>12.8</v>
      </c>
      <c r="Q6" s="70">
        <v>15</v>
      </c>
      <c r="R6" s="69">
        <v>20.7</v>
      </c>
      <c r="S6" s="71">
        <v>12.6</v>
      </c>
      <c r="T6" s="71">
        <v>14.1</v>
      </c>
      <c r="U6" s="70">
        <v>19.100000000000001</v>
      </c>
      <c r="V6" s="69">
        <v>20.7</v>
      </c>
      <c r="W6" s="71">
        <v>14</v>
      </c>
      <c r="X6" s="71">
        <v>15.6</v>
      </c>
      <c r="Y6" s="70">
        <v>20.399999999999999</v>
      </c>
      <c r="Z6" s="69">
        <v>21.3</v>
      </c>
      <c r="AA6" s="71">
        <v>12.7</v>
      </c>
      <c r="AB6" s="71">
        <v>16.2</v>
      </c>
      <c r="AC6" s="70">
        <v>22.1</v>
      </c>
      <c r="AD6" s="69">
        <v>22.8</v>
      </c>
      <c r="AE6" s="71">
        <v>16.899999999999999</v>
      </c>
      <c r="AF6" s="71">
        <v>18.600000000000001</v>
      </c>
      <c r="AG6" s="70">
        <v>24</v>
      </c>
      <c r="AH6" s="69">
        <v>24.9</v>
      </c>
      <c r="AI6" s="71">
        <v>15.6</v>
      </c>
      <c r="AJ6" s="71">
        <v>18.600000000000001</v>
      </c>
      <c r="AK6" s="70">
        <v>24.9</v>
      </c>
      <c r="AL6" s="69">
        <v>21.8</v>
      </c>
      <c r="AM6" s="71">
        <v>17.399999999999999</v>
      </c>
      <c r="AN6" s="71">
        <v>8.6</v>
      </c>
      <c r="AO6" s="70">
        <v>24.8</v>
      </c>
      <c r="AP6" s="69">
        <v>22.2</v>
      </c>
      <c r="AQ6" s="71">
        <v>18.100000000000001</v>
      </c>
      <c r="AR6" s="71">
        <v>6.8</v>
      </c>
      <c r="AS6" s="70">
        <v>25</v>
      </c>
    </row>
    <row r="7" spans="1:45" x14ac:dyDescent="0.2">
      <c r="A7" s="64" t="s">
        <v>754</v>
      </c>
      <c r="B7" s="64">
        <v>12.5</v>
      </c>
      <c r="C7">
        <v>12.3</v>
      </c>
      <c r="D7">
        <v>12.4</v>
      </c>
      <c r="E7" s="65">
        <v>11.5</v>
      </c>
      <c r="F7" s="64">
        <v>15.8</v>
      </c>
      <c r="G7">
        <v>14.6</v>
      </c>
      <c r="H7">
        <v>13.2</v>
      </c>
      <c r="I7" s="65">
        <v>14.3</v>
      </c>
      <c r="J7" s="64">
        <v>18</v>
      </c>
      <c r="K7">
        <v>15.6</v>
      </c>
      <c r="L7">
        <v>13.7</v>
      </c>
      <c r="M7" s="65">
        <v>16.5</v>
      </c>
      <c r="N7" s="64">
        <v>15</v>
      </c>
      <c r="O7">
        <v>13.4</v>
      </c>
      <c r="P7">
        <v>12.8</v>
      </c>
      <c r="Q7" s="65">
        <v>17</v>
      </c>
      <c r="R7" s="64">
        <v>8.5</v>
      </c>
      <c r="S7">
        <v>15.2</v>
      </c>
      <c r="T7">
        <v>11.3</v>
      </c>
      <c r="U7" s="65">
        <v>18.2</v>
      </c>
      <c r="V7" s="64">
        <v>18.2</v>
      </c>
      <c r="W7">
        <v>16.5</v>
      </c>
      <c r="X7">
        <v>11</v>
      </c>
      <c r="Y7" s="65">
        <v>16.7</v>
      </c>
      <c r="Z7" s="64">
        <v>17.8</v>
      </c>
      <c r="AA7">
        <v>15.6</v>
      </c>
      <c r="AB7">
        <v>10.4</v>
      </c>
      <c r="AC7" s="65">
        <v>17.5</v>
      </c>
      <c r="AD7" s="64">
        <v>18.2</v>
      </c>
      <c r="AE7">
        <v>14.6</v>
      </c>
      <c r="AF7">
        <v>11.8</v>
      </c>
      <c r="AG7" s="65">
        <v>11.1</v>
      </c>
      <c r="AH7" s="64">
        <v>19.3</v>
      </c>
      <c r="AI7">
        <v>15.4</v>
      </c>
      <c r="AJ7">
        <v>10.199999999999999</v>
      </c>
      <c r="AK7" s="65">
        <v>12</v>
      </c>
      <c r="AL7" s="64">
        <v>19.7</v>
      </c>
      <c r="AM7">
        <v>14.7</v>
      </c>
      <c r="AN7">
        <v>10.199999999999999</v>
      </c>
      <c r="AO7" s="65">
        <v>17.899999999999999</v>
      </c>
      <c r="AP7" s="64">
        <v>19.100000000000001</v>
      </c>
      <c r="AQ7">
        <v>9.6</v>
      </c>
      <c r="AR7">
        <v>8.4</v>
      </c>
      <c r="AS7" s="65">
        <v>9.9</v>
      </c>
    </row>
    <row r="8" spans="1:45" x14ac:dyDescent="0.2">
      <c r="A8" s="64" t="s">
        <v>763</v>
      </c>
      <c r="B8" s="64">
        <v>13.2</v>
      </c>
      <c r="C8">
        <v>10.5</v>
      </c>
      <c r="D8">
        <v>11.8</v>
      </c>
      <c r="E8" s="65">
        <v>14</v>
      </c>
      <c r="F8" s="64">
        <v>12.7</v>
      </c>
      <c r="G8">
        <v>8.9</v>
      </c>
      <c r="H8">
        <v>11.1</v>
      </c>
      <c r="I8" s="65">
        <v>11.7</v>
      </c>
      <c r="J8" s="64">
        <v>9.6</v>
      </c>
      <c r="K8">
        <v>1.8</v>
      </c>
      <c r="L8">
        <v>6.8</v>
      </c>
      <c r="M8" s="65">
        <v>9.3000000000000007</v>
      </c>
      <c r="N8" s="64">
        <v>9.1</v>
      </c>
      <c r="O8">
        <v>1.9</v>
      </c>
      <c r="P8">
        <v>2.9</v>
      </c>
      <c r="Q8" s="65">
        <v>4.9000000000000004</v>
      </c>
      <c r="R8" s="64">
        <v>8.4</v>
      </c>
      <c r="S8">
        <v>9.9</v>
      </c>
      <c r="T8">
        <v>7.8</v>
      </c>
      <c r="U8" s="65">
        <v>8.8000000000000007</v>
      </c>
      <c r="V8" s="64">
        <v>8.1</v>
      </c>
      <c r="W8">
        <v>9.5</v>
      </c>
      <c r="X8">
        <v>9.6</v>
      </c>
      <c r="Y8" s="65">
        <v>3.4</v>
      </c>
      <c r="Z8" s="64">
        <v>7.5</v>
      </c>
      <c r="AA8">
        <v>3.2</v>
      </c>
      <c r="AB8">
        <v>0</v>
      </c>
      <c r="AC8" s="65">
        <v>6.6</v>
      </c>
      <c r="AD8" s="64">
        <v>8.6999999999999993</v>
      </c>
      <c r="AE8">
        <v>7.9</v>
      </c>
      <c r="AF8">
        <v>0</v>
      </c>
      <c r="AG8" s="65">
        <v>6.5</v>
      </c>
      <c r="AH8" s="64">
        <v>10.4</v>
      </c>
      <c r="AI8">
        <v>5.8</v>
      </c>
      <c r="AJ8">
        <v>0</v>
      </c>
      <c r="AK8" s="65">
        <v>4.7</v>
      </c>
      <c r="AL8" s="64">
        <v>9.4</v>
      </c>
      <c r="AM8">
        <v>7.1</v>
      </c>
      <c r="AN8">
        <v>0</v>
      </c>
      <c r="AO8" s="65">
        <v>6.7</v>
      </c>
      <c r="AP8" s="64">
        <v>8</v>
      </c>
      <c r="AQ8">
        <v>6.2</v>
      </c>
      <c r="AR8">
        <v>0</v>
      </c>
      <c r="AS8" s="65">
        <v>4.2</v>
      </c>
    </row>
    <row r="9" spans="1:45" x14ac:dyDescent="0.2">
      <c r="A9" s="66" t="s">
        <v>772</v>
      </c>
      <c r="B9" s="66">
        <v>15.7</v>
      </c>
      <c r="C9" s="68">
        <v>11.1</v>
      </c>
      <c r="D9" s="68">
        <v>5.8</v>
      </c>
      <c r="E9" s="67">
        <v>7.8</v>
      </c>
      <c r="F9" s="66">
        <v>19.100000000000001</v>
      </c>
      <c r="G9" s="68">
        <v>13.4</v>
      </c>
      <c r="H9" s="68">
        <v>8.8000000000000007</v>
      </c>
      <c r="I9" s="67">
        <v>15.4</v>
      </c>
      <c r="J9" s="66">
        <v>10.9</v>
      </c>
      <c r="K9" s="68">
        <v>10.7</v>
      </c>
      <c r="L9" s="68">
        <v>14.6</v>
      </c>
      <c r="M9" s="67">
        <v>7.4</v>
      </c>
      <c r="N9" s="66">
        <v>16.8</v>
      </c>
      <c r="O9" s="68">
        <v>13.5</v>
      </c>
      <c r="P9" s="68">
        <v>14.1</v>
      </c>
      <c r="Q9" s="67">
        <v>11.5</v>
      </c>
      <c r="R9" s="66">
        <v>20</v>
      </c>
      <c r="S9" s="68">
        <v>13.6</v>
      </c>
      <c r="T9" s="68">
        <v>5.8</v>
      </c>
      <c r="U9" s="67">
        <v>10.6</v>
      </c>
      <c r="V9" s="66">
        <v>23.4</v>
      </c>
      <c r="W9" s="68">
        <v>16</v>
      </c>
      <c r="X9" s="68">
        <v>9.8000000000000007</v>
      </c>
      <c r="Y9" s="67">
        <v>13.4</v>
      </c>
      <c r="Z9" s="66">
        <v>20.8</v>
      </c>
      <c r="AA9" s="68">
        <v>16.399999999999999</v>
      </c>
      <c r="AB9" s="68">
        <v>18.7</v>
      </c>
      <c r="AC9" s="67">
        <v>14.4</v>
      </c>
      <c r="AD9" s="66">
        <v>22.8</v>
      </c>
      <c r="AE9" s="68">
        <v>20.7</v>
      </c>
      <c r="AF9" s="68">
        <v>13.4</v>
      </c>
      <c r="AG9" s="67">
        <v>15.9</v>
      </c>
      <c r="AH9" s="66">
        <v>25.5</v>
      </c>
      <c r="AI9" s="68">
        <v>18.2</v>
      </c>
      <c r="AJ9" s="68">
        <v>17.600000000000001</v>
      </c>
      <c r="AK9" s="67">
        <v>16.5</v>
      </c>
      <c r="AL9" s="66">
        <v>31.2</v>
      </c>
      <c r="AM9" s="68">
        <v>19.2</v>
      </c>
      <c r="AN9" s="68">
        <v>15.1</v>
      </c>
      <c r="AO9" s="67">
        <v>15.2</v>
      </c>
      <c r="AP9" s="66">
        <v>24.6</v>
      </c>
      <c r="AQ9" s="68">
        <v>16.3</v>
      </c>
      <c r="AR9" s="68">
        <v>13.4</v>
      </c>
      <c r="AS9" s="67">
        <v>17.7</v>
      </c>
    </row>
    <row r="10" spans="1:45" x14ac:dyDescent="0.2">
      <c r="A10" s="69" t="s">
        <v>781</v>
      </c>
      <c r="B10" s="69">
        <v>9.4</v>
      </c>
      <c r="C10" s="71">
        <v>10.4</v>
      </c>
      <c r="D10" s="71">
        <v>11.9</v>
      </c>
      <c r="E10" s="70">
        <v>17.399999999999999</v>
      </c>
      <c r="F10" s="69">
        <v>12.1</v>
      </c>
      <c r="G10" s="71">
        <v>10.1</v>
      </c>
      <c r="H10" s="71">
        <v>12.7</v>
      </c>
      <c r="I10" s="70">
        <v>18.100000000000001</v>
      </c>
      <c r="J10" s="69">
        <v>6.4</v>
      </c>
      <c r="K10" s="71">
        <v>11</v>
      </c>
      <c r="L10" s="71">
        <v>8.6999999999999993</v>
      </c>
      <c r="M10" s="70">
        <v>10.9</v>
      </c>
      <c r="N10" s="69">
        <v>8</v>
      </c>
      <c r="O10" s="71">
        <v>11.9</v>
      </c>
      <c r="P10" s="71">
        <v>11.8</v>
      </c>
      <c r="Q10" s="70">
        <v>12.4</v>
      </c>
      <c r="R10" s="69">
        <v>8.1</v>
      </c>
      <c r="S10" s="71">
        <v>12.8</v>
      </c>
      <c r="T10" s="71">
        <v>15.1</v>
      </c>
      <c r="U10" s="70">
        <v>14</v>
      </c>
      <c r="V10" s="69">
        <v>11.3</v>
      </c>
      <c r="W10" s="71">
        <v>8.1999999999999993</v>
      </c>
      <c r="X10" s="71">
        <v>15</v>
      </c>
      <c r="Y10" s="70">
        <v>14</v>
      </c>
      <c r="Z10" s="69">
        <v>20.7</v>
      </c>
      <c r="AA10" s="71">
        <v>14.9</v>
      </c>
      <c r="AB10" s="71">
        <v>14.4</v>
      </c>
      <c r="AC10" s="70">
        <v>13.7</v>
      </c>
      <c r="AD10" s="69">
        <v>9.6999999999999993</v>
      </c>
      <c r="AE10" s="71">
        <v>12.8</v>
      </c>
      <c r="AF10" s="71">
        <v>14.7</v>
      </c>
      <c r="AG10" s="70">
        <v>16.5</v>
      </c>
      <c r="AH10" s="69">
        <v>11.4</v>
      </c>
      <c r="AI10" s="71">
        <v>18.600000000000001</v>
      </c>
      <c r="AJ10" s="71">
        <v>16.100000000000001</v>
      </c>
      <c r="AK10" s="70">
        <v>16.600000000000001</v>
      </c>
      <c r="AL10" s="69">
        <v>10.1</v>
      </c>
      <c r="AM10" s="71">
        <v>17.600000000000001</v>
      </c>
      <c r="AN10" s="71">
        <v>16.600000000000001</v>
      </c>
      <c r="AO10" s="70">
        <v>18.899999999999999</v>
      </c>
      <c r="AP10" s="69">
        <v>14</v>
      </c>
      <c r="AQ10" s="71">
        <v>13.8</v>
      </c>
      <c r="AR10" s="71">
        <v>13.7</v>
      </c>
      <c r="AS10" s="70">
        <v>16.899999999999999</v>
      </c>
    </row>
    <row r="11" spans="1:45" x14ac:dyDescent="0.2">
      <c r="A11" s="64" t="s">
        <v>790</v>
      </c>
      <c r="B11" s="64">
        <v>7.9</v>
      </c>
      <c r="C11">
        <v>7.5</v>
      </c>
      <c r="D11">
        <v>7.1</v>
      </c>
      <c r="E11" s="65">
        <v>13.5</v>
      </c>
      <c r="F11" s="64">
        <v>8</v>
      </c>
      <c r="G11">
        <v>6.8</v>
      </c>
      <c r="H11">
        <v>8.1</v>
      </c>
      <c r="I11" s="65">
        <v>14.3</v>
      </c>
      <c r="J11" s="64">
        <v>7.4</v>
      </c>
      <c r="K11">
        <v>7.3</v>
      </c>
      <c r="L11">
        <v>6.4</v>
      </c>
      <c r="M11" s="65">
        <v>13.6</v>
      </c>
      <c r="N11" s="64">
        <v>6.6</v>
      </c>
      <c r="O11">
        <v>6.6</v>
      </c>
      <c r="P11">
        <v>7.7</v>
      </c>
      <c r="Q11" s="65">
        <v>10</v>
      </c>
      <c r="R11" s="64">
        <v>6.9</v>
      </c>
      <c r="S11">
        <v>6.5</v>
      </c>
      <c r="T11">
        <v>7.8</v>
      </c>
      <c r="U11" s="65">
        <v>12.8</v>
      </c>
      <c r="V11" s="64">
        <v>5.9</v>
      </c>
      <c r="W11">
        <v>7</v>
      </c>
      <c r="X11">
        <v>7.6</v>
      </c>
      <c r="Y11" s="65">
        <v>9.5</v>
      </c>
      <c r="Z11" s="64">
        <v>5</v>
      </c>
      <c r="AA11">
        <v>5.3</v>
      </c>
      <c r="AB11">
        <v>7.3</v>
      </c>
      <c r="AC11" s="65">
        <v>13.6</v>
      </c>
      <c r="AD11" s="64">
        <v>5.4</v>
      </c>
      <c r="AE11">
        <v>6.2</v>
      </c>
      <c r="AF11">
        <v>5.6</v>
      </c>
      <c r="AG11" s="65">
        <v>10.7</v>
      </c>
      <c r="AH11" s="64">
        <v>5.3</v>
      </c>
      <c r="AI11">
        <v>5</v>
      </c>
      <c r="AJ11">
        <v>5.7</v>
      </c>
      <c r="AK11" s="65">
        <v>7.1</v>
      </c>
      <c r="AL11" s="64">
        <v>4.5</v>
      </c>
      <c r="AM11">
        <v>4.4000000000000004</v>
      </c>
      <c r="AN11">
        <v>6.9</v>
      </c>
      <c r="AO11" s="65">
        <v>8.3000000000000007</v>
      </c>
      <c r="AP11" s="64">
        <v>3.1</v>
      </c>
      <c r="AQ11">
        <v>2</v>
      </c>
      <c r="AR11">
        <v>1.8</v>
      </c>
      <c r="AS11" s="65">
        <v>6.1</v>
      </c>
    </row>
    <row r="12" spans="1:45" x14ac:dyDescent="0.2">
      <c r="A12" s="64" t="s">
        <v>799</v>
      </c>
      <c r="B12" s="64">
        <v>8.8000000000000007</v>
      </c>
      <c r="C12">
        <v>14</v>
      </c>
      <c r="D12">
        <v>9.6999999999999993</v>
      </c>
      <c r="E12" s="65">
        <v>12.8</v>
      </c>
      <c r="F12" s="64">
        <v>10.1</v>
      </c>
      <c r="G12">
        <v>10.9</v>
      </c>
      <c r="H12">
        <v>8.1999999999999993</v>
      </c>
      <c r="I12" s="65">
        <v>14.7</v>
      </c>
      <c r="J12" s="64">
        <v>8</v>
      </c>
      <c r="K12">
        <v>4.0999999999999996</v>
      </c>
      <c r="L12">
        <v>3.7</v>
      </c>
      <c r="M12" s="65">
        <v>13.6</v>
      </c>
      <c r="N12" s="64">
        <v>9.9</v>
      </c>
      <c r="O12">
        <v>2.2999999999999998</v>
      </c>
      <c r="P12">
        <v>1.5</v>
      </c>
      <c r="Q12" s="65">
        <v>12</v>
      </c>
      <c r="R12" s="64">
        <v>12.1</v>
      </c>
      <c r="S12">
        <v>3.3</v>
      </c>
      <c r="T12">
        <v>2.5</v>
      </c>
      <c r="U12" s="65">
        <v>13.7</v>
      </c>
      <c r="V12" s="64">
        <v>14.4</v>
      </c>
      <c r="W12">
        <v>3.1</v>
      </c>
      <c r="X12">
        <v>3.2</v>
      </c>
      <c r="Y12" s="65">
        <v>13</v>
      </c>
      <c r="Z12" s="64">
        <v>17.7</v>
      </c>
      <c r="AA12">
        <v>3.6</v>
      </c>
      <c r="AB12">
        <v>2.9</v>
      </c>
      <c r="AC12" s="65">
        <v>15</v>
      </c>
      <c r="AD12" s="64">
        <v>18.399999999999999</v>
      </c>
      <c r="AE12">
        <v>0</v>
      </c>
      <c r="AF12">
        <v>0</v>
      </c>
      <c r="AG12" s="65">
        <v>15.6</v>
      </c>
      <c r="AH12" s="64">
        <v>21.3</v>
      </c>
      <c r="AI12">
        <v>0</v>
      </c>
      <c r="AJ12">
        <v>0</v>
      </c>
      <c r="AK12" s="65">
        <v>10.199999999999999</v>
      </c>
      <c r="AL12" s="64">
        <v>18.5</v>
      </c>
      <c r="AM12">
        <v>0</v>
      </c>
      <c r="AN12">
        <v>0</v>
      </c>
      <c r="AO12" s="65">
        <v>15</v>
      </c>
      <c r="AP12" s="64">
        <v>15.3</v>
      </c>
      <c r="AQ12">
        <v>0</v>
      </c>
      <c r="AR12">
        <v>0</v>
      </c>
      <c r="AS12" s="65">
        <v>10.6</v>
      </c>
    </row>
    <row r="13" spans="1:45" x14ac:dyDescent="0.2">
      <c r="A13" s="66" t="s">
        <v>808</v>
      </c>
      <c r="B13" s="66">
        <v>16.5</v>
      </c>
      <c r="C13" s="68">
        <v>12.2</v>
      </c>
      <c r="D13" s="68">
        <v>19.3</v>
      </c>
      <c r="E13" s="67">
        <v>7.2</v>
      </c>
      <c r="F13" s="66">
        <v>12.4</v>
      </c>
      <c r="G13" s="68">
        <v>10.1</v>
      </c>
      <c r="H13" s="68">
        <v>31.2</v>
      </c>
      <c r="I13" s="67">
        <v>7.7</v>
      </c>
      <c r="J13" s="66">
        <v>10.199999999999999</v>
      </c>
      <c r="K13" s="68">
        <v>2.2000000000000002</v>
      </c>
      <c r="L13" s="68">
        <v>5.4</v>
      </c>
      <c r="M13" s="67">
        <v>1.4</v>
      </c>
      <c r="N13" s="66">
        <v>1.8</v>
      </c>
      <c r="O13" s="68">
        <v>1.9</v>
      </c>
      <c r="P13" s="68">
        <v>1.9</v>
      </c>
      <c r="Q13" s="67">
        <v>1.3</v>
      </c>
      <c r="R13" s="66">
        <v>3.4</v>
      </c>
      <c r="S13" s="68">
        <v>4.5999999999999996</v>
      </c>
      <c r="T13" s="68">
        <v>2.2000000000000002</v>
      </c>
      <c r="U13" s="67">
        <v>2.2000000000000002</v>
      </c>
      <c r="V13" s="66">
        <v>3</v>
      </c>
      <c r="W13" s="68">
        <v>3.8</v>
      </c>
      <c r="X13" s="68">
        <v>2.5</v>
      </c>
      <c r="Y13" s="67">
        <v>2</v>
      </c>
      <c r="Z13" s="66">
        <v>1.6</v>
      </c>
      <c r="AA13" s="68">
        <v>3.4</v>
      </c>
      <c r="AB13" s="68">
        <v>1.9</v>
      </c>
      <c r="AC13" s="67">
        <v>3.8</v>
      </c>
      <c r="AD13" s="66">
        <v>0</v>
      </c>
      <c r="AE13" s="68">
        <v>0</v>
      </c>
      <c r="AF13" s="68">
        <v>0</v>
      </c>
      <c r="AG13" s="67">
        <v>0</v>
      </c>
      <c r="AH13" s="66">
        <v>0</v>
      </c>
      <c r="AI13" s="68">
        <v>0</v>
      </c>
      <c r="AJ13" s="68">
        <v>0</v>
      </c>
      <c r="AK13" s="67">
        <v>0</v>
      </c>
      <c r="AL13" s="66">
        <v>0</v>
      </c>
      <c r="AM13" s="68">
        <v>0</v>
      </c>
      <c r="AN13" s="68">
        <v>0</v>
      </c>
      <c r="AO13" s="67">
        <v>0</v>
      </c>
      <c r="AP13" s="66">
        <v>0</v>
      </c>
      <c r="AQ13" s="68">
        <v>0</v>
      </c>
      <c r="AR13" s="68">
        <v>0</v>
      </c>
      <c r="AS13" s="67">
        <v>0</v>
      </c>
    </row>
    <row r="14" spans="1:45" x14ac:dyDescent="0.2">
      <c r="A14" s="69" t="s">
        <v>817</v>
      </c>
      <c r="B14" s="69">
        <v>6.9</v>
      </c>
      <c r="C14" s="71">
        <v>7.9</v>
      </c>
      <c r="D14" s="71">
        <v>10.9</v>
      </c>
      <c r="E14" s="70">
        <v>9.4</v>
      </c>
      <c r="F14" s="69">
        <v>7.7</v>
      </c>
      <c r="G14" s="71">
        <v>9.8000000000000007</v>
      </c>
      <c r="H14" s="71">
        <v>11.5</v>
      </c>
      <c r="I14" s="70">
        <v>16.100000000000001</v>
      </c>
      <c r="J14" s="69">
        <v>10.199999999999999</v>
      </c>
      <c r="K14" s="71">
        <v>14.2</v>
      </c>
      <c r="L14" s="71">
        <v>14.1</v>
      </c>
      <c r="M14" s="70">
        <v>3.8</v>
      </c>
      <c r="N14" s="69">
        <v>10</v>
      </c>
      <c r="O14" s="71">
        <v>13.2</v>
      </c>
      <c r="P14" s="71">
        <v>11.9</v>
      </c>
      <c r="Q14" s="70">
        <v>7.3</v>
      </c>
      <c r="R14" s="69">
        <v>9.3000000000000007</v>
      </c>
      <c r="S14" s="71">
        <v>11.8</v>
      </c>
      <c r="T14" s="71">
        <v>11.7</v>
      </c>
      <c r="U14" s="70">
        <v>8.5</v>
      </c>
      <c r="V14" s="69">
        <v>10.199999999999999</v>
      </c>
      <c r="W14" s="71">
        <v>13.5</v>
      </c>
      <c r="X14" s="71">
        <v>11.1</v>
      </c>
      <c r="Y14" s="70">
        <v>11.3</v>
      </c>
      <c r="Z14" s="69">
        <v>10</v>
      </c>
      <c r="AA14" s="71">
        <v>13.4</v>
      </c>
      <c r="AB14" s="71">
        <v>13.4</v>
      </c>
      <c r="AC14" s="70">
        <v>16.600000000000001</v>
      </c>
      <c r="AD14" s="69">
        <v>13.5</v>
      </c>
      <c r="AE14" s="71">
        <v>12.8</v>
      </c>
      <c r="AF14" s="71">
        <v>10</v>
      </c>
      <c r="AG14" s="70">
        <v>17.2</v>
      </c>
      <c r="AH14" s="69">
        <v>10.8</v>
      </c>
      <c r="AI14" s="71">
        <v>13.3</v>
      </c>
      <c r="AJ14" s="71">
        <v>6.9</v>
      </c>
      <c r="AK14" s="70">
        <v>14</v>
      </c>
      <c r="AL14" s="69">
        <v>17.399999999999999</v>
      </c>
      <c r="AM14" s="71">
        <v>12.4</v>
      </c>
      <c r="AN14" s="71">
        <v>7.7</v>
      </c>
      <c r="AO14" s="70">
        <v>14.8</v>
      </c>
      <c r="AP14" s="69">
        <v>11.3</v>
      </c>
      <c r="AQ14" s="71">
        <v>8.6</v>
      </c>
      <c r="AR14" s="71">
        <v>4.5</v>
      </c>
      <c r="AS14" s="70">
        <v>10.9</v>
      </c>
    </row>
    <row r="15" spans="1:45" x14ac:dyDescent="0.2">
      <c r="A15" s="64" t="s">
        <v>826</v>
      </c>
      <c r="B15" s="64">
        <v>10.8</v>
      </c>
      <c r="C15">
        <v>13.2</v>
      </c>
      <c r="D15">
        <v>15.8</v>
      </c>
      <c r="E15" s="65">
        <v>11.8</v>
      </c>
      <c r="F15" s="64">
        <v>7.2</v>
      </c>
      <c r="G15">
        <v>11.9</v>
      </c>
      <c r="H15">
        <v>14</v>
      </c>
      <c r="I15" s="65">
        <v>11</v>
      </c>
      <c r="J15" s="64">
        <v>7.6</v>
      </c>
      <c r="K15">
        <v>13.4</v>
      </c>
      <c r="L15">
        <v>12.8</v>
      </c>
      <c r="M15" s="65">
        <v>9.9</v>
      </c>
      <c r="N15" s="64">
        <v>8</v>
      </c>
      <c r="O15">
        <v>10.8</v>
      </c>
      <c r="P15">
        <v>13.3</v>
      </c>
      <c r="Q15" s="65">
        <v>9.8000000000000007</v>
      </c>
      <c r="R15" s="64">
        <v>6.4</v>
      </c>
      <c r="S15">
        <v>11.4</v>
      </c>
      <c r="T15">
        <v>11.8</v>
      </c>
      <c r="U15" s="65">
        <v>10.7</v>
      </c>
      <c r="V15" s="64">
        <v>11.3</v>
      </c>
      <c r="W15">
        <v>10.7</v>
      </c>
      <c r="X15">
        <v>11.9</v>
      </c>
      <c r="Y15" s="65">
        <v>3.6</v>
      </c>
      <c r="Z15" s="64">
        <v>15.5</v>
      </c>
      <c r="AA15">
        <v>11</v>
      </c>
      <c r="AB15">
        <v>5.9</v>
      </c>
      <c r="AC15" s="65">
        <v>2.9</v>
      </c>
      <c r="AD15" s="64">
        <v>0</v>
      </c>
      <c r="AE15">
        <v>9.6</v>
      </c>
      <c r="AF15">
        <v>10.1</v>
      </c>
      <c r="AG15" s="65">
        <v>0</v>
      </c>
      <c r="AH15" s="64">
        <v>0</v>
      </c>
      <c r="AI15">
        <v>10.1</v>
      </c>
      <c r="AJ15">
        <v>0</v>
      </c>
      <c r="AK15" s="65">
        <v>0</v>
      </c>
      <c r="AL15" s="64">
        <v>0</v>
      </c>
      <c r="AM15">
        <v>9.1</v>
      </c>
      <c r="AN15">
        <v>0</v>
      </c>
      <c r="AO15" s="65">
        <v>0</v>
      </c>
      <c r="AP15" s="64">
        <v>0</v>
      </c>
      <c r="AQ15">
        <v>5.3</v>
      </c>
      <c r="AR15">
        <v>0</v>
      </c>
      <c r="AS15" s="65">
        <v>0</v>
      </c>
    </row>
    <row r="16" spans="1:45" x14ac:dyDescent="0.2">
      <c r="A16" s="64" t="s">
        <v>835</v>
      </c>
      <c r="B16" s="64">
        <v>3.1</v>
      </c>
      <c r="C16">
        <v>15.5</v>
      </c>
      <c r="D16">
        <v>9</v>
      </c>
      <c r="E16" s="65">
        <v>14.4</v>
      </c>
      <c r="F16" s="64">
        <v>3.2</v>
      </c>
      <c r="G16">
        <v>16.3</v>
      </c>
      <c r="H16">
        <v>14.6</v>
      </c>
      <c r="I16" s="65">
        <v>14.6</v>
      </c>
      <c r="J16" s="64">
        <v>5.6</v>
      </c>
      <c r="K16">
        <v>17.100000000000001</v>
      </c>
      <c r="L16">
        <v>16.8</v>
      </c>
      <c r="M16" s="65">
        <v>15.7</v>
      </c>
      <c r="N16" s="64">
        <v>5.7</v>
      </c>
      <c r="O16">
        <v>17.600000000000001</v>
      </c>
      <c r="P16">
        <v>13.1</v>
      </c>
      <c r="Q16" s="65">
        <v>17.5</v>
      </c>
      <c r="R16" s="64">
        <v>5.5</v>
      </c>
      <c r="S16">
        <v>27</v>
      </c>
      <c r="T16">
        <v>15.4</v>
      </c>
      <c r="U16" s="65">
        <v>16.7</v>
      </c>
      <c r="V16" s="64">
        <v>7.3</v>
      </c>
      <c r="W16">
        <v>11.3</v>
      </c>
      <c r="X16">
        <v>15.4</v>
      </c>
      <c r="Y16" s="65">
        <v>17.2</v>
      </c>
      <c r="Z16" s="64">
        <v>5.7</v>
      </c>
      <c r="AA16">
        <v>8.5</v>
      </c>
      <c r="AB16">
        <v>18.2</v>
      </c>
      <c r="AC16" s="65">
        <v>15.6</v>
      </c>
      <c r="AD16" s="64">
        <v>6.4</v>
      </c>
      <c r="AE16">
        <v>15.2</v>
      </c>
      <c r="AF16">
        <v>16.7</v>
      </c>
      <c r="AG16" s="65">
        <v>18.100000000000001</v>
      </c>
      <c r="AH16" s="64">
        <v>7.1</v>
      </c>
      <c r="AI16">
        <v>14</v>
      </c>
      <c r="AJ16">
        <v>16.8</v>
      </c>
      <c r="AK16" s="65">
        <v>16.3</v>
      </c>
      <c r="AL16" s="64">
        <v>6.9</v>
      </c>
      <c r="AM16">
        <v>21.7</v>
      </c>
      <c r="AN16">
        <v>16.8</v>
      </c>
      <c r="AO16" s="65">
        <v>15.5</v>
      </c>
      <c r="AP16" s="64">
        <v>10.4</v>
      </c>
      <c r="AQ16">
        <v>17.100000000000001</v>
      </c>
      <c r="AR16">
        <v>18.899999999999999</v>
      </c>
      <c r="AS16" s="65">
        <v>18.8</v>
      </c>
    </row>
    <row r="17" spans="1:45" x14ac:dyDescent="0.2">
      <c r="A17" s="66" t="s">
        <v>844</v>
      </c>
      <c r="B17" s="66">
        <v>12</v>
      </c>
      <c r="C17" s="68">
        <v>11.8</v>
      </c>
      <c r="D17" s="68">
        <v>15.7</v>
      </c>
      <c r="E17" s="67">
        <v>8.1</v>
      </c>
      <c r="F17" s="66">
        <v>13.2</v>
      </c>
      <c r="G17" s="68">
        <v>15.2</v>
      </c>
      <c r="H17" s="68">
        <v>13.9</v>
      </c>
      <c r="I17" s="67">
        <v>11.8</v>
      </c>
      <c r="J17" s="66">
        <v>13.7</v>
      </c>
      <c r="K17" s="68">
        <v>13.7</v>
      </c>
      <c r="L17" s="68">
        <v>14.7</v>
      </c>
      <c r="M17" s="67">
        <v>10.8</v>
      </c>
      <c r="N17" s="66">
        <v>14.6</v>
      </c>
      <c r="O17" s="68">
        <v>14.2</v>
      </c>
      <c r="P17" s="68">
        <v>14.2</v>
      </c>
      <c r="Q17" s="67">
        <v>15.1</v>
      </c>
      <c r="R17" s="66">
        <v>14</v>
      </c>
      <c r="S17" s="68">
        <v>15.1</v>
      </c>
      <c r="T17" s="68">
        <v>12.9</v>
      </c>
      <c r="U17" s="67">
        <v>18</v>
      </c>
      <c r="V17" s="66">
        <v>14</v>
      </c>
      <c r="W17" s="68">
        <v>13.4</v>
      </c>
      <c r="X17" s="68">
        <v>14.3</v>
      </c>
      <c r="Y17" s="67">
        <v>12.6</v>
      </c>
      <c r="Z17" s="66">
        <v>15.2</v>
      </c>
      <c r="AA17" s="68">
        <v>2.1</v>
      </c>
      <c r="AB17" s="68">
        <v>3.5</v>
      </c>
      <c r="AC17" s="67">
        <v>17</v>
      </c>
      <c r="AD17" s="66">
        <v>16.5</v>
      </c>
      <c r="AE17" s="68">
        <v>0</v>
      </c>
      <c r="AF17" s="68">
        <v>7.7</v>
      </c>
      <c r="AG17" s="67">
        <v>20.7</v>
      </c>
      <c r="AH17" s="66">
        <v>16.2</v>
      </c>
      <c r="AI17" s="68">
        <v>0</v>
      </c>
      <c r="AJ17" s="68">
        <v>5.3</v>
      </c>
      <c r="AK17" s="67">
        <v>18</v>
      </c>
      <c r="AL17" s="66">
        <v>17.600000000000001</v>
      </c>
      <c r="AM17" s="68">
        <v>0</v>
      </c>
      <c r="AN17" s="68">
        <v>3.8</v>
      </c>
      <c r="AO17" s="67">
        <v>21.6</v>
      </c>
      <c r="AP17" s="66">
        <v>17.8</v>
      </c>
      <c r="AQ17" s="68">
        <v>0</v>
      </c>
      <c r="AR17" s="68">
        <v>5.6</v>
      </c>
      <c r="AS17" s="67">
        <v>20.100000000000001</v>
      </c>
    </row>
    <row r="18" spans="1:45" x14ac:dyDescent="0.2">
      <c r="A18" s="69" t="s">
        <v>853</v>
      </c>
      <c r="B18" s="69">
        <v>6.6</v>
      </c>
      <c r="C18" s="71">
        <v>4.0999999999999996</v>
      </c>
      <c r="D18" s="71">
        <v>9.5</v>
      </c>
      <c r="E18" s="70">
        <v>11</v>
      </c>
      <c r="F18" s="69">
        <v>9.1</v>
      </c>
      <c r="G18" s="71">
        <v>8.1999999999999993</v>
      </c>
      <c r="H18" s="71">
        <v>16.600000000000001</v>
      </c>
      <c r="I18" s="70">
        <v>7.9</v>
      </c>
      <c r="J18" s="69">
        <v>8</v>
      </c>
      <c r="K18" s="71">
        <v>6.8</v>
      </c>
      <c r="L18" s="71">
        <v>10</v>
      </c>
      <c r="M18" s="70">
        <v>8.9</v>
      </c>
      <c r="N18" s="69">
        <v>11.2</v>
      </c>
      <c r="O18" s="71">
        <v>8.9</v>
      </c>
      <c r="P18" s="71">
        <v>10.7</v>
      </c>
      <c r="Q18" s="70">
        <v>9.9</v>
      </c>
      <c r="R18" s="69">
        <v>11.3</v>
      </c>
      <c r="S18" s="71">
        <v>5.8</v>
      </c>
      <c r="T18" s="71">
        <v>12.5</v>
      </c>
      <c r="U18" s="70">
        <v>9.4</v>
      </c>
      <c r="V18" s="69">
        <v>19.7</v>
      </c>
      <c r="W18" s="71">
        <v>12</v>
      </c>
      <c r="X18" s="71">
        <v>17.899999999999999</v>
      </c>
      <c r="Y18" s="70">
        <v>7.8</v>
      </c>
      <c r="Z18" s="69">
        <v>21.2</v>
      </c>
      <c r="AA18" s="71">
        <v>9.1</v>
      </c>
      <c r="AB18" s="71">
        <v>12</v>
      </c>
      <c r="AC18" s="70">
        <v>8.9</v>
      </c>
      <c r="AD18" s="69">
        <v>11.3</v>
      </c>
      <c r="AE18" s="71">
        <v>8.3000000000000007</v>
      </c>
      <c r="AF18" s="71">
        <v>17.2</v>
      </c>
      <c r="AG18" s="70">
        <v>9.4</v>
      </c>
      <c r="AH18" s="69">
        <v>18.2</v>
      </c>
      <c r="AI18" s="71">
        <v>12.3</v>
      </c>
      <c r="AJ18" s="71">
        <v>20.399999999999999</v>
      </c>
      <c r="AK18" s="70">
        <v>10.1</v>
      </c>
      <c r="AL18" s="69">
        <v>10.8</v>
      </c>
      <c r="AM18" s="71">
        <v>9.5</v>
      </c>
      <c r="AN18" s="71">
        <v>20.399999999999999</v>
      </c>
      <c r="AO18" s="70">
        <v>11.1</v>
      </c>
      <c r="AP18" s="69">
        <v>9.9</v>
      </c>
      <c r="AQ18" s="71">
        <v>10.3</v>
      </c>
      <c r="AR18" s="71">
        <v>19.3</v>
      </c>
      <c r="AS18" s="70">
        <v>9.8000000000000007</v>
      </c>
    </row>
    <row r="19" spans="1:45" x14ac:dyDescent="0.2">
      <c r="A19" s="64" t="s">
        <v>862</v>
      </c>
      <c r="B19" s="64">
        <v>9.4</v>
      </c>
      <c r="C19">
        <v>14.6</v>
      </c>
      <c r="D19">
        <v>14.3</v>
      </c>
      <c r="E19" s="65">
        <v>9</v>
      </c>
      <c r="F19" s="64">
        <v>10.7</v>
      </c>
      <c r="G19">
        <v>13.5</v>
      </c>
      <c r="H19">
        <v>12.6</v>
      </c>
      <c r="I19" s="65">
        <v>12.4</v>
      </c>
      <c r="J19" s="64">
        <v>10</v>
      </c>
      <c r="K19">
        <v>13.3</v>
      </c>
      <c r="L19">
        <v>9.9</v>
      </c>
      <c r="M19" s="65">
        <v>11.3</v>
      </c>
      <c r="N19" s="64">
        <v>11</v>
      </c>
      <c r="O19">
        <v>11.2</v>
      </c>
      <c r="P19">
        <v>10.3</v>
      </c>
      <c r="Q19" s="65">
        <v>13.3</v>
      </c>
      <c r="R19" s="64">
        <v>12</v>
      </c>
      <c r="S19">
        <v>13.3</v>
      </c>
      <c r="T19">
        <v>9</v>
      </c>
      <c r="U19" s="65">
        <v>11.5</v>
      </c>
      <c r="V19" s="64">
        <v>10.7</v>
      </c>
      <c r="W19">
        <v>9.1</v>
      </c>
      <c r="X19">
        <v>7.3</v>
      </c>
      <c r="Y19" s="65">
        <v>10.8</v>
      </c>
      <c r="Z19" s="64">
        <v>12.7</v>
      </c>
      <c r="AA19">
        <v>3.9</v>
      </c>
      <c r="AB19">
        <v>0</v>
      </c>
      <c r="AC19" s="65">
        <v>12.5</v>
      </c>
      <c r="AD19" s="64">
        <v>11.5</v>
      </c>
      <c r="AE19">
        <v>0</v>
      </c>
      <c r="AF19">
        <v>0</v>
      </c>
      <c r="AG19" s="65">
        <v>12.2</v>
      </c>
      <c r="AH19" s="64">
        <v>11.1</v>
      </c>
      <c r="AI19">
        <v>0</v>
      </c>
      <c r="AJ19">
        <v>0</v>
      </c>
      <c r="AK19" s="65">
        <v>12.8</v>
      </c>
      <c r="AL19" s="64">
        <v>16.100000000000001</v>
      </c>
      <c r="AM19">
        <v>0</v>
      </c>
      <c r="AN19">
        <v>0</v>
      </c>
      <c r="AO19" s="65">
        <v>13.2</v>
      </c>
      <c r="AP19" s="64">
        <v>11.8</v>
      </c>
      <c r="AQ19">
        <v>0</v>
      </c>
      <c r="AR19">
        <v>0</v>
      </c>
      <c r="AS19" s="65">
        <v>12.2</v>
      </c>
    </row>
    <row r="20" spans="1:45" x14ac:dyDescent="0.2">
      <c r="A20" s="64" t="s">
        <v>871</v>
      </c>
      <c r="B20" s="64">
        <v>13.6</v>
      </c>
      <c r="C20">
        <v>9.1</v>
      </c>
      <c r="D20">
        <v>12.5</v>
      </c>
      <c r="E20" s="65">
        <v>9.5</v>
      </c>
      <c r="F20" s="64">
        <v>14.2</v>
      </c>
      <c r="G20">
        <v>10.8</v>
      </c>
      <c r="H20">
        <v>15.2</v>
      </c>
      <c r="I20" s="65">
        <v>11.7</v>
      </c>
      <c r="J20" s="64">
        <v>14.6</v>
      </c>
      <c r="K20">
        <v>13.9</v>
      </c>
      <c r="L20">
        <v>16.100000000000001</v>
      </c>
      <c r="M20" s="65">
        <v>12.8</v>
      </c>
      <c r="N20" s="64">
        <v>16.100000000000001</v>
      </c>
      <c r="O20">
        <v>12.9</v>
      </c>
      <c r="P20">
        <v>14.8</v>
      </c>
      <c r="Q20" s="65">
        <v>12.5</v>
      </c>
      <c r="R20" s="64">
        <v>17.7</v>
      </c>
      <c r="S20">
        <v>14.1</v>
      </c>
      <c r="T20">
        <v>15.3</v>
      </c>
      <c r="U20" s="65">
        <v>12.5</v>
      </c>
      <c r="V20" s="64">
        <v>17.8</v>
      </c>
      <c r="W20">
        <v>12.1</v>
      </c>
      <c r="X20">
        <v>14.5</v>
      </c>
      <c r="Y20" s="65">
        <v>10</v>
      </c>
      <c r="Z20" s="64">
        <v>16.8</v>
      </c>
      <c r="AA20">
        <v>16.600000000000001</v>
      </c>
      <c r="AB20">
        <v>17.2</v>
      </c>
      <c r="AC20" s="65">
        <v>7.8</v>
      </c>
      <c r="AD20" s="64">
        <v>16.2</v>
      </c>
      <c r="AE20">
        <v>12.5</v>
      </c>
      <c r="AF20">
        <v>17</v>
      </c>
      <c r="AG20" s="65">
        <v>8.1999999999999993</v>
      </c>
      <c r="AH20" s="64">
        <v>14.6</v>
      </c>
      <c r="AI20">
        <v>11.3</v>
      </c>
      <c r="AJ20">
        <v>14.5</v>
      </c>
      <c r="AK20" s="65">
        <v>8.6999999999999993</v>
      </c>
      <c r="AL20" s="64">
        <v>12</v>
      </c>
      <c r="AM20">
        <v>11.6</v>
      </c>
      <c r="AN20">
        <v>16.100000000000001</v>
      </c>
      <c r="AO20" s="65">
        <v>8.1</v>
      </c>
      <c r="AP20" s="64">
        <v>10.8</v>
      </c>
      <c r="AQ20">
        <v>6.7</v>
      </c>
      <c r="AR20">
        <v>14.4</v>
      </c>
      <c r="AS20" s="65">
        <v>5.9</v>
      </c>
    </row>
    <row r="21" spans="1:45" x14ac:dyDescent="0.2">
      <c r="A21" s="66" t="s">
        <v>880</v>
      </c>
      <c r="B21" s="66">
        <v>14.9</v>
      </c>
      <c r="C21" s="68">
        <v>12.7</v>
      </c>
      <c r="D21" s="68">
        <v>15.1</v>
      </c>
      <c r="E21" s="67">
        <v>4.5</v>
      </c>
      <c r="F21" s="66">
        <v>15.8</v>
      </c>
      <c r="G21" s="68">
        <v>12.2</v>
      </c>
      <c r="H21" s="68">
        <v>16.600000000000001</v>
      </c>
      <c r="I21" s="67">
        <v>5.3</v>
      </c>
      <c r="J21" s="66">
        <v>9.6999999999999993</v>
      </c>
      <c r="K21" s="68">
        <v>6.5</v>
      </c>
      <c r="L21" s="68">
        <v>7.8</v>
      </c>
      <c r="M21" s="67">
        <v>8.6</v>
      </c>
      <c r="N21" s="66">
        <v>11</v>
      </c>
      <c r="O21" s="68">
        <v>6.8</v>
      </c>
      <c r="P21" s="68">
        <v>11.1</v>
      </c>
      <c r="Q21" s="67">
        <v>9.8000000000000007</v>
      </c>
      <c r="R21" s="66">
        <v>14.4</v>
      </c>
      <c r="S21" s="68">
        <v>9.1</v>
      </c>
      <c r="T21" s="68">
        <v>17.2</v>
      </c>
      <c r="U21" s="67">
        <v>12.8</v>
      </c>
      <c r="V21" s="66">
        <v>18.100000000000001</v>
      </c>
      <c r="W21" s="68">
        <v>12.4</v>
      </c>
      <c r="X21" s="68">
        <v>16.100000000000001</v>
      </c>
      <c r="Y21" s="67">
        <v>12.9</v>
      </c>
      <c r="Z21" s="66">
        <v>17.8</v>
      </c>
      <c r="AA21" s="68">
        <v>13.9</v>
      </c>
      <c r="AB21" s="68">
        <v>16.600000000000001</v>
      </c>
      <c r="AC21" s="67">
        <v>15.6</v>
      </c>
      <c r="AD21" s="66">
        <v>16.5</v>
      </c>
      <c r="AE21" s="68">
        <v>16</v>
      </c>
      <c r="AF21" s="68">
        <v>15.1</v>
      </c>
      <c r="AG21" s="67">
        <v>24.5</v>
      </c>
      <c r="AH21" s="66">
        <v>10.199999999999999</v>
      </c>
      <c r="AI21" s="68">
        <v>14.8</v>
      </c>
      <c r="AJ21" s="68">
        <v>17.399999999999999</v>
      </c>
      <c r="AK21" s="67">
        <v>8</v>
      </c>
      <c r="AL21" s="66">
        <v>16.5</v>
      </c>
      <c r="AM21" s="68">
        <v>16.899999999999999</v>
      </c>
      <c r="AN21" s="68">
        <v>17.3</v>
      </c>
      <c r="AO21" s="67">
        <v>9</v>
      </c>
      <c r="AP21" s="66">
        <v>16.7</v>
      </c>
      <c r="AQ21" s="68">
        <v>12.2</v>
      </c>
      <c r="AR21" s="68">
        <v>22.1</v>
      </c>
      <c r="AS21" s="67">
        <v>14.3</v>
      </c>
    </row>
    <row r="22" spans="1:45" x14ac:dyDescent="0.2">
      <c r="A22" s="69" t="s">
        <v>889</v>
      </c>
      <c r="B22" s="69">
        <v>11.5</v>
      </c>
      <c r="C22" s="71">
        <v>6.9</v>
      </c>
      <c r="D22" s="71">
        <v>7.8</v>
      </c>
      <c r="E22" s="70">
        <v>12.3</v>
      </c>
      <c r="F22" s="69">
        <v>9.8000000000000007</v>
      </c>
      <c r="G22" s="71">
        <v>5.8</v>
      </c>
      <c r="H22" s="71">
        <v>8.6</v>
      </c>
      <c r="I22" s="70">
        <v>9.5</v>
      </c>
      <c r="J22" s="69">
        <v>9.6</v>
      </c>
      <c r="K22" s="71">
        <v>6.5</v>
      </c>
      <c r="L22" s="71">
        <v>8.6999999999999993</v>
      </c>
      <c r="M22" s="70">
        <v>10</v>
      </c>
      <c r="N22" s="69">
        <v>9.3000000000000007</v>
      </c>
      <c r="O22" s="71">
        <v>7.8</v>
      </c>
      <c r="P22" s="71">
        <v>7.5</v>
      </c>
      <c r="Q22" s="70">
        <v>9.5</v>
      </c>
      <c r="R22" s="69">
        <v>8.4</v>
      </c>
      <c r="S22" s="71">
        <v>8.6</v>
      </c>
      <c r="T22" s="71">
        <v>8.3000000000000007</v>
      </c>
      <c r="U22" s="70">
        <v>10.7</v>
      </c>
      <c r="V22" s="69">
        <v>9.3000000000000007</v>
      </c>
      <c r="W22" s="71">
        <v>6.9</v>
      </c>
      <c r="X22" s="71">
        <v>6.7</v>
      </c>
      <c r="Y22" s="70">
        <v>12</v>
      </c>
      <c r="Z22" s="69">
        <v>6.1</v>
      </c>
      <c r="AA22" s="71">
        <v>9.1</v>
      </c>
      <c r="AB22" s="71">
        <v>6.6</v>
      </c>
      <c r="AC22" s="70">
        <v>13.7</v>
      </c>
      <c r="AD22" s="69">
        <v>6.5</v>
      </c>
      <c r="AE22" s="71">
        <v>8.8000000000000007</v>
      </c>
      <c r="AF22" s="71">
        <v>6.8</v>
      </c>
      <c r="AG22" s="70">
        <v>9</v>
      </c>
      <c r="AH22" s="69">
        <v>5.6</v>
      </c>
      <c r="AI22" s="71">
        <v>8</v>
      </c>
      <c r="AJ22" s="71">
        <v>6.6</v>
      </c>
      <c r="AK22" s="70">
        <v>11.3</v>
      </c>
      <c r="AL22" s="69">
        <v>4.9000000000000004</v>
      </c>
      <c r="AM22" s="71">
        <v>8.6999999999999993</v>
      </c>
      <c r="AN22" s="71">
        <v>6</v>
      </c>
      <c r="AO22" s="70">
        <v>7.2</v>
      </c>
      <c r="AP22" s="69">
        <v>3.8</v>
      </c>
      <c r="AQ22" s="71">
        <v>2.9</v>
      </c>
      <c r="AR22" s="71">
        <v>1.8</v>
      </c>
      <c r="AS22" s="70">
        <v>2.9</v>
      </c>
    </row>
    <row r="23" spans="1:45" x14ac:dyDescent="0.2">
      <c r="A23" s="64" t="s">
        <v>898</v>
      </c>
      <c r="B23" s="64">
        <v>15.5</v>
      </c>
      <c r="C23">
        <v>13.5</v>
      </c>
      <c r="D23">
        <v>9.5</v>
      </c>
      <c r="E23" s="65">
        <v>12.5</v>
      </c>
      <c r="F23" s="64">
        <v>13.1</v>
      </c>
      <c r="G23">
        <v>12</v>
      </c>
      <c r="H23">
        <v>6.9</v>
      </c>
      <c r="I23" s="65">
        <v>16.899999999999999</v>
      </c>
      <c r="J23" s="64">
        <v>10.4</v>
      </c>
      <c r="K23">
        <v>12.2</v>
      </c>
      <c r="L23">
        <v>12.8</v>
      </c>
      <c r="M23" s="65">
        <v>4.9000000000000004</v>
      </c>
      <c r="N23" s="64">
        <v>15.2</v>
      </c>
      <c r="O23">
        <v>7.6</v>
      </c>
      <c r="P23">
        <v>11.8</v>
      </c>
      <c r="Q23" s="65">
        <v>7.9</v>
      </c>
      <c r="R23" s="64">
        <v>16.399999999999999</v>
      </c>
      <c r="S23">
        <v>11.5</v>
      </c>
      <c r="T23">
        <v>14</v>
      </c>
      <c r="U23" s="65">
        <v>10.8</v>
      </c>
      <c r="V23" s="64">
        <v>15.1</v>
      </c>
      <c r="W23">
        <v>15.4</v>
      </c>
      <c r="X23">
        <v>11.7</v>
      </c>
      <c r="Y23" s="65">
        <v>14.4</v>
      </c>
      <c r="Z23" s="64">
        <v>16.399999999999999</v>
      </c>
      <c r="AA23">
        <v>19.399999999999999</v>
      </c>
      <c r="AB23">
        <v>8.5</v>
      </c>
      <c r="AC23" s="65">
        <v>13.1</v>
      </c>
      <c r="AD23" s="64">
        <v>13.8</v>
      </c>
      <c r="AE23">
        <v>7.8</v>
      </c>
      <c r="AF23">
        <v>15.6</v>
      </c>
      <c r="AG23" s="65">
        <v>10.1</v>
      </c>
      <c r="AH23" s="64">
        <v>18.3</v>
      </c>
      <c r="AI23">
        <v>19.7</v>
      </c>
      <c r="AJ23">
        <v>19.600000000000001</v>
      </c>
      <c r="AK23" s="65">
        <v>14.9</v>
      </c>
      <c r="AL23" s="64">
        <v>21.2</v>
      </c>
      <c r="AM23">
        <v>16.3</v>
      </c>
      <c r="AN23">
        <v>20.399999999999999</v>
      </c>
      <c r="AO23" s="65">
        <v>18.5</v>
      </c>
      <c r="AP23" s="64">
        <v>24.1</v>
      </c>
      <c r="AQ23">
        <v>16.7</v>
      </c>
      <c r="AR23">
        <v>17.100000000000001</v>
      </c>
      <c r="AS23" s="65">
        <v>17.899999999999999</v>
      </c>
    </row>
    <row r="24" spans="1:45" x14ac:dyDescent="0.2">
      <c r="A24" s="64" t="s">
        <v>907</v>
      </c>
      <c r="B24" s="64">
        <v>16.399999999999999</v>
      </c>
      <c r="C24">
        <v>11.9</v>
      </c>
      <c r="D24">
        <v>11.2</v>
      </c>
      <c r="E24" s="65">
        <v>5.8</v>
      </c>
      <c r="F24" s="64">
        <v>15.6</v>
      </c>
      <c r="G24">
        <v>11.7</v>
      </c>
      <c r="H24">
        <v>11.4</v>
      </c>
      <c r="I24" s="65">
        <v>9.9</v>
      </c>
      <c r="J24" s="64">
        <v>15.6</v>
      </c>
      <c r="K24">
        <v>13.4</v>
      </c>
      <c r="L24">
        <v>11.8</v>
      </c>
      <c r="M24" s="65">
        <v>10.5</v>
      </c>
      <c r="N24" s="64">
        <v>14.1</v>
      </c>
      <c r="O24">
        <v>11.6</v>
      </c>
      <c r="P24">
        <v>11.1</v>
      </c>
      <c r="Q24" s="65">
        <v>10.7</v>
      </c>
      <c r="R24" s="64">
        <v>16.5</v>
      </c>
      <c r="S24">
        <v>11.6</v>
      </c>
      <c r="T24">
        <v>12.9</v>
      </c>
      <c r="U24" s="65">
        <v>9.5</v>
      </c>
      <c r="V24" s="64">
        <v>18.2</v>
      </c>
      <c r="W24">
        <v>12.2</v>
      </c>
      <c r="X24">
        <v>13.5</v>
      </c>
      <c r="Y24" s="65">
        <v>10.7</v>
      </c>
      <c r="Z24" s="64">
        <v>17.600000000000001</v>
      </c>
      <c r="AA24">
        <v>13</v>
      </c>
      <c r="AB24">
        <v>9.4</v>
      </c>
      <c r="AC24" s="65">
        <v>16.100000000000001</v>
      </c>
      <c r="AD24" s="64">
        <v>15.2</v>
      </c>
      <c r="AE24">
        <v>8.8000000000000007</v>
      </c>
      <c r="AF24">
        <v>9.6999999999999993</v>
      </c>
      <c r="AG24" s="65">
        <v>8.6999999999999993</v>
      </c>
      <c r="AH24" s="64">
        <v>14.4</v>
      </c>
      <c r="AI24">
        <v>9</v>
      </c>
      <c r="AJ24">
        <v>12.9</v>
      </c>
      <c r="AK24" s="65">
        <v>10.5</v>
      </c>
      <c r="AL24" s="64">
        <v>18.399999999999999</v>
      </c>
      <c r="AM24">
        <v>6.8</v>
      </c>
      <c r="AN24">
        <v>10.4</v>
      </c>
      <c r="AO24" s="65">
        <v>10.7</v>
      </c>
      <c r="AP24" s="64">
        <v>18.600000000000001</v>
      </c>
      <c r="AQ24">
        <v>6.3</v>
      </c>
      <c r="AR24">
        <v>6.1</v>
      </c>
      <c r="AS24" s="65">
        <v>10.8</v>
      </c>
    </row>
    <row r="25" spans="1:45" x14ac:dyDescent="0.2">
      <c r="A25" s="66" t="s">
        <v>916</v>
      </c>
      <c r="B25" s="66">
        <v>9.1</v>
      </c>
      <c r="C25" s="68">
        <v>12</v>
      </c>
      <c r="D25" s="68">
        <v>7.5</v>
      </c>
      <c r="E25" s="67">
        <v>13.5</v>
      </c>
      <c r="F25" s="66">
        <v>9.6</v>
      </c>
      <c r="G25" s="68">
        <v>10.7</v>
      </c>
      <c r="H25" s="68">
        <v>8.1999999999999993</v>
      </c>
      <c r="I25" s="67">
        <v>11.5</v>
      </c>
      <c r="J25" s="66">
        <v>6.2</v>
      </c>
      <c r="K25" s="68">
        <v>11.5</v>
      </c>
      <c r="L25" s="68">
        <v>8.1999999999999993</v>
      </c>
      <c r="M25" s="67">
        <v>11.5</v>
      </c>
      <c r="N25" s="66">
        <v>10.3</v>
      </c>
      <c r="O25" s="68">
        <v>12</v>
      </c>
      <c r="P25" s="68">
        <v>9.9</v>
      </c>
      <c r="Q25" s="67">
        <v>14.1</v>
      </c>
      <c r="R25" s="66">
        <v>9.6999999999999993</v>
      </c>
      <c r="S25" s="68">
        <v>12.4</v>
      </c>
      <c r="T25" s="68">
        <v>10.1</v>
      </c>
      <c r="U25" s="67">
        <v>12.1</v>
      </c>
      <c r="V25" s="66">
        <v>9.3000000000000007</v>
      </c>
      <c r="W25" s="68">
        <v>12.8</v>
      </c>
      <c r="X25" s="68">
        <v>9.9</v>
      </c>
      <c r="Y25" s="67">
        <v>8.8000000000000007</v>
      </c>
      <c r="Z25" s="66">
        <v>10.199999999999999</v>
      </c>
      <c r="AA25" s="68">
        <v>13.4</v>
      </c>
      <c r="AB25" s="68">
        <v>17.8</v>
      </c>
      <c r="AC25" s="67">
        <v>15.2</v>
      </c>
      <c r="AD25" s="66">
        <v>10.9</v>
      </c>
      <c r="AE25" s="68">
        <v>15.6</v>
      </c>
      <c r="AF25" s="68">
        <v>12.7</v>
      </c>
      <c r="AG25" s="67">
        <v>18.2</v>
      </c>
      <c r="AH25" s="66">
        <v>15.6</v>
      </c>
      <c r="AI25" s="68">
        <v>15.6</v>
      </c>
      <c r="AJ25" s="68">
        <v>15</v>
      </c>
      <c r="AK25" s="67">
        <v>13.1</v>
      </c>
      <c r="AL25" s="66">
        <v>15</v>
      </c>
      <c r="AM25" s="68">
        <v>19.2</v>
      </c>
      <c r="AN25" s="68">
        <v>15.9</v>
      </c>
      <c r="AO25" s="67">
        <v>19.100000000000001</v>
      </c>
      <c r="AP25" s="66">
        <v>13.9</v>
      </c>
      <c r="AQ25" s="68">
        <v>17.5</v>
      </c>
      <c r="AR25" s="68">
        <v>17.399999999999999</v>
      </c>
      <c r="AS25" s="67">
        <v>11.4</v>
      </c>
    </row>
    <row r="26" spans="1:45" x14ac:dyDescent="0.2">
      <c r="A26" s="69" t="s">
        <v>925</v>
      </c>
      <c r="B26" s="69">
        <v>12.9</v>
      </c>
      <c r="C26" s="71">
        <v>12.6</v>
      </c>
      <c r="D26" s="71">
        <v>11.1</v>
      </c>
      <c r="E26" s="70">
        <v>14.5</v>
      </c>
      <c r="F26" s="69">
        <v>8</v>
      </c>
      <c r="G26" s="71">
        <v>9.6999999999999993</v>
      </c>
      <c r="H26" s="71">
        <v>12.8</v>
      </c>
      <c r="I26" s="70">
        <v>11.4</v>
      </c>
      <c r="J26" s="69">
        <v>5.0999999999999996</v>
      </c>
      <c r="K26" s="71">
        <v>10.199999999999999</v>
      </c>
      <c r="L26" s="71">
        <v>12.1</v>
      </c>
      <c r="M26" s="70">
        <v>12.6</v>
      </c>
      <c r="N26" s="69">
        <v>6.1</v>
      </c>
      <c r="O26" s="71">
        <v>10.5</v>
      </c>
      <c r="P26" s="71">
        <v>9.5</v>
      </c>
      <c r="Q26" s="70">
        <v>10.5</v>
      </c>
      <c r="R26" s="69">
        <v>9.6</v>
      </c>
      <c r="S26" s="71">
        <v>8.6</v>
      </c>
      <c r="T26" s="71">
        <v>11</v>
      </c>
      <c r="U26" s="70">
        <v>12.1</v>
      </c>
      <c r="V26" s="69">
        <v>8</v>
      </c>
      <c r="W26" s="71">
        <v>10.4</v>
      </c>
      <c r="X26" s="71">
        <v>12.7</v>
      </c>
      <c r="Y26" s="70">
        <v>13.1</v>
      </c>
      <c r="Z26" s="69">
        <v>1.9</v>
      </c>
      <c r="AA26" s="71">
        <v>15.2</v>
      </c>
      <c r="AB26" s="71">
        <v>1.9</v>
      </c>
      <c r="AC26" s="70">
        <v>3.4</v>
      </c>
      <c r="AD26" s="69">
        <v>0</v>
      </c>
      <c r="AE26" s="71">
        <v>0</v>
      </c>
      <c r="AF26" s="71">
        <v>0</v>
      </c>
      <c r="AG26" s="70">
        <v>7.5</v>
      </c>
      <c r="AH26" s="69">
        <v>0</v>
      </c>
      <c r="AI26" s="71">
        <v>0</v>
      </c>
      <c r="AJ26" s="71">
        <v>0</v>
      </c>
      <c r="AK26" s="70">
        <v>3.9</v>
      </c>
      <c r="AL26" s="69">
        <v>0</v>
      </c>
      <c r="AM26" s="71">
        <v>0</v>
      </c>
      <c r="AN26" s="71">
        <v>0</v>
      </c>
      <c r="AO26" s="70">
        <v>0</v>
      </c>
      <c r="AP26" s="69">
        <v>0</v>
      </c>
      <c r="AQ26" s="71">
        <v>0</v>
      </c>
      <c r="AR26" s="71">
        <v>0</v>
      </c>
      <c r="AS26" s="70">
        <v>0</v>
      </c>
    </row>
    <row r="27" spans="1:45" x14ac:dyDescent="0.2">
      <c r="A27" s="64" t="s">
        <v>934</v>
      </c>
      <c r="B27" s="64">
        <v>14</v>
      </c>
      <c r="C27">
        <v>16.399999999999999</v>
      </c>
      <c r="D27">
        <v>16.7</v>
      </c>
      <c r="E27" s="65">
        <v>11.1</v>
      </c>
      <c r="F27" s="64">
        <v>13.9</v>
      </c>
      <c r="G27">
        <v>14.1</v>
      </c>
      <c r="H27">
        <v>17.5</v>
      </c>
      <c r="I27" s="65">
        <v>14</v>
      </c>
      <c r="J27" s="64">
        <v>13.5</v>
      </c>
      <c r="K27">
        <v>16.100000000000001</v>
      </c>
      <c r="L27">
        <v>19.100000000000001</v>
      </c>
      <c r="M27" s="65">
        <v>15</v>
      </c>
      <c r="N27" s="64">
        <v>13.9</v>
      </c>
      <c r="O27">
        <v>15.6</v>
      </c>
      <c r="P27">
        <v>20.399999999999999</v>
      </c>
      <c r="Q27" s="65">
        <v>15.8</v>
      </c>
      <c r="R27" s="64">
        <v>13.8</v>
      </c>
      <c r="S27">
        <v>10.8</v>
      </c>
      <c r="T27">
        <v>20.399999999999999</v>
      </c>
      <c r="U27" s="65">
        <v>12.9</v>
      </c>
      <c r="V27" s="64">
        <v>13.7</v>
      </c>
      <c r="W27">
        <v>15</v>
      </c>
      <c r="X27">
        <v>18.600000000000001</v>
      </c>
      <c r="Y27" s="65">
        <v>14.5</v>
      </c>
      <c r="Z27" s="64">
        <v>14.8</v>
      </c>
      <c r="AA27">
        <v>11.1</v>
      </c>
      <c r="AB27">
        <v>18.600000000000001</v>
      </c>
      <c r="AC27" s="65">
        <v>10.8</v>
      </c>
      <c r="AD27" s="64">
        <v>12.5</v>
      </c>
      <c r="AE27">
        <v>10.8</v>
      </c>
      <c r="AF27">
        <v>17.3</v>
      </c>
      <c r="AG27" s="65">
        <v>13.7</v>
      </c>
      <c r="AH27" s="64">
        <v>12.8</v>
      </c>
      <c r="AI27">
        <v>9.8000000000000007</v>
      </c>
      <c r="AJ27">
        <v>18.2</v>
      </c>
      <c r="AK27" s="65">
        <v>10.5</v>
      </c>
      <c r="AL27" s="64">
        <v>10.8</v>
      </c>
      <c r="AM27">
        <v>13.3</v>
      </c>
      <c r="AN27">
        <v>17.5</v>
      </c>
      <c r="AO27" s="65">
        <v>10.1</v>
      </c>
      <c r="AP27" s="64">
        <v>8.1999999999999993</v>
      </c>
      <c r="AQ27">
        <v>6.7</v>
      </c>
      <c r="AR27">
        <v>14.3</v>
      </c>
      <c r="AS27" s="65">
        <v>7.2</v>
      </c>
    </row>
    <row r="28" spans="1:45" x14ac:dyDescent="0.2">
      <c r="A28" s="64" t="s">
        <v>943</v>
      </c>
      <c r="B28" s="64">
        <v>13.3</v>
      </c>
      <c r="C28">
        <v>15.6</v>
      </c>
      <c r="D28">
        <v>21.6</v>
      </c>
      <c r="E28" s="65">
        <v>11.2</v>
      </c>
      <c r="F28" s="64">
        <v>11.8</v>
      </c>
      <c r="G28">
        <v>14.2</v>
      </c>
      <c r="H28">
        <v>18.7</v>
      </c>
      <c r="I28" s="65">
        <v>13.9</v>
      </c>
      <c r="J28" s="64">
        <v>14.7</v>
      </c>
      <c r="K28">
        <v>3.5</v>
      </c>
      <c r="L28">
        <v>32.700000000000003</v>
      </c>
      <c r="M28" s="65">
        <v>10.9</v>
      </c>
      <c r="N28" s="64">
        <v>17.7</v>
      </c>
      <c r="O28">
        <v>10.8</v>
      </c>
      <c r="P28">
        <v>4.9000000000000004</v>
      </c>
      <c r="Q28" s="65">
        <v>11.5</v>
      </c>
      <c r="R28" s="64">
        <v>18.600000000000001</v>
      </c>
      <c r="S28">
        <v>3.3</v>
      </c>
      <c r="T28">
        <v>15.6</v>
      </c>
      <c r="U28" s="65">
        <v>16.3</v>
      </c>
      <c r="V28" s="64">
        <v>20.399999999999999</v>
      </c>
      <c r="W28">
        <v>3.2</v>
      </c>
      <c r="X28">
        <v>12.8</v>
      </c>
      <c r="Y28" s="65">
        <v>17</v>
      </c>
      <c r="Z28" s="64">
        <v>17.399999999999999</v>
      </c>
      <c r="AA28">
        <v>2.7</v>
      </c>
      <c r="AB28">
        <v>3.5</v>
      </c>
      <c r="AC28" s="65">
        <v>17.899999999999999</v>
      </c>
      <c r="AD28" s="64">
        <v>19.3</v>
      </c>
      <c r="AE28">
        <v>0</v>
      </c>
      <c r="AF28">
        <v>0</v>
      </c>
      <c r="AG28" s="65">
        <v>18.899999999999999</v>
      </c>
      <c r="AH28" s="64">
        <v>22.1</v>
      </c>
      <c r="AI28">
        <v>0</v>
      </c>
      <c r="AJ28">
        <v>0</v>
      </c>
      <c r="AK28" s="65">
        <v>19.399999999999999</v>
      </c>
      <c r="AL28" s="64">
        <v>21.1</v>
      </c>
      <c r="AM28">
        <v>0</v>
      </c>
      <c r="AN28">
        <v>0</v>
      </c>
      <c r="AO28" s="65">
        <v>18.899999999999999</v>
      </c>
      <c r="AP28" s="64">
        <v>19.7</v>
      </c>
      <c r="AQ28">
        <v>0</v>
      </c>
      <c r="AR28">
        <v>0</v>
      </c>
      <c r="AS28" s="65">
        <v>20.399999999999999</v>
      </c>
    </row>
    <row r="29" spans="1:45" x14ac:dyDescent="0.2">
      <c r="A29" s="66" t="s">
        <v>952</v>
      </c>
      <c r="B29" s="66">
        <v>6.8</v>
      </c>
      <c r="C29" s="68">
        <v>11</v>
      </c>
      <c r="D29" s="68">
        <v>10.4</v>
      </c>
      <c r="E29" s="67">
        <v>10.8</v>
      </c>
      <c r="F29" s="66">
        <v>10.6</v>
      </c>
      <c r="G29" s="68">
        <v>11.4</v>
      </c>
      <c r="H29" s="68">
        <v>12.6</v>
      </c>
      <c r="I29" s="67">
        <v>10.8</v>
      </c>
      <c r="J29" s="66">
        <v>14.6</v>
      </c>
      <c r="K29" s="68">
        <v>14.2</v>
      </c>
      <c r="L29" s="68">
        <v>14.3</v>
      </c>
      <c r="M29" s="67">
        <v>11.5</v>
      </c>
      <c r="N29" s="66">
        <v>14</v>
      </c>
      <c r="O29" s="68">
        <v>15</v>
      </c>
      <c r="P29" s="68">
        <v>11.2</v>
      </c>
      <c r="Q29" s="67">
        <v>8.3000000000000007</v>
      </c>
      <c r="R29" s="66">
        <v>15.4</v>
      </c>
      <c r="S29" s="68">
        <v>13.1</v>
      </c>
      <c r="T29" s="68">
        <v>14.6</v>
      </c>
      <c r="U29" s="67">
        <v>8.6999999999999993</v>
      </c>
      <c r="V29" s="66">
        <v>13.1</v>
      </c>
      <c r="W29" s="68">
        <v>15.3</v>
      </c>
      <c r="X29" s="68">
        <v>11.2</v>
      </c>
      <c r="Y29" s="67">
        <v>11.7</v>
      </c>
      <c r="Z29" s="66">
        <v>19.2</v>
      </c>
      <c r="AA29" s="68">
        <v>15</v>
      </c>
      <c r="AB29" s="68">
        <v>10.3</v>
      </c>
      <c r="AC29" s="67">
        <v>12.5</v>
      </c>
      <c r="AD29" s="66">
        <v>14</v>
      </c>
      <c r="AE29" s="68">
        <v>15.1</v>
      </c>
      <c r="AF29" s="68">
        <v>12.9</v>
      </c>
      <c r="AG29" s="67">
        <v>13.1</v>
      </c>
      <c r="AH29" s="66">
        <v>16.5</v>
      </c>
      <c r="AI29" s="68">
        <v>14.4</v>
      </c>
      <c r="AJ29" s="68">
        <v>12.9</v>
      </c>
      <c r="AK29" s="67">
        <v>14.1</v>
      </c>
      <c r="AL29" s="66">
        <v>16.899999999999999</v>
      </c>
      <c r="AM29" s="68">
        <v>14.6</v>
      </c>
      <c r="AN29" s="68">
        <v>10</v>
      </c>
      <c r="AO29" s="67">
        <v>13.9</v>
      </c>
      <c r="AP29" s="66">
        <v>15.6</v>
      </c>
      <c r="AQ29" s="68">
        <v>9.9</v>
      </c>
      <c r="AR29" s="68">
        <v>5.5</v>
      </c>
      <c r="AS29" s="67">
        <v>13.4</v>
      </c>
    </row>
    <row r="30" spans="1:45" x14ac:dyDescent="0.2">
      <c r="A30" s="69" t="s">
        <v>961</v>
      </c>
      <c r="B30" s="69">
        <v>7</v>
      </c>
      <c r="C30" s="71">
        <v>12.2</v>
      </c>
      <c r="D30" s="71">
        <v>11.6</v>
      </c>
      <c r="E30" s="70">
        <v>14.9</v>
      </c>
      <c r="F30" s="69">
        <v>8</v>
      </c>
      <c r="G30" s="71">
        <v>9.9</v>
      </c>
      <c r="H30" s="71">
        <v>9</v>
      </c>
      <c r="I30" s="70">
        <v>14</v>
      </c>
      <c r="J30" s="69">
        <v>8.1</v>
      </c>
      <c r="K30" s="71">
        <v>12.2</v>
      </c>
      <c r="L30" s="71">
        <v>8.3000000000000007</v>
      </c>
      <c r="M30" s="70">
        <v>13.7</v>
      </c>
      <c r="N30" s="69">
        <v>8</v>
      </c>
      <c r="O30" s="71">
        <v>13</v>
      </c>
      <c r="P30" s="71">
        <v>7.4</v>
      </c>
      <c r="Q30" s="70">
        <v>14</v>
      </c>
      <c r="R30" s="69">
        <v>6.1</v>
      </c>
      <c r="S30" s="71">
        <v>8.1</v>
      </c>
      <c r="T30" s="71">
        <v>6.7</v>
      </c>
      <c r="U30" s="70">
        <v>14.1</v>
      </c>
      <c r="V30" s="69">
        <v>9</v>
      </c>
      <c r="W30" s="71">
        <v>9.4</v>
      </c>
      <c r="X30" s="71">
        <v>7.5</v>
      </c>
      <c r="Y30" s="70">
        <v>11.1</v>
      </c>
      <c r="Z30" s="69">
        <v>11.3</v>
      </c>
      <c r="AA30" s="71">
        <v>9.1</v>
      </c>
      <c r="AB30" s="71">
        <v>6.1</v>
      </c>
      <c r="AC30" s="70">
        <v>7.5</v>
      </c>
      <c r="AD30" s="69">
        <v>9.3000000000000007</v>
      </c>
      <c r="AE30" s="71">
        <v>6.6</v>
      </c>
      <c r="AF30" s="71">
        <v>7.3</v>
      </c>
      <c r="AG30" s="70">
        <v>6.5</v>
      </c>
      <c r="AH30" s="69">
        <v>8.9</v>
      </c>
      <c r="AI30" s="71">
        <v>4.0999999999999996</v>
      </c>
      <c r="AJ30" s="71">
        <v>4.8</v>
      </c>
      <c r="AK30" s="70">
        <v>2.4</v>
      </c>
      <c r="AL30" s="69">
        <v>6.1</v>
      </c>
      <c r="AM30" s="71">
        <v>5.8</v>
      </c>
      <c r="AN30" s="71">
        <v>4.8</v>
      </c>
      <c r="AO30" s="70">
        <v>0</v>
      </c>
      <c r="AP30" s="69">
        <v>5.0999999999999996</v>
      </c>
      <c r="AQ30" s="71">
        <v>1.9</v>
      </c>
      <c r="AR30" s="71">
        <v>3.1</v>
      </c>
      <c r="AS30" s="70">
        <v>0</v>
      </c>
    </row>
    <row r="31" spans="1:45" x14ac:dyDescent="0.2">
      <c r="A31" s="64" t="s">
        <v>970</v>
      </c>
      <c r="B31" s="64">
        <v>11.8</v>
      </c>
      <c r="C31">
        <v>12.9</v>
      </c>
      <c r="D31">
        <v>13.9</v>
      </c>
      <c r="E31" s="65">
        <v>15.7</v>
      </c>
      <c r="F31" s="64">
        <v>17.2</v>
      </c>
      <c r="G31">
        <v>13.4</v>
      </c>
      <c r="H31">
        <v>11.5</v>
      </c>
      <c r="I31" s="65">
        <v>15.5</v>
      </c>
      <c r="J31" s="64">
        <v>18.899999999999999</v>
      </c>
      <c r="K31">
        <v>11.7</v>
      </c>
      <c r="L31">
        <v>11.3</v>
      </c>
      <c r="M31" s="65">
        <v>17.399999999999999</v>
      </c>
      <c r="N31" s="64">
        <v>20.6</v>
      </c>
      <c r="O31">
        <v>12.7</v>
      </c>
      <c r="P31">
        <v>11.5</v>
      </c>
      <c r="Q31" s="65">
        <v>16.600000000000001</v>
      </c>
      <c r="R31" s="64">
        <v>21</v>
      </c>
      <c r="S31">
        <v>13.2</v>
      </c>
      <c r="T31">
        <v>10.4</v>
      </c>
      <c r="U31" s="65">
        <v>18.600000000000001</v>
      </c>
      <c r="V31" s="64">
        <v>19.100000000000001</v>
      </c>
      <c r="W31">
        <v>13.4</v>
      </c>
      <c r="X31">
        <v>9.9</v>
      </c>
      <c r="Y31" s="65">
        <v>15.9</v>
      </c>
      <c r="Z31" s="64">
        <v>20.5</v>
      </c>
      <c r="AA31">
        <v>13.4</v>
      </c>
      <c r="AB31">
        <v>7.5</v>
      </c>
      <c r="AC31" s="65">
        <v>16.399999999999999</v>
      </c>
      <c r="AD31" s="64">
        <v>25.6</v>
      </c>
      <c r="AE31">
        <v>9.9</v>
      </c>
      <c r="AF31">
        <v>0</v>
      </c>
      <c r="AG31" s="65">
        <v>19.399999999999999</v>
      </c>
      <c r="AH31" s="64">
        <v>21.1</v>
      </c>
      <c r="AI31">
        <v>8.9</v>
      </c>
      <c r="AJ31">
        <v>0</v>
      </c>
      <c r="AK31" s="65">
        <v>23.8</v>
      </c>
      <c r="AL31" s="64">
        <v>20.399999999999999</v>
      </c>
      <c r="AM31">
        <v>4.5</v>
      </c>
      <c r="AN31">
        <v>0</v>
      </c>
      <c r="AO31" s="65">
        <v>22.5</v>
      </c>
      <c r="AP31" s="64">
        <v>20.9</v>
      </c>
      <c r="AQ31">
        <v>0</v>
      </c>
      <c r="AR31">
        <v>0</v>
      </c>
      <c r="AS31" s="65">
        <v>19.7</v>
      </c>
    </row>
    <row r="32" spans="1:45" x14ac:dyDescent="0.2">
      <c r="A32" s="64" t="s">
        <v>979</v>
      </c>
      <c r="B32" s="64">
        <v>10.1</v>
      </c>
      <c r="C32">
        <v>10.1</v>
      </c>
      <c r="D32">
        <v>10</v>
      </c>
      <c r="E32" s="65">
        <v>8.6999999999999993</v>
      </c>
      <c r="F32" s="64">
        <v>13.2</v>
      </c>
      <c r="G32">
        <v>10.199999999999999</v>
      </c>
      <c r="H32">
        <v>14.6</v>
      </c>
      <c r="I32" s="65">
        <v>11.5</v>
      </c>
      <c r="J32" s="64">
        <v>15.5</v>
      </c>
      <c r="K32">
        <v>12.4</v>
      </c>
      <c r="L32">
        <v>13.1</v>
      </c>
      <c r="M32" s="65">
        <v>15.7</v>
      </c>
      <c r="N32" s="64">
        <v>8.9</v>
      </c>
      <c r="O32">
        <v>11.5</v>
      </c>
      <c r="P32">
        <v>14.4</v>
      </c>
      <c r="Q32" s="65">
        <v>17.5</v>
      </c>
      <c r="R32" s="64">
        <v>12.1</v>
      </c>
      <c r="S32">
        <v>11</v>
      </c>
      <c r="T32">
        <v>13.4</v>
      </c>
      <c r="U32" s="65">
        <v>9.1</v>
      </c>
      <c r="V32" s="64">
        <v>14</v>
      </c>
      <c r="W32">
        <v>10.8</v>
      </c>
      <c r="X32">
        <v>14.8</v>
      </c>
      <c r="Y32" s="65">
        <v>19</v>
      </c>
      <c r="Z32" s="64">
        <v>12.3</v>
      </c>
      <c r="AA32">
        <v>13</v>
      </c>
      <c r="AB32">
        <v>16.899999999999999</v>
      </c>
      <c r="AC32" s="65">
        <v>18.8</v>
      </c>
      <c r="AD32" s="64">
        <v>11.8</v>
      </c>
      <c r="AE32">
        <v>14.8</v>
      </c>
      <c r="AF32">
        <v>13.4</v>
      </c>
      <c r="AG32" s="65">
        <v>17.899999999999999</v>
      </c>
      <c r="AH32" s="64">
        <v>16.399999999999999</v>
      </c>
      <c r="AI32">
        <v>9.6999999999999993</v>
      </c>
      <c r="AJ32">
        <v>10.8</v>
      </c>
      <c r="AK32" s="65">
        <v>17.8</v>
      </c>
      <c r="AL32" s="64">
        <v>11.5</v>
      </c>
      <c r="AM32">
        <v>8</v>
      </c>
      <c r="AN32">
        <v>11.9</v>
      </c>
      <c r="AO32" s="65">
        <v>19.3</v>
      </c>
      <c r="AP32" s="64">
        <v>16.100000000000001</v>
      </c>
      <c r="AQ32">
        <v>10.8</v>
      </c>
      <c r="AR32">
        <v>7.7</v>
      </c>
      <c r="AS32" s="65">
        <v>18.5</v>
      </c>
    </row>
    <row r="33" spans="1:45" x14ac:dyDescent="0.2">
      <c r="A33" s="66" t="s">
        <v>988</v>
      </c>
      <c r="B33" s="66">
        <v>11.1</v>
      </c>
      <c r="C33" s="68">
        <v>17.100000000000001</v>
      </c>
      <c r="D33" s="68">
        <v>13.4</v>
      </c>
      <c r="E33" s="67">
        <v>19.3</v>
      </c>
      <c r="F33" s="66">
        <v>13.2</v>
      </c>
      <c r="G33" s="68">
        <v>16.899999999999999</v>
      </c>
      <c r="H33" s="68">
        <v>16</v>
      </c>
      <c r="I33" s="67">
        <v>14.2</v>
      </c>
      <c r="J33" s="66">
        <v>14</v>
      </c>
      <c r="K33" s="68">
        <v>16.899999999999999</v>
      </c>
      <c r="L33" s="68">
        <v>17.899999999999999</v>
      </c>
      <c r="M33" s="67">
        <v>20.7</v>
      </c>
      <c r="N33" s="66">
        <v>17.7</v>
      </c>
      <c r="O33" s="68">
        <v>17</v>
      </c>
      <c r="P33" s="68">
        <v>18.899999999999999</v>
      </c>
      <c r="Q33" s="67">
        <v>20.100000000000001</v>
      </c>
      <c r="R33" s="66">
        <v>17.8</v>
      </c>
      <c r="S33" s="68">
        <v>20.3</v>
      </c>
      <c r="T33" s="68">
        <v>20.3</v>
      </c>
      <c r="U33" s="67">
        <v>22</v>
      </c>
      <c r="V33" s="66">
        <v>19.2</v>
      </c>
      <c r="W33" s="68">
        <v>19.100000000000001</v>
      </c>
      <c r="X33" s="68">
        <v>17.600000000000001</v>
      </c>
      <c r="Y33" s="67">
        <v>20.2</v>
      </c>
      <c r="Z33" s="66">
        <v>19.899999999999999</v>
      </c>
      <c r="AA33" s="68">
        <v>21.3</v>
      </c>
      <c r="AB33" s="68">
        <v>19.100000000000001</v>
      </c>
      <c r="AC33" s="67">
        <v>22.3</v>
      </c>
      <c r="AD33" s="66">
        <v>20.6</v>
      </c>
      <c r="AE33" s="68">
        <v>21</v>
      </c>
      <c r="AF33" s="68">
        <v>20.100000000000001</v>
      </c>
      <c r="AG33" s="67">
        <v>20.7</v>
      </c>
      <c r="AH33" s="66">
        <v>22.9</v>
      </c>
      <c r="AI33" s="68">
        <v>22.8</v>
      </c>
      <c r="AJ33" s="68">
        <v>20.3</v>
      </c>
      <c r="AK33" s="67">
        <v>21.9</v>
      </c>
      <c r="AL33" s="66">
        <v>22.1</v>
      </c>
      <c r="AM33" s="68">
        <v>23.3</v>
      </c>
      <c r="AN33" s="68">
        <v>20.399999999999999</v>
      </c>
      <c r="AO33" s="67">
        <v>29.5</v>
      </c>
      <c r="AP33" s="66">
        <v>18.7</v>
      </c>
      <c r="AQ33" s="68">
        <v>20.3</v>
      </c>
      <c r="AR33" s="68">
        <v>19.399999999999999</v>
      </c>
      <c r="AS33" s="67">
        <v>20.5</v>
      </c>
    </row>
    <row r="34" spans="1:45" x14ac:dyDescent="0.2">
      <c r="A34" s="69" t="s">
        <v>997</v>
      </c>
      <c r="B34" s="69">
        <v>5.9</v>
      </c>
      <c r="C34" s="71">
        <v>8</v>
      </c>
      <c r="D34" s="71">
        <v>12.8</v>
      </c>
      <c r="E34" s="70">
        <v>9.6999999999999993</v>
      </c>
      <c r="F34" s="69">
        <v>6.4</v>
      </c>
      <c r="G34" s="71">
        <v>10.1</v>
      </c>
      <c r="H34" s="71">
        <v>14.2</v>
      </c>
      <c r="I34" s="70">
        <v>13.4</v>
      </c>
      <c r="J34" s="69">
        <v>18.2</v>
      </c>
      <c r="K34" s="71">
        <v>7.2</v>
      </c>
      <c r="L34" s="71">
        <v>10.3</v>
      </c>
      <c r="M34" s="70">
        <v>3.1</v>
      </c>
      <c r="N34" s="69">
        <v>9.6999999999999993</v>
      </c>
      <c r="O34" s="71">
        <v>15.8</v>
      </c>
      <c r="P34" s="71">
        <v>11.7</v>
      </c>
      <c r="Q34" s="70">
        <v>15.3</v>
      </c>
      <c r="R34" s="69">
        <v>15.8</v>
      </c>
      <c r="S34" s="71">
        <v>15.3</v>
      </c>
      <c r="T34" s="71">
        <v>15.5</v>
      </c>
      <c r="U34" s="70">
        <v>16.7</v>
      </c>
      <c r="V34" s="69">
        <v>18.100000000000001</v>
      </c>
      <c r="W34" s="71">
        <v>21.3</v>
      </c>
      <c r="X34" s="71">
        <v>20.5</v>
      </c>
      <c r="Y34" s="70">
        <v>20</v>
      </c>
      <c r="Z34" s="69">
        <v>17.899999999999999</v>
      </c>
      <c r="AA34" s="71">
        <v>13</v>
      </c>
      <c r="AB34" s="71">
        <v>19.5</v>
      </c>
      <c r="AC34" s="70">
        <v>19.2</v>
      </c>
      <c r="AD34" s="69">
        <v>6.7</v>
      </c>
      <c r="AE34" s="71">
        <v>19.3</v>
      </c>
      <c r="AF34" s="71">
        <v>21.5</v>
      </c>
      <c r="AG34" s="70">
        <v>15.6</v>
      </c>
      <c r="AH34" s="69">
        <v>14.5</v>
      </c>
      <c r="AI34" s="71">
        <v>21.9</v>
      </c>
      <c r="AJ34" s="71">
        <v>15.9</v>
      </c>
      <c r="AK34" s="70">
        <v>23.3</v>
      </c>
      <c r="AL34" s="69">
        <v>14.5</v>
      </c>
      <c r="AM34" s="71">
        <v>22.5</v>
      </c>
      <c r="AN34" s="71">
        <v>17.2</v>
      </c>
      <c r="AO34" s="70">
        <v>19.5</v>
      </c>
      <c r="AP34" s="69">
        <v>17.3</v>
      </c>
      <c r="AQ34" s="71">
        <v>22.4</v>
      </c>
      <c r="AR34" s="71">
        <v>22.2</v>
      </c>
      <c r="AS34" s="70">
        <v>22.3</v>
      </c>
    </row>
    <row r="35" spans="1:45" x14ac:dyDescent="0.2">
      <c r="A35" s="64" t="s">
        <v>1006</v>
      </c>
      <c r="B35" s="64">
        <v>16.5</v>
      </c>
      <c r="C35">
        <v>13.3</v>
      </c>
      <c r="D35">
        <v>15.1</v>
      </c>
      <c r="E35" s="65">
        <v>14.4</v>
      </c>
      <c r="F35" s="64">
        <v>15.2</v>
      </c>
      <c r="G35">
        <v>12.7</v>
      </c>
      <c r="H35">
        <v>15.1</v>
      </c>
      <c r="I35" s="65">
        <v>14.6</v>
      </c>
      <c r="J35" s="64">
        <v>13.3</v>
      </c>
      <c r="K35">
        <v>11.5</v>
      </c>
      <c r="L35">
        <v>16.5</v>
      </c>
      <c r="M35" s="65">
        <v>14.6</v>
      </c>
      <c r="N35" s="64">
        <v>14.8</v>
      </c>
      <c r="O35">
        <v>14.5</v>
      </c>
      <c r="P35">
        <v>17</v>
      </c>
      <c r="Q35" s="65">
        <v>18.399999999999999</v>
      </c>
      <c r="R35" s="64">
        <v>20.100000000000001</v>
      </c>
      <c r="S35">
        <v>16.5</v>
      </c>
      <c r="T35">
        <v>17.399999999999999</v>
      </c>
      <c r="U35" s="65">
        <v>19.8</v>
      </c>
      <c r="V35" s="64">
        <v>18.899999999999999</v>
      </c>
      <c r="W35">
        <v>16.5</v>
      </c>
      <c r="X35">
        <v>15.9</v>
      </c>
      <c r="Y35" s="65">
        <v>19.600000000000001</v>
      </c>
      <c r="Z35" s="64">
        <v>18.399999999999999</v>
      </c>
      <c r="AA35">
        <v>16.100000000000001</v>
      </c>
      <c r="AB35">
        <v>17.100000000000001</v>
      </c>
      <c r="AC35" s="65">
        <v>19</v>
      </c>
      <c r="AD35" s="64">
        <v>20.8</v>
      </c>
      <c r="AE35">
        <v>18.3</v>
      </c>
      <c r="AF35">
        <v>19.899999999999999</v>
      </c>
      <c r="AG35" s="65">
        <v>21.6</v>
      </c>
      <c r="AH35" s="64">
        <v>20.8</v>
      </c>
      <c r="AI35">
        <v>19.7</v>
      </c>
      <c r="AJ35">
        <v>19.7</v>
      </c>
      <c r="AK35" s="65">
        <v>25</v>
      </c>
      <c r="AL35" s="64">
        <v>20.9</v>
      </c>
      <c r="AM35">
        <v>19</v>
      </c>
      <c r="AN35">
        <v>22.7</v>
      </c>
      <c r="AO35" s="65">
        <v>23.8</v>
      </c>
      <c r="AP35" s="64">
        <v>19.7</v>
      </c>
      <c r="AQ35">
        <v>19.399999999999999</v>
      </c>
      <c r="AR35">
        <v>21.3</v>
      </c>
      <c r="AS35" s="65">
        <v>23</v>
      </c>
    </row>
    <row r="36" spans="1:45" x14ac:dyDescent="0.2">
      <c r="A36" s="64" t="s">
        <v>1015</v>
      </c>
      <c r="B36" s="64">
        <v>13.6</v>
      </c>
      <c r="C36">
        <v>17.899999999999999</v>
      </c>
      <c r="D36">
        <v>15.5</v>
      </c>
      <c r="E36" s="65">
        <v>13.2</v>
      </c>
      <c r="F36" s="64">
        <v>12.8</v>
      </c>
      <c r="G36">
        <v>17.3</v>
      </c>
      <c r="H36">
        <v>16.3</v>
      </c>
      <c r="I36" s="65">
        <v>15</v>
      </c>
      <c r="J36" s="64">
        <v>14</v>
      </c>
      <c r="K36">
        <v>21.5</v>
      </c>
      <c r="L36">
        <v>12.3</v>
      </c>
      <c r="M36" s="65">
        <v>14.7</v>
      </c>
      <c r="N36" s="64">
        <v>15.6</v>
      </c>
      <c r="O36">
        <v>15.7</v>
      </c>
      <c r="P36">
        <v>11.7</v>
      </c>
      <c r="Q36" s="65">
        <v>13.5</v>
      </c>
      <c r="R36" s="64">
        <v>15.1</v>
      </c>
      <c r="S36">
        <v>16.8</v>
      </c>
      <c r="T36">
        <v>13.4</v>
      </c>
      <c r="U36" s="65">
        <v>16.100000000000001</v>
      </c>
      <c r="V36" s="64">
        <v>13.5</v>
      </c>
      <c r="W36">
        <v>17.7</v>
      </c>
      <c r="X36">
        <v>11.7</v>
      </c>
      <c r="Y36" s="65">
        <v>15.9</v>
      </c>
      <c r="Z36" s="64">
        <v>12.2</v>
      </c>
      <c r="AA36">
        <v>16.100000000000001</v>
      </c>
      <c r="AB36">
        <v>14.4</v>
      </c>
      <c r="AC36" s="65">
        <v>15.2</v>
      </c>
      <c r="AD36" s="64">
        <v>14.8</v>
      </c>
      <c r="AE36">
        <v>15.9</v>
      </c>
      <c r="AF36">
        <v>11.7</v>
      </c>
      <c r="AG36" s="65">
        <v>14.3</v>
      </c>
      <c r="AH36" s="64">
        <v>13.1</v>
      </c>
      <c r="AI36">
        <v>21.8</v>
      </c>
      <c r="AJ36">
        <v>11.4</v>
      </c>
      <c r="AK36" s="65">
        <v>12.5</v>
      </c>
      <c r="AL36" s="64">
        <v>10.7</v>
      </c>
      <c r="AM36">
        <v>16.100000000000001</v>
      </c>
      <c r="AN36">
        <v>11.1</v>
      </c>
      <c r="AO36" s="65">
        <v>14</v>
      </c>
      <c r="AP36" s="64">
        <v>7.1</v>
      </c>
      <c r="AQ36">
        <v>12.1</v>
      </c>
      <c r="AR36">
        <v>6.8</v>
      </c>
      <c r="AS36" s="65">
        <v>11.2</v>
      </c>
    </row>
    <row r="37" spans="1:45" x14ac:dyDescent="0.2">
      <c r="A37" s="66" t="s">
        <v>1026</v>
      </c>
      <c r="B37" s="66">
        <v>15.3</v>
      </c>
      <c r="C37" s="68">
        <v>12.2</v>
      </c>
      <c r="D37" s="68">
        <v>12.8</v>
      </c>
      <c r="E37" s="67">
        <v>15.6</v>
      </c>
      <c r="F37" s="66">
        <v>15.1</v>
      </c>
      <c r="G37" s="68">
        <v>8.8000000000000007</v>
      </c>
      <c r="H37" s="68">
        <v>14</v>
      </c>
      <c r="I37" s="67">
        <v>16.3</v>
      </c>
      <c r="J37" s="66">
        <v>11.1</v>
      </c>
      <c r="K37" s="68">
        <v>9.9</v>
      </c>
      <c r="L37" s="68">
        <v>8.4</v>
      </c>
      <c r="M37" s="67">
        <v>13.1</v>
      </c>
      <c r="N37" s="66">
        <v>12.7</v>
      </c>
      <c r="O37" s="68">
        <v>12.3</v>
      </c>
      <c r="P37" s="68">
        <v>14</v>
      </c>
      <c r="Q37" s="67">
        <v>14.9</v>
      </c>
      <c r="R37" s="66">
        <v>16.8</v>
      </c>
      <c r="S37" s="68">
        <v>13</v>
      </c>
      <c r="T37" s="68">
        <v>14.8</v>
      </c>
      <c r="U37" s="67">
        <v>15.2</v>
      </c>
      <c r="V37" s="66">
        <v>15.3</v>
      </c>
      <c r="W37" s="68">
        <v>13.4</v>
      </c>
      <c r="X37" s="68">
        <v>11.3</v>
      </c>
      <c r="Y37" s="67">
        <v>16.7</v>
      </c>
      <c r="Z37" s="66">
        <v>17.399999999999999</v>
      </c>
      <c r="AA37" s="68">
        <v>13.5</v>
      </c>
      <c r="AB37" s="68">
        <v>13.1</v>
      </c>
      <c r="AC37" s="67">
        <v>16.2</v>
      </c>
      <c r="AD37" s="66">
        <v>18.600000000000001</v>
      </c>
      <c r="AE37" s="68">
        <v>15.6</v>
      </c>
      <c r="AF37" s="68">
        <v>13.1</v>
      </c>
      <c r="AG37" s="67">
        <v>20</v>
      </c>
      <c r="AH37" s="66">
        <v>15.8</v>
      </c>
      <c r="AI37" s="68">
        <v>214</v>
      </c>
      <c r="AJ37" s="68">
        <v>13.2</v>
      </c>
      <c r="AK37" s="67">
        <v>17.2</v>
      </c>
      <c r="AL37" s="66">
        <v>20.6</v>
      </c>
      <c r="AM37" s="68">
        <v>17.899999999999999</v>
      </c>
      <c r="AN37" s="68">
        <v>11.9</v>
      </c>
      <c r="AO37" s="67">
        <v>17.8</v>
      </c>
      <c r="AP37" s="66">
        <v>17</v>
      </c>
      <c r="AQ37" s="68">
        <v>15.6</v>
      </c>
      <c r="AR37" s="68">
        <v>15.1</v>
      </c>
      <c r="AS37" s="67">
        <v>17</v>
      </c>
    </row>
    <row r="38" spans="1:45" x14ac:dyDescent="0.2">
      <c r="A38" s="69" t="s">
        <v>1035</v>
      </c>
      <c r="B38" s="69">
        <v>12.8</v>
      </c>
      <c r="C38" s="71">
        <v>14.6</v>
      </c>
      <c r="D38" s="71">
        <v>13.4</v>
      </c>
      <c r="E38" s="70">
        <v>15.3</v>
      </c>
      <c r="F38" s="69">
        <v>13.2</v>
      </c>
      <c r="G38" s="71">
        <v>13.7</v>
      </c>
      <c r="H38" s="71">
        <v>13</v>
      </c>
      <c r="I38" s="70">
        <v>15.1</v>
      </c>
      <c r="J38" s="69">
        <v>10.9</v>
      </c>
      <c r="K38" s="71">
        <v>9.9</v>
      </c>
      <c r="L38" s="71">
        <v>11.3</v>
      </c>
      <c r="M38" s="70">
        <v>18.5</v>
      </c>
      <c r="N38" s="69">
        <v>14.7</v>
      </c>
      <c r="O38" s="71">
        <v>14.5</v>
      </c>
      <c r="P38" s="71">
        <v>13.7</v>
      </c>
      <c r="Q38" s="70">
        <v>18.3</v>
      </c>
      <c r="R38" s="69">
        <v>15.2</v>
      </c>
      <c r="S38" s="71">
        <v>14.7</v>
      </c>
      <c r="T38" s="71">
        <v>15.2</v>
      </c>
      <c r="U38" s="70">
        <v>20.100000000000001</v>
      </c>
      <c r="V38" s="69">
        <v>19.3</v>
      </c>
      <c r="W38" s="71">
        <v>18</v>
      </c>
      <c r="X38" s="71">
        <v>16.5</v>
      </c>
      <c r="Y38" s="70">
        <v>20.7</v>
      </c>
      <c r="Z38" s="69">
        <v>15.5</v>
      </c>
      <c r="AA38" s="71">
        <v>18.399999999999999</v>
      </c>
      <c r="AB38" s="71">
        <v>17</v>
      </c>
      <c r="AC38" s="70">
        <v>19.899999999999999</v>
      </c>
      <c r="AD38" s="69">
        <v>16.3</v>
      </c>
      <c r="AE38" s="71">
        <v>22.1</v>
      </c>
      <c r="AF38" s="71">
        <v>20.2</v>
      </c>
      <c r="AG38" s="70">
        <v>21.6</v>
      </c>
      <c r="AH38" s="69">
        <v>10.8</v>
      </c>
      <c r="AI38" s="71">
        <v>20.100000000000001</v>
      </c>
      <c r="AJ38" s="71">
        <v>8</v>
      </c>
      <c r="AK38" s="70">
        <v>22.1</v>
      </c>
      <c r="AL38" s="69">
        <v>23.5</v>
      </c>
      <c r="AM38" s="71">
        <v>24.5</v>
      </c>
      <c r="AN38" s="71">
        <v>12.9</v>
      </c>
      <c r="AO38" s="70">
        <v>24.5</v>
      </c>
      <c r="AP38" s="69">
        <v>21</v>
      </c>
      <c r="AQ38" s="71">
        <v>21.2</v>
      </c>
      <c r="AR38" s="71">
        <v>15.6</v>
      </c>
      <c r="AS38" s="70">
        <v>24.3</v>
      </c>
    </row>
    <row r="39" spans="1:45" x14ac:dyDescent="0.2">
      <c r="A39" s="64" t="s">
        <v>1044</v>
      </c>
      <c r="B39" s="64">
        <v>11.8</v>
      </c>
      <c r="C39">
        <v>10.7</v>
      </c>
      <c r="D39">
        <v>16.100000000000001</v>
      </c>
      <c r="E39" s="65">
        <v>9.1</v>
      </c>
      <c r="F39" s="64">
        <v>10.9</v>
      </c>
      <c r="G39">
        <v>8.1999999999999993</v>
      </c>
      <c r="H39">
        <v>12.7</v>
      </c>
      <c r="I39" s="65">
        <v>13.7</v>
      </c>
      <c r="J39" s="64">
        <v>10.9</v>
      </c>
      <c r="K39">
        <v>10.7</v>
      </c>
      <c r="L39">
        <v>1.9</v>
      </c>
      <c r="M39" s="65">
        <v>14.1</v>
      </c>
      <c r="N39" s="64">
        <v>11.5</v>
      </c>
      <c r="O39">
        <v>3.9</v>
      </c>
      <c r="P39">
        <v>1.6</v>
      </c>
      <c r="Q39" s="65">
        <v>16.3</v>
      </c>
      <c r="R39" s="64">
        <v>13.3</v>
      </c>
      <c r="S39">
        <v>4.8</v>
      </c>
      <c r="T39">
        <v>2.7</v>
      </c>
      <c r="U39" s="65">
        <v>17</v>
      </c>
      <c r="V39" s="64">
        <v>13.5</v>
      </c>
      <c r="W39">
        <v>3.6</v>
      </c>
      <c r="X39">
        <v>2.9</v>
      </c>
      <c r="Y39" s="65">
        <v>10.7</v>
      </c>
      <c r="Z39" s="64">
        <v>16</v>
      </c>
      <c r="AA39">
        <v>3.1</v>
      </c>
      <c r="AB39">
        <v>3</v>
      </c>
      <c r="AC39" s="65">
        <v>15.4</v>
      </c>
      <c r="AD39" s="64">
        <v>17.8</v>
      </c>
      <c r="AE39">
        <v>0</v>
      </c>
      <c r="AF39">
        <v>0</v>
      </c>
      <c r="AG39" s="65">
        <v>17</v>
      </c>
      <c r="AH39" s="64">
        <v>19.5</v>
      </c>
      <c r="AI39">
        <v>0</v>
      </c>
      <c r="AJ39">
        <v>0</v>
      </c>
      <c r="AK39" s="65">
        <v>16.899999999999999</v>
      </c>
      <c r="AL39" s="64">
        <v>20.7</v>
      </c>
      <c r="AM39">
        <v>0</v>
      </c>
      <c r="AN39">
        <v>0</v>
      </c>
      <c r="AO39" s="65">
        <v>18.600000000000001</v>
      </c>
      <c r="AP39" s="64">
        <v>20.100000000000001</v>
      </c>
      <c r="AQ39">
        <v>0</v>
      </c>
      <c r="AR39">
        <v>0</v>
      </c>
      <c r="AS39" s="65">
        <v>15.9</v>
      </c>
    </row>
    <row r="40" spans="1:45" x14ac:dyDescent="0.2">
      <c r="A40" s="64" t="s">
        <v>1053</v>
      </c>
      <c r="B40" s="64">
        <v>14.1</v>
      </c>
      <c r="C40">
        <v>12.7</v>
      </c>
      <c r="D40">
        <v>15.2</v>
      </c>
      <c r="E40" s="65">
        <v>14.7</v>
      </c>
      <c r="F40" s="64">
        <v>15.3</v>
      </c>
      <c r="G40">
        <v>14.3</v>
      </c>
      <c r="H40">
        <v>13.4</v>
      </c>
      <c r="I40" s="65">
        <v>13.4</v>
      </c>
      <c r="J40" s="64">
        <v>11.9</v>
      </c>
      <c r="K40">
        <v>12.6</v>
      </c>
      <c r="L40">
        <v>13.3</v>
      </c>
      <c r="M40" s="65">
        <v>13</v>
      </c>
      <c r="N40" s="64">
        <v>12.7</v>
      </c>
      <c r="O40">
        <v>12.8</v>
      </c>
      <c r="P40">
        <v>12.4</v>
      </c>
      <c r="Q40" s="65">
        <v>13.5</v>
      </c>
      <c r="R40" s="64">
        <v>10.9</v>
      </c>
      <c r="S40">
        <v>12.8</v>
      </c>
      <c r="T40">
        <v>11.6</v>
      </c>
      <c r="U40" s="65">
        <v>11.4</v>
      </c>
      <c r="V40" s="64">
        <v>11.8</v>
      </c>
      <c r="W40">
        <v>10.5</v>
      </c>
      <c r="X40">
        <v>11</v>
      </c>
      <c r="Y40" s="65">
        <v>10.4</v>
      </c>
      <c r="Z40" s="64">
        <v>7</v>
      </c>
      <c r="AA40">
        <v>12.2</v>
      </c>
      <c r="AB40">
        <v>11.9</v>
      </c>
      <c r="AC40" s="65">
        <v>13</v>
      </c>
      <c r="AD40" s="64">
        <v>12.2</v>
      </c>
      <c r="AE40">
        <v>13.7</v>
      </c>
      <c r="AF40">
        <v>9.6999999999999993</v>
      </c>
      <c r="AG40" s="65">
        <v>8.9</v>
      </c>
      <c r="AH40" s="64">
        <v>10.5</v>
      </c>
      <c r="AI40">
        <v>13</v>
      </c>
      <c r="AJ40">
        <v>9</v>
      </c>
      <c r="AK40" s="65">
        <v>8.4</v>
      </c>
      <c r="AL40" s="64">
        <v>8.6999999999999993</v>
      </c>
      <c r="AM40">
        <v>12.5</v>
      </c>
      <c r="AN40">
        <v>10</v>
      </c>
      <c r="AO40" s="65">
        <v>8</v>
      </c>
      <c r="AP40" s="64">
        <v>8.4</v>
      </c>
      <c r="AQ40">
        <v>7.1</v>
      </c>
      <c r="AR40">
        <v>7.1</v>
      </c>
      <c r="AS40" s="65">
        <v>5.9</v>
      </c>
    </row>
    <row r="41" spans="1:45" x14ac:dyDescent="0.2">
      <c r="A41" s="66" t="s">
        <v>1062</v>
      </c>
      <c r="B41" s="66">
        <v>10.4</v>
      </c>
      <c r="C41" s="68">
        <v>7.3</v>
      </c>
      <c r="D41" s="68">
        <v>9.1999999999999993</v>
      </c>
      <c r="E41" s="67">
        <v>14.5</v>
      </c>
      <c r="F41" s="66">
        <v>9.8000000000000007</v>
      </c>
      <c r="G41" s="68">
        <v>11.5</v>
      </c>
      <c r="H41" s="68">
        <v>12.9</v>
      </c>
      <c r="I41" s="67">
        <v>14.5</v>
      </c>
      <c r="J41" s="66">
        <v>11.9</v>
      </c>
      <c r="K41" s="68">
        <v>16.399999999999999</v>
      </c>
      <c r="L41" s="68">
        <v>12.2</v>
      </c>
      <c r="M41" s="67">
        <v>15.4</v>
      </c>
      <c r="N41" s="66">
        <v>12.2</v>
      </c>
      <c r="O41" s="68">
        <v>17.399999999999999</v>
      </c>
      <c r="P41" s="68">
        <v>16.399999999999999</v>
      </c>
      <c r="Q41" s="67">
        <v>16.100000000000001</v>
      </c>
      <c r="R41" s="66">
        <v>13.3</v>
      </c>
      <c r="S41" s="68">
        <v>17.5</v>
      </c>
      <c r="T41" s="68">
        <v>13</v>
      </c>
      <c r="U41" s="67">
        <v>17.600000000000001</v>
      </c>
      <c r="V41" s="66">
        <v>12.8</v>
      </c>
      <c r="W41" s="68">
        <v>15.5</v>
      </c>
      <c r="X41" s="68">
        <v>14.5</v>
      </c>
      <c r="Y41" s="67">
        <v>19.7</v>
      </c>
      <c r="Z41" s="66">
        <v>15.1</v>
      </c>
      <c r="AA41" s="68">
        <v>17</v>
      </c>
      <c r="AB41" s="68">
        <v>17</v>
      </c>
      <c r="AC41" s="67">
        <v>20.399999999999999</v>
      </c>
      <c r="AD41" s="66">
        <v>13</v>
      </c>
      <c r="AE41" s="68">
        <v>17.8</v>
      </c>
      <c r="AF41" s="68">
        <v>15.1</v>
      </c>
      <c r="AG41" s="67">
        <v>23.2</v>
      </c>
      <c r="AH41" s="66">
        <v>16.100000000000001</v>
      </c>
      <c r="AI41" s="68">
        <v>19.600000000000001</v>
      </c>
      <c r="AJ41" s="68">
        <v>14.9</v>
      </c>
      <c r="AK41" s="67">
        <v>20.8</v>
      </c>
      <c r="AL41" s="66">
        <v>16.600000000000001</v>
      </c>
      <c r="AM41" s="68">
        <v>20.7</v>
      </c>
      <c r="AN41" s="68">
        <v>18.3</v>
      </c>
      <c r="AO41" s="67">
        <v>21.8</v>
      </c>
      <c r="AP41" s="66">
        <v>17.2</v>
      </c>
      <c r="AQ41" s="68">
        <v>20</v>
      </c>
      <c r="AR41" s="68">
        <v>12.5</v>
      </c>
      <c r="AS41" s="67">
        <v>21.3</v>
      </c>
    </row>
    <row r="42" spans="1:45" x14ac:dyDescent="0.2">
      <c r="A42" s="69" t="s">
        <v>1071</v>
      </c>
      <c r="B42" s="69">
        <v>8.8000000000000007</v>
      </c>
      <c r="C42" s="71">
        <v>8.6999999999999993</v>
      </c>
      <c r="D42" s="71">
        <v>7.3</v>
      </c>
      <c r="E42" s="70">
        <v>14.8</v>
      </c>
      <c r="F42" s="69">
        <v>12.1</v>
      </c>
      <c r="G42" s="71">
        <v>7.9</v>
      </c>
      <c r="H42" s="71">
        <v>7.5</v>
      </c>
      <c r="I42" s="70">
        <v>10.7</v>
      </c>
      <c r="J42" s="69">
        <v>9.9</v>
      </c>
      <c r="K42" s="71">
        <v>7.9</v>
      </c>
      <c r="L42" s="71">
        <v>7.7</v>
      </c>
      <c r="M42" s="70">
        <v>16.600000000000001</v>
      </c>
      <c r="N42" s="69">
        <v>11.1</v>
      </c>
      <c r="O42" s="71">
        <v>8.1</v>
      </c>
      <c r="P42" s="71">
        <v>6</v>
      </c>
      <c r="Q42" s="70">
        <v>12.5</v>
      </c>
      <c r="R42" s="69">
        <v>8.6</v>
      </c>
      <c r="S42" s="71">
        <v>7.8</v>
      </c>
      <c r="T42" s="71">
        <v>6.2</v>
      </c>
      <c r="U42" s="70">
        <v>13.9</v>
      </c>
      <c r="V42" s="69">
        <v>10.5</v>
      </c>
      <c r="W42" s="71">
        <v>12.2</v>
      </c>
      <c r="X42" s="71">
        <v>6.8</v>
      </c>
      <c r="Y42" s="70">
        <v>11.5</v>
      </c>
      <c r="Z42" s="69">
        <v>11.4</v>
      </c>
      <c r="AA42" s="71">
        <v>9.9</v>
      </c>
      <c r="AB42" s="71">
        <v>6.1</v>
      </c>
      <c r="AC42" s="70">
        <v>16.399999999999999</v>
      </c>
      <c r="AD42" s="69">
        <v>9.3000000000000007</v>
      </c>
      <c r="AE42" s="71">
        <v>8.4</v>
      </c>
      <c r="AF42" s="71">
        <v>5.9</v>
      </c>
      <c r="AG42" s="70">
        <v>10.8</v>
      </c>
      <c r="AH42" s="69">
        <v>10</v>
      </c>
      <c r="AI42" s="71">
        <v>8.6</v>
      </c>
      <c r="AJ42" s="71">
        <v>6.1</v>
      </c>
      <c r="AK42" s="70">
        <v>8.6999999999999993</v>
      </c>
      <c r="AL42" s="69">
        <v>8.5</v>
      </c>
      <c r="AM42" s="71">
        <v>6.9</v>
      </c>
      <c r="AN42" s="71">
        <v>4.8</v>
      </c>
      <c r="AO42" s="70">
        <v>10.199999999999999</v>
      </c>
      <c r="AP42" s="69">
        <v>6.9</v>
      </c>
      <c r="AQ42" s="71">
        <v>3.3</v>
      </c>
      <c r="AR42" s="71">
        <v>2.5</v>
      </c>
      <c r="AS42" s="70">
        <v>11.2</v>
      </c>
    </row>
    <row r="43" spans="1:45" x14ac:dyDescent="0.2">
      <c r="A43" s="64" t="s">
        <v>1080</v>
      </c>
      <c r="B43" s="64">
        <v>8.4</v>
      </c>
      <c r="C43">
        <v>10.7</v>
      </c>
      <c r="D43">
        <v>18</v>
      </c>
      <c r="E43" s="65">
        <v>11.5</v>
      </c>
      <c r="F43" s="64">
        <v>13.4</v>
      </c>
      <c r="G43">
        <v>10.7</v>
      </c>
      <c r="H43">
        <v>20.2</v>
      </c>
      <c r="I43" s="65">
        <v>14.7</v>
      </c>
      <c r="J43" s="64">
        <v>8</v>
      </c>
      <c r="K43">
        <v>13.8</v>
      </c>
      <c r="L43">
        <v>15.5</v>
      </c>
      <c r="M43" s="65">
        <v>5.3</v>
      </c>
      <c r="N43" s="64">
        <v>16.600000000000001</v>
      </c>
      <c r="O43">
        <v>10.4</v>
      </c>
      <c r="P43">
        <v>16.100000000000001</v>
      </c>
      <c r="Q43" s="65">
        <v>8.6</v>
      </c>
      <c r="R43" s="64">
        <v>13.2</v>
      </c>
      <c r="S43">
        <v>14.6</v>
      </c>
      <c r="T43">
        <v>16</v>
      </c>
      <c r="U43" s="65">
        <v>10.199999999999999</v>
      </c>
      <c r="V43" s="64">
        <v>18.399999999999999</v>
      </c>
      <c r="W43">
        <v>15.7</v>
      </c>
      <c r="X43">
        <v>19.2</v>
      </c>
      <c r="Y43" s="65">
        <v>13.1</v>
      </c>
      <c r="Z43" s="64">
        <v>17</v>
      </c>
      <c r="AA43">
        <v>18.2</v>
      </c>
      <c r="AB43">
        <v>17.399999999999999</v>
      </c>
      <c r="AC43" s="65">
        <v>15.4</v>
      </c>
      <c r="AD43" s="64">
        <v>20.8</v>
      </c>
      <c r="AE43">
        <v>19</v>
      </c>
      <c r="AF43">
        <v>17.5</v>
      </c>
      <c r="AG43" s="65">
        <v>15.6</v>
      </c>
      <c r="AH43" s="64">
        <v>13.6</v>
      </c>
      <c r="AI43">
        <v>9.6</v>
      </c>
      <c r="AJ43">
        <v>19.2</v>
      </c>
      <c r="AK43" s="65">
        <v>8</v>
      </c>
      <c r="AL43" s="64">
        <v>25.2</v>
      </c>
      <c r="AM43">
        <v>12.1</v>
      </c>
      <c r="AN43">
        <v>17.5</v>
      </c>
      <c r="AO43" s="65">
        <v>12.6</v>
      </c>
      <c r="AP43" s="64">
        <v>16.8</v>
      </c>
      <c r="AQ43">
        <v>16.600000000000001</v>
      </c>
      <c r="AR43">
        <v>19.899999999999999</v>
      </c>
      <c r="AS43" s="65">
        <v>13</v>
      </c>
    </row>
    <row r="44" spans="1:45" x14ac:dyDescent="0.2">
      <c r="A44" s="64" t="s">
        <v>1090</v>
      </c>
      <c r="B44" s="64">
        <v>13.5</v>
      </c>
      <c r="C44">
        <v>14.8</v>
      </c>
      <c r="D44">
        <v>12</v>
      </c>
      <c r="E44" s="65">
        <v>14.6</v>
      </c>
      <c r="F44" s="64">
        <v>12.8</v>
      </c>
      <c r="G44">
        <v>14.2</v>
      </c>
      <c r="H44">
        <v>12.8</v>
      </c>
      <c r="I44" s="65">
        <v>14.1</v>
      </c>
      <c r="J44" s="64">
        <v>15.5</v>
      </c>
      <c r="K44">
        <v>17.3</v>
      </c>
      <c r="L44">
        <v>12.6</v>
      </c>
      <c r="M44" s="65">
        <v>14.5</v>
      </c>
      <c r="N44" s="64">
        <v>14.4</v>
      </c>
      <c r="O44">
        <v>15.8</v>
      </c>
      <c r="P44">
        <v>12.7</v>
      </c>
      <c r="Q44" s="65">
        <v>16.5</v>
      </c>
      <c r="R44" s="64">
        <v>14.7</v>
      </c>
      <c r="S44">
        <v>15.6</v>
      </c>
      <c r="T44">
        <v>12.3</v>
      </c>
      <c r="U44" s="65">
        <v>14.2</v>
      </c>
      <c r="V44" s="64">
        <v>22.2</v>
      </c>
      <c r="W44">
        <v>18.8</v>
      </c>
      <c r="X44">
        <v>11.5</v>
      </c>
      <c r="Y44" s="65">
        <v>15.6</v>
      </c>
      <c r="Z44" s="64">
        <v>24</v>
      </c>
      <c r="AA44">
        <v>14.6</v>
      </c>
      <c r="AB44">
        <v>9.6</v>
      </c>
      <c r="AC44" s="65">
        <v>15.6</v>
      </c>
      <c r="AD44" s="64">
        <v>15.3</v>
      </c>
      <c r="AE44">
        <v>15.3</v>
      </c>
      <c r="AF44">
        <v>11</v>
      </c>
      <c r="AG44" s="65">
        <v>16.100000000000001</v>
      </c>
      <c r="AH44" s="64">
        <v>6.9</v>
      </c>
      <c r="AI44">
        <v>14.3</v>
      </c>
      <c r="AJ44">
        <v>10</v>
      </c>
      <c r="AK44" s="65">
        <v>15.6</v>
      </c>
      <c r="AL44" s="64">
        <v>18.7</v>
      </c>
      <c r="AM44">
        <v>14.5</v>
      </c>
      <c r="AN44">
        <v>10.7</v>
      </c>
      <c r="AO44" s="65">
        <v>16.600000000000001</v>
      </c>
      <c r="AP44" s="64">
        <v>15.6</v>
      </c>
      <c r="AQ44">
        <v>9.8000000000000007</v>
      </c>
      <c r="AR44">
        <v>7</v>
      </c>
      <c r="AS44" s="65">
        <v>17</v>
      </c>
    </row>
    <row r="45" spans="1:45" x14ac:dyDescent="0.2">
      <c r="A45" s="66" t="s">
        <v>1099</v>
      </c>
      <c r="B45" s="66">
        <v>13.3</v>
      </c>
      <c r="C45" s="68">
        <v>9.6</v>
      </c>
      <c r="D45" s="68">
        <v>10.5</v>
      </c>
      <c r="E45" s="67">
        <v>14.6</v>
      </c>
      <c r="F45" s="66">
        <v>10</v>
      </c>
      <c r="G45" s="68">
        <v>8</v>
      </c>
      <c r="H45" s="68">
        <v>8.4</v>
      </c>
      <c r="I45" s="67">
        <v>8.6999999999999993</v>
      </c>
      <c r="J45" s="66">
        <v>1.9</v>
      </c>
      <c r="K45" s="68">
        <v>1.3</v>
      </c>
      <c r="L45" s="68">
        <v>3.8</v>
      </c>
      <c r="M45" s="67">
        <v>3.9</v>
      </c>
      <c r="N45" s="66">
        <v>1.5</v>
      </c>
      <c r="O45" s="68">
        <v>1.4</v>
      </c>
      <c r="P45" s="68">
        <v>2.1</v>
      </c>
      <c r="Q45" s="67">
        <v>1.4</v>
      </c>
      <c r="R45" s="66">
        <v>3.1</v>
      </c>
      <c r="S45" s="68">
        <v>4.2</v>
      </c>
      <c r="T45" s="68">
        <v>2.8</v>
      </c>
      <c r="U45" s="67">
        <v>3.1</v>
      </c>
      <c r="V45" s="66">
        <v>3.5</v>
      </c>
      <c r="W45" s="68">
        <v>3.3</v>
      </c>
      <c r="X45" s="68">
        <v>3.6</v>
      </c>
      <c r="Y45" s="67">
        <v>3.2</v>
      </c>
      <c r="Z45" s="66">
        <v>2.6</v>
      </c>
      <c r="AA45" s="68">
        <v>2.7</v>
      </c>
      <c r="AB45" s="68">
        <v>2.5</v>
      </c>
      <c r="AC45" s="67">
        <v>3.7</v>
      </c>
      <c r="AD45" s="66">
        <v>0</v>
      </c>
      <c r="AE45" s="68">
        <v>0</v>
      </c>
      <c r="AF45" s="68">
        <v>0</v>
      </c>
      <c r="AG45" s="67">
        <v>0</v>
      </c>
      <c r="AH45" s="66">
        <v>0</v>
      </c>
      <c r="AI45" s="68">
        <v>0</v>
      </c>
      <c r="AJ45" s="68">
        <v>0</v>
      </c>
      <c r="AK45" s="67">
        <v>0</v>
      </c>
      <c r="AL45" s="66">
        <v>0</v>
      </c>
      <c r="AM45" s="68">
        <v>0</v>
      </c>
      <c r="AN45" s="68">
        <v>0</v>
      </c>
      <c r="AO45" s="67">
        <v>0</v>
      </c>
      <c r="AP45" s="66">
        <v>0</v>
      </c>
      <c r="AQ45" s="68">
        <v>0</v>
      </c>
      <c r="AR45" s="68">
        <v>0</v>
      </c>
      <c r="AS45" s="67">
        <v>0</v>
      </c>
    </row>
    <row r="46" spans="1:45" x14ac:dyDescent="0.2">
      <c r="A46" s="69" t="s">
        <v>1108</v>
      </c>
      <c r="B46" s="69">
        <v>12.5</v>
      </c>
      <c r="C46" s="71">
        <v>12.3</v>
      </c>
      <c r="D46" s="71">
        <v>9.3000000000000007</v>
      </c>
      <c r="E46" s="70">
        <v>12.9</v>
      </c>
      <c r="F46" s="69">
        <v>11.6</v>
      </c>
      <c r="G46" s="71">
        <v>10.8</v>
      </c>
      <c r="H46" s="71">
        <v>9.3000000000000007</v>
      </c>
      <c r="I46" s="70">
        <v>10</v>
      </c>
      <c r="J46" s="69">
        <v>7.4</v>
      </c>
      <c r="K46" s="71">
        <v>6.7</v>
      </c>
      <c r="L46" s="71">
        <v>3.6</v>
      </c>
      <c r="M46" s="70">
        <v>9.3000000000000007</v>
      </c>
      <c r="N46" s="69">
        <v>5.9</v>
      </c>
      <c r="O46" s="71">
        <v>4.0999999999999996</v>
      </c>
      <c r="P46" s="71">
        <v>1.8</v>
      </c>
      <c r="Q46" s="70">
        <v>1.5</v>
      </c>
      <c r="R46" s="69">
        <v>4.7</v>
      </c>
      <c r="S46" s="71">
        <v>7.7</v>
      </c>
      <c r="T46" s="71">
        <v>0</v>
      </c>
      <c r="U46" s="70">
        <v>3.1</v>
      </c>
      <c r="V46" s="69">
        <v>4.2</v>
      </c>
      <c r="W46" s="71">
        <v>9</v>
      </c>
      <c r="X46" s="71">
        <v>0</v>
      </c>
      <c r="Y46" s="70">
        <v>4.2</v>
      </c>
      <c r="Z46" s="69">
        <v>4.7</v>
      </c>
      <c r="AA46" s="71">
        <v>8.9</v>
      </c>
      <c r="AB46" s="71">
        <v>0</v>
      </c>
      <c r="AC46" s="70">
        <v>3.1</v>
      </c>
      <c r="AD46" s="69">
        <v>3.1</v>
      </c>
      <c r="AE46" s="71">
        <v>6.8</v>
      </c>
      <c r="AF46" s="71">
        <v>0</v>
      </c>
      <c r="AG46" s="70">
        <v>3.4</v>
      </c>
      <c r="AH46" s="69">
        <v>5.0999999999999996</v>
      </c>
      <c r="AI46" s="71">
        <v>3.6</v>
      </c>
      <c r="AJ46" s="71">
        <v>0</v>
      </c>
      <c r="AK46" s="70">
        <v>4.0999999999999996</v>
      </c>
      <c r="AL46" s="69">
        <v>4.5999999999999996</v>
      </c>
      <c r="AM46" s="71">
        <v>7.2</v>
      </c>
      <c r="AN46" s="71">
        <v>0</v>
      </c>
      <c r="AO46" s="70">
        <v>0</v>
      </c>
      <c r="AP46" s="69">
        <v>1.8</v>
      </c>
      <c r="AQ46" s="71">
        <v>5.2</v>
      </c>
      <c r="AR46" s="71">
        <v>0</v>
      </c>
      <c r="AS46" s="70">
        <v>0</v>
      </c>
    </row>
    <row r="47" spans="1:45" x14ac:dyDescent="0.2">
      <c r="A47" s="64" t="s">
        <v>1117</v>
      </c>
      <c r="B47" s="64">
        <v>16.2</v>
      </c>
      <c r="C47">
        <v>6.9</v>
      </c>
      <c r="D47">
        <v>14.8</v>
      </c>
      <c r="E47" s="65">
        <v>10.5</v>
      </c>
      <c r="F47" s="64">
        <v>14</v>
      </c>
      <c r="G47">
        <v>8.8000000000000007</v>
      </c>
      <c r="H47">
        <v>15.5</v>
      </c>
      <c r="I47" s="65">
        <v>18.600000000000001</v>
      </c>
      <c r="J47" s="64">
        <v>8</v>
      </c>
      <c r="K47">
        <v>11.1</v>
      </c>
      <c r="L47">
        <v>17.100000000000001</v>
      </c>
      <c r="M47" s="65">
        <v>21</v>
      </c>
      <c r="N47" s="64">
        <v>8.3000000000000007</v>
      </c>
      <c r="O47">
        <v>10.5</v>
      </c>
      <c r="P47">
        <v>16.100000000000001</v>
      </c>
      <c r="Q47" s="65">
        <v>10.7</v>
      </c>
      <c r="R47" s="64">
        <v>6.6</v>
      </c>
      <c r="S47">
        <v>11.2</v>
      </c>
      <c r="T47">
        <v>18.100000000000001</v>
      </c>
      <c r="U47" s="65">
        <v>14</v>
      </c>
      <c r="V47" s="64">
        <v>15</v>
      </c>
      <c r="W47">
        <v>11.9</v>
      </c>
      <c r="X47">
        <v>17.899999999999999</v>
      </c>
      <c r="Y47" s="65">
        <v>14.1</v>
      </c>
      <c r="Z47" s="64">
        <v>8.9</v>
      </c>
      <c r="AA47">
        <v>12.8</v>
      </c>
      <c r="AB47">
        <v>15.3</v>
      </c>
      <c r="AC47" s="65">
        <v>13.8</v>
      </c>
      <c r="AD47" s="64">
        <v>11</v>
      </c>
      <c r="AE47">
        <v>10.8</v>
      </c>
      <c r="AF47">
        <v>13.1</v>
      </c>
      <c r="AG47" s="65">
        <v>22.1</v>
      </c>
      <c r="AH47" s="64">
        <v>11.5</v>
      </c>
      <c r="AI47">
        <v>9.4</v>
      </c>
      <c r="AJ47">
        <v>9.1999999999999993</v>
      </c>
      <c r="AK47" s="65">
        <v>16.399999999999999</v>
      </c>
      <c r="AL47" s="64">
        <v>12.3</v>
      </c>
      <c r="AM47">
        <v>10.8</v>
      </c>
      <c r="AN47">
        <v>9.6999999999999993</v>
      </c>
      <c r="AO47" s="65">
        <v>22.4</v>
      </c>
      <c r="AP47" s="64">
        <v>11.4</v>
      </c>
      <c r="AQ47">
        <v>7.3</v>
      </c>
      <c r="AR47">
        <v>4.7</v>
      </c>
      <c r="AS47" s="65">
        <v>19.600000000000001</v>
      </c>
    </row>
    <row r="48" spans="1:45" x14ac:dyDescent="0.2">
      <c r="A48" s="64" t="s">
        <v>1126</v>
      </c>
      <c r="B48" s="64">
        <v>14.6</v>
      </c>
      <c r="C48">
        <v>11</v>
      </c>
      <c r="D48">
        <v>10.7</v>
      </c>
      <c r="E48" s="65">
        <v>12.2</v>
      </c>
      <c r="F48" s="64">
        <v>15.3</v>
      </c>
      <c r="G48">
        <v>9.8000000000000007</v>
      </c>
      <c r="H48">
        <v>9.8000000000000007</v>
      </c>
      <c r="I48" s="65">
        <v>15.3</v>
      </c>
      <c r="J48" s="64">
        <v>16.2</v>
      </c>
      <c r="K48">
        <v>8.1</v>
      </c>
      <c r="L48">
        <v>6.2</v>
      </c>
      <c r="M48" s="65">
        <v>14.6</v>
      </c>
      <c r="N48" s="64">
        <v>16.100000000000001</v>
      </c>
      <c r="O48">
        <v>2.4</v>
      </c>
      <c r="P48">
        <v>5.5</v>
      </c>
      <c r="Q48" s="65">
        <v>17.3</v>
      </c>
      <c r="R48" s="64">
        <v>16.100000000000001</v>
      </c>
      <c r="S48">
        <v>8.8000000000000007</v>
      </c>
      <c r="T48">
        <v>5.7</v>
      </c>
      <c r="U48" s="65">
        <v>15.1</v>
      </c>
      <c r="V48" s="64">
        <v>18.2</v>
      </c>
      <c r="W48">
        <v>7.6</v>
      </c>
      <c r="X48">
        <v>6.2</v>
      </c>
      <c r="Y48" s="65">
        <v>15.5</v>
      </c>
      <c r="Z48" s="64">
        <v>18.5</v>
      </c>
      <c r="AA48">
        <v>8.8000000000000007</v>
      </c>
      <c r="AB48">
        <v>5.5</v>
      </c>
      <c r="AC48" s="65">
        <v>13.8</v>
      </c>
      <c r="AD48" s="64">
        <v>19.7</v>
      </c>
      <c r="AE48">
        <v>7.9</v>
      </c>
      <c r="AF48">
        <v>4.7</v>
      </c>
      <c r="AG48" s="65">
        <v>17.899999999999999</v>
      </c>
      <c r="AH48" s="64">
        <v>23.4</v>
      </c>
      <c r="AI48">
        <v>6.3</v>
      </c>
      <c r="AJ48">
        <v>4.3</v>
      </c>
      <c r="AK48" s="65">
        <v>17.600000000000001</v>
      </c>
      <c r="AL48" s="64">
        <v>22.2</v>
      </c>
      <c r="AM48">
        <v>5.3</v>
      </c>
      <c r="AN48">
        <v>4.3</v>
      </c>
      <c r="AO48" s="65">
        <v>19.7</v>
      </c>
      <c r="AP48" s="64">
        <v>9.9</v>
      </c>
      <c r="AQ48">
        <v>1.9</v>
      </c>
      <c r="AR48">
        <v>0</v>
      </c>
      <c r="AS48" s="65">
        <v>18.899999999999999</v>
      </c>
    </row>
    <row r="49" spans="1:45" x14ac:dyDescent="0.2">
      <c r="A49" s="66" t="s">
        <v>1135</v>
      </c>
      <c r="B49" s="66">
        <v>9.5</v>
      </c>
      <c r="C49" s="68">
        <v>7.6</v>
      </c>
      <c r="D49" s="68">
        <v>13.9</v>
      </c>
      <c r="E49" s="67">
        <v>6.9</v>
      </c>
      <c r="F49" s="66">
        <v>12.8</v>
      </c>
      <c r="G49" s="68">
        <v>8.3000000000000007</v>
      </c>
      <c r="H49" s="68">
        <v>16.5</v>
      </c>
      <c r="I49" s="67">
        <v>14.2</v>
      </c>
      <c r="J49" s="66">
        <v>17.899999999999999</v>
      </c>
      <c r="K49" s="68">
        <v>15.3</v>
      </c>
      <c r="L49" s="68">
        <v>17.8</v>
      </c>
      <c r="M49" s="67">
        <v>18.899999999999999</v>
      </c>
      <c r="N49" s="66">
        <v>11</v>
      </c>
      <c r="O49" s="68">
        <v>12.1</v>
      </c>
      <c r="P49" s="68">
        <v>8</v>
      </c>
      <c r="Q49" s="67">
        <v>17.7</v>
      </c>
      <c r="R49" s="66">
        <v>17.100000000000001</v>
      </c>
      <c r="S49" s="68">
        <v>12.4</v>
      </c>
      <c r="T49" s="68">
        <v>8.6999999999999993</v>
      </c>
      <c r="U49" s="67">
        <v>17</v>
      </c>
      <c r="V49" s="66">
        <v>15.7</v>
      </c>
      <c r="W49" s="68">
        <v>14</v>
      </c>
      <c r="X49" s="68">
        <v>8.8000000000000007</v>
      </c>
      <c r="Y49" s="67">
        <v>18.8</v>
      </c>
      <c r="Z49" s="66">
        <v>16.399999999999999</v>
      </c>
      <c r="AA49" s="68">
        <v>15.5</v>
      </c>
      <c r="AB49" s="68">
        <v>11.2</v>
      </c>
      <c r="AC49" s="67">
        <v>19.5</v>
      </c>
      <c r="AD49" s="66">
        <v>19</v>
      </c>
      <c r="AE49" s="68">
        <v>15.9</v>
      </c>
      <c r="AF49" s="68">
        <v>13.6</v>
      </c>
      <c r="AG49" s="67">
        <v>18.7</v>
      </c>
      <c r="AH49" s="66">
        <v>15.9</v>
      </c>
      <c r="AI49" s="68">
        <v>15.5</v>
      </c>
      <c r="AJ49" s="68">
        <v>12.6</v>
      </c>
      <c r="AK49" s="67">
        <v>19.5</v>
      </c>
      <c r="AL49" s="66">
        <v>16.8</v>
      </c>
      <c r="AM49" s="68">
        <v>17.8</v>
      </c>
      <c r="AN49" s="68">
        <v>12.1</v>
      </c>
      <c r="AO49" s="67">
        <v>21.3</v>
      </c>
      <c r="AP49" s="66">
        <v>21.8</v>
      </c>
      <c r="AQ49" s="68">
        <v>15.1</v>
      </c>
      <c r="AR49" s="68">
        <v>12.8</v>
      </c>
      <c r="AS49" s="67">
        <v>21.1</v>
      </c>
    </row>
    <row r="50" spans="1:45" x14ac:dyDescent="0.2">
      <c r="A50" s="69" t="s">
        <v>1144</v>
      </c>
      <c r="B50" s="69">
        <v>12.2</v>
      </c>
      <c r="C50" s="71">
        <v>13.3</v>
      </c>
      <c r="D50" s="71">
        <v>11.5</v>
      </c>
      <c r="E50" s="70">
        <v>14</v>
      </c>
      <c r="F50" s="69">
        <v>6.9</v>
      </c>
      <c r="G50" s="71">
        <v>9.5</v>
      </c>
      <c r="H50" s="71">
        <v>10.3</v>
      </c>
      <c r="I50" s="70">
        <v>12.4</v>
      </c>
      <c r="J50" s="69">
        <v>1.5</v>
      </c>
      <c r="K50" s="71">
        <v>4.2</v>
      </c>
      <c r="L50" s="71">
        <v>1.9</v>
      </c>
      <c r="M50" s="70">
        <v>4.5</v>
      </c>
      <c r="N50" s="69">
        <v>1.8</v>
      </c>
      <c r="O50" s="71">
        <v>1.5</v>
      </c>
      <c r="P50" s="71">
        <v>2.6</v>
      </c>
      <c r="Q50" s="70">
        <v>2.9</v>
      </c>
      <c r="R50" s="69">
        <v>2.5</v>
      </c>
      <c r="S50" s="71">
        <v>2.2999999999999998</v>
      </c>
      <c r="T50" s="71">
        <v>2.7</v>
      </c>
      <c r="U50" s="70">
        <v>3.3</v>
      </c>
      <c r="V50" s="69">
        <v>5.8</v>
      </c>
      <c r="W50" s="71">
        <v>2.7</v>
      </c>
      <c r="X50" s="71">
        <v>5.7</v>
      </c>
      <c r="Y50" s="70">
        <v>3.8</v>
      </c>
      <c r="Z50" s="69">
        <v>2.4</v>
      </c>
      <c r="AA50" s="71">
        <v>2.9</v>
      </c>
      <c r="AB50" s="71">
        <v>2.9</v>
      </c>
      <c r="AC50" s="70">
        <v>3.7</v>
      </c>
      <c r="AD50" s="69">
        <v>4.3</v>
      </c>
      <c r="AE50" s="71">
        <v>6.4</v>
      </c>
      <c r="AF50" s="71">
        <v>7</v>
      </c>
      <c r="AG50" s="70">
        <v>0</v>
      </c>
      <c r="AH50" s="69">
        <v>4</v>
      </c>
      <c r="AI50" s="71">
        <v>6.1</v>
      </c>
      <c r="AJ50" s="71">
        <v>9.1999999999999993</v>
      </c>
      <c r="AK50" s="70">
        <v>0</v>
      </c>
      <c r="AL50" s="69">
        <v>4.5999999999999996</v>
      </c>
      <c r="AM50" s="71">
        <v>8.1999999999999993</v>
      </c>
      <c r="AN50" s="71">
        <v>0</v>
      </c>
      <c r="AO50" s="70">
        <v>0</v>
      </c>
      <c r="AP50" s="69">
        <v>0</v>
      </c>
      <c r="AQ50" s="71">
        <v>5.4</v>
      </c>
      <c r="AR50" s="71">
        <v>0</v>
      </c>
      <c r="AS50" s="70">
        <v>0</v>
      </c>
    </row>
    <row r="51" spans="1:45" x14ac:dyDescent="0.2">
      <c r="A51" s="64" t="s">
        <v>1153</v>
      </c>
      <c r="B51" s="64">
        <v>11.4</v>
      </c>
      <c r="C51">
        <v>14</v>
      </c>
      <c r="D51">
        <v>13.2</v>
      </c>
      <c r="E51" s="65">
        <v>10.6</v>
      </c>
      <c r="F51" s="64">
        <v>12.6</v>
      </c>
      <c r="G51">
        <v>17</v>
      </c>
      <c r="H51">
        <v>14.8</v>
      </c>
      <c r="I51" s="65">
        <v>13.4</v>
      </c>
      <c r="J51" s="64">
        <v>9.9</v>
      </c>
      <c r="K51">
        <v>14.4</v>
      </c>
      <c r="L51">
        <v>11.1</v>
      </c>
      <c r="M51" s="65">
        <v>13.4</v>
      </c>
      <c r="N51" s="64">
        <v>11.3</v>
      </c>
      <c r="O51">
        <v>19.899999999999999</v>
      </c>
      <c r="P51">
        <v>16.5</v>
      </c>
      <c r="Q51" s="65">
        <v>14.9</v>
      </c>
      <c r="R51" s="64">
        <v>10.9</v>
      </c>
      <c r="S51">
        <v>20.2</v>
      </c>
      <c r="T51">
        <v>21.7</v>
      </c>
      <c r="U51" s="65">
        <v>13.9</v>
      </c>
      <c r="V51" s="64">
        <v>14.8</v>
      </c>
      <c r="W51">
        <v>23.4</v>
      </c>
      <c r="X51">
        <v>12.7</v>
      </c>
      <c r="Y51" s="65">
        <v>14.7</v>
      </c>
      <c r="Z51" s="64">
        <v>13.4</v>
      </c>
      <c r="AA51">
        <v>23.1</v>
      </c>
      <c r="AB51">
        <v>22.4</v>
      </c>
      <c r="AC51" s="65">
        <v>15.6</v>
      </c>
      <c r="AD51" s="64">
        <v>17.7</v>
      </c>
      <c r="AE51">
        <v>27.4</v>
      </c>
      <c r="AF51">
        <v>13.3</v>
      </c>
      <c r="AG51" s="65">
        <v>17.8</v>
      </c>
      <c r="AH51" s="64">
        <v>21.3</v>
      </c>
      <c r="AI51">
        <v>22.3</v>
      </c>
      <c r="AJ51">
        <v>18.5</v>
      </c>
      <c r="AK51" s="65">
        <v>20.5</v>
      </c>
      <c r="AL51" s="64">
        <v>22.5</v>
      </c>
      <c r="AM51">
        <v>21.7</v>
      </c>
      <c r="AN51">
        <v>18.7</v>
      </c>
      <c r="AO51" s="65">
        <v>20.8</v>
      </c>
      <c r="AP51" s="64">
        <v>18.3</v>
      </c>
      <c r="AQ51">
        <v>23.8</v>
      </c>
      <c r="AR51">
        <v>19.600000000000001</v>
      </c>
      <c r="AS51" s="65">
        <v>20</v>
      </c>
    </row>
    <row r="52" spans="1:45" x14ac:dyDescent="0.2">
      <c r="A52" s="64" t="s">
        <v>1162</v>
      </c>
      <c r="B52" s="64">
        <v>10.1</v>
      </c>
      <c r="C52">
        <v>11</v>
      </c>
      <c r="D52">
        <v>14.6</v>
      </c>
      <c r="E52" s="65">
        <v>13.3</v>
      </c>
      <c r="F52" s="64">
        <v>14.6</v>
      </c>
      <c r="G52">
        <v>12.1</v>
      </c>
      <c r="H52">
        <v>13.5</v>
      </c>
      <c r="I52" s="65">
        <v>16</v>
      </c>
      <c r="J52" s="64">
        <v>14.1</v>
      </c>
      <c r="K52">
        <v>11.2</v>
      </c>
      <c r="L52">
        <v>14</v>
      </c>
      <c r="M52" s="65">
        <v>14.1</v>
      </c>
      <c r="N52" s="64">
        <v>14</v>
      </c>
      <c r="O52">
        <v>9.9</v>
      </c>
      <c r="P52">
        <v>13.9</v>
      </c>
      <c r="Q52" s="65">
        <v>16.8</v>
      </c>
      <c r="R52" s="64">
        <v>12</v>
      </c>
      <c r="S52">
        <v>12.8</v>
      </c>
      <c r="T52">
        <v>12.6</v>
      </c>
      <c r="U52" s="65">
        <v>16.100000000000001</v>
      </c>
      <c r="V52" s="64">
        <v>15.2</v>
      </c>
      <c r="W52">
        <v>13</v>
      </c>
      <c r="X52">
        <v>12.8</v>
      </c>
      <c r="Y52" s="65">
        <v>15.9</v>
      </c>
      <c r="Z52" s="64">
        <v>12.7</v>
      </c>
      <c r="AA52">
        <v>9.4</v>
      </c>
      <c r="AB52">
        <v>12.2</v>
      </c>
      <c r="AC52" s="65">
        <v>7.2</v>
      </c>
      <c r="AD52" s="64">
        <v>14</v>
      </c>
      <c r="AE52">
        <v>9.3000000000000007</v>
      </c>
      <c r="AF52">
        <v>10.9</v>
      </c>
      <c r="AG52" s="65">
        <v>15.9</v>
      </c>
      <c r="AH52" s="64">
        <v>14.5</v>
      </c>
      <c r="AI52">
        <v>13.3</v>
      </c>
      <c r="AJ52">
        <v>10.3</v>
      </c>
      <c r="AK52" s="65">
        <v>18.100000000000001</v>
      </c>
      <c r="AL52" s="64">
        <v>14.4</v>
      </c>
      <c r="AM52">
        <v>9.9</v>
      </c>
      <c r="AN52">
        <v>12.7</v>
      </c>
      <c r="AO52" s="65">
        <v>19</v>
      </c>
      <c r="AP52" s="64">
        <v>15.1</v>
      </c>
      <c r="AQ52">
        <v>6.9</v>
      </c>
      <c r="AR52">
        <v>7.2</v>
      </c>
      <c r="AS52" s="65">
        <v>18.399999999999999</v>
      </c>
    </row>
    <row r="53" spans="1:45" x14ac:dyDescent="0.2">
      <c r="A53" s="64" t="s">
        <v>1171</v>
      </c>
      <c r="B53" s="64">
        <v>4.7</v>
      </c>
      <c r="C53">
        <v>11.5</v>
      </c>
      <c r="D53">
        <v>10.3</v>
      </c>
      <c r="E53" s="65">
        <v>6.6</v>
      </c>
      <c r="F53" s="64">
        <v>7.8</v>
      </c>
      <c r="G53">
        <v>7.4</v>
      </c>
      <c r="H53">
        <v>9.5</v>
      </c>
      <c r="I53" s="65">
        <v>9.4</v>
      </c>
      <c r="J53" s="64">
        <v>6.5</v>
      </c>
      <c r="K53">
        <v>4.0999999999999996</v>
      </c>
      <c r="L53">
        <v>8.6999999999999993</v>
      </c>
      <c r="M53" s="65">
        <v>11.5</v>
      </c>
      <c r="N53" s="64">
        <v>6.8</v>
      </c>
      <c r="O53">
        <v>1.4</v>
      </c>
      <c r="P53">
        <v>1.9</v>
      </c>
      <c r="Q53" s="65">
        <v>9</v>
      </c>
      <c r="R53" s="64">
        <v>5.7</v>
      </c>
      <c r="S53">
        <v>2.4</v>
      </c>
      <c r="T53">
        <v>3.2</v>
      </c>
      <c r="U53" s="65">
        <v>15.5</v>
      </c>
      <c r="V53" s="64">
        <v>8.8000000000000007</v>
      </c>
      <c r="W53">
        <v>1.9</v>
      </c>
      <c r="X53">
        <v>3.5</v>
      </c>
      <c r="Y53" s="65">
        <v>17.3</v>
      </c>
      <c r="Z53" s="64">
        <v>10.3</v>
      </c>
      <c r="AA53">
        <v>1.9</v>
      </c>
      <c r="AB53">
        <v>3</v>
      </c>
      <c r="AC53" s="65">
        <v>19.5</v>
      </c>
      <c r="AD53" s="64">
        <v>11.2</v>
      </c>
      <c r="AE53">
        <v>0</v>
      </c>
      <c r="AF53">
        <v>0</v>
      </c>
      <c r="AG53" s="65">
        <v>20.399999999999999</v>
      </c>
      <c r="AH53" s="64">
        <v>12.3</v>
      </c>
      <c r="AI53">
        <v>0</v>
      </c>
      <c r="AJ53">
        <v>0</v>
      </c>
      <c r="AK53" s="65">
        <v>19.600000000000001</v>
      </c>
      <c r="AL53" s="64">
        <v>5.6</v>
      </c>
      <c r="AM53">
        <v>0</v>
      </c>
      <c r="AN53">
        <v>0</v>
      </c>
      <c r="AO53" s="65">
        <v>23.5</v>
      </c>
      <c r="AP53" s="64">
        <v>14</v>
      </c>
      <c r="AQ53">
        <v>0</v>
      </c>
      <c r="AR53">
        <v>0</v>
      </c>
      <c r="AS53" s="65">
        <v>24.8</v>
      </c>
    </row>
    <row r="54" spans="1:45" x14ac:dyDescent="0.2">
      <c r="A54" s="69" t="s">
        <v>1180</v>
      </c>
      <c r="B54" s="69">
        <v>8.4</v>
      </c>
      <c r="C54" s="71">
        <v>14</v>
      </c>
      <c r="D54" s="71">
        <v>11.5</v>
      </c>
      <c r="E54" s="70">
        <v>10.8</v>
      </c>
      <c r="F54" s="69">
        <v>10.8</v>
      </c>
      <c r="G54" s="71">
        <v>14.2</v>
      </c>
      <c r="H54" s="71">
        <v>7.9</v>
      </c>
      <c r="I54" s="70">
        <v>10.8</v>
      </c>
      <c r="J54" s="69">
        <v>9.6</v>
      </c>
      <c r="K54" s="71">
        <v>13.5</v>
      </c>
      <c r="L54" s="71">
        <v>9.1</v>
      </c>
      <c r="M54" s="70">
        <v>11.3</v>
      </c>
      <c r="N54" s="69">
        <v>8</v>
      </c>
      <c r="O54" s="71">
        <v>13.3</v>
      </c>
      <c r="P54" s="71">
        <v>8.5</v>
      </c>
      <c r="Q54" s="70">
        <v>11.2</v>
      </c>
      <c r="R54" s="69">
        <v>6.6</v>
      </c>
      <c r="S54" s="71">
        <v>12.2</v>
      </c>
      <c r="T54" s="71">
        <v>7.6</v>
      </c>
      <c r="U54" s="70">
        <v>10.1</v>
      </c>
      <c r="V54" s="69">
        <v>7.2</v>
      </c>
      <c r="W54" s="71">
        <v>19.7</v>
      </c>
      <c r="X54" s="71">
        <v>9</v>
      </c>
      <c r="Y54" s="70">
        <v>11.4</v>
      </c>
      <c r="Z54" s="69">
        <v>9.4</v>
      </c>
      <c r="AA54" s="71">
        <v>12.9</v>
      </c>
      <c r="AB54" s="71">
        <v>8.3000000000000007</v>
      </c>
      <c r="AC54" s="70">
        <v>10.7</v>
      </c>
      <c r="AD54" s="69">
        <v>6.8</v>
      </c>
      <c r="AE54" s="71">
        <v>13.1</v>
      </c>
      <c r="AF54" s="71">
        <v>6.7</v>
      </c>
      <c r="AG54" s="70">
        <v>11</v>
      </c>
      <c r="AH54" s="69">
        <v>5.7</v>
      </c>
      <c r="AI54" s="71">
        <v>13</v>
      </c>
      <c r="AJ54" s="71">
        <v>4</v>
      </c>
      <c r="AK54" s="70">
        <v>9.1</v>
      </c>
      <c r="AL54" s="69">
        <v>5.8</v>
      </c>
      <c r="AM54" s="71">
        <v>13.3</v>
      </c>
      <c r="AN54" s="71">
        <v>4</v>
      </c>
      <c r="AO54" s="70">
        <v>9.5</v>
      </c>
      <c r="AP54" s="69">
        <v>2.9</v>
      </c>
      <c r="AQ54" s="71">
        <v>9</v>
      </c>
      <c r="AR54" s="71">
        <v>1.7</v>
      </c>
      <c r="AS54" s="70">
        <v>6.3</v>
      </c>
    </row>
    <row r="55" spans="1:45" x14ac:dyDescent="0.2">
      <c r="A55" s="64" t="s">
        <v>1189</v>
      </c>
      <c r="B55" s="64">
        <v>12.6</v>
      </c>
      <c r="C55">
        <v>8.1</v>
      </c>
      <c r="D55">
        <v>16.8</v>
      </c>
      <c r="E55" s="65">
        <v>6.6</v>
      </c>
      <c r="F55" s="64">
        <v>10.3</v>
      </c>
      <c r="G55">
        <v>9.1999999999999993</v>
      </c>
      <c r="H55">
        <v>12.1</v>
      </c>
      <c r="I55" s="65">
        <v>11.5</v>
      </c>
      <c r="J55" s="64">
        <v>11.5</v>
      </c>
      <c r="K55">
        <v>11</v>
      </c>
      <c r="L55">
        <v>10.3</v>
      </c>
      <c r="M55" s="65">
        <v>9.8000000000000007</v>
      </c>
      <c r="N55" s="64">
        <v>11.6</v>
      </c>
      <c r="O55">
        <v>2.1</v>
      </c>
      <c r="P55">
        <v>4.7</v>
      </c>
      <c r="Q55" s="65">
        <v>11.8</v>
      </c>
      <c r="R55" s="64">
        <v>13.5</v>
      </c>
      <c r="S55">
        <v>2.8</v>
      </c>
      <c r="T55">
        <v>9.4</v>
      </c>
      <c r="U55" s="65">
        <v>9.3000000000000007</v>
      </c>
      <c r="V55" s="64">
        <v>14</v>
      </c>
      <c r="W55">
        <v>3.1</v>
      </c>
      <c r="X55">
        <v>9.3000000000000007</v>
      </c>
      <c r="Y55" s="65">
        <v>8.9</v>
      </c>
      <c r="Z55" s="64">
        <v>15.5</v>
      </c>
      <c r="AA55">
        <v>3.5</v>
      </c>
      <c r="AB55">
        <v>6.6</v>
      </c>
      <c r="AC55" s="65">
        <v>15.1</v>
      </c>
      <c r="AD55" s="64">
        <v>16.899999999999999</v>
      </c>
      <c r="AE55">
        <v>0</v>
      </c>
      <c r="AF55">
        <v>8.1</v>
      </c>
      <c r="AG55" s="65">
        <v>11.9</v>
      </c>
      <c r="AH55" s="64">
        <v>20.100000000000001</v>
      </c>
      <c r="AI55">
        <v>0</v>
      </c>
      <c r="AJ55">
        <v>5.4</v>
      </c>
      <c r="AK55" s="65">
        <v>13.4</v>
      </c>
      <c r="AL55" s="64">
        <v>19.600000000000001</v>
      </c>
      <c r="AM55">
        <v>0</v>
      </c>
      <c r="AN55">
        <v>7.8</v>
      </c>
      <c r="AO55" s="65">
        <v>15.1</v>
      </c>
      <c r="AP55" s="64">
        <v>16.399999999999999</v>
      </c>
      <c r="AQ55">
        <v>0</v>
      </c>
      <c r="AR55">
        <v>6</v>
      </c>
      <c r="AS55" s="65">
        <v>17</v>
      </c>
    </row>
    <row r="56" spans="1:45" x14ac:dyDescent="0.2">
      <c r="A56" s="64" t="s">
        <v>1198</v>
      </c>
      <c r="B56" s="64">
        <v>6.2</v>
      </c>
      <c r="C56">
        <v>11.2</v>
      </c>
      <c r="D56">
        <v>10.7</v>
      </c>
      <c r="E56" s="65">
        <v>12.2</v>
      </c>
      <c r="F56" s="64">
        <v>13.2</v>
      </c>
      <c r="G56">
        <v>11.9</v>
      </c>
      <c r="H56">
        <v>11</v>
      </c>
      <c r="I56" s="65">
        <v>15.9</v>
      </c>
      <c r="J56" s="64">
        <v>11.1</v>
      </c>
      <c r="K56">
        <v>13.1</v>
      </c>
      <c r="L56">
        <v>13.9</v>
      </c>
      <c r="M56" s="65">
        <v>16.600000000000001</v>
      </c>
      <c r="N56" s="64">
        <v>12.7</v>
      </c>
      <c r="O56">
        <v>14.9</v>
      </c>
      <c r="P56">
        <v>13.7</v>
      </c>
      <c r="Q56" s="65">
        <v>16.2</v>
      </c>
      <c r="R56" s="64">
        <v>10.7</v>
      </c>
      <c r="S56">
        <v>14.8</v>
      </c>
      <c r="T56">
        <v>13.3</v>
      </c>
      <c r="U56" s="65">
        <v>13.4</v>
      </c>
      <c r="V56" s="64">
        <v>14</v>
      </c>
      <c r="W56">
        <v>14.8</v>
      </c>
      <c r="X56">
        <v>13.2</v>
      </c>
      <c r="Y56" s="65">
        <v>16.100000000000001</v>
      </c>
      <c r="Z56" s="64">
        <v>14.8</v>
      </c>
      <c r="AA56">
        <v>14.1</v>
      </c>
      <c r="AB56">
        <v>13.8</v>
      </c>
      <c r="AC56" s="65">
        <v>17</v>
      </c>
      <c r="AD56" s="64">
        <v>14.4</v>
      </c>
      <c r="AE56">
        <v>13.6</v>
      </c>
      <c r="AF56">
        <v>11.8</v>
      </c>
      <c r="AG56" s="65">
        <v>16.5</v>
      </c>
      <c r="AH56" s="64">
        <v>15.1</v>
      </c>
      <c r="AI56">
        <v>13.6</v>
      </c>
      <c r="AJ56">
        <v>11.8</v>
      </c>
      <c r="AK56" s="65">
        <v>15.9</v>
      </c>
      <c r="AL56" s="64">
        <v>15.4</v>
      </c>
      <c r="AM56">
        <v>12.8</v>
      </c>
      <c r="AN56">
        <v>10.9</v>
      </c>
      <c r="AO56" s="65">
        <v>17.2</v>
      </c>
      <c r="AP56" s="64">
        <v>12.9</v>
      </c>
      <c r="AQ56">
        <v>7.2</v>
      </c>
      <c r="AR56">
        <v>6.8</v>
      </c>
      <c r="AS56" s="65">
        <v>20.2</v>
      </c>
    </row>
    <row r="57" spans="1:45" x14ac:dyDescent="0.2">
      <c r="A57" s="66" t="s">
        <v>1207</v>
      </c>
      <c r="B57" s="66">
        <v>8.5</v>
      </c>
      <c r="C57" s="68">
        <v>15.6</v>
      </c>
      <c r="D57" s="68">
        <v>5.3</v>
      </c>
      <c r="E57" s="67">
        <v>13.3</v>
      </c>
      <c r="F57" s="66">
        <v>13.8</v>
      </c>
      <c r="G57" s="68">
        <v>15.4</v>
      </c>
      <c r="H57" s="68">
        <v>9.6</v>
      </c>
      <c r="I57" s="67">
        <v>15.4</v>
      </c>
      <c r="J57" s="66">
        <v>14.1</v>
      </c>
      <c r="K57" s="68">
        <v>11.2</v>
      </c>
      <c r="L57" s="68">
        <v>9.1</v>
      </c>
      <c r="M57" s="67">
        <v>15</v>
      </c>
      <c r="N57" s="66">
        <v>16.3</v>
      </c>
      <c r="O57" s="68">
        <v>12.8</v>
      </c>
      <c r="P57" s="68">
        <v>10.1</v>
      </c>
      <c r="Q57" s="67">
        <v>17.399999999999999</v>
      </c>
      <c r="R57" s="66">
        <v>17</v>
      </c>
      <c r="S57" s="68">
        <v>12.2</v>
      </c>
      <c r="T57" s="68">
        <v>9.8000000000000007</v>
      </c>
      <c r="U57" s="67">
        <v>17.100000000000001</v>
      </c>
      <c r="V57" s="66">
        <v>16.8</v>
      </c>
      <c r="W57" s="68">
        <v>11.4</v>
      </c>
      <c r="X57" s="68">
        <v>10.1</v>
      </c>
      <c r="Y57" s="67">
        <v>16.5</v>
      </c>
      <c r="Z57" s="66">
        <v>19.600000000000001</v>
      </c>
      <c r="AA57" s="68">
        <v>11.2</v>
      </c>
      <c r="AB57" s="68">
        <v>8</v>
      </c>
      <c r="AC57" s="67">
        <v>18.8</v>
      </c>
      <c r="AD57" s="66">
        <v>20.6</v>
      </c>
      <c r="AE57" s="68">
        <v>12.3</v>
      </c>
      <c r="AF57" s="68">
        <v>11.2</v>
      </c>
      <c r="AG57" s="67">
        <v>19.899999999999999</v>
      </c>
      <c r="AH57" s="66">
        <v>22.5</v>
      </c>
      <c r="AI57" s="68">
        <v>13.4</v>
      </c>
      <c r="AJ57" s="68">
        <v>19.5</v>
      </c>
      <c r="AK57" s="67">
        <v>20.9</v>
      </c>
      <c r="AL57" s="66">
        <v>23.3</v>
      </c>
      <c r="AM57" s="68">
        <v>21.6</v>
      </c>
      <c r="AN57" s="68">
        <v>12.5</v>
      </c>
      <c r="AO57" s="67">
        <v>21.4</v>
      </c>
      <c r="AP57" s="66">
        <v>20</v>
      </c>
      <c r="AQ57" s="68">
        <v>13.2</v>
      </c>
      <c r="AR57" s="68">
        <v>12.3</v>
      </c>
      <c r="AS57" s="67">
        <v>21</v>
      </c>
    </row>
    <row r="58" spans="1:45" x14ac:dyDescent="0.2">
      <c r="A58" s="69" t="s">
        <v>1216</v>
      </c>
      <c r="B58" s="69">
        <v>9</v>
      </c>
      <c r="C58" s="71">
        <v>14.7</v>
      </c>
      <c r="D58" s="71">
        <v>14.5</v>
      </c>
      <c r="E58" s="70">
        <v>19.5</v>
      </c>
      <c r="F58" s="69">
        <v>12.8</v>
      </c>
      <c r="G58" s="71">
        <v>15.2</v>
      </c>
      <c r="H58" s="71">
        <v>14</v>
      </c>
      <c r="I58" s="70">
        <v>17.600000000000001</v>
      </c>
      <c r="J58" s="69">
        <v>12.3</v>
      </c>
      <c r="K58" s="71">
        <v>11.2</v>
      </c>
      <c r="L58" s="71">
        <v>14.9</v>
      </c>
      <c r="M58" s="70">
        <v>9.3000000000000007</v>
      </c>
      <c r="N58" s="69">
        <v>13.4</v>
      </c>
      <c r="O58" s="71">
        <v>15.9</v>
      </c>
      <c r="P58" s="71">
        <v>15.4</v>
      </c>
      <c r="Q58" s="70">
        <v>18.2</v>
      </c>
      <c r="R58" s="69">
        <v>14</v>
      </c>
      <c r="S58" s="71">
        <v>19.399999999999999</v>
      </c>
      <c r="T58" s="71">
        <v>16.8</v>
      </c>
      <c r="U58" s="70">
        <v>17.7</v>
      </c>
      <c r="V58" s="69">
        <v>18.899999999999999</v>
      </c>
      <c r="W58" s="71">
        <v>19.7</v>
      </c>
      <c r="X58" s="71">
        <v>18.600000000000001</v>
      </c>
      <c r="Y58" s="70">
        <v>17</v>
      </c>
      <c r="Z58" s="69">
        <v>18.100000000000001</v>
      </c>
      <c r="AA58" s="71">
        <v>16.100000000000001</v>
      </c>
      <c r="AB58" s="71">
        <v>17.3</v>
      </c>
      <c r="AC58" s="70">
        <v>18.8</v>
      </c>
      <c r="AD58" s="69">
        <v>19.2</v>
      </c>
      <c r="AE58" s="71">
        <v>18.600000000000001</v>
      </c>
      <c r="AF58" s="71">
        <v>20.9</v>
      </c>
      <c r="AG58" s="70">
        <v>21</v>
      </c>
      <c r="AH58" s="69">
        <v>18.8</v>
      </c>
      <c r="AI58" s="71">
        <v>19.8</v>
      </c>
      <c r="AJ58" s="71">
        <v>18.399999999999999</v>
      </c>
      <c r="AK58" s="70">
        <v>20.3</v>
      </c>
      <c r="AL58" s="69">
        <v>22.4</v>
      </c>
      <c r="AM58" s="71">
        <v>22.1</v>
      </c>
      <c r="AN58" s="71">
        <v>20.7</v>
      </c>
      <c r="AO58" s="70">
        <v>21.4</v>
      </c>
      <c r="AP58" s="69">
        <v>14.4</v>
      </c>
      <c r="AQ58" s="71">
        <v>21.6</v>
      </c>
      <c r="AR58" s="71">
        <v>22.5</v>
      </c>
      <c r="AS58" s="70">
        <v>21.7</v>
      </c>
    </row>
    <row r="59" spans="1:45" x14ac:dyDescent="0.2">
      <c r="A59" s="64" t="s">
        <v>1225</v>
      </c>
      <c r="B59" s="64">
        <v>10.8</v>
      </c>
      <c r="C59">
        <v>10.5</v>
      </c>
      <c r="D59">
        <v>9.1999999999999993</v>
      </c>
      <c r="E59" s="65">
        <v>10.8</v>
      </c>
      <c r="F59" s="64">
        <v>9.1999999999999993</v>
      </c>
      <c r="G59">
        <v>9.8000000000000007</v>
      </c>
      <c r="H59">
        <v>10.5</v>
      </c>
      <c r="I59" s="65">
        <v>10.8</v>
      </c>
      <c r="J59" s="64">
        <v>8.1999999999999993</v>
      </c>
      <c r="K59">
        <v>11.8</v>
      </c>
      <c r="L59">
        <v>10.3</v>
      </c>
      <c r="M59" s="65">
        <v>12.3</v>
      </c>
      <c r="N59" s="64">
        <v>8</v>
      </c>
      <c r="O59">
        <v>13.4</v>
      </c>
      <c r="P59">
        <v>9.1</v>
      </c>
      <c r="Q59" s="65">
        <v>10</v>
      </c>
      <c r="R59" s="64">
        <v>8.6</v>
      </c>
      <c r="S59">
        <v>12.8</v>
      </c>
      <c r="T59">
        <v>9.1999999999999993</v>
      </c>
      <c r="U59" s="65">
        <v>6.1</v>
      </c>
      <c r="V59" s="64">
        <v>6.5</v>
      </c>
      <c r="W59">
        <v>10</v>
      </c>
      <c r="X59">
        <v>8.6999999999999993</v>
      </c>
      <c r="Y59" s="65">
        <v>16.100000000000001</v>
      </c>
      <c r="Z59" s="64">
        <v>6.8</v>
      </c>
      <c r="AA59">
        <v>10.1</v>
      </c>
      <c r="AB59">
        <v>8.4</v>
      </c>
      <c r="AC59" s="65">
        <v>6.1</v>
      </c>
      <c r="AD59" s="64">
        <v>10.3</v>
      </c>
      <c r="AE59">
        <v>5.4</v>
      </c>
      <c r="AF59">
        <v>8.6</v>
      </c>
      <c r="AG59" s="65">
        <v>9.6999999999999993</v>
      </c>
      <c r="AH59" s="64">
        <v>10.199999999999999</v>
      </c>
      <c r="AI59">
        <v>5</v>
      </c>
      <c r="AJ59">
        <v>9.3000000000000007</v>
      </c>
      <c r="AK59" s="65">
        <v>7.2</v>
      </c>
      <c r="AL59" s="64">
        <v>6.7</v>
      </c>
      <c r="AM59">
        <v>5.3</v>
      </c>
      <c r="AN59">
        <v>7.9</v>
      </c>
      <c r="AO59" s="65">
        <v>5.5</v>
      </c>
      <c r="AP59" s="64">
        <v>2.9</v>
      </c>
      <c r="AQ59">
        <v>1.7</v>
      </c>
      <c r="AR59">
        <v>3.3</v>
      </c>
      <c r="AS59" s="65">
        <v>5.3</v>
      </c>
    </row>
    <row r="60" spans="1:45" x14ac:dyDescent="0.2">
      <c r="A60" s="64" t="s">
        <v>1234</v>
      </c>
      <c r="B60" s="64">
        <v>21.3</v>
      </c>
      <c r="C60">
        <v>7.2</v>
      </c>
      <c r="D60">
        <v>19</v>
      </c>
      <c r="E60" s="65">
        <v>17</v>
      </c>
      <c r="F60" s="64">
        <v>19.7</v>
      </c>
      <c r="G60">
        <v>13.6</v>
      </c>
      <c r="H60">
        <v>17.8</v>
      </c>
      <c r="I60" s="65">
        <v>19.3</v>
      </c>
      <c r="J60" s="64">
        <v>27</v>
      </c>
      <c r="K60">
        <v>16</v>
      </c>
      <c r="L60">
        <v>9.4</v>
      </c>
      <c r="M60" s="65">
        <v>6.7</v>
      </c>
      <c r="N60" s="64">
        <v>20.100000000000001</v>
      </c>
      <c r="O60">
        <v>16.100000000000001</v>
      </c>
      <c r="P60">
        <v>15</v>
      </c>
      <c r="Q60" s="65">
        <v>17</v>
      </c>
      <c r="R60" s="64">
        <v>26</v>
      </c>
      <c r="S60">
        <v>17.100000000000001</v>
      </c>
      <c r="T60">
        <v>15.9</v>
      </c>
      <c r="U60" s="65">
        <v>16.3</v>
      </c>
      <c r="V60" s="64">
        <v>25.9</v>
      </c>
      <c r="W60">
        <v>19.3</v>
      </c>
      <c r="X60">
        <v>16.5</v>
      </c>
      <c r="Y60" s="65">
        <v>17.3</v>
      </c>
      <c r="Z60" s="64">
        <v>22</v>
      </c>
      <c r="AA60">
        <v>20</v>
      </c>
      <c r="AB60">
        <v>20.5</v>
      </c>
      <c r="AC60" s="65">
        <v>17.600000000000001</v>
      </c>
      <c r="AD60" s="64">
        <v>22.4</v>
      </c>
      <c r="AE60">
        <v>20.6</v>
      </c>
      <c r="AF60">
        <v>19.600000000000001</v>
      </c>
      <c r="AG60" s="65">
        <v>21</v>
      </c>
      <c r="AH60" s="64">
        <v>22.7</v>
      </c>
      <c r="AI60">
        <v>15.3</v>
      </c>
      <c r="AJ60">
        <v>17.2</v>
      </c>
      <c r="AK60" s="65">
        <v>28</v>
      </c>
      <c r="AL60" s="64">
        <v>25.5</v>
      </c>
      <c r="AM60">
        <v>22.8</v>
      </c>
      <c r="AN60">
        <v>20.399999999999999</v>
      </c>
      <c r="AO60" s="65">
        <v>25</v>
      </c>
      <c r="AP60" s="64">
        <v>25.8</v>
      </c>
      <c r="AQ60">
        <v>20</v>
      </c>
      <c r="AR60">
        <v>21.3</v>
      </c>
      <c r="AS60" s="65">
        <v>25.5</v>
      </c>
    </row>
    <row r="61" spans="1:45" x14ac:dyDescent="0.2">
      <c r="A61" s="66" t="s">
        <v>1243</v>
      </c>
      <c r="B61" s="66">
        <v>11.5</v>
      </c>
      <c r="C61" s="68">
        <v>11.5</v>
      </c>
      <c r="D61" s="68">
        <v>15.3</v>
      </c>
      <c r="E61" s="67">
        <v>18.5</v>
      </c>
      <c r="F61" s="66">
        <v>12.8</v>
      </c>
      <c r="G61" s="68">
        <v>10</v>
      </c>
      <c r="H61" s="68">
        <v>15.7</v>
      </c>
      <c r="I61" s="67">
        <v>15.2</v>
      </c>
      <c r="J61" s="66">
        <v>6</v>
      </c>
      <c r="K61" s="68">
        <v>6.4</v>
      </c>
      <c r="L61" s="68">
        <v>12.1</v>
      </c>
      <c r="M61" s="67">
        <v>3.9</v>
      </c>
      <c r="N61" s="66">
        <v>7</v>
      </c>
      <c r="O61" s="68">
        <v>1.6</v>
      </c>
      <c r="P61" s="68">
        <v>9.8000000000000007</v>
      </c>
      <c r="Q61" s="67">
        <v>3</v>
      </c>
      <c r="R61" s="66">
        <v>6.6</v>
      </c>
      <c r="S61" s="68">
        <v>5.4</v>
      </c>
      <c r="T61" s="68">
        <v>11.3</v>
      </c>
      <c r="U61" s="67">
        <v>4.3</v>
      </c>
      <c r="V61" s="66">
        <v>3.9</v>
      </c>
      <c r="W61" s="68">
        <v>7.3</v>
      </c>
      <c r="X61" s="68">
        <v>10.6</v>
      </c>
      <c r="Y61" s="67">
        <v>9.4</v>
      </c>
      <c r="Z61" s="66">
        <v>7.8</v>
      </c>
      <c r="AA61" s="68">
        <v>3.3</v>
      </c>
      <c r="AB61" s="68">
        <v>8.5</v>
      </c>
      <c r="AC61" s="67">
        <v>3.1</v>
      </c>
      <c r="AD61" s="66">
        <v>9.4</v>
      </c>
      <c r="AE61" s="68">
        <v>0</v>
      </c>
      <c r="AF61" s="68">
        <v>10.4</v>
      </c>
      <c r="AG61" s="67">
        <v>9</v>
      </c>
      <c r="AH61" s="66">
        <v>7.6</v>
      </c>
      <c r="AI61" s="68">
        <v>0</v>
      </c>
      <c r="AJ61" s="68">
        <v>10.199999999999999</v>
      </c>
      <c r="AK61" s="67">
        <v>11.8</v>
      </c>
      <c r="AL61" s="66">
        <v>4.8</v>
      </c>
      <c r="AM61" s="68">
        <v>0</v>
      </c>
      <c r="AN61" s="68">
        <v>9.6</v>
      </c>
      <c r="AO61" s="67">
        <v>11</v>
      </c>
      <c r="AP61" s="66">
        <v>6.6</v>
      </c>
      <c r="AQ61" s="68">
        <v>0</v>
      </c>
      <c r="AR61" s="68">
        <v>6.4</v>
      </c>
      <c r="AS61" s="67">
        <v>0</v>
      </c>
    </row>
    <row r="62" spans="1:45" x14ac:dyDescent="0.2">
      <c r="A62" s="69" t="s">
        <v>1252</v>
      </c>
      <c r="B62" s="69">
        <v>10.1</v>
      </c>
      <c r="C62" s="71">
        <v>11.1</v>
      </c>
      <c r="D62" s="71">
        <v>11.8</v>
      </c>
      <c r="E62" s="70">
        <v>10.8</v>
      </c>
      <c r="F62" s="69">
        <v>10.3</v>
      </c>
      <c r="G62" s="71">
        <v>8.9</v>
      </c>
      <c r="H62" s="71">
        <v>11</v>
      </c>
      <c r="I62" s="70">
        <v>9.6</v>
      </c>
      <c r="J62" s="69">
        <v>11.3</v>
      </c>
      <c r="K62" s="71">
        <v>9.4</v>
      </c>
      <c r="L62" s="71">
        <v>12.9</v>
      </c>
      <c r="M62" s="70">
        <v>7.4</v>
      </c>
      <c r="N62" s="69">
        <v>10.6</v>
      </c>
      <c r="O62" s="71">
        <v>10.4</v>
      </c>
      <c r="P62" s="71">
        <v>12.9</v>
      </c>
      <c r="Q62" s="70">
        <v>7.6</v>
      </c>
      <c r="R62" s="69">
        <v>9</v>
      </c>
      <c r="S62" s="71">
        <v>10.4</v>
      </c>
      <c r="T62" s="71">
        <v>9.4</v>
      </c>
      <c r="U62" s="70">
        <v>9.1</v>
      </c>
      <c r="V62" s="69">
        <v>13.4</v>
      </c>
      <c r="W62" s="71">
        <v>11.4</v>
      </c>
      <c r="X62" s="71">
        <v>13.8</v>
      </c>
      <c r="Y62" s="70">
        <v>10.7</v>
      </c>
      <c r="Z62" s="69">
        <v>9.4</v>
      </c>
      <c r="AA62" s="71">
        <v>13</v>
      </c>
      <c r="AB62" s="71">
        <v>13.7</v>
      </c>
      <c r="AC62" s="70">
        <v>9.9</v>
      </c>
      <c r="AD62" s="69">
        <v>7.7</v>
      </c>
      <c r="AE62" s="71">
        <v>10.8</v>
      </c>
      <c r="AF62" s="71">
        <v>9</v>
      </c>
      <c r="AG62" s="70">
        <v>9.6</v>
      </c>
      <c r="AH62" s="69">
        <v>7.9</v>
      </c>
      <c r="AI62" s="71">
        <v>11.2</v>
      </c>
      <c r="AJ62" s="71">
        <v>7.9</v>
      </c>
      <c r="AK62" s="70">
        <v>5.2</v>
      </c>
      <c r="AL62" s="69">
        <v>9.3000000000000007</v>
      </c>
      <c r="AM62" s="71">
        <v>11.5</v>
      </c>
      <c r="AN62" s="71">
        <v>10.199999999999999</v>
      </c>
      <c r="AO62" s="70">
        <v>9</v>
      </c>
      <c r="AP62" s="69">
        <v>3.5</v>
      </c>
      <c r="AQ62" s="71">
        <v>9.1999999999999993</v>
      </c>
      <c r="AR62" s="71">
        <v>8</v>
      </c>
      <c r="AS62" s="70">
        <v>6.8</v>
      </c>
    </row>
    <row r="63" spans="1:45" x14ac:dyDescent="0.2">
      <c r="A63" s="64" t="s">
        <v>1261</v>
      </c>
      <c r="B63" s="64">
        <v>10.1</v>
      </c>
      <c r="C63">
        <v>8.9</v>
      </c>
      <c r="D63">
        <v>11.3</v>
      </c>
      <c r="E63" s="65">
        <v>8.1</v>
      </c>
      <c r="F63" s="64">
        <v>9.8000000000000007</v>
      </c>
      <c r="G63">
        <v>10.1</v>
      </c>
      <c r="H63">
        <v>16.5</v>
      </c>
      <c r="I63" s="65">
        <v>6</v>
      </c>
      <c r="J63" s="64">
        <v>5.5</v>
      </c>
      <c r="K63">
        <v>11.2</v>
      </c>
      <c r="L63">
        <v>7.3</v>
      </c>
      <c r="M63" s="65">
        <v>7</v>
      </c>
      <c r="N63" s="64">
        <v>15.8</v>
      </c>
      <c r="O63">
        <v>13</v>
      </c>
      <c r="P63">
        <v>12.8</v>
      </c>
      <c r="Q63" s="65">
        <v>14.7</v>
      </c>
      <c r="R63" s="64">
        <v>16.7</v>
      </c>
      <c r="S63">
        <v>14.3</v>
      </c>
      <c r="T63">
        <v>17.600000000000001</v>
      </c>
      <c r="U63" s="65">
        <v>9.9</v>
      </c>
      <c r="V63" s="64">
        <v>19.8</v>
      </c>
      <c r="W63">
        <v>15.4</v>
      </c>
      <c r="X63">
        <v>16.8</v>
      </c>
      <c r="Y63" s="65">
        <v>5.0999999999999996</v>
      </c>
      <c r="Z63" s="64">
        <v>11.8</v>
      </c>
      <c r="AA63">
        <v>18.600000000000001</v>
      </c>
      <c r="AB63">
        <v>14.9</v>
      </c>
      <c r="AC63" s="65">
        <v>17</v>
      </c>
      <c r="AD63" s="64">
        <v>19</v>
      </c>
      <c r="AE63">
        <v>17.3</v>
      </c>
      <c r="AF63">
        <v>18.600000000000001</v>
      </c>
      <c r="AG63" s="65">
        <v>16.399999999999999</v>
      </c>
      <c r="AH63" s="64">
        <v>21.3</v>
      </c>
      <c r="AI63">
        <v>21</v>
      </c>
      <c r="AJ63">
        <v>20</v>
      </c>
      <c r="AK63" s="65">
        <v>18.8</v>
      </c>
      <c r="AL63" s="64">
        <v>21.9</v>
      </c>
      <c r="AM63">
        <v>29.1</v>
      </c>
      <c r="AN63">
        <v>18.600000000000001</v>
      </c>
      <c r="AO63" s="65">
        <v>19.600000000000001</v>
      </c>
      <c r="AP63" s="64">
        <v>22.3</v>
      </c>
      <c r="AQ63">
        <v>24.2</v>
      </c>
      <c r="AR63">
        <v>18.600000000000001</v>
      </c>
      <c r="AS63" s="65">
        <v>18.899999999999999</v>
      </c>
    </row>
    <row r="64" spans="1:45" x14ac:dyDescent="0.2">
      <c r="A64" s="64" t="s">
        <v>1270</v>
      </c>
      <c r="B64" s="64">
        <v>3.7</v>
      </c>
      <c r="C64">
        <v>10.3</v>
      </c>
      <c r="D64">
        <v>17.8</v>
      </c>
      <c r="E64" s="65">
        <v>14.1</v>
      </c>
      <c r="F64" s="64">
        <v>5.0999999999999996</v>
      </c>
      <c r="G64">
        <v>8.1</v>
      </c>
      <c r="H64">
        <v>20.2</v>
      </c>
      <c r="I64" s="65">
        <v>13.3</v>
      </c>
      <c r="J64" s="64">
        <v>7.1</v>
      </c>
      <c r="K64">
        <v>9.8000000000000007</v>
      </c>
      <c r="L64">
        <v>22.5</v>
      </c>
      <c r="M64" s="65">
        <v>16.100000000000001</v>
      </c>
      <c r="N64" s="64">
        <v>6.8</v>
      </c>
      <c r="O64">
        <v>10.6</v>
      </c>
      <c r="P64">
        <v>20</v>
      </c>
      <c r="Q64" s="65">
        <v>7.2</v>
      </c>
      <c r="R64" s="64">
        <v>9.8000000000000007</v>
      </c>
      <c r="S64">
        <v>11.8</v>
      </c>
      <c r="T64">
        <v>20</v>
      </c>
      <c r="U64" s="65">
        <v>14.8</v>
      </c>
      <c r="V64" s="64">
        <v>8</v>
      </c>
      <c r="W64">
        <v>13.1</v>
      </c>
      <c r="X64">
        <v>19.600000000000001</v>
      </c>
      <c r="Y64" s="65">
        <v>16</v>
      </c>
      <c r="Z64" s="64">
        <v>8.6999999999999993</v>
      </c>
      <c r="AA64">
        <v>12.1</v>
      </c>
      <c r="AB64">
        <v>19.899999999999999</v>
      </c>
      <c r="AC64" s="65">
        <v>17.899999999999999</v>
      </c>
      <c r="AD64" s="64">
        <v>15.6</v>
      </c>
      <c r="AE64">
        <v>10.7</v>
      </c>
      <c r="AF64">
        <v>16.7</v>
      </c>
      <c r="AG64" s="65">
        <v>14.4</v>
      </c>
      <c r="AH64" s="64">
        <v>16.100000000000001</v>
      </c>
      <c r="AI64">
        <v>11.3</v>
      </c>
      <c r="AJ64">
        <v>13.7</v>
      </c>
      <c r="AK64" s="65">
        <v>25.3</v>
      </c>
      <c r="AL64" s="64">
        <v>16.899999999999999</v>
      </c>
      <c r="AM64">
        <v>11</v>
      </c>
      <c r="AN64">
        <v>18.2</v>
      </c>
      <c r="AO64" s="65">
        <v>21.2</v>
      </c>
      <c r="AP64" s="64">
        <v>24.3</v>
      </c>
      <c r="AQ64">
        <v>3.8</v>
      </c>
      <c r="AR64">
        <v>10</v>
      </c>
      <c r="AS64" s="65">
        <v>22.7</v>
      </c>
    </row>
    <row r="65" spans="1:45" x14ac:dyDescent="0.2">
      <c r="A65" s="66" t="s">
        <v>1280</v>
      </c>
      <c r="B65" s="66">
        <v>16.5</v>
      </c>
      <c r="C65" s="68">
        <v>15.2</v>
      </c>
      <c r="D65" s="68">
        <v>13.8</v>
      </c>
      <c r="E65" s="67">
        <v>15.6</v>
      </c>
      <c r="F65" s="66">
        <v>12.8</v>
      </c>
      <c r="G65" s="68">
        <v>14.3</v>
      </c>
      <c r="H65" s="68">
        <v>12.9</v>
      </c>
      <c r="I65" s="67">
        <v>12.2</v>
      </c>
      <c r="J65" s="66">
        <v>2.5</v>
      </c>
      <c r="K65" s="68">
        <v>13.5</v>
      </c>
      <c r="L65" s="68">
        <v>12.4</v>
      </c>
      <c r="M65" s="67">
        <v>1.8</v>
      </c>
      <c r="N65" s="66">
        <v>2.5</v>
      </c>
      <c r="O65" s="68">
        <v>14</v>
      </c>
      <c r="P65" s="68">
        <v>14.6</v>
      </c>
      <c r="Q65" s="67">
        <v>1.8</v>
      </c>
      <c r="R65" s="66">
        <v>3.1</v>
      </c>
      <c r="S65" s="68">
        <v>14.3</v>
      </c>
      <c r="T65" s="68">
        <v>16</v>
      </c>
      <c r="U65" s="67">
        <v>4.3</v>
      </c>
      <c r="V65" s="66">
        <v>7.9</v>
      </c>
      <c r="W65" s="68">
        <v>15.3</v>
      </c>
      <c r="X65" s="68">
        <v>17.899999999999999</v>
      </c>
      <c r="Y65" s="67">
        <v>6.2</v>
      </c>
      <c r="Z65" s="66">
        <v>2.4</v>
      </c>
      <c r="AA65" s="68">
        <v>17.7</v>
      </c>
      <c r="AB65" s="68">
        <v>19</v>
      </c>
      <c r="AC65" s="67">
        <v>1.9</v>
      </c>
      <c r="AD65" s="66">
        <v>0</v>
      </c>
      <c r="AE65" s="68">
        <v>18.7</v>
      </c>
      <c r="AF65" s="68">
        <v>20.399999999999999</v>
      </c>
      <c r="AG65" s="67">
        <v>0</v>
      </c>
      <c r="AH65" s="66">
        <v>0</v>
      </c>
      <c r="AI65" s="68">
        <v>19</v>
      </c>
      <c r="AJ65" s="68">
        <v>20</v>
      </c>
      <c r="AK65" s="67">
        <v>0</v>
      </c>
      <c r="AL65" s="66">
        <v>0</v>
      </c>
      <c r="AM65" s="68">
        <v>17.100000000000001</v>
      </c>
      <c r="AN65" s="68">
        <v>26.6</v>
      </c>
      <c r="AO65" s="67">
        <v>0</v>
      </c>
      <c r="AP65" s="66">
        <v>0</v>
      </c>
      <c r="AQ65" s="68">
        <v>21</v>
      </c>
      <c r="AR65" s="68">
        <v>19.399999999999999</v>
      </c>
      <c r="AS65" s="67">
        <v>0</v>
      </c>
    </row>
    <row r="66" spans="1:45" x14ac:dyDescent="0.2">
      <c r="A66" s="69" t="s">
        <v>1289</v>
      </c>
      <c r="B66" s="69">
        <v>5.8</v>
      </c>
      <c r="C66" s="71">
        <v>15</v>
      </c>
      <c r="D66" s="71">
        <v>8.1999999999999993</v>
      </c>
      <c r="E66" s="70">
        <v>13.6</v>
      </c>
      <c r="F66" s="69">
        <v>13.8</v>
      </c>
      <c r="G66" s="71">
        <v>15.2</v>
      </c>
      <c r="H66" s="71">
        <v>11.2</v>
      </c>
      <c r="I66" s="70">
        <v>15.8</v>
      </c>
      <c r="J66" s="69">
        <v>14.5</v>
      </c>
      <c r="K66" s="71">
        <v>16.100000000000001</v>
      </c>
      <c r="L66" s="71">
        <v>13.4</v>
      </c>
      <c r="M66" s="70">
        <v>18.899999999999999</v>
      </c>
      <c r="N66" s="69">
        <v>15.3</v>
      </c>
      <c r="O66" s="71">
        <v>18.2</v>
      </c>
      <c r="P66" s="71">
        <v>13.6</v>
      </c>
      <c r="Q66" s="70">
        <v>3.7</v>
      </c>
      <c r="R66" s="69">
        <v>11.8</v>
      </c>
      <c r="S66" s="71">
        <v>18.3</v>
      </c>
      <c r="T66" s="71">
        <v>11.9</v>
      </c>
      <c r="U66" s="70">
        <v>9.1</v>
      </c>
      <c r="V66" s="69">
        <v>15</v>
      </c>
      <c r="W66" s="71">
        <v>19.3</v>
      </c>
      <c r="X66" s="71">
        <v>9.8000000000000007</v>
      </c>
      <c r="Y66" s="70">
        <v>2.2000000000000002</v>
      </c>
      <c r="Z66" s="69">
        <v>17.5</v>
      </c>
      <c r="AA66" s="71">
        <v>19.899999999999999</v>
      </c>
      <c r="AB66" s="71">
        <v>12.5</v>
      </c>
      <c r="AC66" s="70">
        <v>2.9</v>
      </c>
      <c r="AD66" s="69">
        <v>18</v>
      </c>
      <c r="AE66" s="71">
        <v>21.8</v>
      </c>
      <c r="AF66" s="71">
        <v>20.6</v>
      </c>
      <c r="AG66" s="70">
        <v>0</v>
      </c>
      <c r="AH66" s="69">
        <v>17.100000000000001</v>
      </c>
      <c r="AI66" s="71">
        <v>22.9</v>
      </c>
      <c r="AJ66" s="71">
        <v>14.6</v>
      </c>
      <c r="AK66" s="70">
        <v>0</v>
      </c>
      <c r="AL66" s="69">
        <v>17.3</v>
      </c>
      <c r="AM66" s="71">
        <v>14.6</v>
      </c>
      <c r="AN66" s="71">
        <v>17.7</v>
      </c>
      <c r="AO66" s="70">
        <v>0</v>
      </c>
      <c r="AP66" s="69">
        <v>17.8</v>
      </c>
      <c r="AQ66" s="71">
        <v>15.5</v>
      </c>
      <c r="AR66" s="71">
        <v>21.4</v>
      </c>
      <c r="AS66" s="70">
        <v>0</v>
      </c>
    </row>
    <row r="67" spans="1:45" x14ac:dyDescent="0.2">
      <c r="A67" s="64" t="s">
        <v>1299</v>
      </c>
      <c r="B67" s="64">
        <v>15.1</v>
      </c>
      <c r="C67">
        <v>18.100000000000001</v>
      </c>
      <c r="D67">
        <v>16.899999999999999</v>
      </c>
      <c r="E67" s="65">
        <v>13.4</v>
      </c>
      <c r="F67" s="64">
        <v>13.2</v>
      </c>
      <c r="G67">
        <v>13.8</v>
      </c>
      <c r="H67">
        <v>16.399999999999999</v>
      </c>
      <c r="I67" s="65">
        <v>16.8</v>
      </c>
      <c r="J67" s="64">
        <v>17.2</v>
      </c>
      <c r="K67">
        <v>19.8</v>
      </c>
      <c r="L67">
        <v>13.7</v>
      </c>
      <c r="M67" s="65">
        <v>14.1</v>
      </c>
      <c r="N67" s="64">
        <v>14.5</v>
      </c>
      <c r="O67">
        <v>14</v>
      </c>
      <c r="P67">
        <v>13.7</v>
      </c>
      <c r="Q67" s="65">
        <v>14</v>
      </c>
      <c r="R67" s="64">
        <v>15.1</v>
      </c>
      <c r="S67">
        <v>11.8</v>
      </c>
      <c r="T67">
        <v>13.1</v>
      </c>
      <c r="U67" s="65">
        <v>14.6</v>
      </c>
      <c r="V67" s="64">
        <v>13.6</v>
      </c>
      <c r="W67">
        <v>11.7</v>
      </c>
      <c r="X67">
        <v>8.4</v>
      </c>
      <c r="Y67" s="65">
        <v>14.5</v>
      </c>
      <c r="Z67" s="64">
        <v>13.8</v>
      </c>
      <c r="AA67">
        <v>14.1</v>
      </c>
      <c r="AB67">
        <v>3.9</v>
      </c>
      <c r="AC67" s="65">
        <v>4.7</v>
      </c>
      <c r="AD67" s="64">
        <v>0</v>
      </c>
      <c r="AE67">
        <v>0</v>
      </c>
      <c r="AF67">
        <v>0</v>
      </c>
      <c r="AG67" s="65">
        <v>0</v>
      </c>
      <c r="AH67" s="64">
        <v>0</v>
      </c>
      <c r="AI67">
        <v>0</v>
      </c>
      <c r="AJ67">
        <v>0</v>
      </c>
      <c r="AK67" s="65">
        <v>0</v>
      </c>
      <c r="AL67" s="64">
        <v>0</v>
      </c>
      <c r="AM67">
        <v>0</v>
      </c>
      <c r="AN67">
        <v>0</v>
      </c>
      <c r="AO67" s="65">
        <v>0</v>
      </c>
      <c r="AP67" s="64">
        <v>0</v>
      </c>
      <c r="AQ67">
        <v>0</v>
      </c>
      <c r="AR67">
        <v>0</v>
      </c>
      <c r="AS67" s="65">
        <v>0</v>
      </c>
    </row>
    <row r="68" spans="1:45" x14ac:dyDescent="0.2">
      <c r="A68" s="64" t="s">
        <v>1308</v>
      </c>
      <c r="B68" s="64">
        <v>16.5</v>
      </c>
      <c r="C68">
        <v>12.3</v>
      </c>
      <c r="D68">
        <v>11</v>
      </c>
      <c r="E68" s="65">
        <v>12.9</v>
      </c>
      <c r="F68" s="64">
        <v>16.5</v>
      </c>
      <c r="G68">
        <v>16.100000000000001</v>
      </c>
      <c r="H68">
        <v>13</v>
      </c>
      <c r="I68" s="65">
        <v>12.7</v>
      </c>
      <c r="J68" s="64">
        <v>18.2</v>
      </c>
      <c r="K68">
        <v>16.2</v>
      </c>
      <c r="L68">
        <v>10.3</v>
      </c>
      <c r="M68" s="65">
        <v>13.7</v>
      </c>
      <c r="N68" s="64">
        <v>18</v>
      </c>
      <c r="O68">
        <v>16.5</v>
      </c>
      <c r="P68">
        <v>14.1</v>
      </c>
      <c r="Q68" s="65">
        <v>14.4</v>
      </c>
      <c r="R68" s="64">
        <v>17</v>
      </c>
      <c r="S68">
        <v>10.9</v>
      </c>
      <c r="T68">
        <v>14</v>
      </c>
      <c r="U68" s="65">
        <v>10.7</v>
      </c>
      <c r="V68" s="64">
        <v>12.3</v>
      </c>
      <c r="W68">
        <v>14.9</v>
      </c>
      <c r="X68">
        <v>12.4</v>
      </c>
      <c r="Y68" s="65">
        <v>13.2</v>
      </c>
      <c r="Z68" s="64">
        <v>15.6</v>
      </c>
      <c r="AA68">
        <v>0</v>
      </c>
      <c r="AB68">
        <v>14.1</v>
      </c>
      <c r="AC68" s="65">
        <v>9.1999999999999993</v>
      </c>
      <c r="AD68" s="64">
        <v>0</v>
      </c>
      <c r="AE68">
        <v>0</v>
      </c>
      <c r="AF68">
        <v>0</v>
      </c>
      <c r="AG68" s="65">
        <v>0</v>
      </c>
      <c r="AH68" s="64">
        <v>0</v>
      </c>
      <c r="AI68">
        <v>0</v>
      </c>
      <c r="AJ68">
        <v>0</v>
      </c>
      <c r="AK68" s="65">
        <v>0</v>
      </c>
      <c r="AL68" s="64">
        <v>0</v>
      </c>
      <c r="AM68">
        <v>0</v>
      </c>
      <c r="AN68">
        <v>0</v>
      </c>
      <c r="AO68" s="65">
        <v>0</v>
      </c>
      <c r="AP68" s="64">
        <v>0</v>
      </c>
      <c r="AQ68">
        <v>0</v>
      </c>
      <c r="AR68">
        <v>0</v>
      </c>
      <c r="AS68" s="65">
        <v>0</v>
      </c>
    </row>
    <row r="69" spans="1:45" x14ac:dyDescent="0.2">
      <c r="A69" s="66" t="s">
        <v>1317</v>
      </c>
      <c r="B69" s="66">
        <v>4.0999999999999996</v>
      </c>
      <c r="C69" s="68">
        <v>10.199999999999999</v>
      </c>
      <c r="D69" s="68">
        <v>11.6</v>
      </c>
      <c r="E69" s="67">
        <v>15.2</v>
      </c>
      <c r="F69" s="66">
        <v>9.9</v>
      </c>
      <c r="G69" s="68">
        <v>13.6</v>
      </c>
      <c r="H69" s="68">
        <v>21.7</v>
      </c>
      <c r="I69" s="67">
        <v>13.3</v>
      </c>
      <c r="J69" s="66">
        <v>9.6</v>
      </c>
      <c r="K69" s="68">
        <v>14.3</v>
      </c>
      <c r="L69" s="68">
        <v>17.7</v>
      </c>
      <c r="M69" s="67">
        <v>17.399999999999999</v>
      </c>
      <c r="N69" s="66">
        <v>11.3</v>
      </c>
      <c r="O69" s="68">
        <v>14.7</v>
      </c>
      <c r="P69" s="68">
        <v>21.9</v>
      </c>
      <c r="Q69" s="67">
        <v>16.5</v>
      </c>
      <c r="R69" s="66">
        <v>9.4</v>
      </c>
      <c r="S69" s="68">
        <v>16.100000000000001</v>
      </c>
      <c r="T69" s="68">
        <v>25.4</v>
      </c>
      <c r="U69" s="67">
        <v>15.9</v>
      </c>
      <c r="V69" s="66">
        <v>14</v>
      </c>
      <c r="W69" s="68">
        <v>16.7</v>
      </c>
      <c r="X69" s="68">
        <v>26.3</v>
      </c>
      <c r="Y69" s="67">
        <v>21.5</v>
      </c>
      <c r="Z69" s="66">
        <v>13.6</v>
      </c>
      <c r="AA69" s="68">
        <v>20.5</v>
      </c>
      <c r="AB69" s="68">
        <v>23.6</v>
      </c>
      <c r="AC69" s="67">
        <v>11.1</v>
      </c>
      <c r="AD69" s="66">
        <v>12.2</v>
      </c>
      <c r="AE69" s="68">
        <v>12.9</v>
      </c>
      <c r="AF69" s="68">
        <v>24.9</v>
      </c>
      <c r="AG69" s="67">
        <v>23.3</v>
      </c>
      <c r="AH69" s="66">
        <v>13</v>
      </c>
      <c r="AI69" s="68">
        <v>16.100000000000001</v>
      </c>
      <c r="AJ69" s="68">
        <v>26</v>
      </c>
      <c r="AK69" s="67">
        <v>17.8</v>
      </c>
      <c r="AL69" s="66">
        <v>7.1</v>
      </c>
      <c r="AM69" s="68">
        <v>23.5</v>
      </c>
      <c r="AN69" s="68">
        <v>24.2</v>
      </c>
      <c r="AO69" s="67">
        <v>24.9</v>
      </c>
      <c r="AP69" s="66">
        <v>12.4</v>
      </c>
      <c r="AQ69" s="68">
        <v>20.7</v>
      </c>
      <c r="AR69" s="68">
        <v>22.8</v>
      </c>
      <c r="AS69" s="67">
        <v>19.899999999999999</v>
      </c>
    </row>
    <row r="70" spans="1:45" x14ac:dyDescent="0.2">
      <c r="A70" s="69" t="s">
        <v>1326</v>
      </c>
      <c r="B70" s="69">
        <v>14.7</v>
      </c>
      <c r="C70" s="71">
        <v>8.9</v>
      </c>
      <c r="D70" s="71">
        <v>9.1999999999999993</v>
      </c>
      <c r="E70" s="70">
        <v>7.8</v>
      </c>
      <c r="F70" s="69">
        <v>15.8</v>
      </c>
      <c r="G70" s="71">
        <v>7.9</v>
      </c>
      <c r="H70" s="71">
        <v>9.9</v>
      </c>
      <c r="I70" s="70">
        <v>13.1</v>
      </c>
      <c r="J70" s="69">
        <v>12.1</v>
      </c>
      <c r="K70" s="71">
        <v>12.1</v>
      </c>
      <c r="L70" s="71">
        <v>12.7</v>
      </c>
      <c r="M70" s="70">
        <v>13.1</v>
      </c>
      <c r="N70" s="69">
        <v>7.6</v>
      </c>
      <c r="O70" s="71">
        <v>10.9</v>
      </c>
      <c r="P70" s="71">
        <v>10.9</v>
      </c>
      <c r="Q70" s="70">
        <v>12.8</v>
      </c>
      <c r="R70" s="69">
        <v>13</v>
      </c>
      <c r="S70" s="71">
        <v>12</v>
      </c>
      <c r="T70" s="71">
        <v>8.8000000000000007</v>
      </c>
      <c r="U70" s="70">
        <v>10.8</v>
      </c>
      <c r="V70" s="69">
        <v>16.399999999999999</v>
      </c>
      <c r="W70" s="71">
        <v>11.5</v>
      </c>
      <c r="X70" s="71">
        <v>9.9</v>
      </c>
      <c r="Y70" s="70">
        <v>11.2</v>
      </c>
      <c r="Z70" s="69">
        <v>19.100000000000001</v>
      </c>
      <c r="AA70" s="71">
        <v>11.5</v>
      </c>
      <c r="AB70" s="71">
        <v>5.3</v>
      </c>
      <c r="AC70" s="70">
        <v>11.8</v>
      </c>
      <c r="AD70" s="69">
        <v>19.7</v>
      </c>
      <c r="AE70" s="71">
        <v>11.2</v>
      </c>
      <c r="AF70" s="71">
        <v>8.3000000000000007</v>
      </c>
      <c r="AG70" s="70">
        <v>11.8</v>
      </c>
      <c r="AH70" s="69">
        <v>19</v>
      </c>
      <c r="AI70" s="71">
        <v>10.8</v>
      </c>
      <c r="AJ70" s="71">
        <v>6.4</v>
      </c>
      <c r="AK70" s="70">
        <v>12.3</v>
      </c>
      <c r="AL70" s="69">
        <v>23.2</v>
      </c>
      <c r="AM70" s="71">
        <v>10.199999999999999</v>
      </c>
      <c r="AN70" s="71">
        <v>6.7</v>
      </c>
      <c r="AO70" s="70">
        <v>14.1</v>
      </c>
      <c r="AP70" s="69">
        <v>19.600000000000001</v>
      </c>
      <c r="AQ70" s="71">
        <v>7.5</v>
      </c>
      <c r="AR70" s="71">
        <v>2.2999999999999998</v>
      </c>
      <c r="AS70" s="70">
        <v>12.9</v>
      </c>
    </row>
    <row r="71" spans="1:45" x14ac:dyDescent="0.2">
      <c r="A71" s="64" t="s">
        <v>1335</v>
      </c>
      <c r="B71" s="64">
        <v>12.1</v>
      </c>
      <c r="C71">
        <v>16.3</v>
      </c>
      <c r="D71">
        <v>12</v>
      </c>
      <c r="E71" s="65">
        <v>13.4</v>
      </c>
      <c r="F71" s="64">
        <v>14</v>
      </c>
      <c r="G71">
        <v>16.399999999999999</v>
      </c>
      <c r="H71">
        <v>13.1</v>
      </c>
      <c r="I71" s="65">
        <v>14.8</v>
      </c>
      <c r="J71" s="64">
        <v>15.1</v>
      </c>
      <c r="K71">
        <v>18.899999999999999</v>
      </c>
      <c r="L71">
        <v>19</v>
      </c>
      <c r="M71" s="65">
        <v>13</v>
      </c>
      <c r="N71" s="64">
        <v>18.8</v>
      </c>
      <c r="O71">
        <v>19</v>
      </c>
      <c r="P71">
        <v>15.5</v>
      </c>
      <c r="Q71" s="65">
        <v>16.2</v>
      </c>
      <c r="R71" s="64">
        <v>15.1</v>
      </c>
      <c r="S71">
        <v>16.2</v>
      </c>
      <c r="T71">
        <v>15.5</v>
      </c>
      <c r="U71" s="65">
        <v>12.5</v>
      </c>
      <c r="V71" s="64">
        <v>16</v>
      </c>
      <c r="W71">
        <v>19</v>
      </c>
      <c r="X71">
        <v>15.3</v>
      </c>
      <c r="Y71" s="65">
        <v>13.2</v>
      </c>
      <c r="Z71" s="64">
        <v>15.2</v>
      </c>
      <c r="AA71">
        <v>18.600000000000001</v>
      </c>
      <c r="AB71">
        <v>14</v>
      </c>
      <c r="AC71" s="65">
        <v>14.8</v>
      </c>
      <c r="AD71" s="64">
        <v>15.3</v>
      </c>
      <c r="AE71">
        <v>18.3</v>
      </c>
      <c r="AF71">
        <v>13</v>
      </c>
      <c r="AG71" s="65">
        <v>12.5</v>
      </c>
      <c r="AH71" s="64">
        <v>11.7</v>
      </c>
      <c r="AI71">
        <v>19.2</v>
      </c>
      <c r="AJ71">
        <v>13.7</v>
      </c>
      <c r="AK71" s="65">
        <v>11.4</v>
      </c>
      <c r="AL71" s="64">
        <v>13.1</v>
      </c>
      <c r="AM71">
        <v>17.8</v>
      </c>
      <c r="AN71">
        <v>11.4</v>
      </c>
      <c r="AO71" s="65">
        <v>11.3</v>
      </c>
      <c r="AP71" s="64">
        <v>9.1</v>
      </c>
      <c r="AQ71">
        <v>5.5</v>
      </c>
      <c r="AR71">
        <v>6.2</v>
      </c>
      <c r="AS71" s="65">
        <v>9.1999999999999993</v>
      </c>
    </row>
    <row r="72" spans="1:45" x14ac:dyDescent="0.2">
      <c r="A72" s="64" t="s">
        <v>1344</v>
      </c>
      <c r="B72" s="64">
        <v>11.3</v>
      </c>
      <c r="C72">
        <v>13</v>
      </c>
      <c r="D72">
        <v>16.899999999999999</v>
      </c>
      <c r="E72" s="65">
        <v>11.3</v>
      </c>
      <c r="F72" s="64">
        <v>14.5</v>
      </c>
      <c r="G72">
        <v>10.7</v>
      </c>
      <c r="H72">
        <v>12.8</v>
      </c>
      <c r="I72" s="65">
        <v>13.4</v>
      </c>
      <c r="J72" s="64">
        <v>16.600000000000001</v>
      </c>
      <c r="K72">
        <v>12.3</v>
      </c>
      <c r="L72">
        <v>12</v>
      </c>
      <c r="M72" s="65">
        <v>13.4</v>
      </c>
      <c r="N72" s="64">
        <v>20.100000000000001</v>
      </c>
      <c r="O72">
        <v>12.4</v>
      </c>
      <c r="P72">
        <v>3.5</v>
      </c>
      <c r="Q72" s="65">
        <v>14</v>
      </c>
      <c r="R72" s="64">
        <v>18.2</v>
      </c>
      <c r="S72">
        <v>15.1</v>
      </c>
      <c r="T72">
        <v>8.3000000000000007</v>
      </c>
      <c r="U72" s="65">
        <v>14</v>
      </c>
      <c r="V72" s="64">
        <v>17.600000000000001</v>
      </c>
      <c r="W72">
        <v>12.2</v>
      </c>
      <c r="X72">
        <v>9.5</v>
      </c>
      <c r="Y72" s="65">
        <v>17</v>
      </c>
      <c r="Z72" s="64">
        <v>20.5</v>
      </c>
      <c r="AA72">
        <v>2.2000000000000002</v>
      </c>
      <c r="AB72">
        <v>4.9000000000000004</v>
      </c>
      <c r="AC72" s="65">
        <v>19.2</v>
      </c>
      <c r="AD72" s="64">
        <v>19.3</v>
      </c>
      <c r="AE72">
        <v>0</v>
      </c>
      <c r="AF72">
        <v>0</v>
      </c>
      <c r="AG72" s="65">
        <v>20.399999999999999</v>
      </c>
      <c r="AH72" s="64">
        <v>18.399999999999999</v>
      </c>
      <c r="AI72">
        <v>0</v>
      </c>
      <c r="AJ72">
        <v>0</v>
      </c>
      <c r="AK72" s="65">
        <v>20</v>
      </c>
      <c r="AL72" s="64">
        <v>24.6</v>
      </c>
      <c r="AM72">
        <v>0</v>
      </c>
      <c r="AN72">
        <v>0</v>
      </c>
      <c r="AO72" s="65">
        <v>24.4</v>
      </c>
      <c r="AP72" s="64">
        <v>19.8</v>
      </c>
      <c r="AQ72">
        <v>0</v>
      </c>
      <c r="AR72">
        <v>0</v>
      </c>
      <c r="AS72" s="65">
        <v>20.3</v>
      </c>
    </row>
    <row r="73" spans="1:45" x14ac:dyDescent="0.2">
      <c r="A73" s="66" t="s">
        <v>1353</v>
      </c>
      <c r="B73" s="66">
        <v>4</v>
      </c>
      <c r="C73" s="68">
        <v>7.6</v>
      </c>
      <c r="D73" s="68">
        <v>9.9</v>
      </c>
      <c r="E73" s="67">
        <v>6.8</v>
      </c>
      <c r="F73" s="66">
        <v>14.7</v>
      </c>
      <c r="G73" s="68">
        <v>9.9</v>
      </c>
      <c r="H73" s="68">
        <v>13.3</v>
      </c>
      <c r="I73" s="67">
        <v>13.7</v>
      </c>
      <c r="J73" s="66">
        <v>7.9</v>
      </c>
      <c r="K73" s="68">
        <v>8.9</v>
      </c>
      <c r="L73" s="68">
        <v>6</v>
      </c>
      <c r="M73" s="67">
        <v>10.199999999999999</v>
      </c>
      <c r="N73" s="66">
        <v>10.7</v>
      </c>
      <c r="O73" s="68">
        <v>9</v>
      </c>
      <c r="P73" s="68">
        <v>10.7</v>
      </c>
      <c r="Q73" s="67">
        <v>15.6</v>
      </c>
      <c r="R73" s="66">
        <v>15.4</v>
      </c>
      <c r="S73" s="68">
        <v>10.7</v>
      </c>
      <c r="T73" s="68">
        <v>14.6</v>
      </c>
      <c r="U73" s="67">
        <v>18</v>
      </c>
      <c r="V73" s="66">
        <v>18.3</v>
      </c>
      <c r="W73" s="68">
        <v>12.4</v>
      </c>
      <c r="X73" s="68">
        <v>15.3</v>
      </c>
      <c r="Y73" s="67">
        <v>22.2</v>
      </c>
      <c r="Z73" s="66">
        <v>13.6</v>
      </c>
      <c r="AA73" s="68">
        <v>10.6</v>
      </c>
      <c r="AB73" s="68">
        <v>18</v>
      </c>
      <c r="AC73" s="67">
        <v>10.199999999999999</v>
      </c>
      <c r="AD73" s="66">
        <v>17</v>
      </c>
      <c r="AE73" s="68">
        <v>10.9</v>
      </c>
      <c r="AF73" s="68">
        <v>14.9</v>
      </c>
      <c r="AG73" s="67">
        <v>16.100000000000001</v>
      </c>
      <c r="AH73" s="66">
        <v>15.6</v>
      </c>
      <c r="AI73" s="68">
        <v>11.1</v>
      </c>
      <c r="AJ73" s="68">
        <v>16</v>
      </c>
      <c r="AK73" s="67">
        <v>26.3</v>
      </c>
      <c r="AL73" s="66">
        <v>17</v>
      </c>
      <c r="AM73" s="68">
        <v>14.8</v>
      </c>
      <c r="AN73" s="68">
        <v>15.6</v>
      </c>
      <c r="AO73" s="67">
        <v>28.5</v>
      </c>
      <c r="AP73" s="66">
        <v>12.7</v>
      </c>
      <c r="AQ73" s="68">
        <v>14.2</v>
      </c>
      <c r="AR73" s="68">
        <v>16.5</v>
      </c>
      <c r="AS73" s="67">
        <v>19.399999999999999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75155-3508-4377-B34B-EC85086295AA}">
  <dimension ref="A1:AO73"/>
  <sheetViews>
    <sheetView zoomScale="110" zoomScaleNormal="110" workbookViewId="0">
      <selection activeCell="A4" sqref="A4"/>
    </sheetView>
  </sheetViews>
  <sheetFormatPr baseColWidth="10" defaultColWidth="8.83203125" defaultRowHeight="16" x14ac:dyDescent="0.2"/>
  <cols>
    <col min="1" max="1" width="11.33203125" customWidth="1"/>
    <col min="2" max="41" width="16.83203125" customWidth="1"/>
  </cols>
  <sheetData>
    <row r="1" spans="1:41" s="8" customFormat="1" x14ac:dyDescent="0.2">
      <c r="A1" s="48" t="s">
        <v>621</v>
      </c>
      <c r="B1" s="72" t="s">
        <v>1906</v>
      </c>
      <c r="C1" s="72" t="s">
        <v>1907</v>
      </c>
      <c r="D1" s="72" t="s">
        <v>1908</v>
      </c>
      <c r="E1" s="72" t="s">
        <v>1909</v>
      </c>
      <c r="F1" s="73" t="s">
        <v>1910</v>
      </c>
      <c r="G1" s="73" t="s">
        <v>1911</v>
      </c>
      <c r="H1" s="73" t="s">
        <v>1912</v>
      </c>
      <c r="I1" s="73" t="s">
        <v>1913</v>
      </c>
      <c r="J1" s="74" t="s">
        <v>1914</v>
      </c>
      <c r="K1" s="74" t="s">
        <v>1915</v>
      </c>
      <c r="L1" s="74" t="s">
        <v>1916</v>
      </c>
      <c r="M1" s="74" t="s">
        <v>1917</v>
      </c>
      <c r="N1" s="75" t="s">
        <v>1918</v>
      </c>
      <c r="O1" s="75" t="s">
        <v>1919</v>
      </c>
      <c r="P1" s="75" t="s">
        <v>1920</v>
      </c>
      <c r="Q1" s="75" t="s">
        <v>1921</v>
      </c>
      <c r="R1" s="76" t="s">
        <v>1922</v>
      </c>
      <c r="S1" s="76" t="s">
        <v>1923</v>
      </c>
      <c r="T1" s="76" t="s">
        <v>1924</v>
      </c>
      <c r="U1" s="76" t="s">
        <v>1925</v>
      </c>
      <c r="V1" s="77" t="s">
        <v>1926</v>
      </c>
      <c r="W1" s="77" t="s">
        <v>1927</v>
      </c>
      <c r="X1" s="77" t="s">
        <v>1928</v>
      </c>
      <c r="Y1" s="78" t="s">
        <v>1929</v>
      </c>
      <c r="Z1" s="79" t="s">
        <v>1930</v>
      </c>
      <c r="AA1" s="79" t="s">
        <v>1931</v>
      </c>
      <c r="AB1" s="79" t="s">
        <v>1932</v>
      </c>
      <c r="AC1" s="79" t="s">
        <v>1933</v>
      </c>
      <c r="AD1" s="85" t="s">
        <v>1934</v>
      </c>
      <c r="AE1" s="85" t="s">
        <v>1935</v>
      </c>
      <c r="AF1" s="85" t="s">
        <v>1936</v>
      </c>
      <c r="AG1" s="85" t="s">
        <v>1937</v>
      </c>
      <c r="AH1" s="97" t="s">
        <v>1938</v>
      </c>
      <c r="AI1" s="97" t="s">
        <v>1939</v>
      </c>
      <c r="AJ1" s="97" t="s">
        <v>1940</v>
      </c>
      <c r="AK1" s="97" t="s">
        <v>1941</v>
      </c>
      <c r="AL1" s="107" t="s">
        <v>1942</v>
      </c>
      <c r="AM1" s="107" t="s">
        <v>1943</v>
      </c>
      <c r="AN1" s="107" t="s">
        <v>1944</v>
      </c>
      <c r="AO1" s="107" t="s">
        <v>1945</v>
      </c>
    </row>
    <row r="2" spans="1:41" x14ac:dyDescent="0.2">
      <c r="A2" s="69" t="s">
        <v>709</v>
      </c>
      <c r="B2" s="69">
        <v>0.79</v>
      </c>
      <c r="C2" s="71">
        <v>0.79</v>
      </c>
      <c r="D2" s="71">
        <v>0.52</v>
      </c>
      <c r="E2" s="70">
        <v>0.73</v>
      </c>
      <c r="F2" s="69">
        <v>0.7</v>
      </c>
      <c r="G2" s="71">
        <v>0.79</v>
      </c>
      <c r="H2" s="71">
        <v>0.68</v>
      </c>
      <c r="I2" s="70">
        <v>0.82</v>
      </c>
      <c r="J2" s="69">
        <v>0.75</v>
      </c>
      <c r="K2" s="71">
        <v>0.7</v>
      </c>
      <c r="L2" s="71">
        <v>0.66</v>
      </c>
      <c r="M2" s="70">
        <v>0.78</v>
      </c>
      <c r="N2" s="69">
        <v>0.8</v>
      </c>
      <c r="O2" s="71">
        <v>0.75</v>
      </c>
      <c r="P2" s="71">
        <v>0.74</v>
      </c>
      <c r="Q2" s="70">
        <v>0.77</v>
      </c>
      <c r="R2" s="69">
        <v>0.75</v>
      </c>
      <c r="S2" s="71">
        <v>0.77</v>
      </c>
      <c r="T2" s="71">
        <v>0.71</v>
      </c>
      <c r="U2" s="70">
        <v>0.75</v>
      </c>
      <c r="V2" s="69">
        <v>0.74</v>
      </c>
      <c r="W2" s="71">
        <v>0.77</v>
      </c>
      <c r="X2" s="71">
        <v>0.7</v>
      </c>
      <c r="Y2" s="70">
        <v>0.73</v>
      </c>
      <c r="Z2" s="69">
        <v>0.76</v>
      </c>
      <c r="AA2" s="71">
        <v>0.8</v>
      </c>
      <c r="AB2" s="71">
        <v>0.75</v>
      </c>
      <c r="AC2" s="70">
        <v>0.81</v>
      </c>
      <c r="AD2" s="69">
        <v>0.73</v>
      </c>
      <c r="AE2" s="71">
        <v>0.79</v>
      </c>
      <c r="AF2" s="71">
        <v>0.77</v>
      </c>
      <c r="AG2" s="70">
        <v>0.78</v>
      </c>
      <c r="AH2" s="69">
        <v>0.6</v>
      </c>
      <c r="AI2" s="71">
        <v>0.78</v>
      </c>
      <c r="AJ2" s="71">
        <v>0.64</v>
      </c>
      <c r="AK2" s="70">
        <v>0.67</v>
      </c>
      <c r="AL2" s="69">
        <v>0.11</v>
      </c>
      <c r="AM2" s="71">
        <v>0.74</v>
      </c>
      <c r="AN2" s="71">
        <v>0.67</v>
      </c>
      <c r="AO2" s="70">
        <v>0.67</v>
      </c>
    </row>
    <row r="3" spans="1:41" x14ac:dyDescent="0.2">
      <c r="A3" s="64" t="s">
        <v>718</v>
      </c>
      <c r="B3" s="64">
        <v>0.81</v>
      </c>
      <c r="C3">
        <v>0.77</v>
      </c>
      <c r="D3">
        <v>0.71</v>
      </c>
      <c r="E3" s="65">
        <v>0.78</v>
      </c>
      <c r="F3" s="64">
        <v>0.78</v>
      </c>
      <c r="G3">
        <v>0.81</v>
      </c>
      <c r="H3">
        <v>0.77</v>
      </c>
      <c r="I3" s="65">
        <v>0.73</v>
      </c>
      <c r="J3" s="64">
        <v>0.77</v>
      </c>
      <c r="K3">
        <v>0.79</v>
      </c>
      <c r="L3">
        <v>0.73</v>
      </c>
      <c r="M3" s="65">
        <v>0.8</v>
      </c>
      <c r="N3" s="64">
        <v>0.74</v>
      </c>
      <c r="O3">
        <v>0.75</v>
      </c>
      <c r="P3">
        <v>0.79</v>
      </c>
      <c r="Q3" s="65">
        <v>0.81</v>
      </c>
      <c r="R3" s="64">
        <v>0.78</v>
      </c>
      <c r="S3">
        <v>0.81</v>
      </c>
      <c r="T3">
        <v>0.8</v>
      </c>
      <c r="U3" s="65">
        <v>0.73</v>
      </c>
      <c r="V3" s="64">
        <v>0.76</v>
      </c>
      <c r="W3">
        <v>0.78</v>
      </c>
      <c r="X3">
        <v>0.78</v>
      </c>
      <c r="Y3" s="65">
        <v>0.8</v>
      </c>
      <c r="Z3" s="64">
        <v>0.82</v>
      </c>
      <c r="AA3">
        <v>0.79</v>
      </c>
      <c r="AB3">
        <v>0.8</v>
      </c>
      <c r="AC3" s="65">
        <v>0.79</v>
      </c>
      <c r="AD3" s="64">
        <v>0.79</v>
      </c>
      <c r="AE3">
        <v>0.79</v>
      </c>
      <c r="AF3">
        <v>0.76</v>
      </c>
      <c r="AG3" s="65">
        <v>0.78</v>
      </c>
      <c r="AH3" s="64">
        <v>0.67</v>
      </c>
      <c r="AI3">
        <v>0.75</v>
      </c>
      <c r="AJ3">
        <v>0.72</v>
      </c>
      <c r="AK3" s="65">
        <v>0.72</v>
      </c>
      <c r="AL3" s="64">
        <v>0.8</v>
      </c>
      <c r="AM3">
        <v>0.73</v>
      </c>
      <c r="AN3">
        <v>0.69</v>
      </c>
      <c r="AO3" s="65">
        <v>0.77</v>
      </c>
    </row>
    <row r="4" spans="1:41" x14ac:dyDescent="0.2">
      <c r="A4" s="64" t="s">
        <v>727</v>
      </c>
      <c r="B4" s="64">
        <v>0.78</v>
      </c>
      <c r="C4">
        <v>0.83</v>
      </c>
      <c r="D4">
        <v>0.74</v>
      </c>
      <c r="E4" s="65">
        <v>0.81</v>
      </c>
      <c r="F4" s="64">
        <v>0.75</v>
      </c>
      <c r="G4">
        <v>0.79</v>
      </c>
      <c r="H4">
        <v>0.82</v>
      </c>
      <c r="I4" s="65">
        <v>0.76</v>
      </c>
      <c r="J4" s="64">
        <v>0.64</v>
      </c>
      <c r="K4">
        <v>0.76</v>
      </c>
      <c r="L4">
        <v>0.78</v>
      </c>
      <c r="M4" s="65">
        <v>0.77</v>
      </c>
      <c r="N4" s="64">
        <v>0.74</v>
      </c>
      <c r="O4">
        <v>0.79</v>
      </c>
      <c r="P4">
        <v>0.74</v>
      </c>
      <c r="Q4" s="65">
        <v>0.63</v>
      </c>
      <c r="R4" s="64">
        <v>0.78</v>
      </c>
      <c r="S4">
        <v>0.82</v>
      </c>
      <c r="T4">
        <v>0.83</v>
      </c>
      <c r="U4" s="65">
        <v>0.56000000000000005</v>
      </c>
      <c r="V4" s="64">
        <v>0.8</v>
      </c>
      <c r="W4">
        <v>0.75</v>
      </c>
      <c r="X4">
        <v>0.76</v>
      </c>
      <c r="Y4" s="65">
        <v>0.81</v>
      </c>
      <c r="Z4" s="64">
        <v>0.8</v>
      </c>
      <c r="AA4">
        <v>0.74</v>
      </c>
      <c r="AB4">
        <v>0.78</v>
      </c>
      <c r="AC4" s="65">
        <v>0.8</v>
      </c>
      <c r="AD4" s="64">
        <v>0.79</v>
      </c>
      <c r="AE4">
        <v>0.8</v>
      </c>
      <c r="AF4">
        <v>0.77</v>
      </c>
      <c r="AG4" s="65">
        <v>0.81</v>
      </c>
      <c r="AH4" s="64">
        <v>0.74</v>
      </c>
      <c r="AI4">
        <v>0.79</v>
      </c>
      <c r="AJ4">
        <v>0.68</v>
      </c>
      <c r="AK4" s="65">
        <v>0.72</v>
      </c>
      <c r="AL4" s="64">
        <v>0.74</v>
      </c>
      <c r="AM4">
        <v>0.76</v>
      </c>
      <c r="AN4">
        <v>0.24</v>
      </c>
      <c r="AO4" s="65">
        <v>0.71</v>
      </c>
    </row>
    <row r="5" spans="1:41" x14ac:dyDescent="0.2">
      <c r="A5" s="66" t="s">
        <v>736</v>
      </c>
      <c r="B5" s="66">
        <v>0.82</v>
      </c>
      <c r="C5" s="68">
        <v>0.82</v>
      </c>
      <c r="D5" s="68">
        <v>0.82</v>
      </c>
      <c r="E5" s="67">
        <v>0.82</v>
      </c>
      <c r="F5" s="66">
        <v>0.75</v>
      </c>
      <c r="G5" s="68">
        <v>0.61</v>
      </c>
      <c r="H5" s="68">
        <v>0.73</v>
      </c>
      <c r="I5" s="67">
        <v>0.56999999999999995</v>
      </c>
      <c r="J5" s="66">
        <v>0.75</v>
      </c>
      <c r="K5" s="68">
        <v>0.75</v>
      </c>
      <c r="L5" s="68">
        <v>0.79</v>
      </c>
      <c r="M5" s="67">
        <v>0.73</v>
      </c>
      <c r="N5" s="66">
        <v>0.77</v>
      </c>
      <c r="O5" s="68">
        <v>0.8</v>
      </c>
      <c r="P5" s="68">
        <v>0.77</v>
      </c>
      <c r="Q5" s="67">
        <v>0.77</v>
      </c>
      <c r="R5" s="66">
        <v>0.76</v>
      </c>
      <c r="S5" s="68">
        <v>0.69</v>
      </c>
      <c r="T5" s="68">
        <v>0.67</v>
      </c>
      <c r="U5" s="67">
        <v>0.75</v>
      </c>
      <c r="V5" s="66">
        <v>0.77</v>
      </c>
      <c r="W5" s="68">
        <v>0.79</v>
      </c>
      <c r="X5" s="68">
        <v>0.72</v>
      </c>
      <c r="Y5" s="67">
        <v>0.8</v>
      </c>
      <c r="Z5" s="66">
        <v>0.77</v>
      </c>
      <c r="AA5" s="68">
        <v>0.81</v>
      </c>
      <c r="AB5" s="68">
        <v>0.82</v>
      </c>
      <c r="AC5" s="67">
        <v>0.79</v>
      </c>
      <c r="AD5" s="66">
        <v>0.8</v>
      </c>
      <c r="AE5" s="68">
        <v>0.8</v>
      </c>
      <c r="AF5" s="68">
        <v>0.78</v>
      </c>
      <c r="AG5" s="67">
        <v>0.81</v>
      </c>
      <c r="AH5" s="66">
        <v>0.66</v>
      </c>
      <c r="AI5" s="68">
        <v>0.74</v>
      </c>
      <c r="AJ5" s="68">
        <v>0.68</v>
      </c>
      <c r="AK5" s="67">
        <v>0.75</v>
      </c>
      <c r="AL5" s="66">
        <v>0.76</v>
      </c>
      <c r="AM5" s="68">
        <v>0.79</v>
      </c>
      <c r="AN5" s="68">
        <v>0.75</v>
      </c>
      <c r="AO5" s="67">
        <v>0.75</v>
      </c>
    </row>
    <row r="6" spans="1:41" x14ac:dyDescent="0.2">
      <c r="A6" s="69" t="s">
        <v>745</v>
      </c>
      <c r="B6" s="69">
        <v>0.77</v>
      </c>
      <c r="C6" s="71">
        <v>0.63</v>
      </c>
      <c r="D6" s="71">
        <v>0.71</v>
      </c>
      <c r="E6" s="70">
        <v>0.54</v>
      </c>
      <c r="F6" s="69">
        <v>0.59</v>
      </c>
      <c r="G6" s="71">
        <v>0.52</v>
      </c>
      <c r="H6" s="71">
        <v>0.67</v>
      </c>
      <c r="I6" s="70">
        <v>0.6</v>
      </c>
      <c r="J6" s="69">
        <v>0.72</v>
      </c>
      <c r="K6" s="71">
        <v>0.62</v>
      </c>
      <c r="L6" s="71">
        <v>0.72</v>
      </c>
      <c r="M6" s="70">
        <v>0.75</v>
      </c>
      <c r="N6" s="69">
        <v>0.73</v>
      </c>
      <c r="O6" s="71">
        <v>0.77</v>
      </c>
      <c r="P6" s="71">
        <v>0.79</v>
      </c>
      <c r="Q6" s="70">
        <v>0.78</v>
      </c>
      <c r="R6" s="69">
        <v>0.74</v>
      </c>
      <c r="S6" s="71">
        <v>0.78</v>
      </c>
      <c r="T6" s="71">
        <v>0.71</v>
      </c>
      <c r="U6" s="70">
        <v>0.28999999999999998</v>
      </c>
      <c r="V6" s="69">
        <v>0.76</v>
      </c>
      <c r="W6" s="71">
        <v>0.73</v>
      </c>
      <c r="X6" s="71">
        <v>0.73</v>
      </c>
      <c r="Y6" s="70">
        <v>0.75</v>
      </c>
      <c r="Z6" s="69">
        <v>0.81</v>
      </c>
      <c r="AA6" s="71">
        <v>0.81</v>
      </c>
      <c r="AB6" s="71">
        <v>0.82</v>
      </c>
      <c r="AC6" s="70">
        <v>0.8</v>
      </c>
      <c r="AD6" s="69">
        <v>0.8</v>
      </c>
      <c r="AE6" s="71">
        <v>0.8</v>
      </c>
      <c r="AF6" s="71">
        <v>0.8</v>
      </c>
      <c r="AG6" s="70">
        <v>0.77</v>
      </c>
      <c r="AH6" s="69">
        <v>0.61</v>
      </c>
      <c r="AI6" s="71">
        <v>0.61</v>
      </c>
      <c r="AJ6" s="71">
        <v>0.65</v>
      </c>
      <c r="AK6" s="70">
        <v>0.73</v>
      </c>
      <c r="AL6" s="69">
        <v>0.77</v>
      </c>
      <c r="AM6" s="71">
        <v>0.78</v>
      </c>
      <c r="AN6" s="71">
        <v>0.72</v>
      </c>
      <c r="AO6" s="70">
        <v>0.74</v>
      </c>
    </row>
    <row r="7" spans="1:41" x14ac:dyDescent="0.2">
      <c r="A7" s="64" t="s">
        <v>754</v>
      </c>
      <c r="B7" s="64">
        <v>0.79</v>
      </c>
      <c r="C7">
        <v>0.61</v>
      </c>
      <c r="D7">
        <v>0.78</v>
      </c>
      <c r="E7" s="65">
        <v>0.75</v>
      </c>
      <c r="F7" s="64">
        <v>0.71</v>
      </c>
      <c r="G7">
        <v>0.75</v>
      </c>
      <c r="H7">
        <v>0.74</v>
      </c>
      <c r="I7" s="65">
        <v>0.71</v>
      </c>
      <c r="J7" s="64">
        <v>0.79</v>
      </c>
      <c r="K7">
        <v>0.73</v>
      </c>
      <c r="L7">
        <v>0.81</v>
      </c>
      <c r="M7" s="65">
        <v>0.57999999999999996</v>
      </c>
      <c r="N7" s="64">
        <v>0.81</v>
      </c>
      <c r="O7">
        <v>0.81</v>
      </c>
      <c r="P7">
        <v>0.82</v>
      </c>
      <c r="Q7" s="65">
        <v>0.54</v>
      </c>
      <c r="R7" s="64">
        <v>0.76</v>
      </c>
      <c r="S7">
        <v>0.81</v>
      </c>
      <c r="T7">
        <v>0.72</v>
      </c>
      <c r="U7" s="65">
        <v>0.71</v>
      </c>
      <c r="V7" s="64">
        <v>0.82</v>
      </c>
      <c r="W7">
        <v>0.78</v>
      </c>
      <c r="X7">
        <v>0.78</v>
      </c>
      <c r="Y7" s="65">
        <v>0.79</v>
      </c>
      <c r="Z7" s="64">
        <v>0.81</v>
      </c>
      <c r="AA7">
        <v>0.81</v>
      </c>
      <c r="AB7">
        <v>0.79</v>
      </c>
      <c r="AC7" s="65">
        <v>0.82</v>
      </c>
      <c r="AD7" s="64">
        <v>0.79</v>
      </c>
      <c r="AE7">
        <v>0.78</v>
      </c>
      <c r="AF7">
        <v>0.79</v>
      </c>
      <c r="AG7" s="65">
        <v>0.78</v>
      </c>
      <c r="AH7" s="64">
        <v>0.8</v>
      </c>
      <c r="AI7">
        <v>0.76</v>
      </c>
      <c r="AJ7">
        <v>0.47</v>
      </c>
      <c r="AK7" s="65">
        <v>0.63</v>
      </c>
      <c r="AL7" s="64">
        <v>0.72</v>
      </c>
      <c r="AM7">
        <v>0.76</v>
      </c>
      <c r="AN7">
        <v>0.8</v>
      </c>
      <c r="AO7" s="65">
        <v>0.74</v>
      </c>
    </row>
    <row r="8" spans="1:41" x14ac:dyDescent="0.2">
      <c r="A8" s="64" t="s">
        <v>763</v>
      </c>
      <c r="B8" s="64">
        <v>0.77</v>
      </c>
      <c r="C8">
        <v>0.61</v>
      </c>
      <c r="D8">
        <v>0.79</v>
      </c>
      <c r="E8" s="65">
        <v>0.69</v>
      </c>
      <c r="F8" s="64">
        <v>0.56999999999999995</v>
      </c>
      <c r="G8">
        <v>0.02</v>
      </c>
      <c r="H8">
        <v>0.47</v>
      </c>
      <c r="I8" s="65">
        <v>0.42</v>
      </c>
      <c r="J8" s="64">
        <v>0.64</v>
      </c>
      <c r="K8">
        <v>0.75</v>
      </c>
      <c r="L8">
        <v>0.69</v>
      </c>
      <c r="M8" s="65">
        <v>0.55000000000000004</v>
      </c>
      <c r="N8" s="64">
        <v>0.77</v>
      </c>
      <c r="O8">
        <v>0</v>
      </c>
      <c r="P8">
        <v>0.78</v>
      </c>
      <c r="Q8" s="65">
        <v>0.56000000000000005</v>
      </c>
      <c r="R8" s="64">
        <v>0.79</v>
      </c>
      <c r="S8">
        <v>0.79</v>
      </c>
      <c r="T8">
        <v>0.73</v>
      </c>
      <c r="U8" s="65">
        <v>0.65</v>
      </c>
      <c r="V8" s="64">
        <v>0.77</v>
      </c>
      <c r="Y8" s="65">
        <v>0.76</v>
      </c>
      <c r="Z8" s="64">
        <v>0.78</v>
      </c>
      <c r="AA8">
        <v>0</v>
      </c>
      <c r="AB8">
        <v>0</v>
      </c>
      <c r="AC8" s="65">
        <v>0.75</v>
      </c>
      <c r="AD8" s="64">
        <v>0.82</v>
      </c>
      <c r="AE8">
        <v>0.67</v>
      </c>
      <c r="AF8">
        <v>0</v>
      </c>
      <c r="AG8" s="65">
        <v>0.8</v>
      </c>
      <c r="AH8" s="64">
        <v>0.74</v>
      </c>
      <c r="AI8">
        <v>0.72</v>
      </c>
      <c r="AJ8">
        <v>0</v>
      </c>
      <c r="AK8" s="65">
        <v>0.66</v>
      </c>
      <c r="AL8" s="64">
        <v>0.73</v>
      </c>
      <c r="AM8">
        <v>0.7</v>
      </c>
      <c r="AN8">
        <v>0</v>
      </c>
      <c r="AO8" s="65">
        <v>0.56999999999999995</v>
      </c>
    </row>
    <row r="9" spans="1:41" x14ac:dyDescent="0.2">
      <c r="A9" s="66" t="s">
        <v>772</v>
      </c>
      <c r="B9" s="66">
        <v>0.82</v>
      </c>
      <c r="C9" s="68">
        <v>0.81</v>
      </c>
      <c r="D9" s="68">
        <v>0.79</v>
      </c>
      <c r="E9" s="67">
        <v>0.83</v>
      </c>
      <c r="F9" s="66">
        <v>0.7</v>
      </c>
      <c r="G9" s="68">
        <v>0.72</v>
      </c>
      <c r="H9" s="68">
        <v>0.8</v>
      </c>
      <c r="I9" s="67">
        <v>0.66</v>
      </c>
      <c r="J9" s="66">
        <v>0.82</v>
      </c>
      <c r="K9" s="68">
        <v>0.81</v>
      </c>
      <c r="L9" s="68">
        <v>0.78</v>
      </c>
      <c r="M9" s="67">
        <v>0.78</v>
      </c>
      <c r="N9" s="66">
        <v>0.79</v>
      </c>
      <c r="O9" s="68">
        <v>0.81</v>
      </c>
      <c r="P9" s="68">
        <v>0.78</v>
      </c>
      <c r="Q9" s="67">
        <v>0.77</v>
      </c>
      <c r="R9" s="66">
        <v>0.8</v>
      </c>
      <c r="S9" s="68">
        <v>0.82</v>
      </c>
      <c r="T9" s="68">
        <v>0.77</v>
      </c>
      <c r="U9" s="67">
        <v>0.79</v>
      </c>
      <c r="V9" s="66">
        <v>0.8</v>
      </c>
      <c r="W9" s="68">
        <v>0.8</v>
      </c>
      <c r="X9" s="68">
        <v>0.8</v>
      </c>
      <c r="Y9" s="67">
        <v>0.82</v>
      </c>
      <c r="Z9" s="66">
        <v>0.81</v>
      </c>
      <c r="AA9" s="68">
        <v>0.82</v>
      </c>
      <c r="AB9" s="68">
        <v>0.82</v>
      </c>
      <c r="AC9" s="67">
        <v>0.8</v>
      </c>
      <c r="AD9" s="66">
        <v>0.73</v>
      </c>
      <c r="AE9" s="68">
        <v>0.76</v>
      </c>
      <c r="AF9" s="68">
        <v>0.77</v>
      </c>
      <c r="AG9" s="67">
        <v>0.78</v>
      </c>
      <c r="AH9" s="66">
        <v>0.71</v>
      </c>
      <c r="AI9" s="68">
        <v>0.71</v>
      </c>
      <c r="AJ9" s="68">
        <v>0.77</v>
      </c>
      <c r="AK9" s="67">
        <v>0.68</v>
      </c>
      <c r="AL9" s="66">
        <v>0.76</v>
      </c>
      <c r="AM9" s="68">
        <v>0.72</v>
      </c>
      <c r="AN9" s="68">
        <v>0.78</v>
      </c>
      <c r="AO9" s="67">
        <v>0.8</v>
      </c>
    </row>
    <row r="10" spans="1:41" x14ac:dyDescent="0.2">
      <c r="A10" s="69" t="s">
        <v>781</v>
      </c>
      <c r="B10" s="69">
        <v>0.71</v>
      </c>
      <c r="C10" s="71">
        <v>0.77</v>
      </c>
      <c r="D10" s="71">
        <v>0.79</v>
      </c>
      <c r="E10" s="70">
        <v>0.67</v>
      </c>
      <c r="F10" s="69">
        <v>0.71</v>
      </c>
      <c r="G10" s="71">
        <v>0.78</v>
      </c>
      <c r="H10" s="71">
        <v>0.68</v>
      </c>
      <c r="I10" s="70">
        <v>0.73</v>
      </c>
      <c r="J10" s="69">
        <v>0.76</v>
      </c>
      <c r="K10" s="71">
        <v>0.8</v>
      </c>
      <c r="L10" s="71">
        <v>0.73</v>
      </c>
      <c r="M10" s="70">
        <v>0.72</v>
      </c>
      <c r="N10" s="69">
        <v>0.71</v>
      </c>
      <c r="O10" s="71">
        <v>0.8</v>
      </c>
      <c r="P10" s="71">
        <v>0.74</v>
      </c>
      <c r="Q10" s="70">
        <v>0.77</v>
      </c>
      <c r="R10" s="69">
        <v>0.78</v>
      </c>
      <c r="S10" s="71">
        <v>0.66</v>
      </c>
      <c r="T10" s="71">
        <v>0.7</v>
      </c>
      <c r="U10" s="70">
        <v>0.74</v>
      </c>
      <c r="V10" s="69">
        <v>0.75</v>
      </c>
      <c r="W10" s="71">
        <v>0.71</v>
      </c>
      <c r="X10" s="71">
        <v>0.72</v>
      </c>
      <c r="Y10" s="70">
        <v>0.69</v>
      </c>
      <c r="Z10" s="69">
        <v>0.85</v>
      </c>
      <c r="AA10" s="71">
        <v>0.81</v>
      </c>
      <c r="AB10" s="71">
        <v>0.79</v>
      </c>
      <c r="AC10" s="70">
        <v>0.79</v>
      </c>
      <c r="AD10" s="69">
        <v>0.76</v>
      </c>
      <c r="AE10" s="71">
        <v>0.77</v>
      </c>
      <c r="AF10" s="71">
        <v>0.8</v>
      </c>
      <c r="AG10" s="70">
        <v>0.78</v>
      </c>
      <c r="AH10" s="69">
        <v>0.71</v>
      </c>
      <c r="AI10" s="71">
        <v>0.74</v>
      </c>
      <c r="AJ10" s="71">
        <v>0.72</v>
      </c>
      <c r="AK10" s="70">
        <v>0.68</v>
      </c>
      <c r="AL10" s="69">
        <v>0.71</v>
      </c>
      <c r="AM10" s="71">
        <v>0.77</v>
      </c>
      <c r="AN10" s="71">
        <v>0.64</v>
      </c>
      <c r="AO10" s="70">
        <v>0.75</v>
      </c>
    </row>
    <row r="11" spans="1:41" x14ac:dyDescent="0.2">
      <c r="A11" s="64" t="s">
        <v>790</v>
      </c>
      <c r="B11" s="64">
        <v>0.76</v>
      </c>
      <c r="C11">
        <v>0.71</v>
      </c>
      <c r="D11">
        <v>0.51</v>
      </c>
      <c r="E11" s="65">
        <v>0.8</v>
      </c>
      <c r="F11" s="64">
        <v>0.79</v>
      </c>
      <c r="G11">
        <v>0.75</v>
      </c>
      <c r="H11">
        <v>0.74</v>
      </c>
      <c r="I11" s="65">
        <v>0.76</v>
      </c>
      <c r="J11" s="64">
        <v>0.78</v>
      </c>
      <c r="K11">
        <v>0.73</v>
      </c>
      <c r="L11">
        <v>0.79</v>
      </c>
      <c r="M11" s="65">
        <v>0.77</v>
      </c>
      <c r="N11" s="64">
        <v>0.81</v>
      </c>
      <c r="O11">
        <v>0.79</v>
      </c>
      <c r="P11">
        <v>0.76</v>
      </c>
      <c r="Q11" s="65">
        <v>0.79</v>
      </c>
      <c r="R11" s="64">
        <v>0.79</v>
      </c>
      <c r="S11">
        <v>0.75</v>
      </c>
      <c r="T11">
        <v>0.74</v>
      </c>
      <c r="U11" s="65">
        <v>0.8</v>
      </c>
      <c r="V11" s="64">
        <v>0.81</v>
      </c>
      <c r="W11">
        <v>0.72</v>
      </c>
      <c r="X11">
        <v>0.77</v>
      </c>
      <c r="Y11" s="65">
        <v>0.73</v>
      </c>
      <c r="Z11" s="64">
        <v>0.83</v>
      </c>
      <c r="AA11">
        <v>0.8</v>
      </c>
      <c r="AB11">
        <v>0.8</v>
      </c>
      <c r="AC11" s="65">
        <v>0.82</v>
      </c>
      <c r="AD11" s="64">
        <v>0.7</v>
      </c>
      <c r="AE11">
        <v>0.8</v>
      </c>
      <c r="AF11">
        <v>0.78</v>
      </c>
      <c r="AG11" s="65">
        <v>0.79</v>
      </c>
      <c r="AH11" s="64">
        <v>0.75</v>
      </c>
      <c r="AI11">
        <v>0.7</v>
      </c>
      <c r="AJ11">
        <v>0.62</v>
      </c>
      <c r="AK11" s="65">
        <v>0.63</v>
      </c>
      <c r="AL11" s="64">
        <v>0.67</v>
      </c>
      <c r="AM11">
        <v>0.17</v>
      </c>
      <c r="AN11">
        <v>0.76</v>
      </c>
      <c r="AO11" s="65">
        <v>0.24</v>
      </c>
    </row>
    <row r="12" spans="1:41" x14ac:dyDescent="0.2">
      <c r="A12" s="64" t="s">
        <v>799</v>
      </c>
      <c r="B12" s="64">
        <v>0.69</v>
      </c>
      <c r="C12">
        <v>0.64</v>
      </c>
      <c r="D12">
        <v>0.73</v>
      </c>
      <c r="E12" s="65">
        <v>0.61</v>
      </c>
      <c r="F12" s="64">
        <v>0.69</v>
      </c>
      <c r="G12">
        <v>0</v>
      </c>
      <c r="H12">
        <v>0</v>
      </c>
      <c r="I12" s="65">
        <v>0.53</v>
      </c>
      <c r="J12" s="64">
        <v>0.68</v>
      </c>
      <c r="K12">
        <v>0</v>
      </c>
      <c r="L12">
        <v>0</v>
      </c>
      <c r="M12" s="65">
        <v>0.57999999999999996</v>
      </c>
      <c r="N12" s="64">
        <v>0.69</v>
      </c>
      <c r="O12">
        <v>0.02</v>
      </c>
      <c r="P12">
        <v>0</v>
      </c>
      <c r="Q12" s="65">
        <v>0.79</v>
      </c>
      <c r="R12" s="64">
        <v>0.45</v>
      </c>
      <c r="S12">
        <v>0</v>
      </c>
      <c r="T12">
        <v>0</v>
      </c>
      <c r="U12" s="65">
        <v>0.64</v>
      </c>
      <c r="V12" s="64">
        <v>0.61</v>
      </c>
      <c r="W12">
        <v>0</v>
      </c>
      <c r="X12">
        <v>0</v>
      </c>
      <c r="Y12" s="65">
        <v>0.76</v>
      </c>
      <c r="Z12" s="64">
        <v>0.8</v>
      </c>
      <c r="AA12">
        <v>0</v>
      </c>
      <c r="AB12">
        <v>0</v>
      </c>
      <c r="AC12" s="65">
        <v>0.79</v>
      </c>
      <c r="AD12" s="64">
        <v>0.78</v>
      </c>
      <c r="AE12">
        <v>0</v>
      </c>
      <c r="AF12">
        <v>0</v>
      </c>
      <c r="AG12" s="65">
        <v>0.82</v>
      </c>
      <c r="AH12" s="64">
        <v>0.7</v>
      </c>
      <c r="AI12">
        <v>0</v>
      </c>
      <c r="AJ12">
        <v>0</v>
      </c>
      <c r="AK12" s="65">
        <v>0.73</v>
      </c>
      <c r="AL12" s="64">
        <v>0.77</v>
      </c>
      <c r="AM12">
        <v>0</v>
      </c>
      <c r="AN12">
        <v>0</v>
      </c>
      <c r="AO12" s="65">
        <v>0.78</v>
      </c>
    </row>
    <row r="13" spans="1:41" x14ac:dyDescent="0.2">
      <c r="A13" s="66" t="s">
        <v>808</v>
      </c>
      <c r="B13" s="66">
        <v>0.64</v>
      </c>
      <c r="C13" s="68">
        <v>0.52</v>
      </c>
      <c r="D13" s="68">
        <v>0.72</v>
      </c>
      <c r="E13" s="67">
        <v>0.71</v>
      </c>
      <c r="F13" s="66">
        <v>0</v>
      </c>
      <c r="G13" s="68">
        <v>0</v>
      </c>
      <c r="H13" s="68">
        <v>0</v>
      </c>
      <c r="I13" s="67">
        <v>0</v>
      </c>
      <c r="J13" s="66">
        <v>0</v>
      </c>
      <c r="K13" s="68">
        <v>0</v>
      </c>
      <c r="L13" s="68">
        <v>0</v>
      </c>
      <c r="M13" s="67">
        <v>0</v>
      </c>
      <c r="N13" s="66">
        <v>0.01</v>
      </c>
      <c r="O13" s="68">
        <v>0</v>
      </c>
      <c r="P13" s="68">
        <v>0.05</v>
      </c>
      <c r="Q13" s="67">
        <v>0.01</v>
      </c>
      <c r="R13" s="66">
        <v>0</v>
      </c>
      <c r="S13" s="68">
        <v>0</v>
      </c>
      <c r="T13" s="68">
        <v>0</v>
      </c>
      <c r="U13" s="67">
        <v>0.75</v>
      </c>
      <c r="V13" s="66">
        <v>0</v>
      </c>
      <c r="W13" s="68">
        <v>0</v>
      </c>
      <c r="X13" s="68">
        <v>0</v>
      </c>
      <c r="Y13" s="67">
        <v>0</v>
      </c>
      <c r="Z13" s="66">
        <v>0</v>
      </c>
      <c r="AA13" s="68">
        <v>0</v>
      </c>
      <c r="AB13" s="68">
        <v>0</v>
      </c>
      <c r="AC13" s="67">
        <v>0</v>
      </c>
      <c r="AD13" s="66">
        <v>0</v>
      </c>
      <c r="AE13" s="68">
        <v>0</v>
      </c>
      <c r="AF13" s="68">
        <v>0</v>
      </c>
      <c r="AG13" s="67">
        <v>0</v>
      </c>
      <c r="AH13" s="66">
        <v>0</v>
      </c>
      <c r="AI13" s="68">
        <v>0</v>
      </c>
      <c r="AJ13" s="68">
        <v>0</v>
      </c>
      <c r="AK13" s="67">
        <v>0</v>
      </c>
      <c r="AL13" s="66">
        <v>0</v>
      </c>
      <c r="AM13" s="68">
        <v>0</v>
      </c>
      <c r="AN13" s="68">
        <v>0</v>
      </c>
      <c r="AO13" s="67">
        <v>0</v>
      </c>
    </row>
    <row r="14" spans="1:41" x14ac:dyDescent="0.2">
      <c r="A14" s="69" t="s">
        <v>817</v>
      </c>
      <c r="B14" s="69">
        <v>0.72</v>
      </c>
      <c r="C14" s="71">
        <v>0.77</v>
      </c>
      <c r="D14" s="71">
        <v>0.72</v>
      </c>
      <c r="E14" s="70">
        <v>0.74</v>
      </c>
      <c r="F14" s="69">
        <v>0.76</v>
      </c>
      <c r="G14" s="71">
        <v>0.77</v>
      </c>
      <c r="H14" s="71">
        <v>0.73</v>
      </c>
      <c r="I14" s="70">
        <v>0.73</v>
      </c>
      <c r="J14" s="69">
        <v>0.78</v>
      </c>
      <c r="K14" s="71">
        <v>0.8</v>
      </c>
      <c r="L14" s="71">
        <v>0.73</v>
      </c>
      <c r="M14" s="70">
        <v>0.72</v>
      </c>
      <c r="N14" s="69">
        <v>0.76</v>
      </c>
      <c r="O14" s="71">
        <v>0.8</v>
      </c>
      <c r="P14" s="71">
        <v>0.78</v>
      </c>
      <c r="Q14" s="70">
        <v>0.74</v>
      </c>
      <c r="R14" s="69">
        <v>0.81</v>
      </c>
      <c r="S14" s="71">
        <v>0.73</v>
      </c>
      <c r="T14" s="71">
        <v>0.71</v>
      </c>
      <c r="U14" s="70">
        <v>0.68</v>
      </c>
      <c r="V14" s="69">
        <v>0.63</v>
      </c>
      <c r="W14" s="71">
        <v>0.79</v>
      </c>
      <c r="X14" s="71">
        <v>0.65</v>
      </c>
      <c r="Y14" s="70">
        <v>0.73</v>
      </c>
      <c r="Z14" s="69">
        <v>0.75</v>
      </c>
      <c r="AA14" s="71">
        <v>0.82</v>
      </c>
      <c r="AB14" s="71">
        <v>0.74</v>
      </c>
      <c r="AC14" s="70">
        <v>0.79</v>
      </c>
      <c r="AD14" s="69">
        <v>0.76</v>
      </c>
      <c r="AE14" s="71">
        <v>0.8</v>
      </c>
      <c r="AF14" s="71">
        <v>0.8</v>
      </c>
      <c r="AG14" s="70">
        <v>0.77</v>
      </c>
      <c r="AH14" s="69">
        <v>0.63</v>
      </c>
      <c r="AI14" s="71">
        <v>0.79</v>
      </c>
      <c r="AJ14" s="71">
        <v>0.47</v>
      </c>
      <c r="AK14" s="70">
        <v>0.69</v>
      </c>
      <c r="AL14" s="69">
        <v>0.61</v>
      </c>
      <c r="AM14" s="71">
        <v>0.8</v>
      </c>
      <c r="AN14" s="71">
        <v>0.43</v>
      </c>
      <c r="AO14" s="70">
        <v>0.76</v>
      </c>
    </row>
    <row r="15" spans="1:41" x14ac:dyDescent="0.2">
      <c r="A15" s="64" t="s">
        <v>826</v>
      </c>
      <c r="B15" s="64">
        <v>0.79</v>
      </c>
      <c r="C15">
        <v>0.81</v>
      </c>
      <c r="D15">
        <v>0.84</v>
      </c>
      <c r="E15" s="65">
        <v>0.83</v>
      </c>
      <c r="F15" s="64">
        <v>0.74</v>
      </c>
      <c r="G15">
        <v>0.74</v>
      </c>
      <c r="H15">
        <v>0.74</v>
      </c>
      <c r="I15" s="65">
        <v>0.7</v>
      </c>
      <c r="J15" s="64">
        <v>0.77</v>
      </c>
      <c r="K15">
        <v>0.7</v>
      </c>
      <c r="L15">
        <v>0.72</v>
      </c>
      <c r="M15" s="65">
        <v>0.8</v>
      </c>
      <c r="N15" s="64">
        <v>0.54</v>
      </c>
      <c r="O15">
        <v>0.75</v>
      </c>
      <c r="P15">
        <v>0.8</v>
      </c>
      <c r="Q15" s="65">
        <v>0.83</v>
      </c>
      <c r="R15" s="64">
        <v>0.8</v>
      </c>
      <c r="S15">
        <v>0.81</v>
      </c>
      <c r="T15">
        <v>0.71</v>
      </c>
      <c r="U15" s="65">
        <v>0.74</v>
      </c>
      <c r="V15" s="64"/>
      <c r="W15">
        <v>0</v>
      </c>
      <c r="X15">
        <v>0.22</v>
      </c>
      <c r="Y15" s="65">
        <v>0</v>
      </c>
      <c r="Z15" s="64">
        <v>0</v>
      </c>
      <c r="AA15">
        <v>0.69</v>
      </c>
      <c r="AB15">
        <v>0.74</v>
      </c>
      <c r="AC15" s="65">
        <v>0</v>
      </c>
      <c r="AD15" s="64">
        <v>0</v>
      </c>
      <c r="AE15">
        <v>0.77</v>
      </c>
      <c r="AF15">
        <v>0.8</v>
      </c>
      <c r="AG15" s="65">
        <v>0</v>
      </c>
      <c r="AH15" s="64">
        <v>0</v>
      </c>
      <c r="AI15">
        <v>0.63</v>
      </c>
      <c r="AJ15">
        <v>0</v>
      </c>
      <c r="AK15" s="65">
        <v>0</v>
      </c>
      <c r="AL15" s="64">
        <v>0</v>
      </c>
      <c r="AM15">
        <v>0.66</v>
      </c>
      <c r="AN15">
        <v>0</v>
      </c>
      <c r="AO15" s="65">
        <v>0</v>
      </c>
    </row>
    <row r="16" spans="1:41" x14ac:dyDescent="0.2">
      <c r="A16" s="64" t="s">
        <v>835</v>
      </c>
      <c r="B16" s="64">
        <v>0.6</v>
      </c>
      <c r="C16">
        <v>0.77</v>
      </c>
      <c r="D16">
        <v>0.8</v>
      </c>
      <c r="E16" s="65">
        <v>0.77</v>
      </c>
      <c r="F16" s="64">
        <v>0.76</v>
      </c>
      <c r="G16">
        <v>0.77</v>
      </c>
      <c r="H16">
        <v>0.75</v>
      </c>
      <c r="I16" s="65">
        <v>0.72</v>
      </c>
      <c r="J16" s="64">
        <v>0.71</v>
      </c>
      <c r="K16">
        <v>0.81</v>
      </c>
      <c r="L16">
        <v>0.82</v>
      </c>
      <c r="M16" s="65">
        <v>0.8</v>
      </c>
      <c r="N16" s="64">
        <v>0.83</v>
      </c>
      <c r="O16">
        <v>0.72</v>
      </c>
      <c r="P16">
        <v>0.83</v>
      </c>
      <c r="Q16" s="65">
        <v>0.85</v>
      </c>
      <c r="R16" s="64">
        <v>0.78</v>
      </c>
      <c r="S16">
        <v>0.76</v>
      </c>
      <c r="T16">
        <v>0.76</v>
      </c>
      <c r="U16" s="65">
        <v>0.71</v>
      </c>
      <c r="V16" s="64">
        <v>0.78</v>
      </c>
      <c r="W16">
        <v>0.8</v>
      </c>
      <c r="X16">
        <v>0.75</v>
      </c>
      <c r="Y16" s="65">
        <v>0.77</v>
      </c>
      <c r="Z16" s="64">
        <v>0.8</v>
      </c>
      <c r="AA16">
        <v>0.75</v>
      </c>
      <c r="AB16">
        <v>0.78</v>
      </c>
      <c r="AC16" s="65">
        <v>0.79</v>
      </c>
      <c r="AD16" s="64">
        <v>0.71</v>
      </c>
      <c r="AE16">
        <v>0.77</v>
      </c>
      <c r="AF16">
        <v>0.77</v>
      </c>
      <c r="AG16" s="65">
        <v>0.65</v>
      </c>
      <c r="AH16" s="64">
        <v>0.74</v>
      </c>
      <c r="AI16">
        <v>0.55000000000000004</v>
      </c>
      <c r="AJ16">
        <v>0.7</v>
      </c>
      <c r="AK16" s="65">
        <v>0.67</v>
      </c>
      <c r="AL16" s="64">
        <v>0.79</v>
      </c>
      <c r="AM16">
        <v>0.73</v>
      </c>
      <c r="AN16">
        <v>0.73</v>
      </c>
      <c r="AO16" s="65">
        <v>0.73</v>
      </c>
    </row>
    <row r="17" spans="1:41" x14ac:dyDescent="0.2">
      <c r="A17" s="66" t="s">
        <v>844</v>
      </c>
      <c r="B17" s="66">
        <v>0.83</v>
      </c>
      <c r="C17" s="68">
        <v>0.83</v>
      </c>
      <c r="D17" s="68">
        <v>0.83</v>
      </c>
      <c r="E17" s="67">
        <v>0.82</v>
      </c>
      <c r="F17" s="66">
        <v>0.76</v>
      </c>
      <c r="G17" s="68">
        <v>0.62</v>
      </c>
      <c r="H17" s="68">
        <v>0.52</v>
      </c>
      <c r="I17" s="67">
        <v>0.43</v>
      </c>
      <c r="J17" s="66">
        <v>0.8</v>
      </c>
      <c r="K17" s="68">
        <v>0.78</v>
      </c>
      <c r="L17" s="68">
        <v>0.76</v>
      </c>
      <c r="M17" s="67">
        <v>0.8</v>
      </c>
      <c r="N17" s="66">
        <v>0.84</v>
      </c>
      <c r="O17" s="68">
        <v>0.82</v>
      </c>
      <c r="P17" s="68">
        <v>0.82</v>
      </c>
      <c r="Q17" s="67">
        <v>0.78</v>
      </c>
      <c r="R17" s="66">
        <v>0.8</v>
      </c>
      <c r="S17" s="68">
        <v>0.74</v>
      </c>
      <c r="T17" s="68">
        <v>0.7</v>
      </c>
      <c r="U17" s="67">
        <v>0.68</v>
      </c>
      <c r="V17" s="66">
        <v>0.81</v>
      </c>
      <c r="W17" s="68"/>
      <c r="X17" s="68">
        <v>0.63</v>
      </c>
      <c r="Y17" s="67">
        <v>0.75</v>
      </c>
      <c r="Z17" s="66">
        <v>0.8</v>
      </c>
      <c r="AA17" s="68">
        <v>0</v>
      </c>
      <c r="AB17" s="68">
        <v>0.68</v>
      </c>
      <c r="AC17" s="67">
        <v>0.7</v>
      </c>
      <c r="AD17" s="66">
        <v>0.67</v>
      </c>
      <c r="AE17" s="68">
        <v>0</v>
      </c>
      <c r="AF17" s="68">
        <v>0.61</v>
      </c>
      <c r="AG17" s="67">
        <v>0.7</v>
      </c>
      <c r="AH17" s="66">
        <v>0.77</v>
      </c>
      <c r="AI17" s="68">
        <v>0</v>
      </c>
      <c r="AJ17" s="68">
        <v>0.1</v>
      </c>
      <c r="AK17" s="67">
        <v>0.62</v>
      </c>
      <c r="AL17" s="66">
        <v>0.78</v>
      </c>
      <c r="AM17" s="68">
        <v>0</v>
      </c>
      <c r="AN17" s="68">
        <v>0</v>
      </c>
      <c r="AO17" s="67">
        <v>0.73</v>
      </c>
    </row>
    <row r="18" spans="1:41" x14ac:dyDescent="0.2">
      <c r="A18" s="69" t="s">
        <v>853</v>
      </c>
      <c r="B18" s="69">
        <v>0.68</v>
      </c>
      <c r="C18" s="71">
        <v>0.64</v>
      </c>
      <c r="D18" s="71">
        <v>0.65</v>
      </c>
      <c r="E18" s="70">
        <v>0.63</v>
      </c>
      <c r="F18" s="69">
        <v>0.76</v>
      </c>
      <c r="G18" s="71">
        <v>0.61</v>
      </c>
      <c r="H18" s="71">
        <v>0.56999999999999995</v>
      </c>
      <c r="I18" s="70">
        <v>0.55000000000000004</v>
      </c>
      <c r="J18" s="69">
        <v>0.76</v>
      </c>
      <c r="K18" s="71">
        <v>0.6</v>
      </c>
      <c r="L18" s="71">
        <v>0.57999999999999996</v>
      </c>
      <c r="M18" s="70">
        <v>0.52</v>
      </c>
      <c r="N18" s="69">
        <v>0.8</v>
      </c>
      <c r="O18" s="71">
        <v>0.78</v>
      </c>
      <c r="P18" s="71">
        <v>0.77</v>
      </c>
      <c r="Q18" s="70">
        <v>0.69</v>
      </c>
      <c r="R18" s="69">
        <v>0.73</v>
      </c>
      <c r="S18" s="71">
        <v>0.62</v>
      </c>
      <c r="T18" s="71">
        <v>0.63</v>
      </c>
      <c r="U18" s="70">
        <v>0.52</v>
      </c>
      <c r="V18" s="69">
        <v>0.71</v>
      </c>
      <c r="W18" s="71">
        <v>0.57999999999999996</v>
      </c>
      <c r="X18" s="71">
        <v>0.61</v>
      </c>
      <c r="Y18" s="70">
        <v>0.49</v>
      </c>
      <c r="Z18" s="69">
        <v>0.78</v>
      </c>
      <c r="AA18" s="71">
        <v>0.63</v>
      </c>
      <c r="AB18" s="71">
        <v>0.71</v>
      </c>
      <c r="AC18" s="70">
        <v>0.71</v>
      </c>
      <c r="AD18" s="69">
        <v>0.75</v>
      </c>
      <c r="AE18" s="71">
        <v>0.75</v>
      </c>
      <c r="AF18" s="71">
        <v>0.73</v>
      </c>
      <c r="AG18" s="70">
        <v>0.76</v>
      </c>
      <c r="AH18" s="69">
        <v>0.32</v>
      </c>
      <c r="AI18" s="71">
        <v>0.55000000000000004</v>
      </c>
      <c r="AJ18" s="71">
        <v>0.57999999999999996</v>
      </c>
      <c r="AK18" s="70">
        <v>0.59</v>
      </c>
      <c r="AL18" s="69">
        <v>0.52</v>
      </c>
      <c r="AM18" s="71">
        <v>0.55000000000000004</v>
      </c>
      <c r="AN18" s="71">
        <v>0.61</v>
      </c>
      <c r="AO18" s="70">
        <v>0.56999999999999995</v>
      </c>
    </row>
    <row r="19" spans="1:41" x14ac:dyDescent="0.2">
      <c r="A19" s="64" t="s">
        <v>862</v>
      </c>
      <c r="B19" s="64">
        <v>0.74</v>
      </c>
      <c r="C19">
        <v>0.83</v>
      </c>
      <c r="D19">
        <v>0.74</v>
      </c>
      <c r="E19" s="65">
        <v>0.76</v>
      </c>
      <c r="F19" s="64">
        <v>0.62</v>
      </c>
      <c r="G19">
        <v>0.7</v>
      </c>
      <c r="H19">
        <v>0.4</v>
      </c>
      <c r="I19" s="65">
        <v>0.41</v>
      </c>
      <c r="J19" s="64">
        <v>0.56999999999999995</v>
      </c>
      <c r="K19">
        <v>0.72</v>
      </c>
      <c r="L19">
        <v>0.68</v>
      </c>
      <c r="M19" s="65">
        <v>0.68</v>
      </c>
      <c r="N19" s="64">
        <v>0.78</v>
      </c>
      <c r="O19">
        <v>0.75</v>
      </c>
      <c r="P19">
        <v>0.61</v>
      </c>
      <c r="Q19" s="65">
        <v>0.76</v>
      </c>
      <c r="R19" s="64">
        <v>0.72</v>
      </c>
      <c r="S19">
        <v>0.75</v>
      </c>
      <c r="T19">
        <v>0.43</v>
      </c>
      <c r="U19" s="65">
        <v>0.56999999999999995</v>
      </c>
      <c r="V19" s="64">
        <v>0.8</v>
      </c>
      <c r="Y19" s="65">
        <v>0.68</v>
      </c>
      <c r="Z19" s="64">
        <v>0.72</v>
      </c>
      <c r="AA19">
        <v>0</v>
      </c>
      <c r="AB19">
        <v>0</v>
      </c>
      <c r="AC19" s="65">
        <v>0.7</v>
      </c>
      <c r="AD19" s="64">
        <v>0.76</v>
      </c>
      <c r="AE19">
        <v>0</v>
      </c>
      <c r="AF19">
        <v>0</v>
      </c>
      <c r="AG19" s="65">
        <v>0.78</v>
      </c>
      <c r="AH19" s="64">
        <v>0.71</v>
      </c>
      <c r="AI19">
        <v>0</v>
      </c>
      <c r="AJ19">
        <v>0</v>
      </c>
      <c r="AK19" s="65">
        <v>0.51</v>
      </c>
      <c r="AL19" s="64">
        <v>0.7</v>
      </c>
      <c r="AM19">
        <v>0</v>
      </c>
      <c r="AN19">
        <v>0</v>
      </c>
      <c r="AO19" s="65">
        <v>0.59</v>
      </c>
    </row>
    <row r="20" spans="1:41" x14ac:dyDescent="0.2">
      <c r="A20" s="64" t="s">
        <v>871</v>
      </c>
      <c r="B20" s="64">
        <v>0.8</v>
      </c>
      <c r="C20">
        <v>0.78</v>
      </c>
      <c r="D20">
        <v>0.76</v>
      </c>
      <c r="E20" s="65">
        <v>0.69</v>
      </c>
      <c r="F20" s="64">
        <v>0.74</v>
      </c>
      <c r="G20">
        <v>0.72</v>
      </c>
      <c r="H20">
        <v>0.78</v>
      </c>
      <c r="I20" s="65">
        <v>0.75</v>
      </c>
      <c r="J20" s="64">
        <v>0.8</v>
      </c>
      <c r="K20">
        <v>0.79</v>
      </c>
      <c r="L20">
        <v>0.81</v>
      </c>
      <c r="M20" s="65">
        <v>0.79</v>
      </c>
      <c r="N20" s="64">
        <v>0.82</v>
      </c>
      <c r="O20">
        <v>0.77</v>
      </c>
      <c r="P20">
        <v>0.79</v>
      </c>
      <c r="Q20" s="65">
        <v>0.79</v>
      </c>
      <c r="R20" s="64">
        <v>0.8</v>
      </c>
      <c r="S20">
        <v>0.79</v>
      </c>
      <c r="T20">
        <v>0.76</v>
      </c>
      <c r="U20" s="65">
        <v>0.69</v>
      </c>
      <c r="V20" s="64">
        <v>0.72</v>
      </c>
      <c r="W20">
        <v>0.79</v>
      </c>
      <c r="X20">
        <v>0.8</v>
      </c>
      <c r="Y20" s="65">
        <v>0.77</v>
      </c>
      <c r="Z20" s="64">
        <v>0.75</v>
      </c>
      <c r="AA20">
        <v>0.74</v>
      </c>
      <c r="AB20">
        <v>0.71</v>
      </c>
      <c r="AC20" s="65">
        <v>0.71</v>
      </c>
      <c r="AD20" s="64">
        <v>0.79</v>
      </c>
      <c r="AE20">
        <v>0.77</v>
      </c>
      <c r="AF20">
        <v>0.77</v>
      </c>
      <c r="AG20" s="65">
        <v>0.7</v>
      </c>
      <c r="AH20" s="64">
        <v>0.77</v>
      </c>
      <c r="AI20">
        <v>0.76</v>
      </c>
      <c r="AJ20">
        <v>0.71</v>
      </c>
      <c r="AK20" s="65">
        <v>0.61</v>
      </c>
      <c r="AL20" s="64">
        <v>0.75</v>
      </c>
      <c r="AM20">
        <v>0.63</v>
      </c>
      <c r="AN20">
        <v>0.74</v>
      </c>
      <c r="AO20" s="65">
        <v>0.66</v>
      </c>
    </row>
    <row r="21" spans="1:41" x14ac:dyDescent="0.2">
      <c r="A21" s="66" t="s">
        <v>880</v>
      </c>
      <c r="B21" s="66">
        <v>0.78</v>
      </c>
      <c r="C21" s="68">
        <v>0.8</v>
      </c>
      <c r="D21" s="68">
        <v>0.77</v>
      </c>
      <c r="E21" s="67">
        <v>0.62</v>
      </c>
      <c r="F21" s="66">
        <v>0.76</v>
      </c>
      <c r="G21" s="68">
        <v>0.55000000000000004</v>
      </c>
      <c r="H21" s="68">
        <v>0.64</v>
      </c>
      <c r="I21" s="67">
        <v>0.65</v>
      </c>
      <c r="J21" s="66">
        <v>0.79</v>
      </c>
      <c r="K21" s="68">
        <v>0.77</v>
      </c>
      <c r="L21" s="68">
        <v>0.79</v>
      </c>
      <c r="M21" s="67">
        <v>0.75</v>
      </c>
      <c r="N21" s="66">
        <v>0.81</v>
      </c>
      <c r="O21" s="68">
        <v>0.76</v>
      </c>
      <c r="P21" s="68">
        <v>0.78</v>
      </c>
      <c r="Q21" s="67">
        <v>0.77</v>
      </c>
      <c r="R21" s="66">
        <v>0.81</v>
      </c>
      <c r="S21" s="68">
        <v>0.78</v>
      </c>
      <c r="T21" s="68">
        <v>0.74</v>
      </c>
      <c r="U21" s="67">
        <v>0.81</v>
      </c>
      <c r="V21" s="66">
        <v>0.74</v>
      </c>
      <c r="W21" s="68">
        <v>0.73</v>
      </c>
      <c r="X21" s="68">
        <v>0.75</v>
      </c>
      <c r="Y21" s="67">
        <v>0.77</v>
      </c>
      <c r="Z21" s="66">
        <v>0.72</v>
      </c>
      <c r="AA21" s="68">
        <v>0.75</v>
      </c>
      <c r="AB21" s="68">
        <v>0.79</v>
      </c>
      <c r="AC21" s="67">
        <v>0.74</v>
      </c>
      <c r="AD21" s="66">
        <v>0.77</v>
      </c>
      <c r="AE21" s="68">
        <v>0.75</v>
      </c>
      <c r="AF21" s="68">
        <v>0.73</v>
      </c>
      <c r="AG21" s="67">
        <v>0.74</v>
      </c>
      <c r="AH21" s="66">
        <v>0.65</v>
      </c>
      <c r="AI21" s="68">
        <v>0.68</v>
      </c>
      <c r="AJ21" s="68">
        <v>0.8</v>
      </c>
      <c r="AK21" s="67">
        <v>0.61</v>
      </c>
      <c r="AL21" s="66">
        <v>0.68</v>
      </c>
      <c r="AM21" s="68">
        <v>0.61</v>
      </c>
      <c r="AN21" s="68">
        <v>0.71</v>
      </c>
      <c r="AO21" s="67">
        <v>0.54</v>
      </c>
    </row>
    <row r="22" spans="1:41" x14ac:dyDescent="0.2">
      <c r="A22" s="69" t="s">
        <v>889</v>
      </c>
      <c r="B22" s="69">
        <v>0.77</v>
      </c>
      <c r="C22" s="71">
        <v>0.71</v>
      </c>
      <c r="D22" s="71">
        <v>0.56000000000000005</v>
      </c>
      <c r="E22" s="70">
        <v>0.73</v>
      </c>
      <c r="F22" s="69">
        <v>0.81</v>
      </c>
      <c r="G22" s="71">
        <v>0.72</v>
      </c>
      <c r="H22" s="71">
        <v>0.74</v>
      </c>
      <c r="I22" s="70">
        <v>0.71</v>
      </c>
      <c r="J22" s="69">
        <v>0.75</v>
      </c>
      <c r="K22" s="71">
        <v>0.74</v>
      </c>
      <c r="L22" s="71">
        <v>0.79</v>
      </c>
      <c r="M22" s="70">
        <v>0.77</v>
      </c>
      <c r="N22" s="69">
        <v>0.73</v>
      </c>
      <c r="O22" s="71">
        <v>0.79</v>
      </c>
      <c r="P22" s="71">
        <v>0.75</v>
      </c>
      <c r="Q22" s="70">
        <v>0.75</v>
      </c>
      <c r="R22" s="69">
        <v>0.79</v>
      </c>
      <c r="S22" s="71">
        <v>0.77</v>
      </c>
      <c r="T22" s="71">
        <v>0.78</v>
      </c>
      <c r="U22" s="70">
        <v>0.69</v>
      </c>
      <c r="V22" s="69">
        <v>0.62</v>
      </c>
      <c r="W22" s="71">
        <v>0.75</v>
      </c>
      <c r="X22" s="71">
        <v>0.47</v>
      </c>
      <c r="Y22" s="70">
        <v>0.66</v>
      </c>
      <c r="Z22" s="69">
        <v>0.72</v>
      </c>
      <c r="AA22" s="71">
        <v>0.75</v>
      </c>
      <c r="AB22" s="71">
        <v>0.74</v>
      </c>
      <c r="AC22" s="70">
        <v>0.73</v>
      </c>
      <c r="AD22" s="69">
        <v>0.67</v>
      </c>
      <c r="AE22" s="71">
        <v>0.75</v>
      </c>
      <c r="AF22" s="71">
        <v>0.67</v>
      </c>
      <c r="AG22" s="70">
        <v>0.73</v>
      </c>
      <c r="AH22" s="69">
        <v>0.71</v>
      </c>
      <c r="AI22" s="71">
        <v>0.77</v>
      </c>
      <c r="AJ22" s="71">
        <v>0.73</v>
      </c>
      <c r="AK22" s="70">
        <v>0.64</v>
      </c>
      <c r="AL22" s="69">
        <v>0.66</v>
      </c>
      <c r="AM22" s="71">
        <v>0.22</v>
      </c>
      <c r="AN22" s="71">
        <v>0.67</v>
      </c>
      <c r="AO22" s="70">
        <v>0.44</v>
      </c>
    </row>
    <row r="23" spans="1:41" x14ac:dyDescent="0.2">
      <c r="A23" s="64" t="s">
        <v>898</v>
      </c>
      <c r="B23" s="64">
        <v>0.72</v>
      </c>
      <c r="C23">
        <v>0.71</v>
      </c>
      <c r="D23">
        <v>0.76</v>
      </c>
      <c r="E23" s="65">
        <v>0.79</v>
      </c>
      <c r="F23" s="64">
        <v>0.67</v>
      </c>
      <c r="G23">
        <v>0.73</v>
      </c>
      <c r="H23">
        <v>0.63</v>
      </c>
      <c r="I23" s="65">
        <v>0.71</v>
      </c>
      <c r="J23" s="64">
        <v>0.77</v>
      </c>
      <c r="K23">
        <v>0.79</v>
      </c>
      <c r="L23">
        <v>0.78</v>
      </c>
      <c r="M23" s="65">
        <v>0.74</v>
      </c>
      <c r="N23" s="64">
        <v>0.79</v>
      </c>
      <c r="O23">
        <v>0.79</v>
      </c>
      <c r="P23">
        <v>0.77</v>
      </c>
      <c r="Q23" s="65">
        <v>0.8</v>
      </c>
      <c r="R23" s="64">
        <v>0.78</v>
      </c>
      <c r="S23">
        <v>0.79</v>
      </c>
      <c r="T23">
        <v>0.81</v>
      </c>
      <c r="U23" s="65">
        <v>0.78</v>
      </c>
      <c r="V23" s="64">
        <v>0.74</v>
      </c>
      <c r="W23">
        <v>0.8</v>
      </c>
      <c r="X23">
        <v>0.67</v>
      </c>
      <c r="Y23" s="65">
        <v>0.68</v>
      </c>
      <c r="Z23" s="64">
        <v>0.75</v>
      </c>
      <c r="AA23">
        <v>0.71</v>
      </c>
      <c r="AB23">
        <v>0.76</v>
      </c>
      <c r="AC23" s="65">
        <v>0.78</v>
      </c>
      <c r="AD23" s="64">
        <v>0.75</v>
      </c>
      <c r="AE23">
        <v>0.77</v>
      </c>
      <c r="AF23">
        <v>0.79</v>
      </c>
      <c r="AG23" s="65">
        <v>0.75</v>
      </c>
      <c r="AH23" s="64">
        <v>0.68</v>
      </c>
      <c r="AI23">
        <v>0.74</v>
      </c>
      <c r="AJ23">
        <v>0.65</v>
      </c>
      <c r="AK23" s="65">
        <v>0.6</v>
      </c>
      <c r="AL23" s="64">
        <v>0.62</v>
      </c>
      <c r="AM23">
        <v>0.7</v>
      </c>
      <c r="AN23">
        <v>0.71</v>
      </c>
      <c r="AO23" s="65">
        <v>0.72</v>
      </c>
    </row>
    <row r="24" spans="1:41" x14ac:dyDescent="0.2">
      <c r="A24" s="64" t="s">
        <v>907</v>
      </c>
      <c r="B24" s="64">
        <v>0.73</v>
      </c>
      <c r="C24">
        <v>0.77</v>
      </c>
      <c r="D24">
        <v>0.74</v>
      </c>
      <c r="E24" s="65">
        <v>0.72</v>
      </c>
      <c r="F24" s="64">
        <v>0.66</v>
      </c>
      <c r="G24">
        <v>0.82</v>
      </c>
      <c r="H24">
        <v>0.72</v>
      </c>
      <c r="I24" s="65">
        <v>0.75</v>
      </c>
      <c r="J24" s="64">
        <v>0.7</v>
      </c>
      <c r="K24">
        <v>0.79</v>
      </c>
      <c r="L24">
        <v>0.77</v>
      </c>
      <c r="M24" s="65">
        <v>0.74</v>
      </c>
      <c r="N24" s="64">
        <v>0.81</v>
      </c>
      <c r="O24">
        <v>0.77</v>
      </c>
      <c r="P24">
        <v>0.72</v>
      </c>
      <c r="Q24" s="65">
        <v>0.79</v>
      </c>
      <c r="R24" s="64">
        <v>0.84</v>
      </c>
      <c r="S24">
        <v>0.8</v>
      </c>
      <c r="T24">
        <v>0.75</v>
      </c>
      <c r="U24" s="65">
        <v>0.74</v>
      </c>
      <c r="V24" s="64">
        <v>0.81</v>
      </c>
      <c r="W24">
        <v>0.8</v>
      </c>
      <c r="X24">
        <v>0.71</v>
      </c>
      <c r="Y24" s="65">
        <v>0.7</v>
      </c>
      <c r="Z24" s="64">
        <v>0.76</v>
      </c>
      <c r="AA24">
        <v>0.72</v>
      </c>
      <c r="AB24">
        <v>0.74</v>
      </c>
      <c r="AC24" s="65">
        <v>0.75</v>
      </c>
      <c r="AD24" s="64">
        <v>0.7</v>
      </c>
      <c r="AE24">
        <v>0.75</v>
      </c>
      <c r="AF24">
        <v>0.79</v>
      </c>
      <c r="AG24" s="65">
        <v>0.75</v>
      </c>
      <c r="AH24" s="64">
        <v>0.77</v>
      </c>
      <c r="AI24">
        <v>0.78</v>
      </c>
      <c r="AJ24">
        <v>0.73</v>
      </c>
      <c r="AK24" s="65">
        <v>0.56999999999999995</v>
      </c>
      <c r="AL24" s="64">
        <v>0.65</v>
      </c>
      <c r="AM24">
        <v>0.63</v>
      </c>
      <c r="AN24">
        <v>0.6</v>
      </c>
      <c r="AO24" s="65">
        <v>0.7</v>
      </c>
    </row>
    <row r="25" spans="1:41" x14ac:dyDescent="0.2">
      <c r="A25" s="66" t="s">
        <v>916</v>
      </c>
      <c r="B25" s="66">
        <v>0.69</v>
      </c>
      <c r="C25" s="68">
        <v>0.5</v>
      </c>
      <c r="D25" s="68">
        <v>0.67</v>
      </c>
      <c r="E25" s="67">
        <v>0.66</v>
      </c>
      <c r="F25" s="66">
        <v>0.6</v>
      </c>
      <c r="G25" s="68">
        <v>0.47</v>
      </c>
      <c r="H25" s="68">
        <v>0.59</v>
      </c>
      <c r="I25" s="67">
        <v>0.6</v>
      </c>
      <c r="J25" s="66">
        <v>0.77</v>
      </c>
      <c r="K25" s="68">
        <v>0.65</v>
      </c>
      <c r="L25" s="68">
        <v>0.66</v>
      </c>
      <c r="M25" s="67">
        <v>0.74</v>
      </c>
      <c r="N25" s="66">
        <v>0.81</v>
      </c>
      <c r="O25" s="68">
        <v>0.76</v>
      </c>
      <c r="P25" s="68">
        <v>0.63</v>
      </c>
      <c r="Q25" s="67">
        <v>0.79</v>
      </c>
      <c r="R25" s="66">
        <v>0.79</v>
      </c>
      <c r="S25" s="68">
        <v>0.59</v>
      </c>
      <c r="T25" s="68">
        <v>0.63</v>
      </c>
      <c r="U25" s="67">
        <v>0.62</v>
      </c>
      <c r="V25" s="66">
        <v>0.77</v>
      </c>
      <c r="W25" s="68">
        <v>0.75</v>
      </c>
      <c r="X25" s="68">
        <v>0.68</v>
      </c>
      <c r="Y25" s="67">
        <v>0.77</v>
      </c>
      <c r="Z25" s="66">
        <v>0.72</v>
      </c>
      <c r="AA25" s="68">
        <v>0.4</v>
      </c>
      <c r="AB25" s="68">
        <v>0.75</v>
      </c>
      <c r="AC25" s="67">
        <v>0.77</v>
      </c>
      <c r="AD25" s="66">
        <v>0.79</v>
      </c>
      <c r="AE25" s="68">
        <v>0.74</v>
      </c>
      <c r="AF25" s="68">
        <v>0.78</v>
      </c>
      <c r="AG25" s="67">
        <v>0.75</v>
      </c>
      <c r="AH25" s="66">
        <v>0.71</v>
      </c>
      <c r="AI25" s="68">
        <v>0.67</v>
      </c>
      <c r="AJ25" s="68">
        <v>0.57999999999999996</v>
      </c>
      <c r="AK25" s="67">
        <v>0.56000000000000005</v>
      </c>
      <c r="AL25" s="66">
        <v>0.73</v>
      </c>
      <c r="AM25" s="68">
        <v>0.71</v>
      </c>
      <c r="AN25" s="68">
        <v>0.55000000000000004</v>
      </c>
      <c r="AO25" s="67">
        <v>0.66</v>
      </c>
    </row>
    <row r="26" spans="1:41" x14ac:dyDescent="0.2">
      <c r="A26" s="69" t="s">
        <v>925</v>
      </c>
      <c r="B26" s="69">
        <v>0.8</v>
      </c>
      <c r="C26" s="71">
        <v>0.8</v>
      </c>
      <c r="D26" s="71">
        <v>0.79</v>
      </c>
      <c r="E26" s="70">
        <v>0.83</v>
      </c>
      <c r="F26" s="69">
        <v>0.75</v>
      </c>
      <c r="G26" s="71">
        <v>0.61</v>
      </c>
      <c r="H26" s="71">
        <v>0.72</v>
      </c>
      <c r="I26" s="70">
        <v>0.77</v>
      </c>
      <c r="J26" s="69">
        <v>0.76</v>
      </c>
      <c r="K26" s="71">
        <v>0.8</v>
      </c>
      <c r="L26" s="71">
        <v>0.67</v>
      </c>
      <c r="M26" s="70">
        <v>0.81</v>
      </c>
      <c r="N26" s="69">
        <v>0.79</v>
      </c>
      <c r="O26" s="71">
        <v>0.82</v>
      </c>
      <c r="P26" s="71">
        <v>0.73</v>
      </c>
      <c r="Q26" s="70">
        <v>0.82</v>
      </c>
      <c r="R26" s="69">
        <v>0.71</v>
      </c>
      <c r="S26" s="71">
        <v>0.78</v>
      </c>
      <c r="T26" s="71">
        <v>0.69</v>
      </c>
      <c r="U26" s="70">
        <v>0.81</v>
      </c>
      <c r="V26" s="69">
        <v>0</v>
      </c>
      <c r="W26" s="71"/>
      <c r="X26" s="71"/>
      <c r="Y26" s="70">
        <v>0.3</v>
      </c>
      <c r="Z26" s="69">
        <v>0</v>
      </c>
      <c r="AA26" s="71">
        <v>0</v>
      </c>
      <c r="AB26" s="71">
        <v>0</v>
      </c>
      <c r="AC26" s="70">
        <v>0.53</v>
      </c>
      <c r="AD26" s="69">
        <v>0</v>
      </c>
      <c r="AE26" s="71">
        <v>0</v>
      </c>
      <c r="AF26" s="71">
        <v>0</v>
      </c>
      <c r="AG26" s="70">
        <v>0</v>
      </c>
      <c r="AH26" s="69">
        <v>0</v>
      </c>
      <c r="AI26" s="71">
        <v>0</v>
      </c>
      <c r="AJ26" s="71">
        <v>0</v>
      </c>
      <c r="AK26" s="70">
        <v>0</v>
      </c>
      <c r="AL26" s="69">
        <v>0</v>
      </c>
      <c r="AM26" s="71">
        <v>0</v>
      </c>
      <c r="AN26" s="71">
        <v>0</v>
      </c>
      <c r="AO26" s="70">
        <v>0</v>
      </c>
    </row>
    <row r="27" spans="1:41" x14ac:dyDescent="0.2">
      <c r="A27" s="64" t="s">
        <v>934</v>
      </c>
      <c r="B27" s="64">
        <v>0.75</v>
      </c>
      <c r="C27">
        <v>0.82</v>
      </c>
      <c r="D27">
        <v>0.75</v>
      </c>
      <c r="E27" s="65">
        <v>0.78</v>
      </c>
      <c r="F27" s="64">
        <v>0.79</v>
      </c>
      <c r="G27">
        <v>0.74</v>
      </c>
      <c r="H27">
        <v>0.72</v>
      </c>
      <c r="I27" s="65">
        <v>0.76</v>
      </c>
      <c r="J27" s="64">
        <v>0.77</v>
      </c>
      <c r="K27">
        <v>0.78</v>
      </c>
      <c r="L27">
        <v>0.76</v>
      </c>
      <c r="M27" s="65">
        <v>0.79</v>
      </c>
      <c r="N27" s="64">
        <v>0.81</v>
      </c>
      <c r="O27">
        <v>0.81</v>
      </c>
      <c r="P27">
        <v>0.8</v>
      </c>
      <c r="Q27" s="65">
        <v>0.83</v>
      </c>
      <c r="R27" s="64">
        <v>0.79</v>
      </c>
      <c r="S27">
        <v>0.8</v>
      </c>
      <c r="T27">
        <v>0.27</v>
      </c>
      <c r="U27" s="65">
        <v>0.76</v>
      </c>
      <c r="V27" s="64">
        <v>0.79</v>
      </c>
      <c r="W27">
        <v>0.71</v>
      </c>
      <c r="X27">
        <v>0.67</v>
      </c>
      <c r="Y27" s="65">
        <v>0.77</v>
      </c>
      <c r="Z27" s="64">
        <v>0.73</v>
      </c>
      <c r="AA27">
        <v>0.7</v>
      </c>
      <c r="AB27">
        <v>0.78</v>
      </c>
      <c r="AC27" s="65">
        <v>0.78</v>
      </c>
      <c r="AD27" s="64">
        <v>0.77</v>
      </c>
      <c r="AE27">
        <v>0.78</v>
      </c>
      <c r="AF27">
        <v>0.8</v>
      </c>
      <c r="AG27" s="65">
        <v>0.78</v>
      </c>
      <c r="AH27" s="64">
        <v>0.63</v>
      </c>
      <c r="AI27">
        <v>0.77</v>
      </c>
      <c r="AJ27">
        <v>0.7</v>
      </c>
      <c r="AK27" s="65">
        <v>0.66</v>
      </c>
      <c r="AL27" s="64">
        <v>0.78</v>
      </c>
      <c r="AM27">
        <v>0.75</v>
      </c>
      <c r="AN27">
        <v>0.69</v>
      </c>
      <c r="AO27" s="65">
        <v>0.68</v>
      </c>
    </row>
    <row r="28" spans="1:41" x14ac:dyDescent="0.2">
      <c r="A28" s="64" t="s">
        <v>943</v>
      </c>
      <c r="B28" s="64">
        <v>0.8</v>
      </c>
      <c r="C28">
        <v>0.81</v>
      </c>
      <c r="D28">
        <v>0.83</v>
      </c>
      <c r="E28" s="65">
        <v>0.76</v>
      </c>
      <c r="F28" s="64">
        <v>0.64</v>
      </c>
      <c r="G28">
        <v>0</v>
      </c>
      <c r="H28">
        <v>0.53</v>
      </c>
      <c r="I28" s="65">
        <v>0.47</v>
      </c>
      <c r="J28" s="64">
        <v>0.77</v>
      </c>
      <c r="K28">
        <v>0</v>
      </c>
      <c r="L28">
        <v>0.74</v>
      </c>
      <c r="M28" s="65">
        <v>0.73</v>
      </c>
      <c r="N28" s="64">
        <v>0.82</v>
      </c>
      <c r="O28">
        <v>0</v>
      </c>
      <c r="P28">
        <v>0.78</v>
      </c>
      <c r="Q28" s="65">
        <v>0.8</v>
      </c>
      <c r="R28" s="64">
        <v>0.66</v>
      </c>
      <c r="S28">
        <v>0</v>
      </c>
      <c r="T28">
        <v>0.55000000000000004</v>
      </c>
      <c r="U28" s="65">
        <v>0.52</v>
      </c>
      <c r="V28" s="64">
        <v>0.74</v>
      </c>
      <c r="W28">
        <v>0</v>
      </c>
      <c r="Y28" s="65">
        <v>0.7</v>
      </c>
      <c r="Z28" s="64">
        <v>0.76</v>
      </c>
      <c r="AA28">
        <v>0</v>
      </c>
      <c r="AB28">
        <v>0</v>
      </c>
      <c r="AC28" s="65">
        <v>0.76</v>
      </c>
      <c r="AD28" s="64">
        <v>0.77</v>
      </c>
      <c r="AE28">
        <v>0</v>
      </c>
      <c r="AF28">
        <v>0</v>
      </c>
      <c r="AG28" s="65">
        <v>0.76</v>
      </c>
      <c r="AH28" s="64">
        <v>0.74</v>
      </c>
      <c r="AI28">
        <v>0</v>
      </c>
      <c r="AJ28">
        <v>0</v>
      </c>
      <c r="AK28" s="65">
        <v>0.13</v>
      </c>
      <c r="AL28" s="64">
        <v>0.71</v>
      </c>
      <c r="AM28">
        <v>0</v>
      </c>
      <c r="AN28">
        <v>0</v>
      </c>
      <c r="AO28" s="65">
        <v>0.72</v>
      </c>
    </row>
    <row r="29" spans="1:41" x14ac:dyDescent="0.2">
      <c r="A29" s="66" t="s">
        <v>952</v>
      </c>
      <c r="B29" s="66">
        <v>0.68</v>
      </c>
      <c r="C29" s="68">
        <v>0.46</v>
      </c>
      <c r="D29" s="68">
        <v>0.78</v>
      </c>
      <c r="E29" s="67">
        <v>0.73</v>
      </c>
      <c r="F29" s="66">
        <v>0.82</v>
      </c>
      <c r="G29" s="68">
        <v>0.78</v>
      </c>
      <c r="H29" s="68">
        <v>0.67</v>
      </c>
      <c r="I29" s="67">
        <v>0.79</v>
      </c>
      <c r="J29" s="66">
        <v>0.82</v>
      </c>
      <c r="K29" s="68">
        <v>0.78</v>
      </c>
      <c r="L29" s="68">
        <v>0.76</v>
      </c>
      <c r="M29" s="67">
        <v>0.78</v>
      </c>
      <c r="N29" s="66">
        <v>0.82</v>
      </c>
      <c r="O29" s="68">
        <v>0.8</v>
      </c>
      <c r="P29" s="68">
        <v>0.8</v>
      </c>
      <c r="Q29" s="67">
        <v>0.79</v>
      </c>
      <c r="R29" s="66">
        <v>0.83</v>
      </c>
      <c r="S29" s="68">
        <v>0.8</v>
      </c>
      <c r="T29" s="68">
        <v>0.81</v>
      </c>
      <c r="U29" s="67">
        <v>0.67</v>
      </c>
      <c r="V29" s="66">
        <v>0.73</v>
      </c>
      <c r="W29" s="68">
        <v>0.77</v>
      </c>
      <c r="X29" s="68">
        <v>0.73</v>
      </c>
      <c r="Y29" s="67">
        <v>0.77</v>
      </c>
      <c r="Z29" s="66">
        <v>0.78</v>
      </c>
      <c r="AA29" s="68">
        <v>0.77</v>
      </c>
      <c r="AB29" s="68">
        <v>0.77</v>
      </c>
      <c r="AC29" s="67">
        <v>0.74</v>
      </c>
      <c r="AD29" s="66">
        <v>0.78</v>
      </c>
      <c r="AE29" s="68">
        <v>0.72</v>
      </c>
      <c r="AF29" s="68">
        <v>0.75</v>
      </c>
      <c r="AG29" s="67">
        <v>0.77</v>
      </c>
      <c r="AH29" s="66">
        <v>0.77</v>
      </c>
      <c r="AI29" s="68">
        <v>0.8</v>
      </c>
      <c r="AJ29" s="68">
        <v>0.55000000000000004</v>
      </c>
      <c r="AK29" s="67">
        <v>0.72</v>
      </c>
      <c r="AL29" s="66">
        <v>0.76</v>
      </c>
      <c r="AM29" s="68">
        <v>0.74</v>
      </c>
      <c r="AN29" s="68">
        <v>0.44</v>
      </c>
      <c r="AO29" s="67">
        <v>0.62</v>
      </c>
    </row>
    <row r="30" spans="1:41" x14ac:dyDescent="0.2">
      <c r="A30" s="69" t="s">
        <v>961</v>
      </c>
      <c r="B30" s="69">
        <v>0.79</v>
      </c>
      <c r="C30" s="71">
        <v>0.83</v>
      </c>
      <c r="D30" s="71">
        <v>0.79</v>
      </c>
      <c r="E30" s="70">
        <v>0.84</v>
      </c>
      <c r="F30" s="69">
        <v>0.66</v>
      </c>
      <c r="G30" s="71">
        <v>0.67</v>
      </c>
      <c r="H30" s="71">
        <v>0.61</v>
      </c>
      <c r="I30" s="70">
        <v>0.7</v>
      </c>
      <c r="J30" s="69">
        <v>0.67</v>
      </c>
      <c r="K30" s="71">
        <v>0.84</v>
      </c>
      <c r="L30" s="71">
        <v>0.74</v>
      </c>
      <c r="M30" s="70">
        <v>0.77</v>
      </c>
      <c r="N30" s="69">
        <v>0.74</v>
      </c>
      <c r="O30" s="71">
        <v>0.8</v>
      </c>
      <c r="P30" s="71">
        <v>0.73</v>
      </c>
      <c r="Q30" s="70">
        <v>0.76</v>
      </c>
      <c r="R30" s="69">
        <v>0.79</v>
      </c>
      <c r="S30" s="71">
        <v>0.82</v>
      </c>
      <c r="T30" s="71">
        <v>0.78</v>
      </c>
      <c r="U30" s="70">
        <v>0.82</v>
      </c>
      <c r="V30" s="69">
        <v>0.59</v>
      </c>
      <c r="W30" s="71">
        <v>0.56999999999999995</v>
      </c>
      <c r="X30" s="71">
        <v>0.3</v>
      </c>
      <c r="Y30" s="70">
        <v>0.56999999999999995</v>
      </c>
      <c r="Z30" s="69">
        <v>0.75</v>
      </c>
      <c r="AA30" s="71">
        <v>0.73</v>
      </c>
      <c r="AB30" s="71">
        <v>0.42</v>
      </c>
      <c r="AC30" s="70">
        <v>0.61</v>
      </c>
      <c r="AD30" s="69">
        <v>0.77</v>
      </c>
      <c r="AE30" s="71">
        <v>0.73</v>
      </c>
      <c r="AF30" s="71">
        <v>0.67</v>
      </c>
      <c r="AG30" s="70">
        <v>0</v>
      </c>
      <c r="AH30" s="69">
        <v>0.64</v>
      </c>
      <c r="AI30" s="71">
        <v>0.35</v>
      </c>
      <c r="AJ30" s="71">
        <v>0.23</v>
      </c>
      <c r="AK30" s="70">
        <v>0</v>
      </c>
      <c r="AL30" s="69">
        <v>0.35</v>
      </c>
      <c r="AM30" s="71">
        <v>0.49</v>
      </c>
      <c r="AN30" s="71">
        <v>0.16</v>
      </c>
      <c r="AO30" s="70">
        <v>0</v>
      </c>
    </row>
    <row r="31" spans="1:41" x14ac:dyDescent="0.2">
      <c r="A31" s="64" t="s">
        <v>970</v>
      </c>
      <c r="B31" s="64">
        <v>0.83</v>
      </c>
      <c r="C31">
        <v>0.84</v>
      </c>
      <c r="D31">
        <v>0.85</v>
      </c>
      <c r="E31" s="65">
        <v>0.78</v>
      </c>
      <c r="F31" s="64">
        <v>0.82</v>
      </c>
      <c r="G31">
        <v>0.76</v>
      </c>
      <c r="H31">
        <v>0.59</v>
      </c>
      <c r="I31" s="65">
        <v>0.53</v>
      </c>
      <c r="J31" s="64">
        <v>0.81</v>
      </c>
      <c r="K31">
        <v>0.77</v>
      </c>
      <c r="L31">
        <v>0.77</v>
      </c>
      <c r="M31" s="65">
        <v>0.81</v>
      </c>
      <c r="N31" s="64">
        <v>0.81</v>
      </c>
      <c r="O31">
        <v>0.82</v>
      </c>
      <c r="P31">
        <v>0.76</v>
      </c>
      <c r="Q31" s="65">
        <v>0.81</v>
      </c>
      <c r="R31" s="64">
        <v>0.82</v>
      </c>
      <c r="S31">
        <v>0.8</v>
      </c>
      <c r="T31">
        <v>0.69</v>
      </c>
      <c r="U31" s="65">
        <v>0.31</v>
      </c>
      <c r="V31" s="64">
        <v>0.77</v>
      </c>
      <c r="W31">
        <v>0.57999999999999996</v>
      </c>
      <c r="Y31" s="65">
        <v>0.72</v>
      </c>
      <c r="Z31" s="64">
        <v>0.8</v>
      </c>
      <c r="AA31">
        <v>0.59</v>
      </c>
      <c r="AB31">
        <v>0</v>
      </c>
      <c r="AC31" s="65">
        <v>0.77</v>
      </c>
      <c r="AD31" s="64">
        <v>0.76</v>
      </c>
      <c r="AE31">
        <v>0.62</v>
      </c>
      <c r="AF31">
        <v>0</v>
      </c>
      <c r="AG31" s="65">
        <v>0.79</v>
      </c>
      <c r="AH31" s="64">
        <v>0.72</v>
      </c>
      <c r="AI31">
        <v>0.54</v>
      </c>
      <c r="AJ31">
        <v>0</v>
      </c>
      <c r="AK31" s="65">
        <v>0.6</v>
      </c>
      <c r="AL31" s="64">
        <v>0.74</v>
      </c>
      <c r="AM31">
        <v>0</v>
      </c>
      <c r="AN31">
        <v>0</v>
      </c>
      <c r="AO31" s="65">
        <v>0.71</v>
      </c>
    </row>
    <row r="32" spans="1:41" x14ac:dyDescent="0.2">
      <c r="A32" s="64" t="s">
        <v>979</v>
      </c>
      <c r="B32" s="64">
        <v>0.74</v>
      </c>
      <c r="C32">
        <v>0.71</v>
      </c>
      <c r="D32">
        <v>0.78</v>
      </c>
      <c r="E32" s="65">
        <v>0.8</v>
      </c>
      <c r="F32" s="64">
        <v>0.81</v>
      </c>
      <c r="G32">
        <v>0.71</v>
      </c>
      <c r="H32">
        <v>0.74</v>
      </c>
      <c r="I32" s="65">
        <v>0.81</v>
      </c>
      <c r="J32" s="64">
        <v>0.78</v>
      </c>
      <c r="K32">
        <v>0.8</v>
      </c>
      <c r="L32">
        <v>0.82</v>
      </c>
      <c r="M32" s="65">
        <v>0.74</v>
      </c>
      <c r="N32" s="64">
        <v>0.79</v>
      </c>
      <c r="O32">
        <v>0.75</v>
      </c>
      <c r="P32">
        <v>0.73</v>
      </c>
      <c r="Q32" s="65">
        <v>0.77</v>
      </c>
      <c r="R32" s="64">
        <v>0.79</v>
      </c>
      <c r="S32">
        <v>0.79</v>
      </c>
      <c r="T32">
        <v>0.75</v>
      </c>
      <c r="U32" s="65">
        <v>0.81</v>
      </c>
      <c r="V32" s="64">
        <v>0.8</v>
      </c>
      <c r="W32">
        <v>0.8</v>
      </c>
      <c r="X32">
        <v>0.78</v>
      </c>
      <c r="Y32" s="65">
        <v>0.78</v>
      </c>
      <c r="Z32" s="64">
        <v>0.78</v>
      </c>
      <c r="AA32">
        <v>0.8</v>
      </c>
      <c r="AB32">
        <v>0.7</v>
      </c>
      <c r="AC32" s="65">
        <v>0.75</v>
      </c>
      <c r="AD32" s="64">
        <v>0.8</v>
      </c>
      <c r="AE32">
        <v>0.8</v>
      </c>
      <c r="AF32">
        <v>0.76</v>
      </c>
      <c r="AG32" s="65">
        <v>0.78</v>
      </c>
      <c r="AH32" s="64">
        <v>0.77</v>
      </c>
      <c r="AI32">
        <v>0.77</v>
      </c>
      <c r="AJ32">
        <v>0.53</v>
      </c>
      <c r="AK32" s="65">
        <v>0.7</v>
      </c>
      <c r="AL32" s="64">
        <v>0.7</v>
      </c>
      <c r="AM32">
        <v>0.74</v>
      </c>
      <c r="AN32">
        <v>0.65</v>
      </c>
      <c r="AO32" s="65">
        <v>0.75</v>
      </c>
    </row>
    <row r="33" spans="1:41" x14ac:dyDescent="0.2">
      <c r="A33" s="66" t="s">
        <v>988</v>
      </c>
      <c r="B33" s="66">
        <v>0.81</v>
      </c>
      <c r="C33" s="68">
        <v>0.81</v>
      </c>
      <c r="D33" s="68">
        <v>0.81</v>
      </c>
      <c r="E33" s="67">
        <v>0.6</v>
      </c>
      <c r="F33" s="66">
        <v>0.76</v>
      </c>
      <c r="G33" s="68">
        <v>0.66</v>
      </c>
      <c r="H33" s="68">
        <v>0.78</v>
      </c>
      <c r="I33" s="67">
        <v>0.67</v>
      </c>
      <c r="J33" s="66">
        <v>0.79</v>
      </c>
      <c r="K33" s="68">
        <v>0.8</v>
      </c>
      <c r="L33" s="68">
        <v>0.81</v>
      </c>
      <c r="M33" s="67">
        <v>0.79</v>
      </c>
      <c r="N33" s="66">
        <v>0.76</v>
      </c>
      <c r="O33" s="68">
        <v>0.78</v>
      </c>
      <c r="P33" s="68">
        <v>0.78</v>
      </c>
      <c r="Q33" s="67">
        <v>0.75</v>
      </c>
      <c r="R33" s="66">
        <v>0.8</v>
      </c>
      <c r="S33" s="68">
        <v>0.76</v>
      </c>
      <c r="T33" s="68">
        <v>0.54</v>
      </c>
      <c r="U33" s="67">
        <v>0.75</v>
      </c>
      <c r="V33" s="66">
        <v>0.78</v>
      </c>
      <c r="W33" s="68">
        <v>0.82</v>
      </c>
      <c r="X33" s="68">
        <v>0.77</v>
      </c>
      <c r="Y33" s="67">
        <v>0.79</v>
      </c>
      <c r="Z33" s="66">
        <v>0.8</v>
      </c>
      <c r="AA33" s="68">
        <v>0.8</v>
      </c>
      <c r="AB33" s="68">
        <v>0.7</v>
      </c>
      <c r="AC33" s="67">
        <v>0.74</v>
      </c>
      <c r="AD33" s="66">
        <v>0.79</v>
      </c>
      <c r="AE33" s="68">
        <v>0.79</v>
      </c>
      <c r="AF33" s="68">
        <v>0.77</v>
      </c>
      <c r="AG33" s="67">
        <v>0.79</v>
      </c>
      <c r="AH33" s="66">
        <v>0.78</v>
      </c>
      <c r="AI33" s="68">
        <v>0.75</v>
      </c>
      <c r="AJ33" s="68">
        <v>0.66</v>
      </c>
      <c r="AK33" s="67">
        <v>0.8</v>
      </c>
      <c r="AL33" s="66">
        <v>0.76</v>
      </c>
      <c r="AM33" s="68">
        <v>0.73</v>
      </c>
      <c r="AN33" s="68">
        <v>0.64</v>
      </c>
      <c r="AO33" s="67">
        <v>0.73</v>
      </c>
    </row>
    <row r="34" spans="1:41" x14ac:dyDescent="0.2">
      <c r="A34" s="69" t="s">
        <v>997</v>
      </c>
      <c r="B34" s="69">
        <v>0.77</v>
      </c>
      <c r="C34" s="71">
        <v>0.81</v>
      </c>
      <c r="D34" s="71">
        <v>0.7</v>
      </c>
      <c r="E34" s="70">
        <v>0.73</v>
      </c>
      <c r="F34" s="69">
        <v>0.79</v>
      </c>
      <c r="G34" s="71">
        <v>0.79</v>
      </c>
      <c r="H34" s="71">
        <v>0.73</v>
      </c>
      <c r="I34" s="70">
        <v>0.69</v>
      </c>
      <c r="J34" s="69">
        <v>0.79</v>
      </c>
      <c r="K34" s="71">
        <v>0.78</v>
      </c>
      <c r="L34" s="71">
        <v>0.74</v>
      </c>
      <c r="M34" s="70">
        <v>0.79</v>
      </c>
      <c r="N34" s="69">
        <v>0.75</v>
      </c>
      <c r="O34" s="71">
        <v>0.78</v>
      </c>
      <c r="P34" s="71">
        <v>0.74</v>
      </c>
      <c r="Q34" s="70">
        <v>0.79</v>
      </c>
      <c r="R34" s="69">
        <v>0.77</v>
      </c>
      <c r="S34" s="71">
        <v>0.72</v>
      </c>
      <c r="T34" s="71">
        <v>0.77</v>
      </c>
      <c r="U34" s="70">
        <v>0.76</v>
      </c>
      <c r="V34" s="69">
        <v>0.84</v>
      </c>
      <c r="W34" s="71">
        <v>0.8</v>
      </c>
      <c r="X34" s="71">
        <v>0.76</v>
      </c>
      <c r="Y34" s="70">
        <v>0.82</v>
      </c>
      <c r="Z34" s="69">
        <v>0.7</v>
      </c>
      <c r="AA34" s="71">
        <v>0.71</v>
      </c>
      <c r="AB34" s="71">
        <v>0.68</v>
      </c>
      <c r="AC34" s="70">
        <v>0.77</v>
      </c>
      <c r="AD34" s="69">
        <v>0.77</v>
      </c>
      <c r="AE34" s="71">
        <v>0.79</v>
      </c>
      <c r="AF34" s="71">
        <v>0.77</v>
      </c>
      <c r="AG34" s="70">
        <v>0.78</v>
      </c>
      <c r="AH34" s="69">
        <v>0.73</v>
      </c>
      <c r="AI34" s="71">
        <v>0.75</v>
      </c>
      <c r="AJ34" s="71">
        <v>0.71</v>
      </c>
      <c r="AK34" s="70">
        <v>0.79</v>
      </c>
      <c r="AL34" s="69">
        <v>0.59</v>
      </c>
      <c r="AM34" s="71">
        <v>0.73</v>
      </c>
      <c r="AN34" s="71">
        <v>0.64</v>
      </c>
      <c r="AO34" s="70">
        <v>0.76</v>
      </c>
    </row>
    <row r="35" spans="1:41" x14ac:dyDescent="0.2">
      <c r="A35" s="64" t="s">
        <v>1006</v>
      </c>
      <c r="B35" s="64">
        <v>0.75</v>
      </c>
      <c r="C35">
        <v>0.76</v>
      </c>
      <c r="D35">
        <v>0.71</v>
      </c>
      <c r="E35" s="65">
        <v>0.81</v>
      </c>
      <c r="F35" s="64">
        <v>0.7</v>
      </c>
      <c r="G35">
        <v>0.72</v>
      </c>
      <c r="H35">
        <v>0.64</v>
      </c>
      <c r="I35" s="65">
        <v>0.66</v>
      </c>
      <c r="J35" s="64">
        <v>0.78</v>
      </c>
      <c r="K35">
        <v>0.75</v>
      </c>
      <c r="L35">
        <v>0.77</v>
      </c>
      <c r="M35" s="65">
        <v>0.78</v>
      </c>
      <c r="N35" s="64">
        <v>0.82</v>
      </c>
      <c r="O35">
        <v>0.8</v>
      </c>
      <c r="P35">
        <v>0.79</v>
      </c>
      <c r="Q35" s="65">
        <v>0.8</v>
      </c>
      <c r="R35" s="64">
        <v>0.72</v>
      </c>
      <c r="S35">
        <v>0.61</v>
      </c>
      <c r="T35">
        <v>0.53</v>
      </c>
      <c r="U35" s="65">
        <v>0.51</v>
      </c>
      <c r="V35" s="64">
        <v>0.76</v>
      </c>
      <c r="W35">
        <v>0.74</v>
      </c>
      <c r="X35">
        <v>0.69</v>
      </c>
      <c r="Y35" s="65">
        <v>0.7</v>
      </c>
      <c r="Z35" s="64">
        <v>0.7</v>
      </c>
      <c r="AA35">
        <v>0.67</v>
      </c>
      <c r="AB35">
        <v>0.69</v>
      </c>
      <c r="AC35" s="65">
        <v>0.68</v>
      </c>
      <c r="AD35" s="64">
        <v>0.75</v>
      </c>
      <c r="AE35">
        <v>0.74</v>
      </c>
      <c r="AF35">
        <v>0.79</v>
      </c>
      <c r="AG35" s="65">
        <v>0.77</v>
      </c>
      <c r="AH35" s="64">
        <v>0.74</v>
      </c>
      <c r="AI35">
        <v>0.73</v>
      </c>
      <c r="AJ35">
        <v>0.7</v>
      </c>
      <c r="AK35" s="65">
        <v>0.71</v>
      </c>
      <c r="AL35" s="64">
        <v>0.72</v>
      </c>
      <c r="AM35">
        <v>0.67</v>
      </c>
      <c r="AN35">
        <v>0.68</v>
      </c>
      <c r="AO35" s="65">
        <v>0.67</v>
      </c>
    </row>
    <row r="36" spans="1:41" x14ac:dyDescent="0.2">
      <c r="A36" s="64" t="s">
        <v>1015</v>
      </c>
      <c r="B36" s="64">
        <v>0.81</v>
      </c>
      <c r="C36">
        <v>0.8</v>
      </c>
      <c r="D36">
        <v>0.78</v>
      </c>
      <c r="E36" s="65">
        <v>0.81</v>
      </c>
      <c r="F36" s="64">
        <v>0.77</v>
      </c>
      <c r="G36">
        <v>0.81</v>
      </c>
      <c r="H36">
        <v>0.73</v>
      </c>
      <c r="I36" s="65">
        <v>0.81</v>
      </c>
      <c r="J36" s="64">
        <v>0.78</v>
      </c>
      <c r="K36">
        <v>0.77</v>
      </c>
      <c r="L36">
        <v>0.79</v>
      </c>
      <c r="M36" s="65">
        <v>0.81</v>
      </c>
      <c r="N36" s="64">
        <v>0.81</v>
      </c>
      <c r="O36">
        <v>0.78</v>
      </c>
      <c r="P36">
        <v>0.8</v>
      </c>
      <c r="Q36" s="65">
        <v>0.77</v>
      </c>
      <c r="R36" s="64">
        <v>0.82</v>
      </c>
      <c r="S36">
        <v>0.79</v>
      </c>
      <c r="T36">
        <v>0.78</v>
      </c>
      <c r="U36" s="65">
        <v>0.8</v>
      </c>
      <c r="V36" s="64">
        <v>0.67</v>
      </c>
      <c r="W36">
        <v>0.83</v>
      </c>
      <c r="X36">
        <v>0.68</v>
      </c>
      <c r="Y36" s="65">
        <v>0.76</v>
      </c>
      <c r="Z36" s="64">
        <v>0.72</v>
      </c>
      <c r="AA36">
        <v>0.75</v>
      </c>
      <c r="AB36">
        <v>0.63</v>
      </c>
      <c r="AC36" s="65">
        <v>0.7</v>
      </c>
      <c r="AD36" s="64">
        <v>0.79</v>
      </c>
      <c r="AE36">
        <v>0.79</v>
      </c>
      <c r="AF36">
        <v>0.76</v>
      </c>
      <c r="AG36" s="65">
        <v>0.78</v>
      </c>
      <c r="AH36" s="64">
        <v>0.77</v>
      </c>
      <c r="AI36">
        <v>0.81</v>
      </c>
      <c r="AJ36">
        <v>0.65</v>
      </c>
      <c r="AK36" s="65">
        <v>0.64</v>
      </c>
      <c r="AL36" s="64">
        <v>0.73</v>
      </c>
      <c r="AM36">
        <v>0.71</v>
      </c>
      <c r="AN36">
        <v>0.59</v>
      </c>
      <c r="AO36" s="65">
        <v>0.74</v>
      </c>
    </row>
    <row r="37" spans="1:41" x14ac:dyDescent="0.2">
      <c r="A37" s="66" t="s">
        <v>1026</v>
      </c>
      <c r="B37" s="66">
        <v>0.76</v>
      </c>
      <c r="C37" s="68">
        <v>0.72</v>
      </c>
      <c r="D37" s="68">
        <v>0.78</v>
      </c>
      <c r="E37" s="67">
        <v>0.79</v>
      </c>
      <c r="F37" s="66">
        <v>0.74</v>
      </c>
      <c r="G37" s="68">
        <v>0.73</v>
      </c>
      <c r="H37" s="68">
        <v>0.78</v>
      </c>
      <c r="I37" s="67">
        <v>0.77</v>
      </c>
      <c r="J37" s="66">
        <v>0.78</v>
      </c>
      <c r="K37" s="68">
        <v>0.76</v>
      </c>
      <c r="L37" s="68">
        <v>0.82</v>
      </c>
      <c r="M37" s="67">
        <v>0.8</v>
      </c>
      <c r="N37" s="66">
        <v>0.75</v>
      </c>
      <c r="O37" s="68">
        <v>0.82</v>
      </c>
      <c r="P37" s="68">
        <v>0.8</v>
      </c>
      <c r="Q37" s="67">
        <v>0.78</v>
      </c>
      <c r="R37" s="66">
        <v>0.79</v>
      </c>
      <c r="S37" s="68">
        <v>0.75</v>
      </c>
      <c r="T37" s="68">
        <v>0.81</v>
      </c>
      <c r="U37" s="67">
        <v>0.78</v>
      </c>
      <c r="V37" s="66">
        <v>0.84</v>
      </c>
      <c r="W37" s="68">
        <v>0.83</v>
      </c>
      <c r="X37" s="68">
        <v>0.86</v>
      </c>
      <c r="Y37" s="67">
        <v>0.79</v>
      </c>
      <c r="Z37" s="66">
        <v>0.71</v>
      </c>
      <c r="AA37" s="68">
        <v>0.6</v>
      </c>
      <c r="AB37" s="68">
        <v>0.78</v>
      </c>
      <c r="AC37" s="67">
        <v>0.77</v>
      </c>
      <c r="AD37" s="66">
        <v>0.77</v>
      </c>
      <c r="AE37" s="68">
        <v>0.73</v>
      </c>
      <c r="AF37" s="68">
        <v>0.79</v>
      </c>
      <c r="AG37" s="67">
        <v>0.79</v>
      </c>
      <c r="AH37" s="66">
        <v>0.75</v>
      </c>
      <c r="AI37" s="68">
        <v>0.75</v>
      </c>
      <c r="AJ37" s="68">
        <v>0.71</v>
      </c>
      <c r="AK37" s="67">
        <v>0.75</v>
      </c>
      <c r="AL37" s="66">
        <v>0.69</v>
      </c>
      <c r="AM37" s="68">
        <v>0.73</v>
      </c>
      <c r="AN37" s="68">
        <v>0.71</v>
      </c>
      <c r="AO37" s="67">
        <v>0.73</v>
      </c>
    </row>
    <row r="38" spans="1:41" x14ac:dyDescent="0.2">
      <c r="A38" s="69" t="s">
        <v>1035</v>
      </c>
      <c r="B38" s="69">
        <v>0.7</v>
      </c>
      <c r="C38" s="71">
        <v>0.62</v>
      </c>
      <c r="D38" s="71">
        <v>0.62</v>
      </c>
      <c r="E38" s="70">
        <v>0.59</v>
      </c>
      <c r="F38" s="69">
        <v>0.68</v>
      </c>
      <c r="G38" s="71">
        <v>0.69</v>
      </c>
      <c r="H38" s="71">
        <v>0.77</v>
      </c>
      <c r="I38" s="70">
        <v>0.73</v>
      </c>
      <c r="J38" s="69">
        <v>0.76</v>
      </c>
      <c r="K38" s="71">
        <v>0.47</v>
      </c>
      <c r="L38" s="71">
        <v>0.7</v>
      </c>
      <c r="M38" s="70">
        <v>0.72</v>
      </c>
      <c r="N38" s="69">
        <v>0.78</v>
      </c>
      <c r="O38" s="71">
        <v>0.78</v>
      </c>
      <c r="P38" s="71">
        <v>0.74</v>
      </c>
      <c r="Q38" s="70">
        <v>0.76</v>
      </c>
      <c r="R38" s="69">
        <v>0.57999999999999996</v>
      </c>
      <c r="S38" s="71">
        <v>0.82</v>
      </c>
      <c r="T38" s="71">
        <v>0.67</v>
      </c>
      <c r="U38" s="70">
        <v>0.72</v>
      </c>
      <c r="V38" s="69">
        <v>0.75</v>
      </c>
      <c r="W38" s="71">
        <v>0.68</v>
      </c>
      <c r="X38" s="71">
        <v>0.75</v>
      </c>
      <c r="Y38" s="70">
        <v>0.73</v>
      </c>
      <c r="Z38" s="69">
        <v>0.73</v>
      </c>
      <c r="AA38" s="71">
        <v>0.69</v>
      </c>
      <c r="AB38" s="71">
        <v>0.7</v>
      </c>
      <c r="AC38" s="70">
        <v>0.73</v>
      </c>
      <c r="AD38" s="69">
        <v>0.77</v>
      </c>
      <c r="AE38" s="71">
        <v>0.76</v>
      </c>
      <c r="AF38" s="71">
        <v>0.79</v>
      </c>
      <c r="AG38" s="70">
        <v>0.8</v>
      </c>
      <c r="AH38" s="69">
        <v>0.75</v>
      </c>
      <c r="AI38" s="71">
        <v>0.7</v>
      </c>
      <c r="AJ38" s="71">
        <v>0.67</v>
      </c>
      <c r="AK38" s="70">
        <v>0.7</v>
      </c>
      <c r="AL38" s="69">
        <v>0.73</v>
      </c>
      <c r="AM38" s="71">
        <v>0.66</v>
      </c>
      <c r="AN38" s="71">
        <v>0.71</v>
      </c>
      <c r="AO38" s="70">
        <v>0.75</v>
      </c>
    </row>
    <row r="39" spans="1:41" x14ac:dyDescent="0.2">
      <c r="A39" s="64" t="s">
        <v>1044</v>
      </c>
      <c r="B39" s="64">
        <v>0.76</v>
      </c>
      <c r="C39">
        <v>0.4</v>
      </c>
      <c r="D39">
        <v>0.66</v>
      </c>
      <c r="E39" s="65">
        <v>0.71</v>
      </c>
      <c r="F39" s="64">
        <v>0.77</v>
      </c>
      <c r="G39">
        <v>0</v>
      </c>
      <c r="H39">
        <v>0</v>
      </c>
      <c r="I39" s="65">
        <v>0.68</v>
      </c>
      <c r="J39" s="64">
        <v>0.74</v>
      </c>
      <c r="K39">
        <v>0</v>
      </c>
      <c r="L39">
        <v>0</v>
      </c>
      <c r="M39" s="65">
        <v>0.75</v>
      </c>
      <c r="N39" s="64">
        <v>0.8</v>
      </c>
      <c r="O39">
        <v>0</v>
      </c>
      <c r="P39">
        <v>0</v>
      </c>
      <c r="Q39" s="65">
        <v>0.78</v>
      </c>
      <c r="R39" s="64">
        <v>0.77</v>
      </c>
      <c r="S39">
        <v>0</v>
      </c>
      <c r="T39">
        <v>0</v>
      </c>
      <c r="U39" s="65">
        <v>0.68</v>
      </c>
      <c r="V39" s="64">
        <v>0.81</v>
      </c>
      <c r="W39">
        <v>0</v>
      </c>
      <c r="X39">
        <v>0</v>
      </c>
      <c r="Y39" s="65">
        <v>0.74</v>
      </c>
      <c r="Z39" s="64">
        <v>0.72</v>
      </c>
      <c r="AA39">
        <v>0</v>
      </c>
      <c r="AB39">
        <v>0</v>
      </c>
      <c r="AC39" s="65">
        <v>0.72</v>
      </c>
      <c r="AD39" s="64">
        <v>0.81</v>
      </c>
      <c r="AE39">
        <v>0</v>
      </c>
      <c r="AF39">
        <v>0</v>
      </c>
      <c r="AG39" s="65">
        <v>0.76</v>
      </c>
      <c r="AH39" s="64">
        <v>0.79</v>
      </c>
      <c r="AI39">
        <v>0</v>
      </c>
      <c r="AJ39">
        <v>0</v>
      </c>
      <c r="AK39" s="65">
        <v>0.74</v>
      </c>
      <c r="AL39" s="64">
        <v>0.75</v>
      </c>
      <c r="AM39">
        <v>0</v>
      </c>
      <c r="AN39">
        <v>0</v>
      </c>
      <c r="AO39" s="65">
        <v>0.73</v>
      </c>
    </row>
    <row r="40" spans="1:41" x14ac:dyDescent="0.2">
      <c r="A40" s="64" t="s">
        <v>1053</v>
      </c>
      <c r="B40" s="64">
        <v>0.83</v>
      </c>
      <c r="C40">
        <v>0.84</v>
      </c>
      <c r="D40">
        <v>0.84</v>
      </c>
      <c r="E40" s="65">
        <v>0.8</v>
      </c>
      <c r="F40" s="64">
        <v>0.78</v>
      </c>
      <c r="G40">
        <v>0.82</v>
      </c>
      <c r="H40">
        <v>0.8</v>
      </c>
      <c r="I40" s="65">
        <v>0.79</v>
      </c>
      <c r="J40" s="64">
        <v>0.72</v>
      </c>
      <c r="K40">
        <v>0.83</v>
      </c>
      <c r="L40">
        <v>0.75</v>
      </c>
      <c r="M40" s="65">
        <v>0.74</v>
      </c>
      <c r="N40" s="64">
        <v>0.79</v>
      </c>
      <c r="O40">
        <v>0.74</v>
      </c>
      <c r="P40">
        <v>0.7</v>
      </c>
      <c r="Q40" s="65">
        <v>0.63</v>
      </c>
      <c r="R40" s="64">
        <v>0.82</v>
      </c>
      <c r="S40">
        <v>0.84</v>
      </c>
      <c r="T40">
        <v>0.81</v>
      </c>
      <c r="U40" s="65">
        <v>0.76</v>
      </c>
      <c r="V40" s="64">
        <v>0.76</v>
      </c>
      <c r="W40">
        <v>0.84</v>
      </c>
      <c r="X40">
        <v>0.77</v>
      </c>
      <c r="Y40" s="65">
        <v>0.71</v>
      </c>
      <c r="Z40" s="64">
        <v>0.79</v>
      </c>
      <c r="AA40">
        <v>0.79</v>
      </c>
      <c r="AB40">
        <v>0.74</v>
      </c>
      <c r="AC40" s="65">
        <v>0.72</v>
      </c>
      <c r="AD40" s="64">
        <v>0.81</v>
      </c>
      <c r="AE40">
        <v>0.84</v>
      </c>
      <c r="AF40">
        <v>0.78</v>
      </c>
      <c r="AG40" s="65">
        <v>0.78</v>
      </c>
      <c r="AH40" s="64">
        <v>0.8</v>
      </c>
      <c r="AI40">
        <v>0.81</v>
      </c>
      <c r="AJ40">
        <v>0.78</v>
      </c>
      <c r="AK40" s="65">
        <v>0.69</v>
      </c>
      <c r="AL40" s="64">
        <v>0.81</v>
      </c>
      <c r="AM40">
        <v>0.77</v>
      </c>
      <c r="AN40">
        <v>0.76</v>
      </c>
      <c r="AO40" s="65">
        <v>0.67</v>
      </c>
    </row>
    <row r="41" spans="1:41" x14ac:dyDescent="0.2">
      <c r="A41" s="66" t="s">
        <v>1062</v>
      </c>
      <c r="B41" s="66">
        <v>0.83</v>
      </c>
      <c r="C41" s="68">
        <v>0.76</v>
      </c>
      <c r="D41" s="68">
        <v>0.79</v>
      </c>
      <c r="E41" s="67">
        <v>0.82</v>
      </c>
      <c r="F41" s="66">
        <v>0.76</v>
      </c>
      <c r="G41" s="68">
        <v>0.76</v>
      </c>
      <c r="H41" s="68">
        <v>0.77</v>
      </c>
      <c r="I41" s="67">
        <v>0.79</v>
      </c>
      <c r="J41" s="66">
        <v>0.77</v>
      </c>
      <c r="K41" s="68">
        <v>0.74</v>
      </c>
      <c r="L41" s="68">
        <v>0.75</v>
      </c>
      <c r="M41" s="67">
        <v>0.76</v>
      </c>
      <c r="N41" s="66">
        <v>0.5</v>
      </c>
      <c r="O41" s="68">
        <v>0.74</v>
      </c>
      <c r="P41" s="68">
        <v>0.7</v>
      </c>
      <c r="Q41" s="67">
        <v>0.77</v>
      </c>
      <c r="R41" s="66">
        <v>0.76</v>
      </c>
      <c r="S41" s="68">
        <v>0.7</v>
      </c>
      <c r="T41" s="68">
        <v>0.71</v>
      </c>
      <c r="U41" s="67">
        <v>0.37</v>
      </c>
      <c r="V41" s="66">
        <v>0.81</v>
      </c>
      <c r="W41" s="68">
        <v>0.79</v>
      </c>
      <c r="X41" s="68">
        <v>0.73</v>
      </c>
      <c r="Y41" s="67">
        <v>0.8</v>
      </c>
      <c r="Z41" s="66">
        <v>0.73</v>
      </c>
      <c r="AA41" s="68">
        <v>0.72</v>
      </c>
      <c r="AB41" s="68">
        <v>0.76</v>
      </c>
      <c r="AC41" s="67">
        <v>0.77</v>
      </c>
      <c r="AD41" s="66">
        <v>0.77</v>
      </c>
      <c r="AE41" s="68">
        <v>0.75</v>
      </c>
      <c r="AF41" s="68">
        <v>0.79</v>
      </c>
      <c r="AG41" s="67">
        <v>0.8</v>
      </c>
      <c r="AH41" s="66">
        <v>0.77</v>
      </c>
      <c r="AI41" s="68">
        <v>0.76</v>
      </c>
      <c r="AJ41" s="68">
        <v>0.64</v>
      </c>
      <c r="AK41" s="67">
        <v>0.77</v>
      </c>
      <c r="AL41" s="66">
        <v>0.78</v>
      </c>
      <c r="AM41" s="68">
        <v>0.67</v>
      </c>
      <c r="AN41" s="68">
        <v>0.71</v>
      </c>
      <c r="AO41" s="67">
        <v>0.66</v>
      </c>
    </row>
    <row r="42" spans="1:41" x14ac:dyDescent="0.2">
      <c r="A42" s="69" t="s">
        <v>1071</v>
      </c>
      <c r="B42" s="69">
        <v>0.72</v>
      </c>
      <c r="C42" s="71">
        <v>0.75</v>
      </c>
      <c r="D42" s="71">
        <v>0.76</v>
      </c>
      <c r="E42" s="70">
        <v>0.84</v>
      </c>
      <c r="F42" s="69">
        <v>0.72</v>
      </c>
      <c r="G42" s="71">
        <v>0.82</v>
      </c>
      <c r="H42" s="71">
        <v>0.77</v>
      </c>
      <c r="I42" s="70">
        <v>0.76</v>
      </c>
      <c r="J42" s="69">
        <v>0.77</v>
      </c>
      <c r="K42" s="71">
        <v>0.74</v>
      </c>
      <c r="L42" s="71">
        <v>0.56999999999999995</v>
      </c>
      <c r="M42" s="70">
        <v>0.76</v>
      </c>
      <c r="N42" s="69">
        <v>0.71</v>
      </c>
      <c r="O42" s="71">
        <v>0.78</v>
      </c>
      <c r="P42" s="71">
        <v>0.72</v>
      </c>
      <c r="Q42" s="70">
        <v>0.79</v>
      </c>
      <c r="R42" s="69">
        <v>0.77</v>
      </c>
      <c r="S42" s="71">
        <v>0.8</v>
      </c>
      <c r="T42" s="71">
        <v>0.77</v>
      </c>
      <c r="U42" s="70">
        <v>0.83</v>
      </c>
      <c r="V42" s="69">
        <v>0.81</v>
      </c>
      <c r="W42" s="71">
        <v>0.74</v>
      </c>
      <c r="X42" s="71">
        <v>0.72</v>
      </c>
      <c r="Y42" s="70">
        <v>0.71</v>
      </c>
      <c r="Z42" s="69">
        <v>0.77</v>
      </c>
      <c r="AA42" s="71">
        <v>0.77</v>
      </c>
      <c r="AB42" s="71">
        <v>0.72</v>
      </c>
      <c r="AC42" s="70">
        <v>0.8</v>
      </c>
      <c r="AD42" s="69">
        <v>0.8</v>
      </c>
      <c r="AE42" s="71">
        <v>0.8</v>
      </c>
      <c r="AF42" s="71">
        <v>0.78</v>
      </c>
      <c r="AG42" s="70">
        <v>0.81</v>
      </c>
      <c r="AH42" s="69">
        <v>0.6</v>
      </c>
      <c r="AI42" s="71">
        <v>0.77</v>
      </c>
      <c r="AJ42" s="71">
        <v>0.54</v>
      </c>
      <c r="AK42" s="70">
        <v>0.6</v>
      </c>
      <c r="AL42" s="69">
        <v>0.62</v>
      </c>
      <c r="AM42" s="71">
        <v>0.72</v>
      </c>
      <c r="AN42" s="71">
        <v>0.1</v>
      </c>
      <c r="AO42" s="70">
        <v>0.75</v>
      </c>
    </row>
    <row r="43" spans="1:41" x14ac:dyDescent="0.2">
      <c r="A43" s="64" t="s">
        <v>1080</v>
      </c>
      <c r="B43" s="64">
        <v>0.79</v>
      </c>
      <c r="C43">
        <v>0.8</v>
      </c>
      <c r="D43">
        <v>0.77</v>
      </c>
      <c r="E43" s="65">
        <v>0.81</v>
      </c>
      <c r="F43" s="64">
        <v>0.79</v>
      </c>
      <c r="G43">
        <v>0.83</v>
      </c>
      <c r="H43">
        <v>0.8</v>
      </c>
      <c r="I43" s="65">
        <v>0.8</v>
      </c>
      <c r="J43" s="64">
        <v>0.73</v>
      </c>
      <c r="K43">
        <v>0.78</v>
      </c>
      <c r="L43">
        <v>0.71</v>
      </c>
      <c r="M43" s="65">
        <v>0.76</v>
      </c>
      <c r="N43" s="64">
        <v>0.75</v>
      </c>
      <c r="O43">
        <v>0.72</v>
      </c>
      <c r="P43">
        <v>0.77</v>
      </c>
      <c r="Q43" s="65">
        <v>0.78</v>
      </c>
      <c r="R43" s="64">
        <v>0.76</v>
      </c>
      <c r="S43">
        <v>0.77</v>
      </c>
      <c r="T43">
        <v>0.64</v>
      </c>
      <c r="U43" s="65">
        <v>0.37</v>
      </c>
      <c r="V43" s="64">
        <v>0.81</v>
      </c>
      <c r="W43">
        <v>0.81</v>
      </c>
      <c r="X43">
        <v>0.75</v>
      </c>
      <c r="Y43" s="65">
        <v>0.82</v>
      </c>
      <c r="Z43" s="64">
        <v>0.71</v>
      </c>
      <c r="AA43">
        <v>0.72</v>
      </c>
      <c r="AB43">
        <v>0.74</v>
      </c>
      <c r="AC43" s="65">
        <v>0.65</v>
      </c>
      <c r="AD43" s="64">
        <v>0.78</v>
      </c>
      <c r="AE43">
        <v>0.78</v>
      </c>
      <c r="AF43">
        <v>0.74</v>
      </c>
      <c r="AG43" s="65">
        <v>0.74</v>
      </c>
      <c r="AH43" s="64">
        <v>0.71</v>
      </c>
      <c r="AI43">
        <v>0.61</v>
      </c>
      <c r="AJ43">
        <v>0.66</v>
      </c>
      <c r="AK43" s="65">
        <v>0.63</v>
      </c>
      <c r="AL43" s="64">
        <v>0.67</v>
      </c>
      <c r="AM43">
        <v>0.63</v>
      </c>
      <c r="AN43">
        <v>0.68</v>
      </c>
      <c r="AO43" s="65">
        <v>0.69</v>
      </c>
    </row>
    <row r="44" spans="1:41" x14ac:dyDescent="0.2">
      <c r="A44" s="64" t="s">
        <v>1090</v>
      </c>
      <c r="B44" s="64">
        <v>0.75</v>
      </c>
      <c r="C44">
        <v>0.77</v>
      </c>
      <c r="D44">
        <v>0.74</v>
      </c>
      <c r="E44" s="65">
        <v>0.78</v>
      </c>
      <c r="F44" s="64">
        <v>0.81</v>
      </c>
      <c r="G44">
        <v>0.8</v>
      </c>
      <c r="H44">
        <v>0.75</v>
      </c>
      <c r="I44" s="65">
        <v>0.84</v>
      </c>
      <c r="J44" s="64">
        <v>0.66</v>
      </c>
      <c r="K44">
        <v>0.7</v>
      </c>
      <c r="L44">
        <v>0.73</v>
      </c>
      <c r="M44" s="65">
        <v>0.79</v>
      </c>
      <c r="N44" s="64">
        <v>0.76</v>
      </c>
      <c r="O44">
        <v>0.69</v>
      </c>
      <c r="P44">
        <v>0.76</v>
      </c>
      <c r="Q44" s="65">
        <v>0.78</v>
      </c>
      <c r="R44" s="64">
        <v>0.78</v>
      </c>
      <c r="S44">
        <v>0.81</v>
      </c>
      <c r="T44">
        <v>0.73</v>
      </c>
      <c r="U44" s="65">
        <v>0.78</v>
      </c>
      <c r="V44" s="64">
        <v>0.78</v>
      </c>
      <c r="W44">
        <v>0.72</v>
      </c>
      <c r="X44">
        <v>0.77</v>
      </c>
      <c r="Y44" s="65">
        <v>0.79</v>
      </c>
      <c r="Z44" s="64">
        <v>0.74</v>
      </c>
      <c r="AA44">
        <v>0.74</v>
      </c>
      <c r="AB44">
        <v>0.75</v>
      </c>
      <c r="AC44" s="65">
        <v>0.72</v>
      </c>
      <c r="AD44" s="64">
        <v>0.73</v>
      </c>
      <c r="AE44">
        <v>0.79</v>
      </c>
      <c r="AF44">
        <v>0.75</v>
      </c>
      <c r="AG44" s="65">
        <v>0.79</v>
      </c>
      <c r="AH44" s="64">
        <v>0.74</v>
      </c>
      <c r="AI44">
        <v>0.78</v>
      </c>
      <c r="AJ44">
        <v>0.72</v>
      </c>
      <c r="AK44" s="65">
        <v>0.72</v>
      </c>
      <c r="AL44" s="64">
        <v>0.76</v>
      </c>
      <c r="AM44">
        <v>0.75</v>
      </c>
      <c r="AN44">
        <v>0.66</v>
      </c>
      <c r="AO44" s="65">
        <v>0.69</v>
      </c>
    </row>
    <row r="45" spans="1:41" x14ac:dyDescent="0.2">
      <c r="A45" s="66" t="s">
        <v>1099</v>
      </c>
      <c r="B45" s="66">
        <v>0.77</v>
      </c>
      <c r="C45" s="68">
        <v>0.75</v>
      </c>
      <c r="D45" s="68">
        <v>0.77</v>
      </c>
      <c r="E45" s="67">
        <v>0.48</v>
      </c>
      <c r="F45" s="66">
        <v>0</v>
      </c>
      <c r="G45" s="68">
        <v>0</v>
      </c>
      <c r="H45" s="68">
        <v>0</v>
      </c>
      <c r="I45" s="67">
        <v>0</v>
      </c>
      <c r="J45" s="66">
        <v>0</v>
      </c>
      <c r="K45" s="68">
        <v>0</v>
      </c>
      <c r="L45" s="68">
        <v>0</v>
      </c>
      <c r="M45" s="67">
        <v>0</v>
      </c>
      <c r="N45" s="66">
        <v>0.49</v>
      </c>
      <c r="O45" s="68">
        <v>0.01</v>
      </c>
      <c r="P45" s="68">
        <v>0</v>
      </c>
      <c r="Q45" s="67">
        <v>0</v>
      </c>
      <c r="R45" s="66">
        <v>0</v>
      </c>
      <c r="S45" s="68">
        <v>0</v>
      </c>
      <c r="T45" s="68">
        <v>0.74</v>
      </c>
      <c r="U45" s="67">
        <v>0</v>
      </c>
      <c r="V45" s="66">
        <v>0</v>
      </c>
      <c r="W45" s="68">
        <v>0</v>
      </c>
      <c r="X45" s="68">
        <v>0</v>
      </c>
      <c r="Y45" s="67">
        <v>0</v>
      </c>
      <c r="Z45" s="66">
        <v>0</v>
      </c>
      <c r="AA45" s="68">
        <v>0</v>
      </c>
      <c r="AB45" s="68">
        <v>0</v>
      </c>
      <c r="AC45" s="67">
        <v>0</v>
      </c>
      <c r="AD45" s="66">
        <v>0</v>
      </c>
      <c r="AE45" s="68">
        <v>0</v>
      </c>
      <c r="AF45" s="68">
        <v>0</v>
      </c>
      <c r="AG45" s="67">
        <v>0</v>
      </c>
      <c r="AH45" s="66">
        <v>0</v>
      </c>
      <c r="AI45" s="68">
        <v>0</v>
      </c>
      <c r="AJ45" s="68">
        <v>0</v>
      </c>
      <c r="AK45" s="67">
        <v>0</v>
      </c>
      <c r="AL45" s="66">
        <v>0</v>
      </c>
      <c r="AM45" s="68">
        <v>0</v>
      </c>
      <c r="AN45" s="68">
        <v>0</v>
      </c>
      <c r="AO45" s="67">
        <v>0</v>
      </c>
    </row>
    <row r="46" spans="1:41" x14ac:dyDescent="0.2">
      <c r="A46" s="69" t="s">
        <v>1108</v>
      </c>
      <c r="B46" s="69">
        <v>0.67</v>
      </c>
      <c r="C46" s="71">
        <v>0.77</v>
      </c>
      <c r="D46" s="71">
        <v>0.83</v>
      </c>
      <c r="E46" s="70">
        <v>0.79</v>
      </c>
      <c r="F46" s="69">
        <v>0</v>
      </c>
      <c r="G46" s="71">
        <v>0.62</v>
      </c>
      <c r="H46" s="71">
        <v>0</v>
      </c>
      <c r="I46" s="70">
        <v>0</v>
      </c>
      <c r="J46" s="69">
        <v>0.44</v>
      </c>
      <c r="K46" s="71">
        <v>0.56000000000000005</v>
      </c>
      <c r="L46" s="71">
        <v>0</v>
      </c>
      <c r="M46" s="70">
        <v>0</v>
      </c>
      <c r="N46" s="69">
        <v>0.7</v>
      </c>
      <c r="O46" s="71">
        <v>0.71</v>
      </c>
      <c r="P46" s="71">
        <v>0</v>
      </c>
      <c r="Q46" s="70">
        <v>0.72</v>
      </c>
      <c r="R46" s="69">
        <v>0.64</v>
      </c>
      <c r="S46" s="71">
        <v>0.78</v>
      </c>
      <c r="T46" s="71"/>
      <c r="U46" s="70">
        <v>0.43</v>
      </c>
      <c r="V46" s="69">
        <v>0.62</v>
      </c>
      <c r="W46" s="71">
        <v>0.67</v>
      </c>
      <c r="X46" s="71"/>
      <c r="Y46" s="65">
        <v>0</v>
      </c>
      <c r="Z46" s="69">
        <v>0.72</v>
      </c>
      <c r="AA46" s="71">
        <v>0.63</v>
      </c>
      <c r="AB46" s="71">
        <v>0</v>
      </c>
      <c r="AC46" s="65">
        <v>0.7</v>
      </c>
      <c r="AD46" s="69">
        <v>0.79</v>
      </c>
      <c r="AE46" s="71">
        <v>0.67</v>
      </c>
      <c r="AF46" s="71">
        <v>0</v>
      </c>
      <c r="AG46" s="65">
        <v>0</v>
      </c>
      <c r="AH46" s="69">
        <v>0.57999999999999996</v>
      </c>
      <c r="AI46" s="71">
        <v>0.63</v>
      </c>
      <c r="AJ46" s="71">
        <v>0</v>
      </c>
      <c r="AK46" s="65">
        <v>0</v>
      </c>
      <c r="AL46" s="69">
        <v>0.76</v>
      </c>
      <c r="AM46" s="71">
        <v>0.69</v>
      </c>
      <c r="AN46" s="71">
        <v>0</v>
      </c>
      <c r="AO46" s="65">
        <v>0</v>
      </c>
    </row>
    <row r="47" spans="1:41" x14ac:dyDescent="0.2">
      <c r="A47" s="64" t="s">
        <v>1117</v>
      </c>
      <c r="B47" s="64">
        <v>0.84</v>
      </c>
      <c r="C47">
        <v>0.78</v>
      </c>
      <c r="D47">
        <v>0.75</v>
      </c>
      <c r="E47" s="65">
        <v>0.81</v>
      </c>
      <c r="F47" s="64">
        <v>0.82</v>
      </c>
      <c r="G47">
        <v>0.83</v>
      </c>
      <c r="H47">
        <v>0.82</v>
      </c>
      <c r="I47" s="65">
        <v>0.81</v>
      </c>
      <c r="J47" s="64">
        <v>0.76</v>
      </c>
      <c r="K47">
        <v>0.79</v>
      </c>
      <c r="L47">
        <v>0.76</v>
      </c>
      <c r="M47" s="65">
        <v>0.74</v>
      </c>
      <c r="N47" s="64">
        <v>0.76</v>
      </c>
      <c r="O47">
        <v>0.77</v>
      </c>
      <c r="P47">
        <v>0.73</v>
      </c>
      <c r="Q47" s="65">
        <v>0.79</v>
      </c>
      <c r="R47" s="64">
        <v>0.78</v>
      </c>
      <c r="S47">
        <v>0.8</v>
      </c>
      <c r="T47">
        <v>0.74</v>
      </c>
      <c r="U47" s="65">
        <v>0.73</v>
      </c>
      <c r="V47" s="64">
        <v>0.81</v>
      </c>
      <c r="W47">
        <v>0.81</v>
      </c>
      <c r="X47">
        <v>0.67</v>
      </c>
      <c r="Y47" s="65">
        <v>0.71</v>
      </c>
      <c r="Z47" s="64">
        <v>0.75</v>
      </c>
      <c r="AA47">
        <v>0.78</v>
      </c>
      <c r="AB47">
        <v>0.77</v>
      </c>
      <c r="AC47" s="65">
        <v>0.7</v>
      </c>
      <c r="AD47" s="64">
        <v>0.81</v>
      </c>
      <c r="AE47">
        <v>0.82</v>
      </c>
      <c r="AF47">
        <v>0.81</v>
      </c>
      <c r="AG47" s="65">
        <v>0.79</v>
      </c>
      <c r="AH47" s="64">
        <v>0.74</v>
      </c>
      <c r="AI47">
        <v>0.68</v>
      </c>
      <c r="AJ47">
        <v>0.65</v>
      </c>
      <c r="AK47" s="65">
        <v>0.69</v>
      </c>
      <c r="AL47" s="64">
        <v>0.71</v>
      </c>
      <c r="AM47">
        <v>0.72</v>
      </c>
      <c r="AN47">
        <v>0.67</v>
      </c>
      <c r="AO47" s="65">
        <v>0.64</v>
      </c>
    </row>
    <row r="48" spans="1:41" x14ac:dyDescent="0.2">
      <c r="A48" s="64" t="s">
        <v>1126</v>
      </c>
      <c r="B48" s="64">
        <v>0.79</v>
      </c>
      <c r="C48">
        <v>0.75</v>
      </c>
      <c r="D48">
        <v>0.79</v>
      </c>
      <c r="E48" s="65">
        <v>0.83</v>
      </c>
      <c r="F48" s="64">
        <v>0.79</v>
      </c>
      <c r="G48">
        <v>0.64</v>
      </c>
      <c r="H48">
        <v>0.47</v>
      </c>
      <c r="I48" s="65">
        <v>0.71</v>
      </c>
      <c r="J48" s="64">
        <v>0.78</v>
      </c>
      <c r="K48">
        <v>0.67</v>
      </c>
      <c r="L48">
        <v>0.55000000000000004</v>
      </c>
      <c r="M48" s="65">
        <v>0.73</v>
      </c>
      <c r="N48" s="64">
        <v>0.73</v>
      </c>
      <c r="O48">
        <v>0.67</v>
      </c>
      <c r="P48">
        <v>0.72</v>
      </c>
      <c r="Q48" s="65">
        <v>0.77</v>
      </c>
      <c r="R48" s="64">
        <v>0.56000000000000005</v>
      </c>
      <c r="S48">
        <v>0.77</v>
      </c>
      <c r="T48">
        <v>0.36</v>
      </c>
      <c r="U48" s="65">
        <v>0.63</v>
      </c>
      <c r="V48" s="64">
        <v>0.82</v>
      </c>
      <c r="W48">
        <v>0</v>
      </c>
      <c r="Y48" s="65">
        <v>0.73</v>
      </c>
      <c r="Z48" s="64">
        <v>0.74</v>
      </c>
      <c r="AA48">
        <v>0.71</v>
      </c>
      <c r="AB48">
        <v>0.61</v>
      </c>
      <c r="AC48" s="65">
        <v>0.76</v>
      </c>
      <c r="AD48" s="64">
        <v>0.78</v>
      </c>
      <c r="AE48">
        <v>0.78</v>
      </c>
      <c r="AF48">
        <v>0.72</v>
      </c>
      <c r="AG48" s="65">
        <v>0.77</v>
      </c>
      <c r="AH48" s="64">
        <v>0.75</v>
      </c>
      <c r="AI48">
        <v>0.76</v>
      </c>
      <c r="AJ48">
        <v>0.34</v>
      </c>
      <c r="AK48" s="65">
        <v>0.6</v>
      </c>
      <c r="AL48" s="64">
        <v>0.69</v>
      </c>
      <c r="AM48">
        <v>0</v>
      </c>
      <c r="AN48">
        <v>0</v>
      </c>
      <c r="AO48" s="65">
        <v>0.67</v>
      </c>
    </row>
    <row r="49" spans="1:41" x14ac:dyDescent="0.2">
      <c r="A49" s="66" t="s">
        <v>1135</v>
      </c>
      <c r="B49" s="66">
        <v>0.81</v>
      </c>
      <c r="C49" s="68">
        <v>0.75</v>
      </c>
      <c r="D49" s="68">
        <v>0.83</v>
      </c>
      <c r="E49" s="67">
        <v>0.73</v>
      </c>
      <c r="F49" s="66">
        <v>0.68</v>
      </c>
      <c r="G49" s="68">
        <v>0.83</v>
      </c>
      <c r="H49" s="68">
        <v>0.78</v>
      </c>
      <c r="I49" s="67">
        <v>0.81</v>
      </c>
      <c r="J49" s="66">
        <v>0.75</v>
      </c>
      <c r="K49" s="68">
        <v>0.76</v>
      </c>
      <c r="L49" s="68">
        <v>0.74</v>
      </c>
      <c r="M49" s="67">
        <v>0.79</v>
      </c>
      <c r="N49" s="66">
        <v>0.78</v>
      </c>
      <c r="O49" s="68">
        <v>0.6</v>
      </c>
      <c r="P49" s="68">
        <v>0.74</v>
      </c>
      <c r="Q49" s="67">
        <v>0.72</v>
      </c>
      <c r="R49" s="66">
        <v>0.79</v>
      </c>
      <c r="S49" s="68">
        <v>0.18</v>
      </c>
      <c r="T49" s="68">
        <v>0.57999999999999996</v>
      </c>
      <c r="U49" s="67">
        <v>0.68</v>
      </c>
      <c r="V49" s="66">
        <v>0.75</v>
      </c>
      <c r="W49" s="68">
        <v>0.79</v>
      </c>
      <c r="X49" s="68">
        <v>0.79</v>
      </c>
      <c r="Y49" s="65">
        <v>0.7</v>
      </c>
      <c r="Z49" s="66">
        <v>0.76</v>
      </c>
      <c r="AA49" s="68">
        <v>0.73</v>
      </c>
      <c r="AB49" s="68">
        <v>0.77</v>
      </c>
      <c r="AC49" s="65">
        <v>0.7</v>
      </c>
      <c r="AD49" s="66">
        <v>0.8</v>
      </c>
      <c r="AE49" s="68">
        <v>0.82</v>
      </c>
      <c r="AF49" s="68">
        <v>0.82</v>
      </c>
      <c r="AG49" s="65">
        <v>0.78</v>
      </c>
      <c r="AH49" s="66">
        <v>0.77</v>
      </c>
      <c r="AI49" s="68">
        <v>0.8</v>
      </c>
      <c r="AJ49" s="68">
        <v>0.67</v>
      </c>
      <c r="AK49" s="65">
        <v>0.63</v>
      </c>
      <c r="AL49" s="66">
        <v>0.72</v>
      </c>
      <c r="AM49" s="68">
        <v>0.75</v>
      </c>
      <c r="AN49" s="68">
        <v>0.6</v>
      </c>
      <c r="AO49" s="65">
        <v>0.56999999999999995</v>
      </c>
    </row>
    <row r="50" spans="1:41" x14ac:dyDescent="0.2">
      <c r="A50" s="69" t="s">
        <v>1144</v>
      </c>
      <c r="B50" s="69">
        <v>0.75</v>
      </c>
      <c r="C50" s="71">
        <v>0.78</v>
      </c>
      <c r="D50" s="71">
        <v>0.45</v>
      </c>
      <c r="E50" s="70">
        <v>0.68</v>
      </c>
      <c r="F50" s="69">
        <v>0</v>
      </c>
      <c r="G50" s="71">
        <v>0</v>
      </c>
      <c r="H50" s="71">
        <v>0</v>
      </c>
      <c r="I50" s="70">
        <v>0</v>
      </c>
      <c r="J50" s="69">
        <v>0</v>
      </c>
      <c r="K50" s="71">
        <v>0</v>
      </c>
      <c r="L50" s="71">
        <v>0</v>
      </c>
      <c r="M50" s="70">
        <v>0</v>
      </c>
      <c r="N50" s="69">
        <v>0</v>
      </c>
      <c r="O50" s="71">
        <v>0.57999999999999996</v>
      </c>
      <c r="P50" s="71">
        <v>0</v>
      </c>
      <c r="Q50" s="70">
        <v>0</v>
      </c>
      <c r="R50" s="69">
        <v>0.75</v>
      </c>
      <c r="S50" s="71">
        <v>0.76</v>
      </c>
      <c r="T50" s="71">
        <v>0.78</v>
      </c>
      <c r="U50" s="70">
        <v>0</v>
      </c>
      <c r="V50" s="69">
        <v>0.54</v>
      </c>
      <c r="W50" s="71">
        <v>0.63</v>
      </c>
      <c r="X50" s="71">
        <v>0.68</v>
      </c>
      <c r="Y50" s="70">
        <v>0</v>
      </c>
      <c r="Z50" s="69">
        <v>0.77</v>
      </c>
      <c r="AA50" s="71">
        <v>0.75</v>
      </c>
      <c r="AB50" s="71">
        <v>0.79</v>
      </c>
      <c r="AC50" s="70">
        <v>0</v>
      </c>
      <c r="AD50" s="69">
        <v>0</v>
      </c>
      <c r="AE50" s="71">
        <v>0.81</v>
      </c>
      <c r="AF50" s="71">
        <v>0.81</v>
      </c>
      <c r="AG50" s="70">
        <v>0</v>
      </c>
      <c r="AH50" s="69">
        <v>0</v>
      </c>
      <c r="AI50" s="71">
        <v>0.7</v>
      </c>
      <c r="AJ50" s="71">
        <v>0</v>
      </c>
      <c r="AK50" s="70">
        <v>0</v>
      </c>
      <c r="AL50" s="69">
        <v>0</v>
      </c>
      <c r="AM50" s="71">
        <v>0</v>
      </c>
      <c r="AN50" s="71">
        <v>0</v>
      </c>
      <c r="AO50" s="70">
        <v>0</v>
      </c>
    </row>
    <row r="51" spans="1:41" x14ac:dyDescent="0.2">
      <c r="A51" s="64" t="s">
        <v>1153</v>
      </c>
      <c r="B51" s="64">
        <v>0.68</v>
      </c>
      <c r="C51">
        <v>0.82</v>
      </c>
      <c r="D51">
        <v>0.75</v>
      </c>
      <c r="E51" s="65">
        <v>0.78</v>
      </c>
      <c r="F51" s="64">
        <v>0.69</v>
      </c>
      <c r="G51">
        <v>0.76</v>
      </c>
      <c r="H51">
        <v>0.54</v>
      </c>
      <c r="I51" s="65">
        <v>0.65</v>
      </c>
      <c r="J51" s="64">
        <v>0.62</v>
      </c>
      <c r="K51">
        <v>0.7</v>
      </c>
      <c r="L51">
        <v>0.46</v>
      </c>
      <c r="M51" s="65">
        <v>0.76</v>
      </c>
      <c r="N51" s="64">
        <v>0.72</v>
      </c>
      <c r="O51">
        <v>0.63</v>
      </c>
      <c r="P51">
        <v>0.63</v>
      </c>
      <c r="Q51" s="65">
        <v>0.78</v>
      </c>
      <c r="R51" s="64">
        <v>0.53</v>
      </c>
      <c r="S51">
        <v>0.78</v>
      </c>
      <c r="T51">
        <v>0.39</v>
      </c>
      <c r="U51" s="65">
        <v>0.61</v>
      </c>
      <c r="V51" s="64">
        <v>0.7</v>
      </c>
      <c r="W51">
        <v>0.69</v>
      </c>
      <c r="X51">
        <v>0.62</v>
      </c>
      <c r="Y51" s="65">
        <v>0.76</v>
      </c>
      <c r="Z51" s="64">
        <v>0.78</v>
      </c>
      <c r="AA51">
        <v>0.77</v>
      </c>
      <c r="AB51">
        <v>0.68</v>
      </c>
      <c r="AC51" s="65">
        <v>0.78</v>
      </c>
      <c r="AD51" s="64">
        <v>0.82</v>
      </c>
      <c r="AE51">
        <v>0.83</v>
      </c>
      <c r="AF51">
        <v>0.77</v>
      </c>
      <c r="AG51" s="65">
        <v>0.82</v>
      </c>
      <c r="AH51" s="64">
        <v>0.78</v>
      </c>
      <c r="AI51">
        <v>0.75</v>
      </c>
      <c r="AJ51">
        <v>0.61</v>
      </c>
      <c r="AK51" s="65">
        <v>0.68</v>
      </c>
      <c r="AL51" s="64">
        <v>0.75</v>
      </c>
      <c r="AM51">
        <v>0.76</v>
      </c>
      <c r="AN51">
        <v>0.65</v>
      </c>
      <c r="AO51" s="65">
        <v>0.71</v>
      </c>
    </row>
    <row r="52" spans="1:41" x14ac:dyDescent="0.2">
      <c r="A52" s="64" t="s">
        <v>1162</v>
      </c>
      <c r="B52" s="64">
        <v>0.82</v>
      </c>
      <c r="C52">
        <v>0.82</v>
      </c>
      <c r="D52">
        <v>0.83</v>
      </c>
      <c r="E52" s="65">
        <v>0.82</v>
      </c>
      <c r="F52" s="64">
        <v>0.82</v>
      </c>
      <c r="G52">
        <v>0.8</v>
      </c>
      <c r="H52">
        <v>0.81</v>
      </c>
      <c r="I52" s="65">
        <v>0.74</v>
      </c>
      <c r="J52" s="64">
        <v>0.78</v>
      </c>
      <c r="K52">
        <v>0.73</v>
      </c>
      <c r="L52">
        <v>0.76</v>
      </c>
      <c r="M52" s="65">
        <v>0.74</v>
      </c>
      <c r="N52" s="64">
        <v>0.81</v>
      </c>
      <c r="O52">
        <v>0.68</v>
      </c>
      <c r="P52">
        <v>0.71</v>
      </c>
      <c r="Q52" s="65">
        <v>0.8</v>
      </c>
      <c r="R52" s="64">
        <v>0.81</v>
      </c>
      <c r="S52">
        <v>0.8</v>
      </c>
      <c r="T52">
        <v>0.74</v>
      </c>
      <c r="U52" s="65">
        <v>0.79</v>
      </c>
      <c r="V52" s="64">
        <v>0.81</v>
      </c>
      <c r="W52">
        <v>0.76</v>
      </c>
      <c r="X52">
        <v>0.65</v>
      </c>
      <c r="Y52" s="65">
        <v>0.8</v>
      </c>
      <c r="Z52" s="64">
        <v>0.76</v>
      </c>
      <c r="AA52">
        <v>0.77</v>
      </c>
      <c r="AB52">
        <v>0.7</v>
      </c>
      <c r="AC52" s="65">
        <v>0.77</v>
      </c>
      <c r="AD52" s="64">
        <v>0.81</v>
      </c>
      <c r="AE52">
        <v>0.82</v>
      </c>
      <c r="AF52">
        <v>0.79</v>
      </c>
      <c r="AG52" s="65">
        <v>0.85</v>
      </c>
      <c r="AH52" s="64">
        <v>0.7</v>
      </c>
      <c r="AI52">
        <v>0.76</v>
      </c>
      <c r="AJ52">
        <v>0.61</v>
      </c>
      <c r="AK52" s="65">
        <v>0.73</v>
      </c>
      <c r="AL52" s="64">
        <v>0.73</v>
      </c>
      <c r="AM52">
        <v>0.77</v>
      </c>
      <c r="AN52">
        <v>0.67</v>
      </c>
      <c r="AO52" s="65">
        <v>0.73</v>
      </c>
    </row>
    <row r="53" spans="1:41" x14ac:dyDescent="0.2">
      <c r="A53" s="64" t="s">
        <v>1171</v>
      </c>
      <c r="B53" s="64">
        <v>0.7</v>
      </c>
      <c r="C53">
        <v>0.61</v>
      </c>
      <c r="D53">
        <v>0.73</v>
      </c>
      <c r="E53" s="65">
        <v>0.76</v>
      </c>
      <c r="F53" s="64">
        <v>0.89</v>
      </c>
      <c r="G53">
        <v>0</v>
      </c>
      <c r="H53">
        <v>0</v>
      </c>
      <c r="I53" s="65">
        <v>0.68</v>
      </c>
      <c r="J53" s="64">
        <v>0.47</v>
      </c>
      <c r="K53">
        <v>0</v>
      </c>
      <c r="L53">
        <v>0</v>
      </c>
      <c r="M53" s="65">
        <v>0.73</v>
      </c>
      <c r="N53" s="64">
        <v>0.73</v>
      </c>
      <c r="O53">
        <v>0.02</v>
      </c>
      <c r="P53">
        <v>0.01</v>
      </c>
      <c r="Q53" s="65">
        <v>0.74</v>
      </c>
      <c r="R53" s="64">
        <v>0.78</v>
      </c>
      <c r="S53">
        <v>0</v>
      </c>
      <c r="T53">
        <v>0</v>
      </c>
      <c r="U53" s="65">
        <v>0.66</v>
      </c>
      <c r="V53" s="64">
        <v>0.75</v>
      </c>
      <c r="W53">
        <v>0</v>
      </c>
      <c r="X53">
        <v>0</v>
      </c>
      <c r="Y53" s="65">
        <v>0.82</v>
      </c>
      <c r="Z53" s="64">
        <v>0.75</v>
      </c>
      <c r="AA53">
        <v>0</v>
      </c>
      <c r="AB53">
        <v>0</v>
      </c>
      <c r="AC53" s="65">
        <v>0.76</v>
      </c>
      <c r="AD53" s="64">
        <v>0.79</v>
      </c>
      <c r="AE53">
        <v>0</v>
      </c>
      <c r="AF53">
        <v>0</v>
      </c>
      <c r="AG53" s="65">
        <v>0.83</v>
      </c>
      <c r="AH53" s="64">
        <v>0.75</v>
      </c>
      <c r="AI53">
        <v>0</v>
      </c>
      <c r="AJ53">
        <v>0</v>
      </c>
      <c r="AK53" s="65">
        <v>0.76</v>
      </c>
      <c r="AL53" s="64">
        <v>0.68</v>
      </c>
      <c r="AM53">
        <v>0</v>
      </c>
      <c r="AN53">
        <v>0</v>
      </c>
      <c r="AO53" s="65">
        <v>0.72</v>
      </c>
    </row>
    <row r="54" spans="1:41" x14ac:dyDescent="0.2">
      <c r="A54" s="69" t="s">
        <v>1180</v>
      </c>
      <c r="B54" s="69">
        <v>0.71</v>
      </c>
      <c r="C54" s="71">
        <v>0.8</v>
      </c>
      <c r="D54" s="71">
        <v>0.72</v>
      </c>
      <c r="E54" s="70">
        <v>0.84</v>
      </c>
      <c r="F54" s="69">
        <v>0.75</v>
      </c>
      <c r="G54" s="71">
        <v>0.8</v>
      </c>
      <c r="H54" s="71">
        <v>0.77</v>
      </c>
      <c r="I54" s="70">
        <v>0.81</v>
      </c>
      <c r="J54" s="69">
        <v>0.69</v>
      </c>
      <c r="K54" s="71">
        <v>0.78</v>
      </c>
      <c r="L54" s="71">
        <v>0.66</v>
      </c>
      <c r="M54" s="70">
        <v>0.73</v>
      </c>
      <c r="N54" s="69">
        <v>0.74</v>
      </c>
      <c r="O54" s="71">
        <v>0.78</v>
      </c>
      <c r="P54" s="71">
        <v>0.71</v>
      </c>
      <c r="Q54" s="70">
        <v>0.82</v>
      </c>
      <c r="R54" s="69">
        <v>0.8</v>
      </c>
      <c r="S54" s="71">
        <v>0.8</v>
      </c>
      <c r="T54" s="71">
        <v>0.8</v>
      </c>
      <c r="U54" s="70">
        <v>0.81</v>
      </c>
      <c r="V54" s="69">
        <v>0.73</v>
      </c>
      <c r="W54" s="71">
        <v>0.78</v>
      </c>
      <c r="X54" s="71">
        <v>0.75</v>
      </c>
      <c r="Y54" s="70">
        <v>0.71</v>
      </c>
      <c r="Z54" s="69">
        <v>0.76</v>
      </c>
      <c r="AA54" s="71">
        <v>0.78</v>
      </c>
      <c r="AB54" s="71">
        <v>0.36</v>
      </c>
      <c r="AC54" s="70">
        <v>0.76</v>
      </c>
      <c r="AD54" s="69">
        <v>0.8</v>
      </c>
      <c r="AE54" s="71">
        <v>0.79</v>
      </c>
      <c r="AF54" s="71">
        <v>0.78</v>
      </c>
      <c r="AG54" s="70">
        <v>0.81</v>
      </c>
      <c r="AH54" s="69">
        <v>0.57999999999999996</v>
      </c>
      <c r="AI54" s="71">
        <v>0.64</v>
      </c>
      <c r="AJ54" s="71">
        <v>0.34</v>
      </c>
      <c r="AK54" s="70">
        <v>0.62</v>
      </c>
      <c r="AL54" s="69">
        <v>0.26</v>
      </c>
      <c r="AM54" s="71">
        <v>0.79</v>
      </c>
      <c r="AN54" s="71">
        <v>0.72</v>
      </c>
      <c r="AO54" s="70">
        <v>0.75</v>
      </c>
    </row>
    <row r="55" spans="1:41" x14ac:dyDescent="0.2">
      <c r="A55" s="64" t="s">
        <v>1189</v>
      </c>
      <c r="B55" s="64">
        <v>0.81</v>
      </c>
      <c r="C55">
        <v>0.76</v>
      </c>
      <c r="D55">
        <v>0.8</v>
      </c>
      <c r="E55" s="65">
        <v>0.81</v>
      </c>
      <c r="F55" s="64">
        <v>0.79</v>
      </c>
      <c r="G55">
        <v>0</v>
      </c>
      <c r="H55">
        <v>0.66</v>
      </c>
      <c r="I55" s="65">
        <v>0.68</v>
      </c>
      <c r="J55" s="64">
        <v>0.74</v>
      </c>
      <c r="K55">
        <v>0</v>
      </c>
      <c r="L55">
        <v>0.64</v>
      </c>
      <c r="M55" s="65">
        <v>0.68</v>
      </c>
      <c r="N55" s="64">
        <v>0.78</v>
      </c>
      <c r="O55">
        <v>0.57999999999999996</v>
      </c>
      <c r="P55">
        <v>0.71</v>
      </c>
      <c r="Q55" s="65">
        <v>0.69</v>
      </c>
      <c r="R55" s="64">
        <v>0.81</v>
      </c>
      <c r="S55">
        <v>0</v>
      </c>
      <c r="T55">
        <v>0.6</v>
      </c>
      <c r="U55" s="65">
        <v>0.69</v>
      </c>
      <c r="V55" s="64">
        <v>0.81</v>
      </c>
      <c r="W55">
        <v>0</v>
      </c>
      <c r="X55">
        <v>0.48</v>
      </c>
      <c r="Y55" s="65">
        <v>0.72</v>
      </c>
      <c r="Z55" s="64">
        <v>0.74</v>
      </c>
      <c r="AA55">
        <v>0</v>
      </c>
      <c r="AB55">
        <v>0.72</v>
      </c>
      <c r="AC55" s="65">
        <v>0.74</v>
      </c>
      <c r="AD55" s="64">
        <v>0.81</v>
      </c>
      <c r="AE55">
        <v>0</v>
      </c>
      <c r="AF55">
        <v>0.74</v>
      </c>
      <c r="AG55" s="65">
        <v>0.78</v>
      </c>
      <c r="AH55" s="64">
        <v>0.77</v>
      </c>
      <c r="AI55">
        <v>0</v>
      </c>
      <c r="AJ55">
        <v>0.53</v>
      </c>
      <c r="AK55" s="65">
        <v>0.62</v>
      </c>
      <c r="AL55" s="64">
        <v>0.76</v>
      </c>
      <c r="AM55">
        <v>0</v>
      </c>
      <c r="AN55">
        <v>0.67</v>
      </c>
      <c r="AO55" s="65">
        <v>0.63</v>
      </c>
    </row>
    <row r="56" spans="1:41" x14ac:dyDescent="0.2">
      <c r="A56" s="64" t="s">
        <v>1198</v>
      </c>
      <c r="B56" s="64">
        <v>0.78</v>
      </c>
      <c r="C56">
        <v>0.8</v>
      </c>
      <c r="D56">
        <v>0.81</v>
      </c>
      <c r="E56" s="65">
        <v>0.84</v>
      </c>
      <c r="F56" s="64">
        <v>0.78</v>
      </c>
      <c r="G56">
        <v>0.81</v>
      </c>
      <c r="H56">
        <v>0.8</v>
      </c>
      <c r="I56" s="65">
        <v>0.69</v>
      </c>
      <c r="J56" s="64">
        <v>0.72</v>
      </c>
      <c r="K56">
        <v>0.77</v>
      </c>
      <c r="L56">
        <v>0.75</v>
      </c>
      <c r="M56" s="65">
        <v>0.74</v>
      </c>
      <c r="N56" s="64">
        <v>0.78</v>
      </c>
      <c r="O56">
        <v>0.82</v>
      </c>
      <c r="P56">
        <v>0.75</v>
      </c>
      <c r="Q56" s="65">
        <v>0.8</v>
      </c>
      <c r="R56" s="64">
        <v>0.78</v>
      </c>
      <c r="S56">
        <v>0.8</v>
      </c>
      <c r="T56">
        <v>0.77</v>
      </c>
      <c r="U56" s="65">
        <v>0.83</v>
      </c>
      <c r="V56" s="64">
        <v>0.75</v>
      </c>
      <c r="W56">
        <v>0.78</v>
      </c>
      <c r="X56">
        <v>0.65</v>
      </c>
      <c r="Y56" s="65">
        <v>0.78</v>
      </c>
      <c r="Z56" s="64">
        <v>0.78</v>
      </c>
      <c r="AA56">
        <v>0.78</v>
      </c>
      <c r="AB56">
        <v>0.74</v>
      </c>
      <c r="AC56" s="65">
        <v>0.8</v>
      </c>
      <c r="AD56" s="64">
        <v>0.77</v>
      </c>
      <c r="AE56">
        <v>0.83</v>
      </c>
      <c r="AF56">
        <v>0.78</v>
      </c>
      <c r="AG56" s="65">
        <v>0.81</v>
      </c>
      <c r="AH56" s="64">
        <v>0.6</v>
      </c>
      <c r="AI56">
        <v>0.76</v>
      </c>
      <c r="AJ56">
        <v>0.69</v>
      </c>
      <c r="AK56" s="65">
        <v>0.69</v>
      </c>
      <c r="AL56" s="64">
        <v>0.69</v>
      </c>
      <c r="AM56">
        <v>0.75</v>
      </c>
      <c r="AN56">
        <v>0.73</v>
      </c>
      <c r="AO56" s="65">
        <v>0.73</v>
      </c>
    </row>
    <row r="57" spans="1:41" x14ac:dyDescent="0.2">
      <c r="A57" s="66" t="s">
        <v>1207</v>
      </c>
      <c r="B57" s="66">
        <v>0.75</v>
      </c>
      <c r="C57" s="68">
        <v>0.74</v>
      </c>
      <c r="D57" s="68">
        <v>0.77</v>
      </c>
      <c r="E57" s="67">
        <v>0.83</v>
      </c>
      <c r="F57" s="66">
        <v>0.78</v>
      </c>
      <c r="G57" s="68">
        <v>0.64</v>
      </c>
      <c r="H57" s="68">
        <v>0.69</v>
      </c>
      <c r="I57" s="67">
        <v>0.67</v>
      </c>
      <c r="J57" s="66">
        <v>0.77</v>
      </c>
      <c r="K57" s="68">
        <v>0.57999999999999996</v>
      </c>
      <c r="L57" s="68">
        <v>0.67</v>
      </c>
      <c r="M57" s="67">
        <v>0.67</v>
      </c>
      <c r="N57" s="66">
        <v>0.79</v>
      </c>
      <c r="O57" s="68">
        <v>0.63</v>
      </c>
      <c r="P57" s="68">
        <v>0.73</v>
      </c>
      <c r="Q57" s="67">
        <v>0.72</v>
      </c>
      <c r="R57" s="66">
        <v>0.71</v>
      </c>
      <c r="S57" s="68">
        <v>0.75</v>
      </c>
      <c r="T57" s="68">
        <v>0.64</v>
      </c>
      <c r="U57" s="67">
        <v>0.73</v>
      </c>
      <c r="V57" s="66">
        <v>0.78</v>
      </c>
      <c r="W57" s="68">
        <v>0.74</v>
      </c>
      <c r="X57" s="68">
        <v>0.67</v>
      </c>
      <c r="Y57" s="67">
        <v>0.69</v>
      </c>
      <c r="Z57" s="66">
        <v>0.76</v>
      </c>
      <c r="AA57" s="68">
        <v>0.73</v>
      </c>
      <c r="AB57" s="68">
        <v>0.69</v>
      </c>
      <c r="AC57" s="67">
        <v>0.78</v>
      </c>
      <c r="AD57" s="66">
        <v>0.82</v>
      </c>
      <c r="AE57" s="68">
        <v>0.8</v>
      </c>
      <c r="AF57" s="68">
        <v>0.73</v>
      </c>
      <c r="AG57" s="67">
        <v>0.8</v>
      </c>
      <c r="AH57" s="66">
        <v>0.63</v>
      </c>
      <c r="AI57" s="68">
        <v>0.69</v>
      </c>
      <c r="AJ57" s="68">
        <v>0.53</v>
      </c>
      <c r="AK57" s="67">
        <v>0.68</v>
      </c>
      <c r="AL57" s="66">
        <v>0.73</v>
      </c>
      <c r="AM57" s="68">
        <v>0.31</v>
      </c>
      <c r="AN57" s="68">
        <v>0.53</v>
      </c>
      <c r="AO57" s="67">
        <v>0.71</v>
      </c>
    </row>
    <row r="58" spans="1:41" x14ac:dyDescent="0.2">
      <c r="A58" s="69" t="s">
        <v>1216</v>
      </c>
      <c r="B58" s="69">
        <v>0.79</v>
      </c>
      <c r="C58" s="71">
        <v>0.77</v>
      </c>
      <c r="D58" s="71">
        <v>0.75</v>
      </c>
      <c r="E58" s="70">
        <v>0.82</v>
      </c>
      <c r="F58" s="69">
        <v>0.78</v>
      </c>
      <c r="G58" s="71">
        <v>0.76</v>
      </c>
      <c r="H58" s="71">
        <v>0.77</v>
      </c>
      <c r="I58" s="70">
        <v>0.78</v>
      </c>
      <c r="J58" s="69">
        <v>0.73</v>
      </c>
      <c r="K58" s="71">
        <v>0.76</v>
      </c>
      <c r="L58" s="71">
        <v>0.76</v>
      </c>
      <c r="M58" s="70">
        <v>0.76</v>
      </c>
      <c r="N58" s="69">
        <v>0.72</v>
      </c>
      <c r="O58" s="71">
        <v>0.72</v>
      </c>
      <c r="P58" s="71">
        <v>0.71</v>
      </c>
      <c r="Q58" s="70">
        <v>0.77</v>
      </c>
      <c r="R58" s="69">
        <v>0.76</v>
      </c>
      <c r="S58" s="71">
        <v>0.76</v>
      </c>
      <c r="T58" s="71">
        <v>0.79</v>
      </c>
      <c r="U58" s="70">
        <v>0.65</v>
      </c>
      <c r="V58" s="69">
        <v>0.68</v>
      </c>
      <c r="W58" s="71">
        <v>0.74</v>
      </c>
      <c r="X58" s="71">
        <v>0.49</v>
      </c>
      <c r="Y58" s="70">
        <v>0.8</v>
      </c>
      <c r="Z58" s="69">
        <v>0.68</v>
      </c>
      <c r="AA58" s="71">
        <v>0.79</v>
      </c>
      <c r="AB58" s="71">
        <v>0.76</v>
      </c>
      <c r="AC58" s="70">
        <v>0.79</v>
      </c>
      <c r="AD58" s="69">
        <v>0.83</v>
      </c>
      <c r="AE58" s="71">
        <v>0.76</v>
      </c>
      <c r="AF58" s="71">
        <v>0.77</v>
      </c>
      <c r="AG58" s="70">
        <v>0.82</v>
      </c>
      <c r="AH58" s="69">
        <v>0.59</v>
      </c>
      <c r="AI58" s="71">
        <v>0.75</v>
      </c>
      <c r="AJ58" s="71">
        <v>0.67</v>
      </c>
      <c r="AK58" s="70">
        <v>0.75</v>
      </c>
      <c r="AL58" s="69">
        <v>0.61</v>
      </c>
      <c r="AM58" s="71">
        <v>0.72</v>
      </c>
      <c r="AN58" s="71">
        <v>0.56999999999999995</v>
      </c>
      <c r="AO58" s="70">
        <v>0.72</v>
      </c>
    </row>
    <row r="59" spans="1:41" x14ac:dyDescent="0.2">
      <c r="A59" s="64" t="s">
        <v>1225</v>
      </c>
      <c r="B59" s="64">
        <v>0.74</v>
      </c>
      <c r="C59">
        <v>0.75</v>
      </c>
      <c r="D59">
        <v>0.79</v>
      </c>
      <c r="E59" s="65">
        <v>0.75</v>
      </c>
      <c r="F59" s="64">
        <v>0.76</v>
      </c>
      <c r="G59">
        <v>0.8</v>
      </c>
      <c r="H59">
        <v>0.77</v>
      </c>
      <c r="I59" s="65">
        <v>0.8</v>
      </c>
      <c r="J59" s="64">
        <v>0.68</v>
      </c>
      <c r="K59">
        <v>0.72</v>
      </c>
      <c r="L59">
        <v>0.73</v>
      </c>
      <c r="M59" s="65">
        <v>0.74</v>
      </c>
      <c r="N59" s="64">
        <v>0.8</v>
      </c>
      <c r="O59">
        <v>0.79</v>
      </c>
      <c r="P59">
        <v>0.72</v>
      </c>
      <c r="Q59" s="65">
        <v>0.73</v>
      </c>
      <c r="R59" s="64">
        <v>0.79</v>
      </c>
      <c r="S59">
        <v>0.79</v>
      </c>
      <c r="T59">
        <v>0.78</v>
      </c>
      <c r="U59" s="65">
        <v>0.65</v>
      </c>
      <c r="V59" s="64">
        <v>0.73</v>
      </c>
      <c r="W59">
        <v>0.72</v>
      </c>
      <c r="X59">
        <v>0.71</v>
      </c>
      <c r="Y59" s="65">
        <v>0.66</v>
      </c>
      <c r="Z59" s="64">
        <v>0.79</v>
      </c>
      <c r="AA59">
        <v>0.75</v>
      </c>
      <c r="AB59">
        <v>0.75</v>
      </c>
      <c r="AC59" s="65">
        <v>0.73</v>
      </c>
      <c r="AD59" s="64">
        <v>0.82</v>
      </c>
      <c r="AE59">
        <v>0.8</v>
      </c>
      <c r="AF59">
        <v>0.81</v>
      </c>
      <c r="AG59" s="65">
        <v>0.76</v>
      </c>
      <c r="AH59" s="64">
        <v>0.69</v>
      </c>
      <c r="AI59">
        <v>0.56000000000000005</v>
      </c>
      <c r="AJ59">
        <v>0.61</v>
      </c>
      <c r="AK59" s="65">
        <v>0.52</v>
      </c>
      <c r="AL59" s="64">
        <v>0.76</v>
      </c>
      <c r="AM59">
        <v>0.18</v>
      </c>
      <c r="AN59">
        <v>0.64</v>
      </c>
      <c r="AO59" s="65">
        <v>0.53</v>
      </c>
    </row>
    <row r="60" spans="1:41" x14ac:dyDescent="0.2">
      <c r="A60" s="64" t="s">
        <v>1234</v>
      </c>
      <c r="B60" s="64">
        <v>0.81</v>
      </c>
      <c r="C60">
        <v>0.76</v>
      </c>
      <c r="D60">
        <v>0.81</v>
      </c>
      <c r="E60" s="65">
        <v>0.78</v>
      </c>
      <c r="F60" s="64">
        <v>0.76</v>
      </c>
      <c r="G60">
        <v>0.72</v>
      </c>
      <c r="H60">
        <v>0.75</v>
      </c>
      <c r="I60" s="65">
        <v>0.76</v>
      </c>
      <c r="J60" s="64">
        <v>0.81</v>
      </c>
      <c r="K60">
        <v>0.78</v>
      </c>
      <c r="L60">
        <v>0.72</v>
      </c>
      <c r="M60" s="65">
        <v>0.75</v>
      </c>
      <c r="N60" s="64">
        <v>0.79</v>
      </c>
      <c r="O60">
        <v>0.79</v>
      </c>
      <c r="P60">
        <v>0.77</v>
      </c>
      <c r="Q60" s="65">
        <v>0.72</v>
      </c>
      <c r="R60" s="64">
        <v>0.8</v>
      </c>
      <c r="S60">
        <v>0.81</v>
      </c>
      <c r="T60">
        <v>0.78</v>
      </c>
      <c r="U60" s="65">
        <v>0.7</v>
      </c>
      <c r="V60" s="64">
        <v>0.8</v>
      </c>
      <c r="W60">
        <v>0.82</v>
      </c>
      <c r="X60">
        <v>0.71</v>
      </c>
      <c r="Y60" s="65">
        <v>0.71</v>
      </c>
      <c r="Z60" s="64">
        <v>0.75</v>
      </c>
      <c r="AA60">
        <v>0.75</v>
      </c>
      <c r="AB60">
        <v>0.75</v>
      </c>
      <c r="AC60" s="65">
        <v>0.76</v>
      </c>
      <c r="AD60" s="64">
        <v>0.81</v>
      </c>
      <c r="AE60">
        <v>0.79</v>
      </c>
      <c r="AF60">
        <v>0.66</v>
      </c>
      <c r="AG60" s="65">
        <v>0.69</v>
      </c>
      <c r="AH60" s="64">
        <v>0.7</v>
      </c>
      <c r="AI60">
        <v>0.65</v>
      </c>
      <c r="AJ60">
        <v>0.65</v>
      </c>
      <c r="AK60" s="65">
        <v>0.7</v>
      </c>
      <c r="AL60" s="64">
        <v>0.73</v>
      </c>
      <c r="AM60">
        <v>0.76</v>
      </c>
      <c r="AN60">
        <v>0.61</v>
      </c>
      <c r="AO60" s="65">
        <v>0.73</v>
      </c>
    </row>
    <row r="61" spans="1:41" x14ac:dyDescent="0.2">
      <c r="A61" s="66" t="s">
        <v>1243</v>
      </c>
      <c r="B61" s="66">
        <v>0.78</v>
      </c>
      <c r="C61" s="68">
        <v>0.77</v>
      </c>
      <c r="D61" s="68">
        <v>0.77</v>
      </c>
      <c r="E61" s="67">
        <v>0.7</v>
      </c>
      <c r="F61" s="66">
        <v>0</v>
      </c>
      <c r="G61" s="68">
        <v>0</v>
      </c>
      <c r="H61" s="68">
        <v>0.5</v>
      </c>
      <c r="I61" s="67">
        <v>0</v>
      </c>
      <c r="J61" s="66">
        <v>0.67</v>
      </c>
      <c r="K61" s="68">
        <v>0.7</v>
      </c>
      <c r="L61" s="68">
        <v>0.45</v>
      </c>
      <c r="M61" s="67">
        <v>0</v>
      </c>
      <c r="N61" s="66">
        <v>0.73</v>
      </c>
      <c r="O61" s="68">
        <v>0.55000000000000004</v>
      </c>
      <c r="P61" s="68">
        <v>0.74</v>
      </c>
      <c r="Q61" s="67">
        <v>0</v>
      </c>
      <c r="R61" s="66">
        <v>0.66</v>
      </c>
      <c r="S61" s="68">
        <v>0.76</v>
      </c>
      <c r="T61" s="68">
        <v>0.62</v>
      </c>
      <c r="U61" s="67">
        <v>0.79</v>
      </c>
      <c r="V61" s="66">
        <v>0.61</v>
      </c>
      <c r="W61" s="68">
        <v>0</v>
      </c>
      <c r="X61" s="68">
        <v>0.66</v>
      </c>
      <c r="Y61" s="67">
        <v>0</v>
      </c>
      <c r="Z61" s="66">
        <v>0.76</v>
      </c>
      <c r="AA61" s="68">
        <v>0</v>
      </c>
      <c r="AB61" s="68">
        <v>0.74</v>
      </c>
      <c r="AC61" s="67">
        <v>0</v>
      </c>
      <c r="AD61" s="66">
        <v>0.72</v>
      </c>
      <c r="AE61" s="68">
        <v>0</v>
      </c>
      <c r="AF61" s="68">
        <v>0.74</v>
      </c>
      <c r="AG61" s="67">
        <v>0</v>
      </c>
      <c r="AH61" s="66">
        <v>0.7</v>
      </c>
      <c r="AI61" s="68">
        <v>0</v>
      </c>
      <c r="AJ61" s="68">
        <v>0.55000000000000004</v>
      </c>
      <c r="AK61" s="67">
        <v>0</v>
      </c>
      <c r="AL61" s="66">
        <v>0.75</v>
      </c>
      <c r="AM61" s="68">
        <v>0</v>
      </c>
      <c r="AN61" s="68">
        <v>0.72</v>
      </c>
      <c r="AO61" s="67">
        <v>0</v>
      </c>
    </row>
    <row r="62" spans="1:41" x14ac:dyDescent="0.2">
      <c r="A62" s="69" t="s">
        <v>1252</v>
      </c>
      <c r="B62" s="69">
        <v>0.73</v>
      </c>
      <c r="C62" s="71">
        <v>0.76</v>
      </c>
      <c r="D62" s="71">
        <v>0.75</v>
      </c>
      <c r="E62" s="70">
        <v>0.74</v>
      </c>
      <c r="F62" s="69">
        <v>0.71</v>
      </c>
      <c r="G62" s="71">
        <v>0.82</v>
      </c>
      <c r="H62" s="71">
        <v>0.75</v>
      </c>
      <c r="I62" s="70">
        <v>0.8</v>
      </c>
      <c r="J62" s="69">
        <v>0.76</v>
      </c>
      <c r="K62" s="71">
        <v>0.69</v>
      </c>
      <c r="L62" s="71">
        <v>0.72</v>
      </c>
      <c r="M62" s="70">
        <v>0.76</v>
      </c>
      <c r="N62" s="69">
        <v>0.72</v>
      </c>
      <c r="O62" s="71">
        <v>0.77</v>
      </c>
      <c r="P62" s="71">
        <v>0.71</v>
      </c>
      <c r="Q62" s="70">
        <v>0.77</v>
      </c>
      <c r="R62" s="69">
        <v>0.76</v>
      </c>
      <c r="S62" s="71">
        <v>0.8</v>
      </c>
      <c r="T62" s="71">
        <v>0.81</v>
      </c>
      <c r="U62" s="70">
        <v>0.75</v>
      </c>
      <c r="V62" s="69">
        <v>0.82</v>
      </c>
      <c r="W62" s="71">
        <v>0.77</v>
      </c>
      <c r="X62" s="71">
        <v>0.65</v>
      </c>
      <c r="Y62" s="70">
        <v>0.75</v>
      </c>
      <c r="Z62" s="69">
        <v>0.74</v>
      </c>
      <c r="AA62" s="71">
        <v>0.76</v>
      </c>
      <c r="AB62" s="71">
        <v>0.74</v>
      </c>
      <c r="AC62" s="70">
        <v>0.75</v>
      </c>
      <c r="AD62" s="69">
        <v>0.71</v>
      </c>
      <c r="AE62" s="71">
        <v>0.72</v>
      </c>
      <c r="AF62" s="71">
        <v>0.71</v>
      </c>
      <c r="AG62" s="70">
        <v>0.72</v>
      </c>
      <c r="AH62" s="69">
        <v>0.69</v>
      </c>
      <c r="AI62" s="71">
        <v>0.8</v>
      </c>
      <c r="AJ62" s="71">
        <v>0.57999999999999996</v>
      </c>
      <c r="AK62" s="70">
        <v>0.73</v>
      </c>
      <c r="AL62" s="69">
        <v>0.75</v>
      </c>
      <c r="AM62" s="71">
        <v>0.78</v>
      </c>
      <c r="AN62" s="71">
        <v>0.71</v>
      </c>
      <c r="AO62" s="70">
        <v>0.73</v>
      </c>
    </row>
    <row r="63" spans="1:41" x14ac:dyDescent="0.2">
      <c r="A63" s="64" t="s">
        <v>1261</v>
      </c>
      <c r="B63" s="64">
        <v>0.81</v>
      </c>
      <c r="C63">
        <v>0.83</v>
      </c>
      <c r="D63">
        <v>0.83</v>
      </c>
      <c r="E63" s="65">
        <v>0.71</v>
      </c>
      <c r="F63" s="64">
        <v>0.78</v>
      </c>
      <c r="G63">
        <v>0.77</v>
      </c>
      <c r="H63">
        <v>0.81</v>
      </c>
      <c r="I63" s="65">
        <v>0.77</v>
      </c>
      <c r="J63" s="64">
        <v>0.78</v>
      </c>
      <c r="K63">
        <v>0.72</v>
      </c>
      <c r="L63">
        <v>0.85</v>
      </c>
      <c r="M63" s="65">
        <v>0.78</v>
      </c>
      <c r="N63" s="64">
        <v>0.78</v>
      </c>
      <c r="O63">
        <v>0.73</v>
      </c>
      <c r="P63">
        <v>0.75</v>
      </c>
      <c r="Q63" s="65">
        <v>0.76</v>
      </c>
      <c r="R63" s="64">
        <v>0.74</v>
      </c>
      <c r="S63">
        <v>0.71</v>
      </c>
      <c r="T63">
        <v>0.69</v>
      </c>
      <c r="U63" s="65">
        <v>0.65</v>
      </c>
      <c r="V63" s="64">
        <v>0.75</v>
      </c>
      <c r="W63">
        <v>0.78</v>
      </c>
      <c r="X63">
        <v>0.74</v>
      </c>
      <c r="Y63" s="65">
        <v>0.63</v>
      </c>
      <c r="Z63" s="64">
        <v>0.76</v>
      </c>
      <c r="AA63">
        <v>0.77</v>
      </c>
      <c r="AB63">
        <v>0.78</v>
      </c>
      <c r="AC63" s="65">
        <v>0.66</v>
      </c>
      <c r="AD63" s="64">
        <v>0.7</v>
      </c>
      <c r="AE63">
        <v>0.68</v>
      </c>
      <c r="AF63">
        <v>0.7</v>
      </c>
      <c r="AG63" s="65">
        <v>0.62</v>
      </c>
      <c r="AH63" s="64">
        <v>0.59</v>
      </c>
      <c r="AI63">
        <v>0.64</v>
      </c>
      <c r="AJ63">
        <v>0.69</v>
      </c>
      <c r="AK63" s="65">
        <v>0.57999999999999996</v>
      </c>
      <c r="AL63" s="64">
        <v>0.61</v>
      </c>
      <c r="AM63">
        <v>0.7</v>
      </c>
      <c r="AN63">
        <v>0.67</v>
      </c>
      <c r="AO63" s="65">
        <v>0.7</v>
      </c>
    </row>
    <row r="64" spans="1:41" x14ac:dyDescent="0.2">
      <c r="A64" s="64" t="s">
        <v>1270</v>
      </c>
      <c r="B64" s="64">
        <v>0.73</v>
      </c>
      <c r="C64">
        <v>0.73</v>
      </c>
      <c r="D64">
        <v>0.71</v>
      </c>
      <c r="E64" s="65">
        <v>0.79</v>
      </c>
      <c r="F64" s="64">
        <v>0.77</v>
      </c>
      <c r="G64">
        <v>0.81</v>
      </c>
      <c r="H64">
        <v>0.81</v>
      </c>
      <c r="I64" s="65">
        <v>0.67</v>
      </c>
      <c r="J64" s="64">
        <v>0.7</v>
      </c>
      <c r="K64">
        <v>0.78</v>
      </c>
      <c r="L64">
        <v>0.76</v>
      </c>
      <c r="M64" s="65">
        <v>0.75</v>
      </c>
      <c r="N64" s="64">
        <v>0.8</v>
      </c>
      <c r="O64">
        <v>0.79</v>
      </c>
      <c r="P64">
        <v>0.77</v>
      </c>
      <c r="Q64" s="65">
        <v>0.77</v>
      </c>
      <c r="R64" s="64">
        <v>0.79</v>
      </c>
      <c r="S64">
        <v>0.81</v>
      </c>
      <c r="T64">
        <v>0.74</v>
      </c>
      <c r="U64" s="65">
        <v>0.79</v>
      </c>
      <c r="V64" s="64">
        <v>0.77</v>
      </c>
      <c r="W64">
        <v>0.74</v>
      </c>
      <c r="X64">
        <v>0.67</v>
      </c>
      <c r="Y64" s="65">
        <v>0.56000000000000005</v>
      </c>
      <c r="Z64" s="64">
        <v>0.7</v>
      </c>
      <c r="AA64">
        <v>0.73</v>
      </c>
      <c r="AB64">
        <v>0.7</v>
      </c>
      <c r="AC64" s="65">
        <v>0.74</v>
      </c>
      <c r="AD64" s="64">
        <v>0.71</v>
      </c>
      <c r="AE64">
        <v>0.71</v>
      </c>
      <c r="AF64">
        <v>0.68</v>
      </c>
      <c r="AG64" s="65">
        <v>0.67</v>
      </c>
      <c r="AH64" s="64">
        <v>0.66</v>
      </c>
      <c r="AI64">
        <v>0.52</v>
      </c>
      <c r="AJ64">
        <v>0.59</v>
      </c>
      <c r="AK64" s="65">
        <v>0.7</v>
      </c>
      <c r="AL64" s="64">
        <v>0.68</v>
      </c>
      <c r="AM64">
        <v>0.76</v>
      </c>
      <c r="AN64">
        <v>0.75</v>
      </c>
      <c r="AO64" s="65">
        <v>0.68</v>
      </c>
    </row>
    <row r="65" spans="1:41" x14ac:dyDescent="0.2">
      <c r="A65" s="66" t="s">
        <v>1280</v>
      </c>
      <c r="B65" s="66">
        <v>0.66</v>
      </c>
      <c r="C65" s="68">
        <v>0.71</v>
      </c>
      <c r="D65" s="68">
        <v>0.78</v>
      </c>
      <c r="E65" s="67">
        <v>0.68</v>
      </c>
      <c r="F65" s="66">
        <v>0</v>
      </c>
      <c r="G65" s="68">
        <v>0.69</v>
      </c>
      <c r="H65" s="68">
        <v>0.64</v>
      </c>
      <c r="I65" s="67">
        <v>0</v>
      </c>
      <c r="J65" s="66">
        <v>0</v>
      </c>
      <c r="K65" s="68">
        <v>0.67</v>
      </c>
      <c r="L65" s="68">
        <v>0.73</v>
      </c>
      <c r="M65" s="67">
        <v>0</v>
      </c>
      <c r="N65" s="66">
        <v>0</v>
      </c>
      <c r="O65" s="68">
        <v>0.75</v>
      </c>
      <c r="P65" s="68">
        <v>0.79</v>
      </c>
      <c r="Q65" s="67">
        <v>0</v>
      </c>
      <c r="R65" s="66">
        <v>0</v>
      </c>
      <c r="S65" s="68">
        <v>0.38</v>
      </c>
      <c r="T65" s="68">
        <v>0.77</v>
      </c>
      <c r="U65" s="67">
        <v>0.46</v>
      </c>
      <c r="V65" s="66">
        <v>0</v>
      </c>
      <c r="W65" s="68">
        <v>0.7</v>
      </c>
      <c r="X65" s="68">
        <v>0.71</v>
      </c>
      <c r="Y65" s="67">
        <v>0</v>
      </c>
      <c r="Z65" s="66">
        <v>0</v>
      </c>
      <c r="AA65" s="68">
        <v>0.73</v>
      </c>
      <c r="AB65" s="68">
        <v>0.76</v>
      </c>
      <c r="AC65" s="67">
        <v>0</v>
      </c>
      <c r="AD65" s="66">
        <v>0</v>
      </c>
      <c r="AE65" s="68">
        <v>0.73</v>
      </c>
      <c r="AF65" s="68">
        <v>0.67</v>
      </c>
      <c r="AG65" s="67">
        <v>0</v>
      </c>
      <c r="AH65" s="66">
        <v>0</v>
      </c>
      <c r="AI65" s="68">
        <v>0.67</v>
      </c>
      <c r="AJ65" s="68">
        <v>0.55000000000000004</v>
      </c>
      <c r="AK65" s="67">
        <v>0</v>
      </c>
      <c r="AL65" s="66">
        <v>0</v>
      </c>
      <c r="AM65" s="68">
        <v>0.72</v>
      </c>
      <c r="AN65" s="68">
        <v>0.69</v>
      </c>
      <c r="AO65" s="67">
        <v>0</v>
      </c>
    </row>
    <row r="66" spans="1:41" x14ac:dyDescent="0.2">
      <c r="A66" s="69" t="s">
        <v>1289</v>
      </c>
      <c r="B66" s="69">
        <v>0.82</v>
      </c>
      <c r="C66" s="71">
        <v>0.83</v>
      </c>
      <c r="D66" s="71">
        <v>0.79</v>
      </c>
      <c r="E66" s="70">
        <v>0.77</v>
      </c>
      <c r="F66" s="69">
        <v>0.77</v>
      </c>
      <c r="G66" s="71">
        <v>0.78</v>
      </c>
      <c r="H66" s="71">
        <v>0.69</v>
      </c>
      <c r="I66" s="70">
        <v>0.76</v>
      </c>
      <c r="J66" s="69">
        <v>0.72</v>
      </c>
      <c r="K66" s="71">
        <v>0.78</v>
      </c>
      <c r="L66" s="71">
        <v>0.67</v>
      </c>
      <c r="M66" s="70">
        <v>0</v>
      </c>
      <c r="N66" s="69">
        <v>0.78</v>
      </c>
      <c r="O66" s="71">
        <v>0.81</v>
      </c>
      <c r="P66" s="71">
        <v>0.77</v>
      </c>
      <c r="Q66" s="70">
        <v>0</v>
      </c>
      <c r="R66" s="69">
        <v>0.77</v>
      </c>
      <c r="S66" s="71">
        <v>0.79</v>
      </c>
      <c r="T66" s="71">
        <v>0.67</v>
      </c>
      <c r="U66" s="70">
        <v>0</v>
      </c>
      <c r="V66" s="69">
        <v>0.79</v>
      </c>
      <c r="W66" s="71">
        <v>0.76</v>
      </c>
      <c r="X66" s="71">
        <v>0.65</v>
      </c>
      <c r="Y66" s="70">
        <v>0</v>
      </c>
      <c r="Z66" s="69">
        <v>0.68</v>
      </c>
      <c r="AA66" s="71">
        <v>0.74</v>
      </c>
      <c r="AB66" s="71">
        <v>0.75</v>
      </c>
      <c r="AC66" s="70">
        <v>0</v>
      </c>
      <c r="AD66" s="69">
        <v>0.7</v>
      </c>
      <c r="AE66" s="71">
        <v>0.65</v>
      </c>
      <c r="AF66" s="71">
        <v>0.67</v>
      </c>
      <c r="AG66" s="70">
        <v>0</v>
      </c>
      <c r="AH66" s="69">
        <v>0.6</v>
      </c>
      <c r="AI66" s="71">
        <v>0.59</v>
      </c>
      <c r="AJ66" s="71">
        <v>0.56999999999999995</v>
      </c>
      <c r="AK66" s="70">
        <v>0</v>
      </c>
      <c r="AL66" s="69">
        <v>0.6</v>
      </c>
      <c r="AM66" s="71">
        <v>0.67</v>
      </c>
      <c r="AN66" s="71">
        <v>0.68</v>
      </c>
      <c r="AO66" s="70">
        <v>0</v>
      </c>
    </row>
    <row r="67" spans="1:41" x14ac:dyDescent="0.2">
      <c r="A67" s="64" t="s">
        <v>1299</v>
      </c>
      <c r="B67" s="64">
        <v>0.82</v>
      </c>
      <c r="C67">
        <v>0.83</v>
      </c>
      <c r="D67">
        <v>0.81</v>
      </c>
      <c r="E67" s="65">
        <v>0.85</v>
      </c>
      <c r="F67" s="64">
        <v>0.74</v>
      </c>
      <c r="G67">
        <v>0.8</v>
      </c>
      <c r="H67">
        <v>0.74</v>
      </c>
      <c r="I67" s="65">
        <v>0.77</v>
      </c>
      <c r="J67" s="64">
        <v>0.75</v>
      </c>
      <c r="K67">
        <v>0.75</v>
      </c>
      <c r="L67">
        <v>0.75</v>
      </c>
      <c r="M67" s="65">
        <v>0.78</v>
      </c>
      <c r="N67" s="64">
        <v>0.74</v>
      </c>
      <c r="O67">
        <v>0.8</v>
      </c>
      <c r="P67">
        <v>0.72</v>
      </c>
      <c r="Q67" s="65">
        <v>0.81</v>
      </c>
      <c r="R67" s="64">
        <v>0.79</v>
      </c>
      <c r="S67">
        <v>0.79</v>
      </c>
      <c r="T67">
        <v>0.71</v>
      </c>
      <c r="U67" s="65">
        <v>0.77</v>
      </c>
      <c r="V67" s="64">
        <v>0</v>
      </c>
      <c r="W67">
        <v>0</v>
      </c>
      <c r="X67">
        <v>0</v>
      </c>
      <c r="Y67" s="65">
        <v>0</v>
      </c>
      <c r="Z67" s="64">
        <v>0</v>
      </c>
      <c r="AA67">
        <v>0</v>
      </c>
      <c r="AB67">
        <v>0</v>
      </c>
      <c r="AC67" s="65">
        <v>0</v>
      </c>
      <c r="AD67" s="64">
        <v>0</v>
      </c>
      <c r="AE67">
        <v>0</v>
      </c>
      <c r="AF67">
        <v>0</v>
      </c>
      <c r="AG67" s="65">
        <v>0</v>
      </c>
      <c r="AH67" s="64">
        <v>0</v>
      </c>
      <c r="AI67">
        <v>0</v>
      </c>
      <c r="AJ67">
        <v>0</v>
      </c>
      <c r="AK67" s="65">
        <v>0</v>
      </c>
      <c r="AL67" s="64">
        <v>0</v>
      </c>
      <c r="AM67">
        <v>0</v>
      </c>
      <c r="AN67">
        <v>0</v>
      </c>
      <c r="AO67" s="65">
        <v>0</v>
      </c>
    </row>
    <row r="68" spans="1:41" x14ac:dyDescent="0.2">
      <c r="A68" s="64" t="s">
        <v>1308</v>
      </c>
      <c r="B68" s="64">
        <v>0.85</v>
      </c>
      <c r="C68">
        <v>0.84</v>
      </c>
      <c r="D68">
        <v>0.85</v>
      </c>
      <c r="E68" s="65">
        <v>0.84</v>
      </c>
      <c r="F68" s="64">
        <v>0.8</v>
      </c>
      <c r="G68">
        <v>0.81</v>
      </c>
      <c r="H68">
        <v>0.87</v>
      </c>
      <c r="I68" s="65">
        <v>0.72</v>
      </c>
      <c r="J68" s="64">
        <v>0.78</v>
      </c>
      <c r="K68">
        <v>0.8</v>
      </c>
      <c r="L68">
        <v>0.81</v>
      </c>
      <c r="M68" s="65">
        <v>0.78</v>
      </c>
      <c r="N68" s="64">
        <v>0.83</v>
      </c>
      <c r="O68">
        <v>0.83</v>
      </c>
      <c r="P68">
        <v>0.82</v>
      </c>
      <c r="Q68" s="65">
        <v>0.74</v>
      </c>
      <c r="R68" s="64">
        <v>0.81</v>
      </c>
      <c r="S68">
        <v>0.83</v>
      </c>
      <c r="T68">
        <v>0.78</v>
      </c>
      <c r="U68" s="65">
        <v>0.72</v>
      </c>
      <c r="V68" s="64">
        <v>0</v>
      </c>
      <c r="X68">
        <v>0</v>
      </c>
      <c r="Y68" s="65">
        <v>0</v>
      </c>
      <c r="Z68" s="64">
        <v>0</v>
      </c>
      <c r="AA68">
        <v>0</v>
      </c>
      <c r="AB68">
        <v>0</v>
      </c>
      <c r="AC68" s="65">
        <v>0</v>
      </c>
      <c r="AD68" s="64">
        <v>0</v>
      </c>
      <c r="AE68">
        <v>0</v>
      </c>
      <c r="AF68">
        <v>0</v>
      </c>
      <c r="AG68" s="65">
        <v>0</v>
      </c>
      <c r="AH68" s="64">
        <v>0</v>
      </c>
      <c r="AI68">
        <v>0</v>
      </c>
      <c r="AJ68">
        <v>0</v>
      </c>
      <c r="AK68" s="65">
        <v>0</v>
      </c>
      <c r="AL68" s="64">
        <v>0</v>
      </c>
      <c r="AM68">
        <v>0</v>
      </c>
      <c r="AN68">
        <v>0</v>
      </c>
      <c r="AO68" s="65">
        <v>0</v>
      </c>
    </row>
    <row r="69" spans="1:41" x14ac:dyDescent="0.2">
      <c r="A69" s="66" t="s">
        <v>1317</v>
      </c>
      <c r="B69" s="66">
        <v>0.8</v>
      </c>
      <c r="C69" s="68">
        <v>0.79</v>
      </c>
      <c r="D69" s="68">
        <v>0.83</v>
      </c>
      <c r="E69" s="67">
        <v>0.82</v>
      </c>
      <c r="F69" s="66">
        <v>0.68</v>
      </c>
      <c r="G69" s="68">
        <v>0.69</v>
      </c>
      <c r="H69" s="68">
        <v>0.66</v>
      </c>
      <c r="I69" s="67">
        <v>0.79</v>
      </c>
      <c r="J69" s="66">
        <v>0.73</v>
      </c>
      <c r="K69" s="68">
        <v>0.72</v>
      </c>
      <c r="L69" s="68">
        <v>0.76</v>
      </c>
      <c r="M69" s="67">
        <v>0.8</v>
      </c>
      <c r="N69" s="66">
        <v>0.75</v>
      </c>
      <c r="O69" s="68">
        <v>0.77</v>
      </c>
      <c r="P69" s="68">
        <v>0.79</v>
      </c>
      <c r="Q69" s="67">
        <v>0.8</v>
      </c>
      <c r="R69" s="66">
        <v>0.72</v>
      </c>
      <c r="S69" s="68">
        <v>0.59</v>
      </c>
      <c r="T69" s="68">
        <v>0.76</v>
      </c>
      <c r="U69" s="67">
        <v>0.67</v>
      </c>
      <c r="V69" s="66">
        <v>0.72</v>
      </c>
      <c r="W69" s="68">
        <v>0.73</v>
      </c>
      <c r="X69" s="68">
        <v>0.66</v>
      </c>
      <c r="Y69" s="67">
        <v>0.7</v>
      </c>
      <c r="Z69" s="66">
        <v>0.7</v>
      </c>
      <c r="AA69" s="68">
        <v>0.74</v>
      </c>
      <c r="AB69" s="68">
        <v>0.7</v>
      </c>
      <c r="AC69" s="67">
        <v>0.75</v>
      </c>
      <c r="AD69" s="66">
        <v>0.67</v>
      </c>
      <c r="AE69" s="68">
        <v>0.72</v>
      </c>
      <c r="AF69" s="68">
        <v>0.67</v>
      </c>
      <c r="AG69" s="67">
        <v>0.71</v>
      </c>
      <c r="AH69" s="66">
        <v>0.67</v>
      </c>
      <c r="AI69" s="68">
        <v>0.62</v>
      </c>
      <c r="AJ69" s="68">
        <v>0.54</v>
      </c>
      <c r="AK69" s="67">
        <v>0.55000000000000004</v>
      </c>
      <c r="AL69" s="66">
        <v>0.73</v>
      </c>
      <c r="AM69" s="68">
        <v>0.72</v>
      </c>
      <c r="AN69" s="68">
        <v>0.7</v>
      </c>
      <c r="AO69" s="67">
        <v>0.74</v>
      </c>
    </row>
    <row r="70" spans="1:41" x14ac:dyDescent="0.2">
      <c r="A70" s="69" t="s">
        <v>1326</v>
      </c>
      <c r="B70" s="69">
        <v>0.7</v>
      </c>
      <c r="C70" s="71">
        <v>0.76</v>
      </c>
      <c r="D70" s="71">
        <v>0.43</v>
      </c>
      <c r="E70" s="70">
        <v>0.81</v>
      </c>
      <c r="F70" s="69">
        <v>0.78</v>
      </c>
      <c r="G70" s="71">
        <v>0.79</v>
      </c>
      <c r="H70" s="71">
        <v>0.78</v>
      </c>
      <c r="I70" s="70">
        <v>0.79</v>
      </c>
      <c r="J70" s="69">
        <v>0.76</v>
      </c>
      <c r="K70" s="71">
        <v>0.75</v>
      </c>
      <c r="L70" s="71">
        <v>0.74</v>
      </c>
      <c r="M70" s="70">
        <v>0.77</v>
      </c>
      <c r="N70" s="69">
        <v>0.82</v>
      </c>
      <c r="O70" s="71">
        <v>0.73</v>
      </c>
      <c r="P70" s="71">
        <v>0.76</v>
      </c>
      <c r="Q70" s="70">
        <v>0.71</v>
      </c>
      <c r="R70" s="69">
        <v>0.82</v>
      </c>
      <c r="S70" s="71">
        <v>0.79</v>
      </c>
      <c r="T70" s="71">
        <v>0.77</v>
      </c>
      <c r="U70" s="70">
        <v>0.8</v>
      </c>
      <c r="V70" s="69">
        <v>0.76</v>
      </c>
      <c r="W70" s="71">
        <v>0.79</v>
      </c>
      <c r="X70" s="71">
        <v>0.69</v>
      </c>
      <c r="Y70" s="70">
        <v>0.69</v>
      </c>
      <c r="Z70" s="69">
        <v>0.78</v>
      </c>
      <c r="AA70" s="71">
        <v>0.77</v>
      </c>
      <c r="AB70" s="71">
        <v>0.76</v>
      </c>
      <c r="AC70" s="70">
        <v>0.79</v>
      </c>
      <c r="AD70" s="69">
        <v>0.62</v>
      </c>
      <c r="AE70" s="71">
        <v>0.73</v>
      </c>
      <c r="AF70" s="71">
        <v>0.75</v>
      </c>
      <c r="AG70" s="70">
        <v>0.73</v>
      </c>
      <c r="AH70" s="69">
        <v>0.65</v>
      </c>
      <c r="AI70" s="71">
        <v>0.74</v>
      </c>
      <c r="AJ70" s="71">
        <v>0.55000000000000004</v>
      </c>
      <c r="AK70" s="70">
        <v>0.67</v>
      </c>
      <c r="AL70" s="69">
        <v>0.66</v>
      </c>
      <c r="AM70" s="71">
        <v>0.74</v>
      </c>
      <c r="AN70" s="71">
        <v>0.67</v>
      </c>
      <c r="AO70" s="70">
        <v>0.72</v>
      </c>
    </row>
    <row r="71" spans="1:41" x14ac:dyDescent="0.2">
      <c r="A71" s="64" t="s">
        <v>1335</v>
      </c>
      <c r="B71" s="64">
        <v>0.5</v>
      </c>
      <c r="C71">
        <v>0.84</v>
      </c>
      <c r="D71">
        <v>0.72</v>
      </c>
      <c r="E71" s="65">
        <v>0.75</v>
      </c>
      <c r="F71" s="64">
        <v>0.72</v>
      </c>
      <c r="G71">
        <v>0.81</v>
      </c>
      <c r="H71">
        <v>0.8</v>
      </c>
      <c r="I71" s="65">
        <v>0.78</v>
      </c>
      <c r="J71" s="64">
        <v>0.74</v>
      </c>
      <c r="K71">
        <v>0.76</v>
      </c>
      <c r="L71">
        <v>0.76</v>
      </c>
      <c r="M71" s="65">
        <v>0.73</v>
      </c>
      <c r="N71" s="64">
        <v>0.82</v>
      </c>
      <c r="O71">
        <v>0.78</v>
      </c>
      <c r="P71">
        <v>0.75</v>
      </c>
      <c r="Q71" s="65">
        <v>0.73</v>
      </c>
      <c r="R71" s="64">
        <v>0.81</v>
      </c>
      <c r="S71">
        <v>0.8</v>
      </c>
      <c r="T71">
        <v>0.76</v>
      </c>
      <c r="U71" s="65">
        <v>0.64</v>
      </c>
      <c r="V71" s="64">
        <v>0.78</v>
      </c>
      <c r="W71">
        <v>0.79</v>
      </c>
      <c r="X71">
        <v>0.62</v>
      </c>
      <c r="Y71" s="65">
        <v>0.7</v>
      </c>
      <c r="Z71" s="64">
        <v>0.75</v>
      </c>
      <c r="AA71">
        <v>0.71</v>
      </c>
      <c r="AB71">
        <v>0.78</v>
      </c>
      <c r="AC71" s="65">
        <v>0.77</v>
      </c>
      <c r="AD71" s="64">
        <v>0.7</v>
      </c>
      <c r="AE71">
        <v>0.75</v>
      </c>
      <c r="AF71">
        <v>0.69</v>
      </c>
      <c r="AG71" s="65">
        <v>0.7</v>
      </c>
      <c r="AH71" s="64">
        <v>0.64</v>
      </c>
      <c r="AI71">
        <v>0.75</v>
      </c>
      <c r="AJ71">
        <v>0.62</v>
      </c>
      <c r="AK71" s="65">
        <v>0.59</v>
      </c>
      <c r="AL71" s="64">
        <v>0.79</v>
      </c>
      <c r="AM71">
        <v>0.76</v>
      </c>
      <c r="AN71">
        <v>0.67</v>
      </c>
      <c r="AO71" s="65">
        <v>0.61</v>
      </c>
    </row>
    <row r="72" spans="1:41" x14ac:dyDescent="0.2">
      <c r="A72" s="64" t="s">
        <v>1344</v>
      </c>
      <c r="B72" s="64">
        <v>0.81</v>
      </c>
      <c r="C72">
        <v>0.82</v>
      </c>
      <c r="D72">
        <v>0.82</v>
      </c>
      <c r="E72" s="65">
        <v>0.76</v>
      </c>
      <c r="F72" s="64">
        <v>0.77</v>
      </c>
      <c r="G72">
        <v>0.73</v>
      </c>
      <c r="H72">
        <v>0.49</v>
      </c>
      <c r="I72" s="65">
        <v>0.79</v>
      </c>
      <c r="J72" s="64">
        <v>0.8</v>
      </c>
      <c r="K72">
        <v>0.76</v>
      </c>
      <c r="L72">
        <v>0.64</v>
      </c>
      <c r="M72" s="65">
        <v>0.79</v>
      </c>
      <c r="N72" s="64">
        <v>0.79</v>
      </c>
      <c r="O72">
        <v>0.78</v>
      </c>
      <c r="P72">
        <v>0.73</v>
      </c>
      <c r="Q72" s="65">
        <v>0.78</v>
      </c>
      <c r="R72" s="64">
        <v>0.81</v>
      </c>
      <c r="S72">
        <v>0.8</v>
      </c>
      <c r="T72">
        <v>0.64</v>
      </c>
      <c r="U72" s="65">
        <v>0.66</v>
      </c>
      <c r="V72" s="64">
        <v>0.73</v>
      </c>
      <c r="Y72" s="65">
        <v>0.68</v>
      </c>
      <c r="Z72" s="64">
        <v>0.75</v>
      </c>
      <c r="AA72">
        <v>0</v>
      </c>
      <c r="AB72">
        <v>0</v>
      </c>
      <c r="AC72" s="65">
        <v>0.76</v>
      </c>
      <c r="AD72" s="64">
        <v>0.76</v>
      </c>
      <c r="AE72">
        <v>0</v>
      </c>
      <c r="AF72">
        <v>0</v>
      </c>
      <c r="AG72" s="65">
        <v>0.76</v>
      </c>
      <c r="AH72" s="64">
        <v>0.74</v>
      </c>
      <c r="AI72">
        <v>0</v>
      </c>
      <c r="AJ72">
        <v>0</v>
      </c>
      <c r="AK72" s="65">
        <v>0.72</v>
      </c>
      <c r="AL72" s="64">
        <v>0.75</v>
      </c>
      <c r="AM72">
        <v>0</v>
      </c>
      <c r="AN72">
        <v>0</v>
      </c>
      <c r="AO72" s="65">
        <v>0.73</v>
      </c>
    </row>
    <row r="73" spans="1:41" x14ac:dyDescent="0.2">
      <c r="A73" s="66" t="s">
        <v>1353</v>
      </c>
      <c r="B73" s="66">
        <v>0.82</v>
      </c>
      <c r="C73" s="68">
        <v>0.81</v>
      </c>
      <c r="D73" s="68">
        <v>0.8</v>
      </c>
      <c r="E73" s="67">
        <v>0.79</v>
      </c>
      <c r="F73" s="66">
        <v>0.7</v>
      </c>
      <c r="G73" s="68">
        <v>0.8</v>
      </c>
      <c r="H73" s="68">
        <v>0.68</v>
      </c>
      <c r="I73" s="67">
        <v>0.79</v>
      </c>
      <c r="J73" s="66">
        <v>0.76</v>
      </c>
      <c r="K73" s="68">
        <v>0.77</v>
      </c>
      <c r="L73" s="68">
        <v>0.77</v>
      </c>
      <c r="M73" s="67">
        <v>0.77</v>
      </c>
      <c r="N73" s="66">
        <v>0.77</v>
      </c>
      <c r="O73" s="68">
        <v>0.77</v>
      </c>
      <c r="P73" s="68">
        <v>0.78</v>
      </c>
      <c r="Q73" s="67">
        <v>0.73</v>
      </c>
      <c r="R73" s="66">
        <v>0.7</v>
      </c>
      <c r="S73" s="68">
        <v>0.73</v>
      </c>
      <c r="T73" s="68">
        <v>0.78</v>
      </c>
      <c r="U73" s="67">
        <v>0.71</v>
      </c>
      <c r="V73" s="66">
        <v>0.74</v>
      </c>
      <c r="W73" s="68">
        <v>0.79</v>
      </c>
      <c r="X73" s="68">
        <v>0.76</v>
      </c>
      <c r="Y73" s="67">
        <v>0.78</v>
      </c>
      <c r="Z73" s="66">
        <v>0.76</v>
      </c>
      <c r="AA73" s="68">
        <v>0.75</v>
      </c>
      <c r="AB73" s="68">
        <v>0.73</v>
      </c>
      <c r="AC73" s="67">
        <v>0.72</v>
      </c>
      <c r="AD73" s="66">
        <v>0.74</v>
      </c>
      <c r="AE73" s="68">
        <v>0.69</v>
      </c>
      <c r="AF73" s="68">
        <v>0.71</v>
      </c>
      <c r="AG73" s="67">
        <v>0.7</v>
      </c>
      <c r="AH73" s="66">
        <v>0.72</v>
      </c>
      <c r="AI73" s="68">
        <v>0.67</v>
      </c>
      <c r="AJ73" s="68">
        <v>0.7</v>
      </c>
      <c r="AK73" s="67">
        <v>0.67</v>
      </c>
      <c r="AL73" s="66">
        <v>0.7</v>
      </c>
      <c r="AM73" s="68">
        <v>0.65</v>
      </c>
      <c r="AN73" s="68">
        <v>0.73</v>
      </c>
      <c r="AO73" s="67">
        <v>0.62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15C49-41AC-4194-BE53-8A5FFF308B55}">
  <dimension ref="A1:AD831"/>
  <sheetViews>
    <sheetView workbookViewId="0">
      <selection activeCell="L22" sqref="L22"/>
    </sheetView>
  </sheetViews>
  <sheetFormatPr baseColWidth="10" defaultColWidth="9" defaultRowHeight="16" x14ac:dyDescent="0.2"/>
  <cols>
    <col min="1" max="1" width="4.33203125" customWidth="1"/>
    <col min="2" max="2" width="4" customWidth="1"/>
    <col min="3" max="3" width="11.83203125" customWidth="1"/>
    <col min="4" max="4" width="8.33203125" customWidth="1"/>
    <col min="5" max="5" width="7.6640625" customWidth="1"/>
    <col min="6" max="6" width="11.1640625" customWidth="1"/>
    <col min="7" max="7" width="22" customWidth="1"/>
    <col min="8" max="8" width="11.83203125" customWidth="1"/>
    <col min="9" max="9" width="18.1640625" customWidth="1"/>
    <col min="10" max="10" width="22.5" customWidth="1"/>
    <col min="11" max="11" width="26.1640625" customWidth="1"/>
    <col min="12" max="12" width="27.5" customWidth="1"/>
    <col min="13" max="13" width="25.6640625" customWidth="1"/>
    <col min="14" max="14" width="21.1640625" customWidth="1"/>
    <col min="15" max="15" width="28" customWidth="1"/>
    <col min="16" max="16" width="20" customWidth="1"/>
    <col min="17" max="17" width="18.83203125" customWidth="1"/>
    <col min="18" max="18" width="19.6640625" customWidth="1"/>
    <col min="19" max="20" width="18.83203125" customWidth="1"/>
    <col min="21" max="30" width="24.5" customWidth="1"/>
  </cols>
  <sheetData>
    <row r="1" spans="1:30" x14ac:dyDescent="0.2">
      <c r="A1" s="6" t="s">
        <v>0</v>
      </c>
      <c r="B1" s="6" t="s">
        <v>1</v>
      </c>
      <c r="C1" s="6" t="s">
        <v>2</v>
      </c>
      <c r="D1" s="6" t="s">
        <v>1809</v>
      </c>
      <c r="E1" s="6" t="s">
        <v>7</v>
      </c>
      <c r="F1" s="6" t="s">
        <v>8</v>
      </c>
      <c r="G1" s="17" t="s">
        <v>9</v>
      </c>
      <c r="H1" s="131" t="s">
        <v>13</v>
      </c>
      <c r="I1" s="72" t="s">
        <v>2023</v>
      </c>
      <c r="J1" s="72" t="s">
        <v>2024</v>
      </c>
      <c r="K1" s="73" t="s">
        <v>2025</v>
      </c>
      <c r="L1" s="73" t="s">
        <v>2027</v>
      </c>
      <c r="M1" s="74" t="s">
        <v>2028</v>
      </c>
      <c r="N1" s="74" t="s">
        <v>2029</v>
      </c>
      <c r="O1" s="75" t="s">
        <v>2030</v>
      </c>
      <c r="P1" s="75" t="s">
        <v>2031</v>
      </c>
      <c r="Q1" s="76" t="s">
        <v>2032</v>
      </c>
      <c r="R1" s="76" t="s">
        <v>2033</v>
      </c>
      <c r="S1" s="77" t="s">
        <v>2026</v>
      </c>
      <c r="T1" s="77" t="s">
        <v>1812</v>
      </c>
      <c r="U1" s="95" t="s">
        <v>2009</v>
      </c>
      <c r="V1" s="95" t="s">
        <v>1813</v>
      </c>
      <c r="W1" s="96" t="s">
        <v>2010</v>
      </c>
      <c r="X1" s="96" t="s">
        <v>1866</v>
      </c>
      <c r="Y1" s="106" t="s">
        <v>2011</v>
      </c>
      <c r="Z1" s="106" t="s">
        <v>1869</v>
      </c>
      <c r="AA1" s="116" t="s">
        <v>2012</v>
      </c>
      <c r="AB1" s="116" t="s">
        <v>1873</v>
      </c>
      <c r="AC1" s="126" t="s">
        <v>2013</v>
      </c>
      <c r="AD1" s="126" t="s">
        <v>1877</v>
      </c>
    </row>
    <row r="2" spans="1:30" x14ac:dyDescent="0.2">
      <c r="A2" s="18" t="s">
        <v>14</v>
      </c>
      <c r="B2" s="18" t="s">
        <v>15</v>
      </c>
      <c r="C2" s="18" t="s">
        <v>16</v>
      </c>
      <c r="D2" s="18" t="str">
        <f>A2&amp;"-"&amp;B2&amp;"-"&amp;C2</f>
        <v>B1-P1-C1</v>
      </c>
      <c r="E2" s="18" t="s">
        <v>19</v>
      </c>
      <c r="F2" s="18" t="s">
        <v>20</v>
      </c>
      <c r="G2" s="50" t="s">
        <v>710</v>
      </c>
      <c r="H2" s="50">
        <v>1</v>
      </c>
      <c r="I2" s="52">
        <v>1</v>
      </c>
      <c r="J2" s="52"/>
      <c r="K2" s="52">
        <v>1</v>
      </c>
      <c r="L2" s="52"/>
      <c r="M2" s="52">
        <v>1</v>
      </c>
      <c r="N2" s="52"/>
      <c r="O2" s="52">
        <v>1</v>
      </c>
      <c r="P2" s="52"/>
      <c r="Q2" s="52">
        <v>1</v>
      </c>
      <c r="R2" s="52"/>
      <c r="S2" s="52">
        <v>1</v>
      </c>
      <c r="T2" s="52"/>
      <c r="U2" s="52">
        <v>1</v>
      </c>
      <c r="V2" s="52"/>
      <c r="W2" s="52">
        <v>1</v>
      </c>
      <c r="X2" s="52"/>
      <c r="Y2" s="52">
        <v>2</v>
      </c>
      <c r="Z2" s="52"/>
      <c r="AA2" s="114">
        <v>2</v>
      </c>
      <c r="AB2" s="114"/>
      <c r="AC2" s="114">
        <v>4</v>
      </c>
      <c r="AD2" s="114"/>
    </row>
    <row r="3" spans="1:30" x14ac:dyDescent="0.2">
      <c r="A3" s="18" t="s">
        <v>14</v>
      </c>
      <c r="B3" s="18" t="s">
        <v>15</v>
      </c>
      <c r="C3" s="18" t="s">
        <v>16</v>
      </c>
      <c r="D3" s="18" t="str">
        <f t="shared" ref="D3:D66" si="0">A3&amp;"-"&amp;B3&amp;"-"&amp;C3</f>
        <v>B1-P1-C1</v>
      </c>
      <c r="E3" s="18" t="s">
        <v>19</v>
      </c>
      <c r="F3" s="18" t="s">
        <v>20</v>
      </c>
      <c r="G3" s="50" t="s">
        <v>711</v>
      </c>
      <c r="H3" s="50">
        <v>2</v>
      </c>
      <c r="I3" s="52">
        <v>1</v>
      </c>
      <c r="J3" s="52"/>
      <c r="K3" s="52">
        <v>1</v>
      </c>
      <c r="L3" s="52"/>
      <c r="M3" s="52">
        <v>1</v>
      </c>
      <c r="N3" s="52"/>
      <c r="O3" s="52">
        <v>1</v>
      </c>
      <c r="P3" s="52"/>
      <c r="Q3" s="52">
        <v>1</v>
      </c>
      <c r="R3" s="52"/>
      <c r="S3" s="52">
        <v>1</v>
      </c>
      <c r="T3" s="52"/>
      <c r="U3" s="52">
        <v>1</v>
      </c>
      <c r="V3" s="52"/>
      <c r="W3" s="52">
        <v>1</v>
      </c>
      <c r="X3" s="52"/>
      <c r="Y3" s="52">
        <v>1</v>
      </c>
      <c r="Z3" s="52"/>
      <c r="AA3" s="114">
        <v>1</v>
      </c>
      <c r="AB3" s="114"/>
      <c r="AC3" s="114">
        <v>4</v>
      </c>
      <c r="AD3" s="114"/>
    </row>
    <row r="4" spans="1:30" x14ac:dyDescent="0.2">
      <c r="A4" s="18" t="s">
        <v>14</v>
      </c>
      <c r="B4" s="18" t="s">
        <v>15</v>
      </c>
      <c r="C4" s="18" t="s">
        <v>16</v>
      </c>
      <c r="D4" s="18" t="str">
        <f t="shared" si="0"/>
        <v>B1-P1-C1</v>
      </c>
      <c r="E4" s="18" t="s">
        <v>19</v>
      </c>
      <c r="F4" s="18" t="s">
        <v>20</v>
      </c>
      <c r="G4" s="50" t="s">
        <v>712</v>
      </c>
      <c r="H4" s="50">
        <v>3</v>
      </c>
      <c r="I4" s="52">
        <v>1</v>
      </c>
      <c r="J4" s="52"/>
      <c r="K4" s="52">
        <v>1</v>
      </c>
      <c r="L4" s="52"/>
      <c r="M4" s="52">
        <v>1</v>
      </c>
      <c r="N4" s="52"/>
      <c r="O4" s="52">
        <v>1</v>
      </c>
      <c r="P4" s="52"/>
      <c r="Q4" s="52">
        <v>1</v>
      </c>
      <c r="R4" s="52"/>
      <c r="S4" s="52">
        <v>1</v>
      </c>
      <c r="T4" s="52"/>
      <c r="U4" s="52">
        <v>1</v>
      </c>
      <c r="V4" s="52"/>
      <c r="W4" s="52">
        <v>1</v>
      </c>
      <c r="X4" s="52"/>
      <c r="Y4" s="52">
        <v>1</v>
      </c>
      <c r="Z4" s="52"/>
      <c r="AA4" s="114">
        <v>1</v>
      </c>
      <c r="AB4" s="114"/>
      <c r="AC4" s="114">
        <v>4</v>
      </c>
      <c r="AD4" s="114"/>
    </row>
    <row r="5" spans="1:30" x14ac:dyDescent="0.2">
      <c r="A5" s="18" t="s">
        <v>14</v>
      </c>
      <c r="B5" s="18" t="s">
        <v>15</v>
      </c>
      <c r="C5" s="18" t="s">
        <v>16</v>
      </c>
      <c r="D5" s="18" t="str">
        <f t="shared" si="0"/>
        <v>B1-P1-C1</v>
      </c>
      <c r="E5" s="18" t="s">
        <v>19</v>
      </c>
      <c r="F5" s="18" t="s">
        <v>20</v>
      </c>
      <c r="G5" s="50" t="s">
        <v>713</v>
      </c>
      <c r="H5" s="50">
        <v>4</v>
      </c>
      <c r="I5" s="52">
        <v>1</v>
      </c>
      <c r="J5" s="52"/>
      <c r="K5" s="52">
        <v>1</v>
      </c>
      <c r="L5" s="52"/>
      <c r="M5" s="52">
        <v>1</v>
      </c>
      <c r="N5" s="52"/>
      <c r="O5" s="52">
        <v>1</v>
      </c>
      <c r="P5" s="52"/>
      <c r="Q5" s="52">
        <v>1</v>
      </c>
      <c r="R5" s="52"/>
      <c r="S5" s="52">
        <v>1</v>
      </c>
      <c r="T5" s="52"/>
      <c r="U5" s="52">
        <v>1</v>
      </c>
      <c r="V5" s="52"/>
      <c r="W5" s="52">
        <v>1</v>
      </c>
      <c r="X5" s="52"/>
      <c r="Y5" s="52">
        <v>1</v>
      </c>
      <c r="Z5" s="52"/>
      <c r="AA5" s="114">
        <v>1</v>
      </c>
      <c r="AB5" s="114"/>
      <c r="AC5" s="114">
        <v>3</v>
      </c>
      <c r="AD5" s="114"/>
    </row>
    <row r="6" spans="1:30" x14ac:dyDescent="0.2">
      <c r="A6" s="18" t="s">
        <v>14</v>
      </c>
      <c r="B6" s="18" t="s">
        <v>15</v>
      </c>
      <c r="C6" s="18" t="s">
        <v>16</v>
      </c>
      <c r="D6" s="18" t="str">
        <f t="shared" si="0"/>
        <v>B1-P1-C1</v>
      </c>
      <c r="E6" s="18" t="s">
        <v>19</v>
      </c>
      <c r="F6" s="18" t="s">
        <v>20</v>
      </c>
      <c r="G6" s="50" t="s">
        <v>714</v>
      </c>
      <c r="H6" s="50">
        <v>5</v>
      </c>
      <c r="I6" s="52">
        <v>1</v>
      </c>
      <c r="J6" s="52"/>
      <c r="K6" s="52">
        <v>1</v>
      </c>
      <c r="L6" s="52"/>
      <c r="M6" s="52">
        <v>1</v>
      </c>
      <c r="N6" s="52"/>
      <c r="O6" s="52">
        <v>1</v>
      </c>
      <c r="P6" s="52"/>
      <c r="Q6" s="52">
        <v>1</v>
      </c>
      <c r="R6" s="52"/>
      <c r="S6" s="52">
        <v>1</v>
      </c>
      <c r="T6" s="52"/>
      <c r="U6" s="52">
        <v>1</v>
      </c>
      <c r="V6" s="52"/>
      <c r="W6" s="52">
        <v>1</v>
      </c>
      <c r="X6" s="52"/>
      <c r="Y6" s="52">
        <v>1</v>
      </c>
      <c r="Z6" s="52"/>
      <c r="AA6" s="114">
        <v>1</v>
      </c>
      <c r="AB6" s="114"/>
      <c r="AC6" s="114">
        <v>3</v>
      </c>
      <c r="AD6" s="114"/>
    </row>
    <row r="7" spans="1:30" x14ac:dyDescent="0.2">
      <c r="A7" s="18" t="s">
        <v>14</v>
      </c>
      <c r="B7" s="18" t="s">
        <v>15</v>
      </c>
      <c r="C7" s="18" t="s">
        <v>16</v>
      </c>
      <c r="D7" s="18" t="str">
        <f t="shared" si="0"/>
        <v>B1-P1-C1</v>
      </c>
      <c r="E7" s="18" t="s">
        <v>19</v>
      </c>
      <c r="F7" s="18" t="s">
        <v>20</v>
      </c>
      <c r="G7" s="50" t="s">
        <v>715</v>
      </c>
      <c r="H7" s="50">
        <v>6</v>
      </c>
      <c r="I7" s="52">
        <v>1</v>
      </c>
      <c r="J7" s="52"/>
      <c r="K7" s="52">
        <v>1</v>
      </c>
      <c r="L7" s="52"/>
      <c r="M7" s="52">
        <v>1</v>
      </c>
      <c r="N7" s="52"/>
      <c r="O7" s="52">
        <v>1</v>
      </c>
      <c r="P7" s="52"/>
      <c r="Q7" s="52">
        <v>1</v>
      </c>
      <c r="R7" s="52"/>
      <c r="S7" s="52">
        <v>1</v>
      </c>
      <c r="T7" s="52"/>
      <c r="U7" s="52">
        <v>1</v>
      </c>
      <c r="V7" s="52"/>
      <c r="W7" s="52">
        <v>1</v>
      </c>
      <c r="X7" s="52"/>
      <c r="Y7" s="52">
        <v>1</v>
      </c>
      <c r="Z7" s="52"/>
      <c r="AA7" s="114">
        <v>1</v>
      </c>
      <c r="AB7" s="114"/>
      <c r="AC7" s="114">
        <v>3</v>
      </c>
      <c r="AD7" s="114"/>
    </row>
    <row r="8" spans="1:30" x14ac:dyDescent="0.2">
      <c r="A8" s="18" t="s">
        <v>14</v>
      </c>
      <c r="B8" s="18" t="s">
        <v>15</v>
      </c>
      <c r="C8" s="18" t="s">
        <v>16</v>
      </c>
      <c r="D8" s="18" t="str">
        <f t="shared" si="0"/>
        <v>B1-P1-C1</v>
      </c>
      <c r="E8" s="18" t="s">
        <v>19</v>
      </c>
      <c r="F8" s="18" t="s">
        <v>20</v>
      </c>
      <c r="G8" s="50" t="s">
        <v>716</v>
      </c>
      <c r="H8" s="50">
        <v>7</v>
      </c>
      <c r="I8" s="52">
        <v>1</v>
      </c>
      <c r="J8" s="52"/>
      <c r="K8" s="52">
        <v>1</v>
      </c>
      <c r="L8" s="52"/>
      <c r="M8" s="52">
        <v>1</v>
      </c>
      <c r="N8" s="52"/>
      <c r="O8" s="52">
        <v>1</v>
      </c>
      <c r="P8" s="52"/>
      <c r="Q8" s="52">
        <v>1</v>
      </c>
      <c r="R8" s="52"/>
      <c r="S8" s="52">
        <v>1</v>
      </c>
      <c r="T8" s="52"/>
      <c r="U8" s="52">
        <v>1</v>
      </c>
      <c r="V8" s="52"/>
      <c r="W8" s="52">
        <v>1</v>
      </c>
      <c r="X8" s="52"/>
      <c r="Y8" s="52">
        <v>1</v>
      </c>
      <c r="Z8" s="52"/>
      <c r="AA8" s="114">
        <v>2</v>
      </c>
      <c r="AB8" s="114"/>
      <c r="AC8" s="114">
        <v>4</v>
      </c>
      <c r="AD8" s="114"/>
    </row>
    <row r="9" spans="1:30" x14ac:dyDescent="0.2">
      <c r="A9" s="18" t="s">
        <v>14</v>
      </c>
      <c r="B9" s="18" t="s">
        <v>15</v>
      </c>
      <c r="C9" s="18" t="s">
        <v>16</v>
      </c>
      <c r="D9" s="18" t="str">
        <f t="shared" si="0"/>
        <v>B1-P1-C1</v>
      </c>
      <c r="E9" s="18" t="s">
        <v>19</v>
      </c>
      <c r="F9" s="18" t="s">
        <v>20</v>
      </c>
      <c r="G9" s="50" t="s">
        <v>717</v>
      </c>
      <c r="H9" s="50">
        <v>8</v>
      </c>
      <c r="I9" s="52">
        <v>1</v>
      </c>
      <c r="J9" s="52"/>
      <c r="K9" s="52">
        <v>1</v>
      </c>
      <c r="L9" s="52"/>
      <c r="M9" s="52">
        <v>1</v>
      </c>
      <c r="N9" s="52"/>
      <c r="O9" s="52">
        <v>1</v>
      </c>
      <c r="P9" s="52"/>
      <c r="Q9" s="52">
        <v>1</v>
      </c>
      <c r="R9" s="52"/>
      <c r="S9" s="52">
        <v>1</v>
      </c>
      <c r="T9" s="52"/>
      <c r="U9" s="52">
        <v>1</v>
      </c>
      <c r="V9" s="52"/>
      <c r="W9" s="52">
        <v>1</v>
      </c>
      <c r="X9" s="52"/>
      <c r="Y9" s="52">
        <v>1</v>
      </c>
      <c r="Z9" s="52"/>
      <c r="AA9" s="114">
        <v>2</v>
      </c>
      <c r="AB9" s="114"/>
      <c r="AC9" s="114">
        <v>3</v>
      </c>
      <c r="AD9" s="114"/>
    </row>
    <row r="10" spans="1:30" x14ac:dyDescent="0.2">
      <c r="A10" s="14" t="s">
        <v>14</v>
      </c>
      <c r="B10" s="14" t="s">
        <v>15</v>
      </c>
      <c r="C10" s="14" t="s">
        <v>32</v>
      </c>
      <c r="D10" s="14" t="str">
        <f t="shared" si="0"/>
        <v>B1-P1-C2</v>
      </c>
      <c r="E10" s="14" t="s">
        <v>19</v>
      </c>
      <c r="F10" s="14" t="s">
        <v>20</v>
      </c>
      <c r="G10" s="51" t="s">
        <v>719</v>
      </c>
      <c r="H10" s="51">
        <v>9</v>
      </c>
      <c r="I10" s="53">
        <v>1</v>
      </c>
      <c r="J10" s="54"/>
      <c r="K10" s="53">
        <v>1</v>
      </c>
      <c r="L10" s="54"/>
      <c r="M10" s="54">
        <v>1</v>
      </c>
      <c r="N10" s="54"/>
      <c r="O10" s="54">
        <v>1</v>
      </c>
      <c r="P10" s="54"/>
      <c r="Q10" s="54">
        <v>1</v>
      </c>
      <c r="R10" s="54"/>
      <c r="S10" s="54">
        <v>1</v>
      </c>
      <c r="T10" s="54"/>
      <c r="U10" s="54">
        <v>1</v>
      </c>
      <c r="V10" s="54"/>
      <c r="W10" s="54">
        <v>1</v>
      </c>
      <c r="X10" s="54"/>
      <c r="Y10" s="54">
        <v>1</v>
      </c>
      <c r="Z10" s="54"/>
      <c r="AA10" s="115">
        <v>1</v>
      </c>
      <c r="AB10" s="115"/>
      <c r="AC10" s="115">
        <v>4</v>
      </c>
      <c r="AD10" s="115"/>
    </row>
    <row r="11" spans="1:30" x14ac:dyDescent="0.2">
      <c r="A11" s="14" t="s">
        <v>14</v>
      </c>
      <c r="B11" s="14" t="s">
        <v>15</v>
      </c>
      <c r="C11" s="14" t="s">
        <v>32</v>
      </c>
      <c r="D11" s="14" t="str">
        <f t="shared" si="0"/>
        <v>B1-P1-C2</v>
      </c>
      <c r="E11" s="14" t="s">
        <v>35</v>
      </c>
      <c r="F11" s="14" t="s">
        <v>20</v>
      </c>
      <c r="G11" s="51" t="s">
        <v>720</v>
      </c>
      <c r="H11" s="51">
        <v>10</v>
      </c>
      <c r="I11" s="53">
        <v>1</v>
      </c>
      <c r="J11" s="54"/>
      <c r="K11" s="53">
        <v>1</v>
      </c>
      <c r="L11" s="54"/>
      <c r="M11" s="54">
        <v>1</v>
      </c>
      <c r="N11" s="54"/>
      <c r="O11" s="54">
        <v>1</v>
      </c>
      <c r="P11" s="54"/>
      <c r="Q11" s="54">
        <v>1</v>
      </c>
      <c r="R11" s="54"/>
      <c r="S11" s="54">
        <v>1</v>
      </c>
      <c r="T11" s="54"/>
      <c r="U11" s="54">
        <v>1</v>
      </c>
      <c r="V11" s="54"/>
      <c r="W11" s="54">
        <v>1</v>
      </c>
      <c r="X11" s="54"/>
      <c r="Y11" s="54">
        <v>1</v>
      </c>
      <c r="Z11" s="54"/>
      <c r="AA11" s="115">
        <v>1</v>
      </c>
      <c r="AB11" s="115"/>
      <c r="AC11" s="115">
        <v>1</v>
      </c>
      <c r="AD11" s="115"/>
    </row>
    <row r="12" spans="1:30" x14ac:dyDescent="0.2">
      <c r="A12" s="14" t="s">
        <v>14</v>
      </c>
      <c r="B12" s="14" t="s">
        <v>15</v>
      </c>
      <c r="C12" s="14" t="s">
        <v>32</v>
      </c>
      <c r="D12" s="14" t="str">
        <f t="shared" si="0"/>
        <v>B1-P1-C2</v>
      </c>
      <c r="E12" s="14" t="s">
        <v>35</v>
      </c>
      <c r="F12" s="14" t="s">
        <v>20</v>
      </c>
      <c r="G12" s="51" t="s">
        <v>721</v>
      </c>
      <c r="H12" s="51">
        <v>11</v>
      </c>
      <c r="I12" s="53">
        <v>1</v>
      </c>
      <c r="J12" s="54"/>
      <c r="K12" s="53">
        <v>1</v>
      </c>
      <c r="L12" s="54"/>
      <c r="M12" s="54">
        <v>1</v>
      </c>
      <c r="N12" s="54"/>
      <c r="O12" s="54">
        <v>1</v>
      </c>
      <c r="P12" s="54"/>
      <c r="Q12" s="54">
        <v>1</v>
      </c>
      <c r="R12" s="54"/>
      <c r="S12" s="54">
        <v>1</v>
      </c>
      <c r="T12" s="54"/>
      <c r="U12" s="54">
        <v>1</v>
      </c>
      <c r="V12" s="54"/>
      <c r="W12" s="54">
        <v>1</v>
      </c>
      <c r="X12" s="54"/>
      <c r="Y12" s="54">
        <v>1</v>
      </c>
      <c r="Z12" s="54"/>
      <c r="AA12" s="115">
        <v>1</v>
      </c>
      <c r="AB12" s="115"/>
      <c r="AC12" s="115">
        <v>1</v>
      </c>
      <c r="AD12" s="115"/>
    </row>
    <row r="13" spans="1:30" x14ac:dyDescent="0.2">
      <c r="A13" s="14" t="s">
        <v>14</v>
      </c>
      <c r="B13" s="14" t="s">
        <v>15</v>
      </c>
      <c r="C13" s="14" t="s">
        <v>32</v>
      </c>
      <c r="D13" s="14" t="str">
        <f t="shared" si="0"/>
        <v>B1-P1-C2</v>
      </c>
      <c r="E13" s="14" t="s">
        <v>19</v>
      </c>
      <c r="F13" s="14" t="s">
        <v>20</v>
      </c>
      <c r="G13" s="51" t="s">
        <v>722</v>
      </c>
      <c r="H13" s="51">
        <v>12</v>
      </c>
      <c r="I13" s="53">
        <v>1</v>
      </c>
      <c r="J13" s="54"/>
      <c r="K13" s="53">
        <v>1</v>
      </c>
      <c r="L13" s="54"/>
      <c r="M13" s="54">
        <v>1</v>
      </c>
      <c r="N13" s="54"/>
      <c r="O13" s="54">
        <v>1</v>
      </c>
      <c r="P13" s="54"/>
      <c r="Q13" s="54">
        <v>1</v>
      </c>
      <c r="R13" s="54"/>
      <c r="S13" s="54">
        <v>1</v>
      </c>
      <c r="T13" s="54"/>
      <c r="U13" s="54">
        <v>1</v>
      </c>
      <c r="V13" s="54"/>
      <c r="W13" s="54">
        <v>1</v>
      </c>
      <c r="X13" s="54"/>
      <c r="Y13" s="54">
        <v>1</v>
      </c>
      <c r="Z13" s="54"/>
      <c r="AA13" s="115">
        <v>1</v>
      </c>
      <c r="AB13" s="115"/>
      <c r="AC13" s="115">
        <v>2</v>
      </c>
      <c r="AD13" s="115"/>
    </row>
    <row r="14" spans="1:30" x14ac:dyDescent="0.2">
      <c r="A14" s="14" t="s">
        <v>14</v>
      </c>
      <c r="B14" s="14" t="s">
        <v>15</v>
      </c>
      <c r="C14" s="14" t="s">
        <v>32</v>
      </c>
      <c r="D14" s="14" t="str">
        <f t="shared" si="0"/>
        <v>B1-P1-C2</v>
      </c>
      <c r="E14" s="14" t="s">
        <v>19</v>
      </c>
      <c r="F14" s="14" t="s">
        <v>20</v>
      </c>
      <c r="G14" s="51" t="s">
        <v>723</v>
      </c>
      <c r="H14" s="51">
        <v>13</v>
      </c>
      <c r="I14" s="53">
        <v>1</v>
      </c>
      <c r="J14" s="54"/>
      <c r="K14" s="53">
        <v>1</v>
      </c>
      <c r="L14" s="54"/>
      <c r="M14" s="54">
        <v>1</v>
      </c>
      <c r="N14" s="54"/>
      <c r="O14" s="54">
        <v>1</v>
      </c>
      <c r="P14" s="54"/>
      <c r="Q14" s="54">
        <v>1</v>
      </c>
      <c r="R14" s="54"/>
      <c r="S14" s="54">
        <v>1</v>
      </c>
      <c r="T14" s="54"/>
      <c r="U14" s="54">
        <v>1</v>
      </c>
      <c r="V14" s="54"/>
      <c r="W14" s="54">
        <v>1</v>
      </c>
      <c r="X14" s="54"/>
      <c r="Y14" s="54">
        <v>1</v>
      </c>
      <c r="Z14" s="54"/>
      <c r="AA14" s="115">
        <v>1</v>
      </c>
      <c r="AB14" s="115"/>
      <c r="AC14" s="115">
        <v>3</v>
      </c>
      <c r="AD14" s="115"/>
    </row>
    <row r="15" spans="1:30" x14ac:dyDescent="0.2">
      <c r="A15" s="14" t="s">
        <v>14</v>
      </c>
      <c r="B15" s="14" t="s">
        <v>15</v>
      </c>
      <c r="C15" s="14" t="s">
        <v>32</v>
      </c>
      <c r="D15" s="14" t="str">
        <f t="shared" si="0"/>
        <v>B1-P1-C2</v>
      </c>
      <c r="E15" s="14" t="s">
        <v>35</v>
      </c>
      <c r="F15" s="14" t="s">
        <v>20</v>
      </c>
      <c r="G15" s="51" t="s">
        <v>724</v>
      </c>
      <c r="H15" s="51">
        <v>14</v>
      </c>
      <c r="I15" s="53">
        <v>1</v>
      </c>
      <c r="J15" s="54"/>
      <c r="K15" s="53">
        <v>1</v>
      </c>
      <c r="L15" s="54"/>
      <c r="M15" s="54">
        <v>1</v>
      </c>
      <c r="N15" s="54"/>
      <c r="O15" s="54">
        <v>1</v>
      </c>
      <c r="P15" s="54"/>
      <c r="Q15" s="54">
        <v>1</v>
      </c>
      <c r="R15" s="54"/>
      <c r="S15" s="54">
        <v>1</v>
      </c>
      <c r="T15" s="54"/>
      <c r="U15" s="54">
        <v>1</v>
      </c>
      <c r="V15" s="54"/>
      <c r="W15" s="54">
        <v>1</v>
      </c>
      <c r="X15" s="54"/>
      <c r="Y15" s="54">
        <v>1</v>
      </c>
      <c r="Z15" s="54"/>
      <c r="AA15" s="115">
        <v>1</v>
      </c>
      <c r="AB15" s="115"/>
      <c r="AC15" s="115"/>
      <c r="AD15" s="115"/>
    </row>
    <row r="16" spans="1:30" x14ac:dyDescent="0.2">
      <c r="A16" s="14" t="s">
        <v>14</v>
      </c>
      <c r="B16" s="14" t="s">
        <v>15</v>
      </c>
      <c r="C16" s="14" t="s">
        <v>32</v>
      </c>
      <c r="D16" s="14" t="str">
        <f t="shared" si="0"/>
        <v>B1-P1-C2</v>
      </c>
      <c r="E16" s="14" t="s">
        <v>35</v>
      </c>
      <c r="F16" s="14" t="s">
        <v>20</v>
      </c>
      <c r="G16" s="51" t="s">
        <v>725</v>
      </c>
      <c r="H16" s="51">
        <v>15</v>
      </c>
      <c r="I16" s="53">
        <v>1</v>
      </c>
      <c r="J16" s="54"/>
      <c r="K16" s="53">
        <v>1</v>
      </c>
      <c r="L16" s="54"/>
      <c r="M16" s="54">
        <v>1</v>
      </c>
      <c r="N16" s="54"/>
      <c r="O16" s="54">
        <v>1</v>
      </c>
      <c r="P16" s="54"/>
      <c r="Q16" s="54">
        <v>1</v>
      </c>
      <c r="R16" s="54"/>
      <c r="S16" s="54">
        <v>1</v>
      </c>
      <c r="T16" s="54"/>
      <c r="U16" s="54">
        <v>1</v>
      </c>
      <c r="V16" s="54"/>
      <c r="W16" s="54">
        <v>1</v>
      </c>
      <c r="X16" s="54"/>
      <c r="Y16" s="54">
        <v>1</v>
      </c>
      <c r="Z16" s="54"/>
      <c r="AA16" s="115">
        <v>1</v>
      </c>
      <c r="AB16" s="115"/>
      <c r="AC16" s="115">
        <v>1</v>
      </c>
      <c r="AD16" s="115"/>
    </row>
    <row r="17" spans="1:30" x14ac:dyDescent="0.2">
      <c r="A17" s="14" t="s">
        <v>14</v>
      </c>
      <c r="B17" s="14" t="s">
        <v>15</v>
      </c>
      <c r="C17" s="14" t="s">
        <v>32</v>
      </c>
      <c r="D17" s="14" t="str">
        <f t="shared" si="0"/>
        <v>B1-P1-C2</v>
      </c>
      <c r="E17" s="14" t="s">
        <v>19</v>
      </c>
      <c r="F17" s="14" t="s">
        <v>20</v>
      </c>
      <c r="G17" s="51" t="s">
        <v>726</v>
      </c>
      <c r="H17" s="51">
        <v>16</v>
      </c>
      <c r="I17" s="53">
        <v>1</v>
      </c>
      <c r="J17" s="54"/>
      <c r="K17" s="53">
        <v>1</v>
      </c>
      <c r="L17" s="54"/>
      <c r="M17" s="54">
        <v>1</v>
      </c>
      <c r="N17" s="54"/>
      <c r="O17" s="54">
        <v>1</v>
      </c>
      <c r="P17" s="54"/>
      <c r="Q17" s="54">
        <v>1</v>
      </c>
      <c r="R17" s="54"/>
      <c r="S17" s="54">
        <v>1</v>
      </c>
      <c r="T17" s="54"/>
      <c r="U17" s="54">
        <v>1</v>
      </c>
      <c r="V17" s="54"/>
      <c r="W17" s="54">
        <v>1</v>
      </c>
      <c r="X17" s="54"/>
      <c r="Y17" s="54">
        <v>1</v>
      </c>
      <c r="Z17" s="54"/>
      <c r="AA17" s="115">
        <v>2</v>
      </c>
      <c r="AB17" s="115"/>
      <c r="AC17" s="115">
        <v>4</v>
      </c>
      <c r="AD17" s="115"/>
    </row>
    <row r="18" spans="1:30" x14ac:dyDescent="0.2">
      <c r="A18" s="18" t="s">
        <v>14</v>
      </c>
      <c r="B18" s="18" t="s">
        <v>15</v>
      </c>
      <c r="C18" s="18" t="s">
        <v>42</v>
      </c>
      <c r="D18" s="18" t="str">
        <f t="shared" si="0"/>
        <v>B1-P1-C3</v>
      </c>
      <c r="E18" s="18" t="s">
        <v>19</v>
      </c>
      <c r="F18" s="18" t="s">
        <v>20</v>
      </c>
      <c r="G18" s="50" t="s">
        <v>728</v>
      </c>
      <c r="H18" s="50">
        <v>17</v>
      </c>
      <c r="I18" s="52">
        <v>1</v>
      </c>
      <c r="J18" s="52"/>
      <c r="K18" s="52">
        <v>1</v>
      </c>
      <c r="L18" s="52"/>
      <c r="M18" s="52">
        <v>1</v>
      </c>
      <c r="N18" s="52"/>
      <c r="O18" s="52">
        <v>1</v>
      </c>
      <c r="P18" s="52"/>
      <c r="Q18" s="52">
        <v>1</v>
      </c>
      <c r="R18" s="52"/>
      <c r="S18" s="52">
        <v>1</v>
      </c>
      <c r="T18" s="52"/>
      <c r="U18" s="52">
        <v>2</v>
      </c>
      <c r="V18" s="52"/>
      <c r="W18" s="52">
        <v>2</v>
      </c>
      <c r="X18" s="52"/>
      <c r="Y18" s="52">
        <v>2</v>
      </c>
      <c r="Z18" s="52"/>
      <c r="AA18" s="114">
        <v>2</v>
      </c>
      <c r="AB18" s="114"/>
      <c r="AC18" s="114">
        <v>4</v>
      </c>
      <c r="AD18" s="114"/>
    </row>
    <row r="19" spans="1:30" x14ac:dyDescent="0.2">
      <c r="A19" s="18" t="s">
        <v>14</v>
      </c>
      <c r="B19" s="18" t="s">
        <v>15</v>
      </c>
      <c r="C19" s="18" t="s">
        <v>42</v>
      </c>
      <c r="D19" s="18" t="str">
        <f t="shared" si="0"/>
        <v>B1-P1-C3</v>
      </c>
      <c r="E19" s="18" t="s">
        <v>35</v>
      </c>
      <c r="F19" s="18" t="s">
        <v>20</v>
      </c>
      <c r="G19" s="50" t="s">
        <v>729</v>
      </c>
      <c r="H19" s="50">
        <v>18</v>
      </c>
      <c r="I19" s="52">
        <v>1</v>
      </c>
      <c r="J19" s="52"/>
      <c r="K19" s="52">
        <v>1.5</v>
      </c>
      <c r="L19" s="52"/>
      <c r="M19" s="52">
        <v>1</v>
      </c>
      <c r="N19" s="52"/>
      <c r="O19" s="52">
        <v>1</v>
      </c>
      <c r="P19" s="52"/>
      <c r="Q19" s="52">
        <v>1</v>
      </c>
      <c r="R19" s="52"/>
      <c r="S19" s="52">
        <v>1</v>
      </c>
      <c r="T19" s="52"/>
      <c r="U19" s="52">
        <v>1</v>
      </c>
      <c r="V19" s="52"/>
      <c r="W19" s="52">
        <v>1</v>
      </c>
      <c r="X19" s="52"/>
      <c r="Y19" s="52">
        <v>1</v>
      </c>
      <c r="Z19" s="52"/>
      <c r="AA19" s="114">
        <v>1</v>
      </c>
      <c r="AB19" s="114"/>
      <c r="AC19" s="114">
        <v>1</v>
      </c>
      <c r="AD19" s="114"/>
    </row>
    <row r="20" spans="1:30" x14ac:dyDescent="0.2">
      <c r="A20" s="18" t="s">
        <v>14</v>
      </c>
      <c r="B20" s="18" t="s">
        <v>15</v>
      </c>
      <c r="C20" s="18" t="s">
        <v>42</v>
      </c>
      <c r="D20" s="18" t="str">
        <f t="shared" si="0"/>
        <v>B1-P1-C3</v>
      </c>
      <c r="E20" s="18" t="s">
        <v>35</v>
      </c>
      <c r="F20" s="18" t="s">
        <v>20</v>
      </c>
      <c r="G20" s="50" t="s">
        <v>730</v>
      </c>
      <c r="H20" s="50">
        <v>19</v>
      </c>
      <c r="I20" s="52">
        <v>1</v>
      </c>
      <c r="J20" s="52"/>
      <c r="K20" s="52">
        <v>1.5</v>
      </c>
      <c r="L20" s="52"/>
      <c r="M20" s="52">
        <v>1</v>
      </c>
      <c r="N20" s="52"/>
      <c r="O20" s="52">
        <v>1</v>
      </c>
      <c r="P20" s="52"/>
      <c r="Q20" s="52">
        <v>1</v>
      </c>
      <c r="R20" s="52"/>
      <c r="S20" s="52">
        <v>1</v>
      </c>
      <c r="T20" s="52"/>
      <c r="U20" s="52">
        <v>1</v>
      </c>
      <c r="V20" s="52"/>
      <c r="W20" s="52">
        <v>1</v>
      </c>
      <c r="X20" s="52"/>
      <c r="Y20" s="52">
        <v>1</v>
      </c>
      <c r="Z20" s="52"/>
      <c r="AA20" s="114">
        <v>1</v>
      </c>
      <c r="AB20" s="114"/>
      <c r="AC20" s="114">
        <v>1</v>
      </c>
      <c r="AD20" s="114"/>
    </row>
    <row r="21" spans="1:30" x14ac:dyDescent="0.2">
      <c r="A21" s="18" t="s">
        <v>14</v>
      </c>
      <c r="B21" s="18" t="s">
        <v>15</v>
      </c>
      <c r="C21" s="18" t="s">
        <v>42</v>
      </c>
      <c r="D21" s="18" t="str">
        <f t="shared" si="0"/>
        <v>B1-P1-C3</v>
      </c>
      <c r="E21" s="18" t="s">
        <v>19</v>
      </c>
      <c r="F21" s="18" t="s">
        <v>20</v>
      </c>
      <c r="G21" s="50" t="s">
        <v>731</v>
      </c>
      <c r="H21" s="50">
        <v>20</v>
      </c>
      <c r="I21" s="52">
        <v>1</v>
      </c>
      <c r="J21" s="52"/>
      <c r="K21" s="52">
        <v>1</v>
      </c>
      <c r="L21" s="52"/>
      <c r="M21" s="52">
        <v>1</v>
      </c>
      <c r="N21" s="52"/>
      <c r="O21" s="52">
        <v>1</v>
      </c>
      <c r="P21" s="52"/>
      <c r="Q21" s="52">
        <v>1</v>
      </c>
      <c r="R21" s="52"/>
      <c r="S21" s="52">
        <v>1</v>
      </c>
      <c r="T21" s="52"/>
      <c r="U21" s="52">
        <v>1</v>
      </c>
      <c r="V21" s="52"/>
      <c r="W21" s="52">
        <v>1</v>
      </c>
      <c r="X21" s="52"/>
      <c r="Y21" s="52">
        <v>1.5</v>
      </c>
      <c r="Z21" s="52"/>
      <c r="AA21" s="114">
        <v>1.5</v>
      </c>
      <c r="AB21" s="114"/>
      <c r="AC21" s="114">
        <v>3</v>
      </c>
      <c r="AD21" s="114"/>
    </row>
    <row r="22" spans="1:30" x14ac:dyDescent="0.2">
      <c r="A22" s="18" t="s">
        <v>14</v>
      </c>
      <c r="B22" s="18" t="s">
        <v>15</v>
      </c>
      <c r="C22" s="18" t="s">
        <v>42</v>
      </c>
      <c r="D22" s="18" t="str">
        <f t="shared" si="0"/>
        <v>B1-P1-C3</v>
      </c>
      <c r="E22" s="18" t="s">
        <v>19</v>
      </c>
      <c r="F22" s="18" t="s">
        <v>20</v>
      </c>
      <c r="G22" s="50" t="s">
        <v>732</v>
      </c>
      <c r="H22" s="50">
        <v>21</v>
      </c>
      <c r="I22" s="52">
        <v>1</v>
      </c>
      <c r="J22" s="52"/>
      <c r="K22" s="52">
        <v>1</v>
      </c>
      <c r="L22" s="52"/>
      <c r="M22" s="52">
        <v>1</v>
      </c>
      <c r="N22" s="52"/>
      <c r="O22" s="52">
        <v>1</v>
      </c>
      <c r="P22" s="52"/>
      <c r="Q22" s="52">
        <v>1</v>
      </c>
      <c r="R22" s="52"/>
      <c r="S22" s="52">
        <v>1</v>
      </c>
      <c r="T22" s="52"/>
      <c r="U22" s="52">
        <v>1</v>
      </c>
      <c r="V22" s="52"/>
      <c r="W22" s="52">
        <v>1</v>
      </c>
      <c r="X22" s="52"/>
      <c r="Y22" s="52">
        <v>1</v>
      </c>
      <c r="Z22" s="52"/>
      <c r="AA22" s="114">
        <v>1.5</v>
      </c>
      <c r="AB22" s="114"/>
      <c r="AC22" s="114">
        <v>4</v>
      </c>
      <c r="AD22" s="114"/>
    </row>
    <row r="23" spans="1:30" x14ac:dyDescent="0.2">
      <c r="A23" s="18" t="s">
        <v>14</v>
      </c>
      <c r="B23" s="18" t="s">
        <v>15</v>
      </c>
      <c r="C23" s="18" t="s">
        <v>42</v>
      </c>
      <c r="D23" s="18" t="str">
        <f t="shared" si="0"/>
        <v>B1-P1-C3</v>
      </c>
      <c r="E23" s="18" t="s">
        <v>35</v>
      </c>
      <c r="F23" s="18" t="s">
        <v>20</v>
      </c>
      <c r="G23" s="50" t="s">
        <v>733</v>
      </c>
      <c r="H23" s="50">
        <v>22</v>
      </c>
      <c r="I23" s="52">
        <v>1</v>
      </c>
      <c r="J23" s="52"/>
      <c r="K23" s="52">
        <v>1</v>
      </c>
      <c r="L23" s="52"/>
      <c r="M23" s="52">
        <v>1</v>
      </c>
      <c r="N23" s="52"/>
      <c r="O23" s="52">
        <v>1</v>
      </c>
      <c r="P23" s="52"/>
      <c r="Q23" s="52">
        <v>1</v>
      </c>
      <c r="R23" s="52"/>
      <c r="S23" s="52">
        <v>1</v>
      </c>
      <c r="T23" s="52"/>
      <c r="U23" s="52">
        <v>1</v>
      </c>
      <c r="V23" s="52"/>
      <c r="W23" s="52">
        <v>1</v>
      </c>
      <c r="X23" s="52"/>
      <c r="Y23" s="52">
        <v>1</v>
      </c>
      <c r="Z23" s="52"/>
      <c r="AA23" s="114">
        <v>1</v>
      </c>
      <c r="AB23" s="114"/>
      <c r="AC23" s="114">
        <v>1</v>
      </c>
      <c r="AD23" s="114"/>
    </row>
    <row r="24" spans="1:30" x14ac:dyDescent="0.2">
      <c r="A24" s="18" t="s">
        <v>14</v>
      </c>
      <c r="B24" s="18" t="s">
        <v>15</v>
      </c>
      <c r="C24" s="18" t="s">
        <v>42</v>
      </c>
      <c r="D24" s="18" t="str">
        <f t="shared" si="0"/>
        <v>B1-P1-C3</v>
      </c>
      <c r="E24" s="18" t="s">
        <v>35</v>
      </c>
      <c r="F24" s="18" t="s">
        <v>20</v>
      </c>
      <c r="G24" s="50" t="s">
        <v>734</v>
      </c>
      <c r="H24" s="50">
        <v>23</v>
      </c>
      <c r="I24" s="52">
        <v>1</v>
      </c>
      <c r="J24" s="52"/>
      <c r="K24" s="52">
        <v>1</v>
      </c>
      <c r="L24" s="52"/>
      <c r="M24" s="52">
        <v>1</v>
      </c>
      <c r="N24" s="52"/>
      <c r="O24" s="52">
        <v>1</v>
      </c>
      <c r="P24" s="52"/>
      <c r="Q24" s="52">
        <v>1</v>
      </c>
      <c r="R24" s="52"/>
      <c r="S24" s="52">
        <v>1</v>
      </c>
      <c r="T24" s="52"/>
      <c r="U24" s="52">
        <v>1</v>
      </c>
      <c r="V24" s="52"/>
      <c r="W24" s="52">
        <v>1</v>
      </c>
      <c r="X24" s="52"/>
      <c r="Y24" s="52">
        <v>1</v>
      </c>
      <c r="Z24" s="52"/>
      <c r="AA24" s="114">
        <v>1</v>
      </c>
      <c r="AB24" s="114"/>
      <c r="AC24" s="114">
        <v>1</v>
      </c>
      <c r="AD24" s="114"/>
    </row>
    <row r="25" spans="1:30" x14ac:dyDescent="0.2">
      <c r="A25" s="18" t="s">
        <v>14</v>
      </c>
      <c r="B25" s="18" t="s">
        <v>15</v>
      </c>
      <c r="C25" s="18" t="s">
        <v>42</v>
      </c>
      <c r="D25" s="18" t="str">
        <f t="shared" si="0"/>
        <v>B1-P1-C3</v>
      </c>
      <c r="E25" s="18" t="s">
        <v>19</v>
      </c>
      <c r="F25" s="18" t="s">
        <v>20</v>
      </c>
      <c r="G25" s="50" t="s">
        <v>735</v>
      </c>
      <c r="H25" s="50">
        <v>24</v>
      </c>
      <c r="I25" s="52">
        <v>1</v>
      </c>
      <c r="J25" s="52"/>
      <c r="K25" s="52">
        <v>1</v>
      </c>
      <c r="L25" s="52"/>
      <c r="M25" s="52">
        <v>1</v>
      </c>
      <c r="N25" s="52"/>
      <c r="O25" s="52">
        <v>1</v>
      </c>
      <c r="P25" s="52"/>
      <c r="Q25" s="52">
        <v>1</v>
      </c>
      <c r="R25" s="52"/>
      <c r="S25" s="52">
        <v>1</v>
      </c>
      <c r="T25" s="52"/>
      <c r="U25" s="52">
        <v>1.5</v>
      </c>
      <c r="V25" s="52"/>
      <c r="W25" s="52">
        <v>1</v>
      </c>
      <c r="X25" s="52"/>
      <c r="Y25" s="52">
        <v>1.5</v>
      </c>
      <c r="Z25" s="52"/>
      <c r="AA25" s="114">
        <v>1</v>
      </c>
      <c r="AB25" s="114"/>
      <c r="AC25" s="114">
        <v>3</v>
      </c>
      <c r="AD25" s="114"/>
    </row>
    <row r="26" spans="1:30" x14ac:dyDescent="0.2">
      <c r="A26" s="14" t="s">
        <v>14</v>
      </c>
      <c r="B26" s="14" t="s">
        <v>15</v>
      </c>
      <c r="C26" s="14" t="s">
        <v>53</v>
      </c>
      <c r="D26" s="14" t="str">
        <f t="shared" si="0"/>
        <v>B1-P1-C4</v>
      </c>
      <c r="E26" s="14" t="s">
        <v>35</v>
      </c>
      <c r="F26" s="14" t="s">
        <v>20</v>
      </c>
      <c r="G26" s="51" t="s">
        <v>737</v>
      </c>
      <c r="H26" s="51">
        <v>25</v>
      </c>
      <c r="I26" s="53">
        <v>1</v>
      </c>
      <c r="J26" s="54"/>
      <c r="K26" s="53">
        <v>1</v>
      </c>
      <c r="L26" s="54"/>
      <c r="M26" s="54">
        <v>1</v>
      </c>
      <c r="N26" s="54"/>
      <c r="O26" s="54">
        <v>1.5</v>
      </c>
      <c r="P26" s="54"/>
      <c r="Q26" s="54">
        <v>1</v>
      </c>
      <c r="R26" s="54"/>
      <c r="S26" s="54">
        <v>1</v>
      </c>
      <c r="T26" s="54"/>
      <c r="U26" s="54">
        <v>1</v>
      </c>
      <c r="V26" s="54"/>
      <c r="W26" s="54">
        <v>1</v>
      </c>
      <c r="X26" s="54"/>
      <c r="Y26" s="54">
        <v>1</v>
      </c>
      <c r="Z26" s="54"/>
      <c r="AA26" s="115">
        <v>1</v>
      </c>
      <c r="AB26" s="115"/>
      <c r="AC26" s="115">
        <v>1</v>
      </c>
      <c r="AD26" s="115"/>
    </row>
    <row r="27" spans="1:30" x14ac:dyDescent="0.2">
      <c r="A27" s="14" t="s">
        <v>14</v>
      </c>
      <c r="B27" s="14" t="s">
        <v>15</v>
      </c>
      <c r="C27" s="14" t="s">
        <v>53</v>
      </c>
      <c r="D27" s="14" t="str">
        <f t="shared" si="0"/>
        <v>B1-P1-C4</v>
      </c>
      <c r="E27" s="14" t="s">
        <v>35</v>
      </c>
      <c r="F27" s="14" t="s">
        <v>20</v>
      </c>
      <c r="G27" s="51" t="s">
        <v>738</v>
      </c>
      <c r="H27" s="51">
        <v>26</v>
      </c>
      <c r="I27" s="53">
        <v>1</v>
      </c>
      <c r="J27" s="54"/>
      <c r="K27" s="53">
        <v>1</v>
      </c>
      <c r="L27" s="54"/>
      <c r="M27" s="54">
        <v>1</v>
      </c>
      <c r="N27" s="54"/>
      <c r="O27" s="54">
        <v>1</v>
      </c>
      <c r="P27" s="54"/>
      <c r="Q27" s="54">
        <v>1</v>
      </c>
      <c r="R27" s="54"/>
      <c r="S27" s="54">
        <v>1</v>
      </c>
      <c r="T27" s="54"/>
      <c r="U27" s="54">
        <v>1</v>
      </c>
      <c r="V27" s="54"/>
      <c r="W27" s="54">
        <v>1</v>
      </c>
      <c r="X27" s="54"/>
      <c r="Y27" s="54">
        <v>1</v>
      </c>
      <c r="Z27" s="54"/>
      <c r="AA27" s="115">
        <v>1</v>
      </c>
      <c r="AB27" s="115"/>
      <c r="AC27" s="115">
        <v>1</v>
      </c>
      <c r="AD27" s="115"/>
    </row>
    <row r="28" spans="1:30" x14ac:dyDescent="0.2">
      <c r="A28" s="14" t="s">
        <v>14</v>
      </c>
      <c r="B28" s="14" t="s">
        <v>15</v>
      </c>
      <c r="C28" s="14" t="s">
        <v>53</v>
      </c>
      <c r="D28" s="14" t="str">
        <f t="shared" si="0"/>
        <v>B1-P1-C4</v>
      </c>
      <c r="E28" s="14" t="s">
        <v>35</v>
      </c>
      <c r="F28" s="14" t="s">
        <v>20</v>
      </c>
      <c r="G28" s="51" t="s">
        <v>739</v>
      </c>
      <c r="H28" s="51">
        <v>27</v>
      </c>
      <c r="I28" s="53">
        <v>1</v>
      </c>
      <c r="J28" s="54"/>
      <c r="K28" s="53">
        <v>1</v>
      </c>
      <c r="L28" s="54"/>
      <c r="M28" s="54">
        <v>1</v>
      </c>
      <c r="N28" s="54"/>
      <c r="O28" s="54">
        <v>1</v>
      </c>
      <c r="P28" s="54"/>
      <c r="Q28" s="54">
        <v>1</v>
      </c>
      <c r="R28" s="54"/>
      <c r="S28" s="54">
        <v>1</v>
      </c>
      <c r="T28" s="54"/>
      <c r="U28" s="54">
        <v>1</v>
      </c>
      <c r="V28" s="54"/>
      <c r="W28" s="54">
        <v>1</v>
      </c>
      <c r="X28" s="54"/>
      <c r="Y28" s="54">
        <v>1</v>
      </c>
      <c r="Z28" s="54"/>
      <c r="AA28" s="115">
        <v>1</v>
      </c>
      <c r="AB28" s="115"/>
      <c r="AC28" s="115">
        <v>1</v>
      </c>
      <c r="AD28" s="115"/>
    </row>
    <row r="29" spans="1:30" x14ac:dyDescent="0.2">
      <c r="A29" s="14" t="s">
        <v>14</v>
      </c>
      <c r="B29" s="14" t="s">
        <v>15</v>
      </c>
      <c r="C29" s="14" t="s">
        <v>53</v>
      </c>
      <c r="D29" s="14" t="str">
        <f t="shared" si="0"/>
        <v>B1-P1-C4</v>
      </c>
      <c r="E29" s="14" t="s">
        <v>35</v>
      </c>
      <c r="F29" s="14" t="s">
        <v>20</v>
      </c>
      <c r="G29" s="51" t="s">
        <v>740</v>
      </c>
      <c r="H29" s="51">
        <v>28</v>
      </c>
      <c r="I29" s="53">
        <v>1</v>
      </c>
      <c r="J29" s="54"/>
      <c r="K29" s="53">
        <v>1</v>
      </c>
      <c r="L29" s="54"/>
      <c r="M29" s="54">
        <v>1</v>
      </c>
      <c r="N29" s="54"/>
      <c r="O29" s="54">
        <v>1</v>
      </c>
      <c r="P29" s="54"/>
      <c r="Q29" s="54">
        <v>1</v>
      </c>
      <c r="R29" s="54"/>
      <c r="S29" s="54">
        <v>1</v>
      </c>
      <c r="T29" s="54"/>
      <c r="U29" s="54">
        <v>1</v>
      </c>
      <c r="V29" s="54"/>
      <c r="W29" s="54">
        <v>1</v>
      </c>
      <c r="X29" s="54"/>
      <c r="Y29" s="54">
        <v>1</v>
      </c>
      <c r="Z29" s="54"/>
      <c r="AA29" s="115">
        <v>1</v>
      </c>
      <c r="AB29" s="115"/>
      <c r="AC29" s="115">
        <v>1</v>
      </c>
      <c r="AD29" s="115"/>
    </row>
    <row r="30" spans="1:30" x14ac:dyDescent="0.2">
      <c r="A30" s="14" t="s">
        <v>14</v>
      </c>
      <c r="B30" s="14" t="s">
        <v>15</v>
      </c>
      <c r="C30" s="14" t="s">
        <v>53</v>
      </c>
      <c r="D30" s="14" t="str">
        <f t="shared" si="0"/>
        <v>B1-P1-C4</v>
      </c>
      <c r="E30" s="14" t="s">
        <v>35</v>
      </c>
      <c r="F30" s="14" t="s">
        <v>20</v>
      </c>
      <c r="G30" s="51" t="s">
        <v>741</v>
      </c>
      <c r="H30" s="51">
        <v>29</v>
      </c>
      <c r="I30" s="53">
        <v>1</v>
      </c>
      <c r="J30" s="54"/>
      <c r="K30" s="53">
        <v>1</v>
      </c>
      <c r="L30" s="54"/>
      <c r="M30" s="54">
        <v>1</v>
      </c>
      <c r="N30" s="54"/>
      <c r="O30" s="54">
        <v>1</v>
      </c>
      <c r="P30" s="54"/>
      <c r="Q30" s="54">
        <v>1</v>
      </c>
      <c r="R30" s="54"/>
      <c r="S30" s="54">
        <v>1</v>
      </c>
      <c r="T30" s="54"/>
      <c r="U30" s="54">
        <v>1</v>
      </c>
      <c r="V30" s="54"/>
      <c r="W30" s="54">
        <v>1</v>
      </c>
      <c r="X30" s="54"/>
      <c r="Y30" s="54">
        <v>1</v>
      </c>
      <c r="Z30" s="54"/>
      <c r="AA30" s="115">
        <v>1</v>
      </c>
      <c r="AB30" s="115"/>
      <c r="AC30" s="115">
        <v>1</v>
      </c>
      <c r="AD30" s="115"/>
    </row>
    <row r="31" spans="1:30" x14ac:dyDescent="0.2">
      <c r="A31" s="14" t="s">
        <v>14</v>
      </c>
      <c r="B31" s="14" t="s">
        <v>15</v>
      </c>
      <c r="C31" s="14" t="s">
        <v>53</v>
      </c>
      <c r="D31" s="14" t="str">
        <f t="shared" si="0"/>
        <v>B1-P1-C4</v>
      </c>
      <c r="E31" s="14" t="s">
        <v>35</v>
      </c>
      <c r="F31" s="14" t="s">
        <v>20</v>
      </c>
      <c r="G31" s="51" t="s">
        <v>742</v>
      </c>
      <c r="H31" s="51">
        <v>30</v>
      </c>
      <c r="I31" s="53">
        <v>1</v>
      </c>
      <c r="J31" s="54"/>
      <c r="K31" s="53">
        <v>1</v>
      </c>
      <c r="L31" s="54"/>
      <c r="M31" s="54">
        <v>1.5</v>
      </c>
      <c r="N31" s="54"/>
      <c r="O31" s="54">
        <v>1</v>
      </c>
      <c r="P31" s="54"/>
      <c r="Q31" s="54">
        <v>1</v>
      </c>
      <c r="R31" s="54"/>
      <c r="S31" s="54">
        <v>1</v>
      </c>
      <c r="T31" s="54"/>
      <c r="U31" s="54">
        <v>1</v>
      </c>
      <c r="V31" s="54"/>
      <c r="W31" s="54">
        <v>1</v>
      </c>
      <c r="X31" s="54"/>
      <c r="Y31" s="54">
        <v>1</v>
      </c>
      <c r="Z31" s="54"/>
      <c r="AA31" s="115">
        <v>1</v>
      </c>
      <c r="AB31" s="115"/>
      <c r="AC31" s="115">
        <v>1</v>
      </c>
      <c r="AD31" s="115"/>
    </row>
    <row r="32" spans="1:30" x14ac:dyDescent="0.2">
      <c r="A32" s="14" t="s">
        <v>14</v>
      </c>
      <c r="B32" s="14" t="s">
        <v>15</v>
      </c>
      <c r="C32" s="14" t="s">
        <v>53</v>
      </c>
      <c r="D32" s="14" t="str">
        <f t="shared" si="0"/>
        <v>B1-P1-C4</v>
      </c>
      <c r="E32" s="14" t="s">
        <v>35</v>
      </c>
      <c r="F32" s="14" t="s">
        <v>20</v>
      </c>
      <c r="G32" s="51" t="s">
        <v>743</v>
      </c>
      <c r="H32" s="51">
        <v>31</v>
      </c>
      <c r="I32" s="53">
        <v>1</v>
      </c>
      <c r="J32" s="54"/>
      <c r="K32" s="53">
        <v>1</v>
      </c>
      <c r="L32" s="54"/>
      <c r="M32" s="54">
        <v>1</v>
      </c>
      <c r="N32" s="54"/>
      <c r="O32" s="54">
        <v>1</v>
      </c>
      <c r="P32" s="54"/>
      <c r="Q32" s="54">
        <v>1</v>
      </c>
      <c r="R32" s="54"/>
      <c r="S32" s="54">
        <v>1</v>
      </c>
      <c r="T32" s="54"/>
      <c r="U32" s="54">
        <v>1</v>
      </c>
      <c r="V32" s="54"/>
      <c r="W32" s="54">
        <v>1</v>
      </c>
      <c r="X32" s="54"/>
      <c r="Y32" s="54">
        <v>1</v>
      </c>
      <c r="Z32" s="54"/>
      <c r="AA32" s="115">
        <v>1</v>
      </c>
      <c r="AB32" s="115"/>
      <c r="AC32" s="115">
        <v>1</v>
      </c>
      <c r="AD32" s="115"/>
    </row>
    <row r="33" spans="1:30" x14ac:dyDescent="0.2">
      <c r="A33" s="14" t="s">
        <v>14</v>
      </c>
      <c r="B33" s="14" t="s">
        <v>15</v>
      </c>
      <c r="C33" s="14" t="s">
        <v>53</v>
      </c>
      <c r="D33" s="14" t="str">
        <f t="shared" si="0"/>
        <v>B1-P1-C4</v>
      </c>
      <c r="E33" s="14" t="s">
        <v>35</v>
      </c>
      <c r="F33" s="14" t="s">
        <v>20</v>
      </c>
      <c r="G33" s="51" t="s">
        <v>744</v>
      </c>
      <c r="H33" s="51">
        <v>32</v>
      </c>
      <c r="I33" s="53">
        <v>1</v>
      </c>
      <c r="J33" s="54"/>
      <c r="K33" s="53">
        <v>1</v>
      </c>
      <c r="L33" s="54"/>
      <c r="M33" s="54">
        <v>1</v>
      </c>
      <c r="N33" s="54"/>
      <c r="O33" s="54">
        <v>1</v>
      </c>
      <c r="P33" s="54"/>
      <c r="Q33" s="54">
        <v>1</v>
      </c>
      <c r="R33" s="54"/>
      <c r="S33" s="54">
        <v>1</v>
      </c>
      <c r="T33" s="54"/>
      <c r="U33" s="54">
        <v>1</v>
      </c>
      <c r="V33" s="54"/>
      <c r="W33" s="54">
        <v>1</v>
      </c>
      <c r="X33" s="54"/>
      <c r="Y33" s="54">
        <v>1</v>
      </c>
      <c r="Z33" s="54"/>
      <c r="AA33" s="115">
        <v>1</v>
      </c>
      <c r="AB33" s="115"/>
      <c r="AC33" s="115">
        <v>1</v>
      </c>
      <c r="AD33" s="115"/>
    </row>
    <row r="34" spans="1:30" x14ac:dyDescent="0.2">
      <c r="A34" s="18" t="s">
        <v>14</v>
      </c>
      <c r="B34" s="18" t="s">
        <v>62</v>
      </c>
      <c r="C34" s="18" t="s">
        <v>16</v>
      </c>
      <c r="D34" s="18" t="str">
        <f t="shared" si="0"/>
        <v>B1-P2-C1</v>
      </c>
      <c r="E34" s="18" t="s">
        <v>35</v>
      </c>
      <c r="F34" s="18" t="s">
        <v>20</v>
      </c>
      <c r="G34" s="50" t="s">
        <v>746</v>
      </c>
      <c r="H34" s="50">
        <v>33</v>
      </c>
      <c r="I34" s="52">
        <v>1</v>
      </c>
      <c r="J34" s="52"/>
      <c r="K34" s="52">
        <v>1</v>
      </c>
      <c r="L34" s="52"/>
      <c r="M34" s="52">
        <v>1</v>
      </c>
      <c r="N34" s="52"/>
      <c r="O34" s="52">
        <v>1</v>
      </c>
      <c r="P34" s="52"/>
      <c r="Q34" s="52">
        <v>1</v>
      </c>
      <c r="R34" s="52"/>
      <c r="S34" s="52">
        <v>1</v>
      </c>
      <c r="T34" s="52"/>
      <c r="U34" s="52">
        <v>1</v>
      </c>
      <c r="V34" s="52"/>
      <c r="W34" s="52">
        <v>1</v>
      </c>
      <c r="X34" s="52"/>
      <c r="Y34" s="52">
        <v>1</v>
      </c>
      <c r="Z34" s="52"/>
      <c r="AA34" s="114">
        <v>1</v>
      </c>
      <c r="AB34" s="114"/>
      <c r="AC34" s="114">
        <v>1</v>
      </c>
      <c r="AD34" s="114"/>
    </row>
    <row r="35" spans="1:30" x14ac:dyDescent="0.2">
      <c r="A35" s="18" t="s">
        <v>14</v>
      </c>
      <c r="B35" s="18" t="s">
        <v>62</v>
      </c>
      <c r="C35" s="18" t="s">
        <v>16</v>
      </c>
      <c r="D35" s="18" t="str">
        <f t="shared" si="0"/>
        <v>B1-P2-C1</v>
      </c>
      <c r="E35" s="18" t="s">
        <v>35</v>
      </c>
      <c r="F35" s="18" t="s">
        <v>20</v>
      </c>
      <c r="G35" s="50" t="s">
        <v>747</v>
      </c>
      <c r="H35" s="50">
        <v>34</v>
      </c>
      <c r="I35" s="52">
        <v>1</v>
      </c>
      <c r="J35" s="52"/>
      <c r="K35" s="52">
        <v>1</v>
      </c>
      <c r="L35" s="52"/>
      <c r="M35" s="52">
        <v>1</v>
      </c>
      <c r="N35" s="52"/>
      <c r="O35" s="52">
        <v>1</v>
      </c>
      <c r="P35" s="52"/>
      <c r="Q35" s="52">
        <v>1</v>
      </c>
      <c r="R35" s="52"/>
      <c r="S35" s="52">
        <v>1</v>
      </c>
      <c r="T35" s="52"/>
      <c r="U35" s="52">
        <v>1</v>
      </c>
      <c r="V35" s="52"/>
      <c r="W35" s="52">
        <v>1</v>
      </c>
      <c r="X35" s="52"/>
      <c r="Y35" s="52">
        <v>1</v>
      </c>
      <c r="Z35" s="52"/>
      <c r="AA35" s="114">
        <v>1</v>
      </c>
      <c r="AB35" s="114"/>
      <c r="AC35" s="114">
        <v>1</v>
      </c>
      <c r="AD35" s="114"/>
    </row>
    <row r="36" spans="1:30" x14ac:dyDescent="0.2">
      <c r="A36" s="18" t="s">
        <v>14</v>
      </c>
      <c r="B36" s="18" t="s">
        <v>62</v>
      </c>
      <c r="C36" s="18" t="s">
        <v>16</v>
      </c>
      <c r="D36" s="18" t="str">
        <f t="shared" si="0"/>
        <v>B1-P2-C1</v>
      </c>
      <c r="E36" s="18" t="s">
        <v>35</v>
      </c>
      <c r="F36" s="18" t="s">
        <v>20</v>
      </c>
      <c r="G36" s="50" t="s">
        <v>748</v>
      </c>
      <c r="H36" s="50">
        <v>35</v>
      </c>
      <c r="I36" s="52">
        <v>1</v>
      </c>
      <c r="J36" s="52"/>
      <c r="K36" s="52">
        <v>1</v>
      </c>
      <c r="L36" s="52"/>
      <c r="M36" s="52">
        <v>1</v>
      </c>
      <c r="N36" s="52"/>
      <c r="O36" s="52">
        <v>1</v>
      </c>
      <c r="P36" s="52"/>
      <c r="Q36" s="52">
        <v>1</v>
      </c>
      <c r="R36" s="52"/>
      <c r="S36" s="52">
        <v>1</v>
      </c>
      <c r="T36" s="52"/>
      <c r="U36" s="52">
        <v>1</v>
      </c>
      <c r="V36" s="52"/>
      <c r="W36" s="52">
        <v>1</v>
      </c>
      <c r="X36" s="52"/>
      <c r="Y36" s="52">
        <v>1</v>
      </c>
      <c r="Z36" s="52"/>
      <c r="AA36" s="114">
        <v>1</v>
      </c>
      <c r="AB36" s="114"/>
      <c r="AC36" s="114">
        <v>1</v>
      </c>
      <c r="AD36" s="114"/>
    </row>
    <row r="37" spans="1:30" x14ac:dyDescent="0.2">
      <c r="A37" s="18" t="s">
        <v>14</v>
      </c>
      <c r="B37" s="18" t="s">
        <v>62</v>
      </c>
      <c r="C37" s="18" t="s">
        <v>16</v>
      </c>
      <c r="D37" s="18" t="str">
        <f t="shared" si="0"/>
        <v>B1-P2-C1</v>
      </c>
      <c r="E37" s="18" t="s">
        <v>35</v>
      </c>
      <c r="F37" s="18" t="s">
        <v>20</v>
      </c>
      <c r="G37" s="50" t="s">
        <v>749</v>
      </c>
      <c r="H37" s="50">
        <v>36</v>
      </c>
      <c r="I37" s="52">
        <v>1</v>
      </c>
      <c r="J37" s="52"/>
      <c r="K37" s="52">
        <v>1</v>
      </c>
      <c r="L37" s="52"/>
      <c r="M37" s="52">
        <v>1</v>
      </c>
      <c r="N37" s="52"/>
      <c r="O37" s="52">
        <v>1</v>
      </c>
      <c r="P37" s="52"/>
      <c r="Q37" s="52">
        <v>1</v>
      </c>
      <c r="R37" s="52"/>
      <c r="S37" s="52">
        <v>1</v>
      </c>
      <c r="T37" s="52"/>
      <c r="U37" s="52">
        <v>1</v>
      </c>
      <c r="V37" s="52"/>
      <c r="W37" s="52">
        <v>1</v>
      </c>
      <c r="X37" s="52"/>
      <c r="Y37" s="52">
        <v>1</v>
      </c>
      <c r="Z37" s="52"/>
      <c r="AA37" s="114">
        <v>1</v>
      </c>
      <c r="AB37" s="114"/>
      <c r="AC37" s="114">
        <v>1</v>
      </c>
      <c r="AD37" s="114"/>
    </row>
    <row r="38" spans="1:30" x14ac:dyDescent="0.2">
      <c r="A38" s="18" t="s">
        <v>14</v>
      </c>
      <c r="B38" s="18" t="s">
        <v>62</v>
      </c>
      <c r="C38" s="18" t="s">
        <v>16</v>
      </c>
      <c r="D38" s="18" t="str">
        <f t="shared" si="0"/>
        <v>B1-P2-C1</v>
      </c>
      <c r="E38" s="18" t="s">
        <v>35</v>
      </c>
      <c r="F38" s="18" t="s">
        <v>20</v>
      </c>
      <c r="G38" s="50" t="s">
        <v>750</v>
      </c>
      <c r="H38" s="50">
        <v>37</v>
      </c>
      <c r="I38" s="52">
        <v>1</v>
      </c>
      <c r="J38" s="52"/>
      <c r="K38" s="52">
        <v>1</v>
      </c>
      <c r="L38" s="52"/>
      <c r="M38" s="52">
        <v>1</v>
      </c>
      <c r="N38" s="52"/>
      <c r="O38" s="52">
        <v>1</v>
      </c>
      <c r="P38" s="52"/>
      <c r="Q38" s="52">
        <v>1</v>
      </c>
      <c r="R38" s="52"/>
      <c r="S38" s="52">
        <v>1</v>
      </c>
      <c r="T38" s="52"/>
      <c r="U38" s="52">
        <v>1</v>
      </c>
      <c r="V38" s="52"/>
      <c r="W38" s="52">
        <v>1</v>
      </c>
      <c r="X38" s="52"/>
      <c r="Y38" s="52">
        <v>1</v>
      </c>
      <c r="Z38" s="52"/>
      <c r="AA38" s="114">
        <v>1</v>
      </c>
      <c r="AB38" s="114"/>
      <c r="AC38" s="114">
        <v>1</v>
      </c>
      <c r="AD38" s="114"/>
    </row>
    <row r="39" spans="1:30" x14ac:dyDescent="0.2">
      <c r="A39" s="18" t="s">
        <v>14</v>
      </c>
      <c r="B39" s="18" t="s">
        <v>62</v>
      </c>
      <c r="C39" s="18" t="s">
        <v>16</v>
      </c>
      <c r="D39" s="18" t="str">
        <f t="shared" si="0"/>
        <v>B1-P2-C1</v>
      </c>
      <c r="E39" s="18" t="s">
        <v>35</v>
      </c>
      <c r="F39" s="18" t="s">
        <v>20</v>
      </c>
      <c r="G39" s="50" t="s">
        <v>751</v>
      </c>
      <c r="H39" s="50">
        <v>38</v>
      </c>
      <c r="I39" s="52">
        <v>1</v>
      </c>
      <c r="J39" s="52"/>
      <c r="K39" s="52">
        <v>1</v>
      </c>
      <c r="L39" s="52"/>
      <c r="M39" s="52">
        <v>1</v>
      </c>
      <c r="N39" s="52"/>
      <c r="O39" s="52">
        <v>1</v>
      </c>
      <c r="P39" s="52"/>
      <c r="Q39" s="52">
        <v>1</v>
      </c>
      <c r="R39" s="52"/>
      <c r="S39" s="52">
        <v>1</v>
      </c>
      <c r="T39" s="52"/>
      <c r="U39" s="52">
        <v>1</v>
      </c>
      <c r="V39" s="52"/>
      <c r="W39" s="52">
        <v>1</v>
      </c>
      <c r="X39" s="52"/>
      <c r="Y39" s="52">
        <v>1</v>
      </c>
      <c r="Z39" s="52"/>
      <c r="AA39" s="114">
        <v>1</v>
      </c>
      <c r="AB39" s="114"/>
      <c r="AC39" s="114">
        <v>1</v>
      </c>
      <c r="AD39" s="114"/>
    </row>
    <row r="40" spans="1:30" x14ac:dyDescent="0.2">
      <c r="A40" s="18" t="s">
        <v>14</v>
      </c>
      <c r="B40" s="18" t="s">
        <v>62</v>
      </c>
      <c r="C40" s="18" t="s">
        <v>16</v>
      </c>
      <c r="D40" s="18" t="str">
        <f t="shared" si="0"/>
        <v>B1-P2-C1</v>
      </c>
      <c r="E40" s="18" t="s">
        <v>35</v>
      </c>
      <c r="F40" s="18" t="s">
        <v>20</v>
      </c>
      <c r="G40" s="50" t="s">
        <v>752</v>
      </c>
      <c r="H40" s="50">
        <v>39</v>
      </c>
      <c r="I40" s="52">
        <v>1</v>
      </c>
      <c r="J40" s="52"/>
      <c r="K40" s="52">
        <v>1</v>
      </c>
      <c r="L40" s="52"/>
      <c r="M40" s="52">
        <v>1</v>
      </c>
      <c r="N40" s="52"/>
      <c r="O40" s="52">
        <v>1</v>
      </c>
      <c r="P40" s="52"/>
      <c r="Q40" s="52">
        <v>1</v>
      </c>
      <c r="R40" s="52"/>
      <c r="S40" s="52">
        <v>1</v>
      </c>
      <c r="T40" s="52"/>
      <c r="U40" s="52">
        <v>1</v>
      </c>
      <c r="V40" s="52"/>
      <c r="W40" s="52">
        <v>1</v>
      </c>
      <c r="X40" s="52"/>
      <c r="Y40" s="52">
        <v>1</v>
      </c>
      <c r="Z40" s="52"/>
      <c r="AA40" s="114">
        <v>1</v>
      </c>
      <c r="AB40" s="114"/>
      <c r="AC40" s="114">
        <v>1</v>
      </c>
      <c r="AD40" s="114"/>
    </row>
    <row r="41" spans="1:30" x14ac:dyDescent="0.2">
      <c r="A41" s="18" t="s">
        <v>14</v>
      </c>
      <c r="B41" s="18" t="s">
        <v>62</v>
      </c>
      <c r="C41" s="18" t="s">
        <v>16</v>
      </c>
      <c r="D41" s="18" t="str">
        <f t="shared" si="0"/>
        <v>B1-P2-C1</v>
      </c>
      <c r="E41" s="18" t="s">
        <v>35</v>
      </c>
      <c r="F41" s="18" t="s">
        <v>20</v>
      </c>
      <c r="G41" s="50" t="s">
        <v>753</v>
      </c>
      <c r="H41" s="50">
        <v>40</v>
      </c>
      <c r="I41" s="52">
        <v>1</v>
      </c>
      <c r="J41" s="52"/>
      <c r="K41" s="52">
        <v>1</v>
      </c>
      <c r="L41" s="52"/>
      <c r="M41" s="52">
        <v>1</v>
      </c>
      <c r="N41" s="52"/>
      <c r="O41" s="52">
        <v>1</v>
      </c>
      <c r="P41" s="52"/>
      <c r="Q41" s="52">
        <v>1</v>
      </c>
      <c r="R41" s="52"/>
      <c r="S41" s="52">
        <v>1</v>
      </c>
      <c r="T41" s="52"/>
      <c r="U41" s="52">
        <v>1</v>
      </c>
      <c r="V41" s="52"/>
      <c r="W41" s="52">
        <v>1</v>
      </c>
      <c r="X41" s="52"/>
      <c r="Y41" s="52">
        <v>1</v>
      </c>
      <c r="Z41" s="52"/>
      <c r="AA41" s="114">
        <v>1</v>
      </c>
      <c r="AB41" s="114"/>
      <c r="AC41" s="114">
        <v>1</v>
      </c>
      <c r="AD41" s="114"/>
    </row>
    <row r="42" spans="1:30" x14ac:dyDescent="0.2">
      <c r="A42" s="14" t="s">
        <v>14</v>
      </c>
      <c r="B42" s="14" t="s">
        <v>62</v>
      </c>
      <c r="C42" s="14" t="s">
        <v>32</v>
      </c>
      <c r="D42" s="14" t="str">
        <f t="shared" si="0"/>
        <v>B1-P2-C2</v>
      </c>
      <c r="E42" s="14" t="s">
        <v>19</v>
      </c>
      <c r="F42" s="14" t="s">
        <v>20</v>
      </c>
      <c r="G42" s="51" t="s">
        <v>755</v>
      </c>
      <c r="H42" s="51">
        <v>41</v>
      </c>
      <c r="I42" s="53">
        <v>1</v>
      </c>
      <c r="J42" s="54"/>
      <c r="K42" s="53">
        <v>1</v>
      </c>
      <c r="L42" s="54"/>
      <c r="M42" s="54">
        <v>1</v>
      </c>
      <c r="N42" s="54"/>
      <c r="O42" s="54">
        <v>1</v>
      </c>
      <c r="P42" s="54"/>
      <c r="Q42" s="54">
        <v>1</v>
      </c>
      <c r="R42" s="54"/>
      <c r="S42" s="54">
        <v>1</v>
      </c>
      <c r="T42" s="54"/>
      <c r="U42" s="54">
        <v>1</v>
      </c>
      <c r="V42" s="54"/>
      <c r="W42" s="54">
        <v>1</v>
      </c>
      <c r="X42" s="54"/>
      <c r="Y42" s="54">
        <v>1</v>
      </c>
      <c r="Z42" s="54"/>
      <c r="AA42" s="115">
        <v>1</v>
      </c>
      <c r="AB42" s="115"/>
      <c r="AC42" s="115">
        <v>3</v>
      </c>
      <c r="AD42" s="115"/>
    </row>
    <row r="43" spans="1:30" x14ac:dyDescent="0.2">
      <c r="A43" s="14" t="s">
        <v>14</v>
      </c>
      <c r="B43" s="14" t="s">
        <v>62</v>
      </c>
      <c r="C43" s="14" t="s">
        <v>32</v>
      </c>
      <c r="D43" s="14" t="str">
        <f t="shared" si="0"/>
        <v>B1-P2-C2</v>
      </c>
      <c r="E43" s="14" t="s">
        <v>35</v>
      </c>
      <c r="F43" s="14" t="s">
        <v>20</v>
      </c>
      <c r="G43" s="51" t="s">
        <v>756</v>
      </c>
      <c r="H43" s="51">
        <v>42</v>
      </c>
      <c r="I43" s="53">
        <v>1</v>
      </c>
      <c r="J43" s="54"/>
      <c r="K43" s="53">
        <v>1</v>
      </c>
      <c r="L43" s="54"/>
      <c r="M43" s="54">
        <v>1</v>
      </c>
      <c r="N43" s="54"/>
      <c r="O43" s="54">
        <v>1</v>
      </c>
      <c r="P43" s="54"/>
      <c r="Q43" s="54">
        <v>1</v>
      </c>
      <c r="R43" s="54"/>
      <c r="S43" s="54">
        <v>1</v>
      </c>
      <c r="T43" s="54"/>
      <c r="U43" s="54">
        <v>1</v>
      </c>
      <c r="V43" s="54"/>
      <c r="W43" s="54">
        <v>1</v>
      </c>
      <c r="X43" s="54"/>
      <c r="Y43" s="54">
        <v>1</v>
      </c>
      <c r="Z43" s="54"/>
      <c r="AA43" s="115">
        <v>1</v>
      </c>
      <c r="AB43" s="115"/>
      <c r="AC43" s="115">
        <v>1</v>
      </c>
      <c r="AD43" s="115"/>
    </row>
    <row r="44" spans="1:30" x14ac:dyDescent="0.2">
      <c r="A44" s="14" t="s">
        <v>14</v>
      </c>
      <c r="B44" s="14" t="s">
        <v>62</v>
      </c>
      <c r="C44" s="14" t="s">
        <v>32</v>
      </c>
      <c r="D44" s="14" t="str">
        <f t="shared" si="0"/>
        <v>B1-P2-C2</v>
      </c>
      <c r="E44" s="14" t="s">
        <v>35</v>
      </c>
      <c r="F44" s="14" t="s">
        <v>20</v>
      </c>
      <c r="G44" s="51" t="s">
        <v>757</v>
      </c>
      <c r="H44" s="51">
        <v>43</v>
      </c>
      <c r="I44" s="53">
        <v>1</v>
      </c>
      <c r="J44" s="54"/>
      <c r="K44" s="53">
        <v>1</v>
      </c>
      <c r="L44" s="54"/>
      <c r="M44" s="54">
        <v>1</v>
      </c>
      <c r="N44" s="54"/>
      <c r="O44" s="54">
        <v>1</v>
      </c>
      <c r="P44" s="54"/>
      <c r="Q44" s="54">
        <v>1</v>
      </c>
      <c r="R44" s="54"/>
      <c r="S44" s="54">
        <v>1</v>
      </c>
      <c r="T44" s="54"/>
      <c r="U44" s="54">
        <v>1</v>
      </c>
      <c r="V44" s="54"/>
      <c r="W44" s="54">
        <v>1</v>
      </c>
      <c r="X44" s="54"/>
      <c r="Y44" s="54">
        <v>1</v>
      </c>
      <c r="Z44" s="54"/>
      <c r="AA44" s="115">
        <v>1</v>
      </c>
      <c r="AB44" s="115"/>
      <c r="AC44" s="115">
        <v>1</v>
      </c>
      <c r="AD44" s="115"/>
    </row>
    <row r="45" spans="1:30" x14ac:dyDescent="0.2">
      <c r="A45" s="14" t="s">
        <v>14</v>
      </c>
      <c r="B45" s="14" t="s">
        <v>62</v>
      </c>
      <c r="C45" s="14" t="s">
        <v>32</v>
      </c>
      <c r="D45" s="14" t="str">
        <f t="shared" si="0"/>
        <v>B1-P2-C2</v>
      </c>
      <c r="E45" s="14" t="s">
        <v>19</v>
      </c>
      <c r="F45" s="14" t="s">
        <v>20</v>
      </c>
      <c r="G45" s="51" t="s">
        <v>758</v>
      </c>
      <c r="H45" s="51">
        <v>44</v>
      </c>
      <c r="I45" s="53">
        <v>1</v>
      </c>
      <c r="J45" s="54"/>
      <c r="K45" s="53">
        <v>1</v>
      </c>
      <c r="L45" s="54"/>
      <c r="M45" s="54">
        <v>1</v>
      </c>
      <c r="N45" s="54"/>
      <c r="O45" s="54">
        <v>1</v>
      </c>
      <c r="P45" s="54"/>
      <c r="Q45" s="54">
        <v>1</v>
      </c>
      <c r="R45" s="54"/>
      <c r="S45" s="54">
        <v>1</v>
      </c>
      <c r="T45" s="54"/>
      <c r="U45" s="54">
        <v>1</v>
      </c>
      <c r="V45" s="54"/>
      <c r="W45" s="54">
        <v>1</v>
      </c>
      <c r="X45" s="54"/>
      <c r="Y45" s="54">
        <v>1</v>
      </c>
      <c r="Z45" s="54"/>
      <c r="AA45" s="115">
        <v>1</v>
      </c>
      <c r="AB45" s="115"/>
      <c r="AC45" s="115">
        <v>3</v>
      </c>
      <c r="AD45" s="115"/>
    </row>
    <row r="46" spans="1:30" x14ac:dyDescent="0.2">
      <c r="A46" s="14" t="s">
        <v>14</v>
      </c>
      <c r="B46" s="14" t="s">
        <v>62</v>
      </c>
      <c r="C46" s="14" t="s">
        <v>32</v>
      </c>
      <c r="D46" s="14" t="str">
        <f t="shared" si="0"/>
        <v>B1-P2-C2</v>
      </c>
      <c r="E46" s="14" t="s">
        <v>19</v>
      </c>
      <c r="F46" s="14" t="s">
        <v>20</v>
      </c>
      <c r="G46" s="51" t="s">
        <v>759</v>
      </c>
      <c r="H46" s="51">
        <v>45</v>
      </c>
      <c r="I46" s="53">
        <v>1</v>
      </c>
      <c r="J46" s="54"/>
      <c r="K46" s="53">
        <v>1</v>
      </c>
      <c r="L46" s="54"/>
      <c r="M46" s="54">
        <v>1</v>
      </c>
      <c r="N46" s="54"/>
      <c r="O46" s="54">
        <v>1</v>
      </c>
      <c r="P46" s="54"/>
      <c r="Q46" s="54">
        <v>1</v>
      </c>
      <c r="R46" s="54"/>
      <c r="S46" s="54">
        <v>1</v>
      </c>
      <c r="T46" s="54"/>
      <c r="U46" s="54">
        <v>1</v>
      </c>
      <c r="V46" s="54"/>
      <c r="W46" s="54">
        <v>1</v>
      </c>
      <c r="X46" s="54"/>
      <c r="Y46" s="54">
        <v>1</v>
      </c>
      <c r="Z46" s="54"/>
      <c r="AA46" s="115">
        <v>1</v>
      </c>
      <c r="AB46" s="115"/>
      <c r="AC46" s="115">
        <v>3</v>
      </c>
      <c r="AD46" s="115"/>
    </row>
    <row r="47" spans="1:30" x14ac:dyDescent="0.2">
      <c r="A47" s="14" t="s">
        <v>14</v>
      </c>
      <c r="B47" s="14" t="s">
        <v>62</v>
      </c>
      <c r="C47" s="14" t="s">
        <v>32</v>
      </c>
      <c r="D47" s="14" t="str">
        <f t="shared" si="0"/>
        <v>B1-P2-C2</v>
      </c>
      <c r="E47" s="14" t="s">
        <v>35</v>
      </c>
      <c r="F47" s="14" t="s">
        <v>20</v>
      </c>
      <c r="G47" s="51" t="s">
        <v>760</v>
      </c>
      <c r="H47" s="51">
        <v>46</v>
      </c>
      <c r="I47" s="53">
        <v>1</v>
      </c>
      <c r="J47" s="54"/>
      <c r="K47" s="53">
        <v>1</v>
      </c>
      <c r="L47" s="54"/>
      <c r="M47" s="54">
        <v>1</v>
      </c>
      <c r="N47" s="54"/>
      <c r="O47" s="54">
        <v>1</v>
      </c>
      <c r="P47" s="54"/>
      <c r="Q47" s="54">
        <v>1</v>
      </c>
      <c r="R47" s="54"/>
      <c r="S47" s="54">
        <v>1</v>
      </c>
      <c r="T47" s="54"/>
      <c r="U47" s="54">
        <v>1</v>
      </c>
      <c r="V47" s="54"/>
      <c r="W47" s="54">
        <v>1</v>
      </c>
      <c r="X47" s="54"/>
      <c r="Y47" s="54">
        <v>1</v>
      </c>
      <c r="Z47" s="54"/>
      <c r="AA47" s="115">
        <v>1</v>
      </c>
      <c r="AB47" s="115"/>
      <c r="AC47" s="115">
        <v>1</v>
      </c>
      <c r="AD47" s="115"/>
    </row>
    <row r="48" spans="1:30" x14ac:dyDescent="0.2">
      <c r="A48" s="14" t="s">
        <v>14</v>
      </c>
      <c r="B48" s="14" t="s">
        <v>62</v>
      </c>
      <c r="C48" s="14" t="s">
        <v>32</v>
      </c>
      <c r="D48" s="14" t="str">
        <f t="shared" si="0"/>
        <v>B1-P2-C2</v>
      </c>
      <c r="E48" s="14" t="s">
        <v>35</v>
      </c>
      <c r="F48" s="14" t="s">
        <v>20</v>
      </c>
      <c r="G48" s="51" t="s">
        <v>761</v>
      </c>
      <c r="H48" s="51">
        <v>47</v>
      </c>
      <c r="I48" s="53">
        <v>1</v>
      </c>
      <c r="J48" s="54"/>
      <c r="K48" s="53">
        <v>1</v>
      </c>
      <c r="L48" s="54"/>
      <c r="M48" s="54">
        <v>1</v>
      </c>
      <c r="N48" s="54"/>
      <c r="O48" s="54">
        <v>1</v>
      </c>
      <c r="P48" s="54"/>
      <c r="Q48" s="54">
        <v>1</v>
      </c>
      <c r="R48" s="54"/>
      <c r="S48" s="54">
        <v>1</v>
      </c>
      <c r="T48" s="54"/>
      <c r="U48" s="54">
        <v>1</v>
      </c>
      <c r="V48" s="54"/>
      <c r="W48" s="54">
        <v>1</v>
      </c>
      <c r="X48" s="54"/>
      <c r="Y48" s="54">
        <v>1</v>
      </c>
      <c r="Z48" s="54"/>
      <c r="AA48" s="115">
        <v>1</v>
      </c>
      <c r="AB48" s="115"/>
      <c r="AC48" s="115">
        <v>1</v>
      </c>
      <c r="AD48" s="115"/>
    </row>
    <row r="49" spans="1:30" x14ac:dyDescent="0.2">
      <c r="A49" s="14" t="s">
        <v>14</v>
      </c>
      <c r="B49" s="14" t="s">
        <v>62</v>
      </c>
      <c r="C49" s="14" t="s">
        <v>32</v>
      </c>
      <c r="D49" s="14" t="str">
        <f t="shared" si="0"/>
        <v>B1-P2-C2</v>
      </c>
      <c r="E49" s="14" t="s">
        <v>19</v>
      </c>
      <c r="F49" s="14" t="s">
        <v>20</v>
      </c>
      <c r="G49" s="51" t="s">
        <v>762</v>
      </c>
      <c r="H49" s="51">
        <v>48</v>
      </c>
      <c r="I49" s="53">
        <v>1</v>
      </c>
      <c r="J49" s="54"/>
      <c r="K49" s="53">
        <v>1</v>
      </c>
      <c r="L49" s="54"/>
      <c r="M49" s="54">
        <v>1</v>
      </c>
      <c r="N49" s="54"/>
      <c r="O49" s="54">
        <v>1</v>
      </c>
      <c r="P49" s="54"/>
      <c r="Q49" s="54">
        <v>1</v>
      </c>
      <c r="R49" s="54"/>
      <c r="S49" s="54">
        <v>1</v>
      </c>
      <c r="T49" s="54"/>
      <c r="U49" s="54">
        <v>1</v>
      </c>
      <c r="V49" s="54"/>
      <c r="W49" s="54">
        <v>1</v>
      </c>
      <c r="X49" s="54"/>
      <c r="Y49" s="54">
        <v>1</v>
      </c>
      <c r="Z49" s="54"/>
      <c r="AA49" s="115">
        <v>1</v>
      </c>
      <c r="AB49" s="115"/>
      <c r="AC49" s="115">
        <v>4</v>
      </c>
      <c r="AD49" s="115"/>
    </row>
    <row r="50" spans="1:30" x14ac:dyDescent="0.2">
      <c r="A50" s="18" t="s">
        <v>14</v>
      </c>
      <c r="B50" s="18" t="s">
        <v>62</v>
      </c>
      <c r="C50" s="18" t="s">
        <v>42</v>
      </c>
      <c r="D50" s="18" t="str">
        <f t="shared" si="0"/>
        <v>B1-P2-C3</v>
      </c>
      <c r="E50" s="18" t="s">
        <v>19</v>
      </c>
      <c r="F50" s="18" t="s">
        <v>20</v>
      </c>
      <c r="G50" s="50" t="s">
        <v>764</v>
      </c>
      <c r="H50" s="50">
        <v>49</v>
      </c>
      <c r="I50" s="52">
        <v>1</v>
      </c>
      <c r="J50" s="52"/>
      <c r="K50" s="52">
        <v>2</v>
      </c>
      <c r="L50" s="52"/>
      <c r="M50" s="52">
        <v>2</v>
      </c>
      <c r="N50" s="52"/>
      <c r="O50" s="52">
        <v>2</v>
      </c>
      <c r="P50" s="52"/>
      <c r="Q50" s="52">
        <v>2.5</v>
      </c>
      <c r="R50" s="52"/>
      <c r="S50" s="52">
        <v>2</v>
      </c>
      <c r="T50" s="52"/>
      <c r="U50" s="52">
        <v>3</v>
      </c>
      <c r="V50" s="52"/>
      <c r="W50" s="52">
        <v>3</v>
      </c>
      <c r="X50" s="52"/>
      <c r="Y50" s="52">
        <v>3</v>
      </c>
      <c r="Z50" s="52"/>
      <c r="AA50" s="114">
        <v>3</v>
      </c>
      <c r="AB50" s="114"/>
      <c r="AC50" s="114">
        <v>3</v>
      </c>
      <c r="AD50" s="114"/>
    </row>
    <row r="51" spans="1:30" x14ac:dyDescent="0.2">
      <c r="A51" s="18" t="s">
        <v>14</v>
      </c>
      <c r="B51" s="18" t="s">
        <v>62</v>
      </c>
      <c r="C51" s="18" t="s">
        <v>42</v>
      </c>
      <c r="D51" s="18" t="str">
        <f t="shared" si="0"/>
        <v>B1-P2-C3</v>
      </c>
      <c r="E51" s="18" t="s">
        <v>19</v>
      </c>
      <c r="F51" s="18" t="s">
        <v>20</v>
      </c>
      <c r="G51" s="50" t="s">
        <v>765</v>
      </c>
      <c r="H51" s="50">
        <v>50</v>
      </c>
      <c r="I51" s="52">
        <v>1</v>
      </c>
      <c r="J51" s="52"/>
      <c r="K51" s="52">
        <v>2</v>
      </c>
      <c r="L51" s="52"/>
      <c r="M51" s="52">
        <v>3</v>
      </c>
      <c r="N51" s="52"/>
      <c r="O51" s="52">
        <v>3</v>
      </c>
      <c r="P51" s="52"/>
      <c r="Q51" s="52">
        <v>3</v>
      </c>
      <c r="R51" s="52"/>
      <c r="S51" s="52">
        <v>2.5</v>
      </c>
      <c r="T51" s="52"/>
      <c r="U51" s="52">
        <v>3</v>
      </c>
      <c r="V51" s="52"/>
      <c r="W51" s="52">
        <v>3</v>
      </c>
      <c r="X51" s="52"/>
      <c r="Y51" s="52">
        <v>3</v>
      </c>
      <c r="Z51" s="52"/>
      <c r="AA51" s="114">
        <v>4</v>
      </c>
      <c r="AB51" s="114"/>
      <c r="AC51" s="114">
        <v>4</v>
      </c>
      <c r="AD51" s="114"/>
    </row>
    <row r="52" spans="1:30" x14ac:dyDescent="0.2">
      <c r="A52" s="18" t="s">
        <v>14</v>
      </c>
      <c r="B52" s="18" t="s">
        <v>62</v>
      </c>
      <c r="C52" s="18" t="s">
        <v>42</v>
      </c>
      <c r="D52" s="18" t="str">
        <f t="shared" si="0"/>
        <v>B1-P2-C3</v>
      </c>
      <c r="E52" s="18" t="s">
        <v>19</v>
      </c>
      <c r="F52" s="18" t="s">
        <v>20</v>
      </c>
      <c r="G52" s="50" t="s">
        <v>766</v>
      </c>
      <c r="H52" s="50">
        <v>51</v>
      </c>
      <c r="I52" s="52">
        <v>1</v>
      </c>
      <c r="J52" s="52"/>
      <c r="K52" s="52">
        <v>1</v>
      </c>
      <c r="L52" s="52"/>
      <c r="M52" s="52">
        <v>1</v>
      </c>
      <c r="N52" s="52"/>
      <c r="O52" s="52">
        <v>1</v>
      </c>
      <c r="P52" s="52"/>
      <c r="Q52" s="52">
        <v>1</v>
      </c>
      <c r="R52" s="52"/>
      <c r="S52" s="52">
        <v>1</v>
      </c>
      <c r="T52" s="52"/>
      <c r="U52" s="52">
        <v>2</v>
      </c>
      <c r="V52" s="52"/>
      <c r="W52" s="52">
        <v>2</v>
      </c>
      <c r="X52" s="52"/>
      <c r="Y52" s="52">
        <v>3</v>
      </c>
      <c r="Z52" s="52"/>
      <c r="AA52" s="114">
        <v>3</v>
      </c>
      <c r="AB52" s="114"/>
      <c r="AC52" s="114">
        <v>3</v>
      </c>
      <c r="AD52" s="114"/>
    </row>
    <row r="53" spans="1:30" x14ac:dyDescent="0.2">
      <c r="A53" s="18" t="s">
        <v>14</v>
      </c>
      <c r="B53" s="18" t="s">
        <v>62</v>
      </c>
      <c r="C53" s="18" t="s">
        <v>42</v>
      </c>
      <c r="D53" s="18" t="str">
        <f t="shared" si="0"/>
        <v>B1-P2-C3</v>
      </c>
      <c r="E53" s="18" t="s">
        <v>19</v>
      </c>
      <c r="F53" s="18" t="s">
        <v>20</v>
      </c>
      <c r="G53" s="50" t="s">
        <v>767</v>
      </c>
      <c r="H53" s="50">
        <v>52</v>
      </c>
      <c r="I53" s="52">
        <v>1</v>
      </c>
      <c r="J53" s="52"/>
      <c r="K53" s="52">
        <v>2</v>
      </c>
      <c r="L53" s="52"/>
      <c r="M53" s="52">
        <v>3</v>
      </c>
      <c r="N53" s="52"/>
      <c r="O53" s="52">
        <v>3</v>
      </c>
      <c r="P53" s="52"/>
      <c r="Q53" s="52">
        <v>3</v>
      </c>
      <c r="R53" s="52"/>
      <c r="S53" s="52">
        <v>3</v>
      </c>
      <c r="T53" s="52"/>
      <c r="U53" s="52">
        <v>3</v>
      </c>
      <c r="V53" s="52"/>
      <c r="W53" s="52">
        <v>3</v>
      </c>
      <c r="X53" s="52"/>
      <c r="Y53" s="52">
        <v>3</v>
      </c>
      <c r="Z53" s="52"/>
      <c r="AA53" s="114">
        <v>3</v>
      </c>
      <c r="AB53" s="114"/>
      <c r="AC53" s="114">
        <v>4</v>
      </c>
      <c r="AD53" s="114"/>
    </row>
    <row r="54" spans="1:30" x14ac:dyDescent="0.2">
      <c r="A54" s="18" t="s">
        <v>14</v>
      </c>
      <c r="B54" s="18" t="s">
        <v>62</v>
      </c>
      <c r="C54" s="18" t="s">
        <v>42</v>
      </c>
      <c r="D54" s="18" t="str">
        <f t="shared" si="0"/>
        <v>B1-P2-C3</v>
      </c>
      <c r="E54" s="18" t="s">
        <v>19</v>
      </c>
      <c r="F54" s="18" t="s">
        <v>20</v>
      </c>
      <c r="G54" s="50" t="s">
        <v>768</v>
      </c>
      <c r="H54" s="50">
        <v>53</v>
      </c>
      <c r="I54" s="52">
        <v>1</v>
      </c>
      <c r="J54" s="52"/>
      <c r="K54" s="52">
        <v>2</v>
      </c>
      <c r="L54" s="52"/>
      <c r="M54" s="52">
        <v>3</v>
      </c>
      <c r="N54" s="52"/>
      <c r="O54" s="52">
        <v>3</v>
      </c>
      <c r="P54" s="52"/>
      <c r="Q54" s="52">
        <v>2.5</v>
      </c>
      <c r="R54" s="52"/>
      <c r="S54" s="52">
        <v>3</v>
      </c>
      <c r="T54" s="52"/>
      <c r="U54" s="52">
        <v>4</v>
      </c>
      <c r="V54" s="52"/>
      <c r="W54" s="52">
        <v>4</v>
      </c>
      <c r="X54" s="52"/>
      <c r="Y54" s="52">
        <v>4</v>
      </c>
      <c r="Z54" s="52"/>
      <c r="AA54" s="114">
        <v>4</v>
      </c>
      <c r="AB54" s="114"/>
      <c r="AC54" s="114">
        <v>4</v>
      </c>
      <c r="AD54" s="114"/>
    </row>
    <row r="55" spans="1:30" x14ac:dyDescent="0.2">
      <c r="A55" s="18" t="s">
        <v>14</v>
      </c>
      <c r="B55" s="18" t="s">
        <v>62</v>
      </c>
      <c r="C55" s="18" t="s">
        <v>42</v>
      </c>
      <c r="D55" s="18" t="str">
        <f t="shared" si="0"/>
        <v>B1-P2-C3</v>
      </c>
      <c r="E55" s="18" t="s">
        <v>19</v>
      </c>
      <c r="F55" s="18" t="s">
        <v>20</v>
      </c>
      <c r="G55" s="50" t="s">
        <v>769</v>
      </c>
      <c r="H55" s="50">
        <v>54</v>
      </c>
      <c r="I55" s="52">
        <v>1</v>
      </c>
      <c r="J55" s="52"/>
      <c r="K55" s="52">
        <v>1</v>
      </c>
      <c r="L55" s="52"/>
      <c r="M55" s="52">
        <v>1</v>
      </c>
      <c r="N55" s="52"/>
      <c r="O55" s="52">
        <v>2</v>
      </c>
      <c r="P55" s="52"/>
      <c r="Q55" s="52">
        <v>2</v>
      </c>
      <c r="R55" s="52"/>
      <c r="S55" s="52">
        <v>2</v>
      </c>
      <c r="T55" s="52"/>
      <c r="U55" s="52">
        <v>2</v>
      </c>
      <c r="V55" s="52"/>
      <c r="W55" s="52">
        <v>2</v>
      </c>
      <c r="X55" s="52"/>
      <c r="Y55" s="52">
        <v>2</v>
      </c>
      <c r="Z55" s="52"/>
      <c r="AA55" s="114">
        <v>3</v>
      </c>
      <c r="AB55" s="114"/>
      <c r="AC55" s="114">
        <v>4</v>
      </c>
      <c r="AD55" s="114"/>
    </row>
    <row r="56" spans="1:30" x14ac:dyDescent="0.2">
      <c r="A56" s="18" t="s">
        <v>14</v>
      </c>
      <c r="B56" s="18" t="s">
        <v>62</v>
      </c>
      <c r="C56" s="18" t="s">
        <v>42</v>
      </c>
      <c r="D56" s="18" t="str">
        <f t="shared" si="0"/>
        <v>B1-P2-C3</v>
      </c>
      <c r="E56" s="18" t="s">
        <v>19</v>
      </c>
      <c r="F56" s="18" t="s">
        <v>20</v>
      </c>
      <c r="G56" s="50" t="s">
        <v>770</v>
      </c>
      <c r="H56" s="50">
        <v>55</v>
      </c>
      <c r="I56" s="52">
        <v>1</v>
      </c>
      <c r="J56" s="52"/>
      <c r="K56" s="52">
        <v>1</v>
      </c>
      <c r="L56" s="52"/>
      <c r="M56" s="52">
        <v>3</v>
      </c>
      <c r="N56" s="52"/>
      <c r="O56" s="52">
        <v>3</v>
      </c>
      <c r="P56" s="52"/>
      <c r="Q56" s="52">
        <v>3</v>
      </c>
      <c r="R56" s="52"/>
      <c r="S56" s="52">
        <v>3</v>
      </c>
      <c r="T56" s="52"/>
      <c r="U56" s="52">
        <v>4</v>
      </c>
      <c r="V56" s="52"/>
      <c r="W56" s="52">
        <v>4</v>
      </c>
      <c r="X56" s="52"/>
      <c r="Y56" s="52">
        <v>4</v>
      </c>
      <c r="Z56" s="52"/>
      <c r="AA56" s="114">
        <v>4</v>
      </c>
      <c r="AB56" s="114"/>
      <c r="AC56" s="114">
        <v>4</v>
      </c>
      <c r="AD56" s="114"/>
    </row>
    <row r="57" spans="1:30" x14ac:dyDescent="0.2">
      <c r="A57" s="18" t="s">
        <v>14</v>
      </c>
      <c r="B57" s="18" t="s">
        <v>62</v>
      </c>
      <c r="C57" s="18" t="s">
        <v>42</v>
      </c>
      <c r="D57" s="18" t="str">
        <f t="shared" si="0"/>
        <v>B1-P2-C3</v>
      </c>
      <c r="E57" s="18" t="s">
        <v>19</v>
      </c>
      <c r="F57" s="18" t="s">
        <v>20</v>
      </c>
      <c r="G57" s="50" t="s">
        <v>771</v>
      </c>
      <c r="H57" s="50">
        <v>56</v>
      </c>
      <c r="I57" s="52">
        <v>1</v>
      </c>
      <c r="J57" s="52"/>
      <c r="K57" s="52">
        <v>1</v>
      </c>
      <c r="L57" s="52"/>
      <c r="M57" s="52">
        <v>3</v>
      </c>
      <c r="N57" s="52"/>
      <c r="O57" s="52">
        <v>3</v>
      </c>
      <c r="P57" s="52"/>
      <c r="Q57" s="52">
        <v>3</v>
      </c>
      <c r="R57" s="52"/>
      <c r="S57" s="52">
        <v>3</v>
      </c>
      <c r="T57" s="52"/>
      <c r="U57" s="52">
        <v>3</v>
      </c>
      <c r="V57" s="52"/>
      <c r="W57" s="52">
        <v>3</v>
      </c>
      <c r="X57" s="52"/>
      <c r="Y57" s="52">
        <v>3</v>
      </c>
      <c r="Z57" s="52"/>
      <c r="AA57" s="114">
        <v>3</v>
      </c>
      <c r="AB57" s="114"/>
      <c r="AC57" s="114">
        <v>4</v>
      </c>
      <c r="AD57" s="114"/>
    </row>
    <row r="58" spans="1:30" x14ac:dyDescent="0.2">
      <c r="A58" s="14" t="s">
        <v>14</v>
      </c>
      <c r="B58" s="14" t="s">
        <v>62</v>
      </c>
      <c r="C58" s="14" t="s">
        <v>53</v>
      </c>
      <c r="D58" s="14" t="str">
        <f t="shared" si="0"/>
        <v>B1-P2-C4</v>
      </c>
      <c r="E58" s="14" t="s">
        <v>35</v>
      </c>
      <c r="F58" s="14" t="s">
        <v>20</v>
      </c>
      <c r="G58" s="51" t="s">
        <v>773</v>
      </c>
      <c r="H58" s="51">
        <v>57</v>
      </c>
      <c r="I58" s="53">
        <v>1</v>
      </c>
      <c r="J58" s="54"/>
      <c r="K58" s="53">
        <v>1</v>
      </c>
      <c r="L58" s="54"/>
      <c r="M58" s="54">
        <v>1</v>
      </c>
      <c r="N58" s="54"/>
      <c r="O58" s="54">
        <v>1</v>
      </c>
      <c r="P58" s="54"/>
      <c r="Q58" s="54">
        <v>1</v>
      </c>
      <c r="R58" s="54"/>
      <c r="S58" s="54">
        <v>1</v>
      </c>
      <c r="T58" s="54"/>
      <c r="U58" s="54">
        <v>1</v>
      </c>
      <c r="V58" s="54"/>
      <c r="W58" s="54">
        <v>1</v>
      </c>
      <c r="X58" s="54"/>
      <c r="Y58" s="54">
        <v>1</v>
      </c>
      <c r="Z58" s="54"/>
      <c r="AA58" s="115">
        <v>1</v>
      </c>
      <c r="AB58" s="115"/>
      <c r="AC58" s="115">
        <v>1</v>
      </c>
      <c r="AD58" s="115"/>
    </row>
    <row r="59" spans="1:30" x14ac:dyDescent="0.2">
      <c r="A59" s="14" t="s">
        <v>14</v>
      </c>
      <c r="B59" s="14" t="s">
        <v>62</v>
      </c>
      <c r="C59" s="6" t="s">
        <v>53</v>
      </c>
      <c r="D59" s="14" t="str">
        <f t="shared" si="0"/>
        <v>B1-P2-C4</v>
      </c>
      <c r="E59" s="14" t="s">
        <v>35</v>
      </c>
      <c r="F59" s="14" t="s">
        <v>20</v>
      </c>
      <c r="G59" s="51" t="s">
        <v>774</v>
      </c>
      <c r="H59" s="51">
        <v>58</v>
      </c>
      <c r="I59" s="53">
        <v>1</v>
      </c>
      <c r="J59" s="54"/>
      <c r="K59" s="53">
        <v>1</v>
      </c>
      <c r="L59" s="54"/>
      <c r="M59" s="54">
        <v>1</v>
      </c>
      <c r="N59" s="54"/>
      <c r="O59" s="54">
        <v>1</v>
      </c>
      <c r="P59" s="54"/>
      <c r="Q59" s="54">
        <v>1</v>
      </c>
      <c r="R59" s="54"/>
      <c r="S59" s="54">
        <v>1</v>
      </c>
      <c r="T59" s="54"/>
      <c r="U59" s="54">
        <v>1</v>
      </c>
      <c r="V59" s="54"/>
      <c r="W59" s="54">
        <v>1</v>
      </c>
      <c r="X59" s="54"/>
      <c r="Y59" s="54">
        <v>1</v>
      </c>
      <c r="Z59" s="54"/>
      <c r="AA59" s="115">
        <v>1</v>
      </c>
      <c r="AB59" s="115"/>
      <c r="AC59" s="115">
        <v>1</v>
      </c>
      <c r="AD59" s="115"/>
    </row>
    <row r="60" spans="1:30" x14ac:dyDescent="0.2">
      <c r="A60" s="14" t="s">
        <v>14</v>
      </c>
      <c r="B60" s="14" t="s">
        <v>62</v>
      </c>
      <c r="C60" s="6" t="s">
        <v>53</v>
      </c>
      <c r="D60" s="14" t="str">
        <f t="shared" si="0"/>
        <v>B1-P2-C4</v>
      </c>
      <c r="E60" s="14" t="s">
        <v>35</v>
      </c>
      <c r="F60" s="14" t="s">
        <v>20</v>
      </c>
      <c r="G60" s="51" t="s">
        <v>775</v>
      </c>
      <c r="H60" s="51">
        <v>59</v>
      </c>
      <c r="I60" s="53">
        <v>1</v>
      </c>
      <c r="J60" s="54"/>
      <c r="K60" s="53">
        <v>1</v>
      </c>
      <c r="L60" s="54"/>
      <c r="M60" s="54">
        <v>1</v>
      </c>
      <c r="N60" s="54"/>
      <c r="O60" s="54">
        <v>1</v>
      </c>
      <c r="P60" s="54"/>
      <c r="Q60" s="54">
        <v>1</v>
      </c>
      <c r="R60" s="54"/>
      <c r="S60" s="54">
        <v>1</v>
      </c>
      <c r="T60" s="54"/>
      <c r="U60" s="54">
        <v>1</v>
      </c>
      <c r="V60" s="54"/>
      <c r="W60" s="54">
        <v>1</v>
      </c>
      <c r="X60" s="54"/>
      <c r="Y60" s="54">
        <v>1</v>
      </c>
      <c r="Z60" s="54"/>
      <c r="AA60" s="115">
        <v>1</v>
      </c>
      <c r="AB60" s="115"/>
      <c r="AC60" s="115">
        <v>1</v>
      </c>
      <c r="AD60" s="115"/>
    </row>
    <row r="61" spans="1:30" x14ac:dyDescent="0.2">
      <c r="A61" s="14" t="s">
        <v>14</v>
      </c>
      <c r="B61" s="14" t="s">
        <v>62</v>
      </c>
      <c r="C61" s="6" t="s">
        <v>53</v>
      </c>
      <c r="D61" s="14" t="str">
        <f t="shared" si="0"/>
        <v>B1-P2-C4</v>
      </c>
      <c r="E61" s="14" t="s">
        <v>35</v>
      </c>
      <c r="F61" s="14" t="s">
        <v>20</v>
      </c>
      <c r="G61" s="51" t="s">
        <v>776</v>
      </c>
      <c r="H61" s="51">
        <v>60</v>
      </c>
      <c r="I61" s="53">
        <v>1</v>
      </c>
      <c r="J61" s="54"/>
      <c r="K61" s="53">
        <v>1</v>
      </c>
      <c r="L61" s="54"/>
      <c r="M61" s="54">
        <v>1</v>
      </c>
      <c r="N61" s="54"/>
      <c r="O61" s="54">
        <v>1</v>
      </c>
      <c r="P61" s="54"/>
      <c r="Q61" s="54">
        <v>1</v>
      </c>
      <c r="R61" s="54"/>
      <c r="S61" s="54">
        <v>1</v>
      </c>
      <c r="T61" s="54"/>
      <c r="U61" s="54">
        <v>1</v>
      </c>
      <c r="V61" s="54"/>
      <c r="W61" s="54">
        <v>1</v>
      </c>
      <c r="X61" s="54"/>
      <c r="Y61" s="54">
        <v>1</v>
      </c>
      <c r="Z61" s="54"/>
      <c r="AA61" s="115">
        <v>1</v>
      </c>
      <c r="AB61" s="115"/>
      <c r="AC61" s="115">
        <v>1</v>
      </c>
      <c r="AD61" s="115"/>
    </row>
    <row r="62" spans="1:30" x14ac:dyDescent="0.2">
      <c r="A62" s="14" t="s">
        <v>14</v>
      </c>
      <c r="B62" s="14" t="s">
        <v>62</v>
      </c>
      <c r="C62" s="6" t="s">
        <v>53</v>
      </c>
      <c r="D62" s="14" t="str">
        <f t="shared" si="0"/>
        <v>B1-P2-C4</v>
      </c>
      <c r="E62" s="14" t="s">
        <v>35</v>
      </c>
      <c r="F62" s="14" t="s">
        <v>20</v>
      </c>
      <c r="G62" s="51" t="s">
        <v>777</v>
      </c>
      <c r="H62" s="51">
        <v>61</v>
      </c>
      <c r="I62" s="53">
        <v>1</v>
      </c>
      <c r="J62" s="54"/>
      <c r="K62" s="53">
        <v>1</v>
      </c>
      <c r="L62" s="54"/>
      <c r="M62" s="54">
        <v>1</v>
      </c>
      <c r="N62" s="54"/>
      <c r="O62" s="54">
        <v>1</v>
      </c>
      <c r="P62" s="54"/>
      <c r="Q62" s="54">
        <v>1</v>
      </c>
      <c r="R62" s="54"/>
      <c r="S62" s="54">
        <v>1</v>
      </c>
      <c r="T62" s="54"/>
      <c r="U62" s="54">
        <v>1</v>
      </c>
      <c r="V62" s="54"/>
      <c r="W62" s="54">
        <v>1</v>
      </c>
      <c r="X62" s="54"/>
      <c r="Y62" s="54">
        <v>1</v>
      </c>
      <c r="Z62" s="54"/>
      <c r="AA62" s="115">
        <v>1</v>
      </c>
      <c r="AB62" s="115"/>
      <c r="AC62" s="115">
        <v>1</v>
      </c>
      <c r="AD62" s="115"/>
    </row>
    <row r="63" spans="1:30" x14ac:dyDescent="0.2">
      <c r="A63" s="14" t="s">
        <v>14</v>
      </c>
      <c r="B63" s="14" t="s">
        <v>62</v>
      </c>
      <c r="C63" s="6" t="s">
        <v>53</v>
      </c>
      <c r="D63" s="14" t="str">
        <f t="shared" si="0"/>
        <v>B1-P2-C4</v>
      </c>
      <c r="E63" s="14" t="s">
        <v>35</v>
      </c>
      <c r="F63" s="14" t="s">
        <v>20</v>
      </c>
      <c r="G63" s="51" t="s">
        <v>778</v>
      </c>
      <c r="H63" s="51">
        <v>62</v>
      </c>
      <c r="I63" s="53">
        <v>1</v>
      </c>
      <c r="J63" s="54"/>
      <c r="K63" s="53">
        <v>1</v>
      </c>
      <c r="L63" s="54"/>
      <c r="M63" s="54">
        <v>1</v>
      </c>
      <c r="N63" s="54"/>
      <c r="O63" s="54">
        <v>1</v>
      </c>
      <c r="P63" s="54"/>
      <c r="Q63" s="54">
        <v>1</v>
      </c>
      <c r="R63" s="54"/>
      <c r="S63" s="54">
        <v>1</v>
      </c>
      <c r="T63" s="54"/>
      <c r="U63" s="54">
        <v>1</v>
      </c>
      <c r="V63" s="54"/>
      <c r="W63" s="54">
        <v>1</v>
      </c>
      <c r="X63" s="54"/>
      <c r="Y63" s="54">
        <v>1</v>
      </c>
      <c r="Z63" s="54"/>
      <c r="AA63" s="115">
        <v>1</v>
      </c>
      <c r="AB63" s="115"/>
      <c r="AC63" s="115">
        <v>1</v>
      </c>
      <c r="AD63" s="115"/>
    </row>
    <row r="64" spans="1:30" x14ac:dyDescent="0.2">
      <c r="A64" s="14" t="s">
        <v>14</v>
      </c>
      <c r="B64" s="14" t="s">
        <v>62</v>
      </c>
      <c r="C64" s="6" t="s">
        <v>53</v>
      </c>
      <c r="D64" s="14" t="str">
        <f t="shared" si="0"/>
        <v>B1-P2-C4</v>
      </c>
      <c r="E64" s="14" t="s">
        <v>35</v>
      </c>
      <c r="F64" s="14" t="s">
        <v>20</v>
      </c>
      <c r="G64" s="51" t="s">
        <v>779</v>
      </c>
      <c r="H64" s="51">
        <v>63</v>
      </c>
      <c r="I64" s="53">
        <v>1</v>
      </c>
      <c r="J64" s="54"/>
      <c r="K64" s="53">
        <v>1</v>
      </c>
      <c r="L64" s="54"/>
      <c r="M64" s="54">
        <v>1</v>
      </c>
      <c r="N64" s="54"/>
      <c r="O64" s="54">
        <v>1</v>
      </c>
      <c r="P64" s="54"/>
      <c r="Q64" s="54">
        <v>1</v>
      </c>
      <c r="R64" s="54"/>
      <c r="S64" s="54">
        <v>1</v>
      </c>
      <c r="T64" s="54"/>
      <c r="U64" s="54">
        <v>1</v>
      </c>
      <c r="V64" s="54"/>
      <c r="W64" s="54">
        <v>1</v>
      </c>
      <c r="X64" s="54"/>
      <c r="Y64" s="54">
        <v>1</v>
      </c>
      <c r="Z64" s="54"/>
      <c r="AA64" s="115">
        <v>1</v>
      </c>
      <c r="AB64" s="115"/>
      <c r="AC64" s="115">
        <v>1</v>
      </c>
      <c r="AD64" s="115"/>
    </row>
    <row r="65" spans="1:30" x14ac:dyDescent="0.2">
      <c r="A65" s="14" t="s">
        <v>14</v>
      </c>
      <c r="B65" s="14" t="s">
        <v>62</v>
      </c>
      <c r="C65" s="6" t="s">
        <v>53</v>
      </c>
      <c r="D65" s="14" t="str">
        <f t="shared" si="0"/>
        <v>B1-P2-C4</v>
      </c>
      <c r="E65" s="14" t="s">
        <v>35</v>
      </c>
      <c r="F65" s="14" t="s">
        <v>20</v>
      </c>
      <c r="G65" s="51" t="s">
        <v>780</v>
      </c>
      <c r="H65" s="51">
        <v>64</v>
      </c>
      <c r="I65" s="53">
        <v>1</v>
      </c>
      <c r="J65" s="54"/>
      <c r="K65" s="53">
        <v>1</v>
      </c>
      <c r="L65" s="54"/>
      <c r="M65" s="54">
        <v>1</v>
      </c>
      <c r="N65" s="54"/>
      <c r="O65" s="54">
        <v>1</v>
      </c>
      <c r="P65" s="54"/>
      <c r="Q65" s="54">
        <v>1</v>
      </c>
      <c r="R65" s="54"/>
      <c r="S65" s="54">
        <v>1</v>
      </c>
      <c r="T65" s="54"/>
      <c r="U65" s="54">
        <v>1</v>
      </c>
      <c r="V65" s="54"/>
      <c r="W65" s="54">
        <v>1</v>
      </c>
      <c r="X65" s="54"/>
      <c r="Y65" s="54">
        <v>1</v>
      </c>
      <c r="Z65" s="54"/>
      <c r="AA65" s="115">
        <v>1</v>
      </c>
      <c r="AB65" s="115"/>
      <c r="AC65" s="115">
        <v>1</v>
      </c>
      <c r="AD65" s="115"/>
    </row>
    <row r="66" spans="1:30" x14ac:dyDescent="0.2">
      <c r="A66" s="20" t="s">
        <v>14</v>
      </c>
      <c r="B66" s="20" t="s">
        <v>98</v>
      </c>
      <c r="C66" s="20" t="s">
        <v>16</v>
      </c>
      <c r="D66" s="20" t="str">
        <f t="shared" si="0"/>
        <v>B1-P3-C1</v>
      </c>
      <c r="E66" s="20" t="s">
        <v>35</v>
      </c>
      <c r="F66" s="20" t="s">
        <v>20</v>
      </c>
      <c r="G66" s="50" t="s">
        <v>782</v>
      </c>
      <c r="H66" s="50">
        <v>65</v>
      </c>
      <c r="I66" s="52">
        <v>1</v>
      </c>
      <c r="J66" s="52"/>
      <c r="K66" s="52">
        <v>1</v>
      </c>
      <c r="L66" s="52"/>
      <c r="M66" s="52">
        <v>1</v>
      </c>
      <c r="N66" s="52"/>
      <c r="O66" s="52">
        <v>1</v>
      </c>
      <c r="P66" s="52"/>
      <c r="Q66" s="52">
        <v>1</v>
      </c>
      <c r="R66" s="52"/>
      <c r="S66" s="52">
        <v>1</v>
      </c>
      <c r="T66" s="52"/>
      <c r="U66" s="52">
        <v>1</v>
      </c>
      <c r="V66" s="52"/>
      <c r="W66" s="52">
        <v>1</v>
      </c>
      <c r="X66" s="52"/>
      <c r="Y66" s="52">
        <v>1</v>
      </c>
      <c r="Z66" s="52"/>
      <c r="AA66" s="114">
        <v>1</v>
      </c>
      <c r="AB66" s="114"/>
      <c r="AC66" s="114">
        <v>1</v>
      </c>
      <c r="AD66" s="114"/>
    </row>
    <row r="67" spans="1:30" x14ac:dyDescent="0.2">
      <c r="A67" s="20" t="s">
        <v>14</v>
      </c>
      <c r="B67" s="20" t="s">
        <v>98</v>
      </c>
      <c r="C67" s="20" t="s">
        <v>16</v>
      </c>
      <c r="D67" s="20" t="str">
        <f t="shared" ref="D67:D130" si="1">A67&amp;"-"&amp;B67&amp;"-"&amp;C67</f>
        <v>B1-P3-C1</v>
      </c>
      <c r="E67" s="20" t="s">
        <v>35</v>
      </c>
      <c r="F67" s="20" t="s">
        <v>20</v>
      </c>
      <c r="G67" s="50" t="s">
        <v>783</v>
      </c>
      <c r="H67" s="50">
        <v>66</v>
      </c>
      <c r="I67" s="52">
        <v>1</v>
      </c>
      <c r="J67" s="52"/>
      <c r="K67" s="52">
        <v>1</v>
      </c>
      <c r="L67" s="52"/>
      <c r="M67" s="52">
        <v>1</v>
      </c>
      <c r="N67" s="52"/>
      <c r="O67" s="52">
        <v>1</v>
      </c>
      <c r="P67" s="52"/>
      <c r="Q67" s="52">
        <v>1</v>
      </c>
      <c r="R67" s="52"/>
      <c r="S67" s="52">
        <v>1</v>
      </c>
      <c r="T67" s="52"/>
      <c r="U67" s="52">
        <v>1</v>
      </c>
      <c r="V67" s="52"/>
      <c r="W67" s="52">
        <v>1</v>
      </c>
      <c r="X67" s="52"/>
      <c r="Y67" s="52">
        <v>1</v>
      </c>
      <c r="Z67" s="52"/>
      <c r="AA67" s="114">
        <v>1</v>
      </c>
      <c r="AB67" s="114"/>
      <c r="AC67" s="114">
        <v>1</v>
      </c>
      <c r="AD67" s="114"/>
    </row>
    <row r="68" spans="1:30" x14ac:dyDescent="0.2">
      <c r="A68" s="20" t="s">
        <v>14</v>
      </c>
      <c r="B68" s="20" t="s">
        <v>98</v>
      </c>
      <c r="C68" s="20" t="s">
        <v>16</v>
      </c>
      <c r="D68" s="20" t="str">
        <f t="shared" si="1"/>
        <v>B1-P3-C1</v>
      </c>
      <c r="E68" s="20" t="s">
        <v>35</v>
      </c>
      <c r="F68" s="20" t="s">
        <v>20</v>
      </c>
      <c r="G68" s="50" t="s">
        <v>784</v>
      </c>
      <c r="H68" s="50">
        <v>67</v>
      </c>
      <c r="I68" s="52">
        <v>1</v>
      </c>
      <c r="J68" s="52"/>
      <c r="K68" s="52">
        <v>1</v>
      </c>
      <c r="L68" s="52"/>
      <c r="M68" s="52">
        <v>1</v>
      </c>
      <c r="N68" s="52"/>
      <c r="O68" s="52">
        <v>1</v>
      </c>
      <c r="P68" s="52"/>
      <c r="Q68" s="52">
        <v>1</v>
      </c>
      <c r="R68" s="52"/>
      <c r="S68" s="52">
        <v>1</v>
      </c>
      <c r="T68" s="52"/>
      <c r="U68" s="52">
        <v>1</v>
      </c>
      <c r="V68" s="52"/>
      <c r="W68" s="52">
        <v>1</v>
      </c>
      <c r="X68" s="52"/>
      <c r="Y68" s="52">
        <v>1</v>
      </c>
      <c r="Z68" s="52"/>
      <c r="AA68" s="114">
        <v>1</v>
      </c>
      <c r="AB68" s="114"/>
      <c r="AC68" s="114">
        <v>1</v>
      </c>
      <c r="AD68" s="114"/>
    </row>
    <row r="69" spans="1:30" x14ac:dyDescent="0.2">
      <c r="A69" s="20" t="s">
        <v>14</v>
      </c>
      <c r="B69" s="20" t="s">
        <v>98</v>
      </c>
      <c r="C69" s="20" t="s">
        <v>16</v>
      </c>
      <c r="D69" s="20" t="str">
        <f t="shared" si="1"/>
        <v>B1-P3-C1</v>
      </c>
      <c r="E69" s="20" t="s">
        <v>35</v>
      </c>
      <c r="F69" s="20" t="s">
        <v>20</v>
      </c>
      <c r="G69" s="50" t="s">
        <v>785</v>
      </c>
      <c r="H69" s="50">
        <v>68</v>
      </c>
      <c r="I69" s="52">
        <v>1</v>
      </c>
      <c r="J69" s="52"/>
      <c r="K69" s="52">
        <v>1</v>
      </c>
      <c r="L69" s="52"/>
      <c r="M69" s="52">
        <v>1</v>
      </c>
      <c r="N69" s="52"/>
      <c r="O69" s="52">
        <v>1</v>
      </c>
      <c r="P69" s="52"/>
      <c r="Q69" s="52">
        <v>1</v>
      </c>
      <c r="R69" s="52"/>
      <c r="S69" s="52">
        <v>1</v>
      </c>
      <c r="T69" s="52"/>
      <c r="U69" s="52">
        <v>1.5</v>
      </c>
      <c r="V69" s="52"/>
      <c r="W69" s="52">
        <v>2</v>
      </c>
      <c r="X69" s="52"/>
      <c r="Y69" s="52">
        <v>2</v>
      </c>
      <c r="Z69" s="52"/>
      <c r="AA69" s="114">
        <v>2</v>
      </c>
      <c r="AB69" s="114"/>
      <c r="AC69" s="114">
        <v>2</v>
      </c>
      <c r="AD69" s="114"/>
    </row>
    <row r="70" spans="1:30" x14ac:dyDescent="0.2">
      <c r="A70" s="20" t="s">
        <v>14</v>
      </c>
      <c r="B70" s="20" t="s">
        <v>98</v>
      </c>
      <c r="C70" s="20" t="s">
        <v>16</v>
      </c>
      <c r="D70" s="20" t="str">
        <f t="shared" si="1"/>
        <v>B1-P3-C1</v>
      </c>
      <c r="E70" s="20" t="s">
        <v>35</v>
      </c>
      <c r="F70" s="20" t="s">
        <v>20</v>
      </c>
      <c r="G70" s="50" t="s">
        <v>786</v>
      </c>
      <c r="H70" s="50">
        <v>69</v>
      </c>
      <c r="I70" s="52">
        <v>1</v>
      </c>
      <c r="J70" s="52"/>
      <c r="K70" s="52">
        <v>1</v>
      </c>
      <c r="L70" s="52"/>
      <c r="M70" s="52">
        <v>1</v>
      </c>
      <c r="N70" s="52"/>
      <c r="O70" s="52">
        <v>1</v>
      </c>
      <c r="P70" s="52"/>
      <c r="Q70" s="52">
        <v>1</v>
      </c>
      <c r="R70" s="52"/>
      <c r="S70" s="52">
        <v>1</v>
      </c>
      <c r="T70" s="52"/>
      <c r="U70" s="52">
        <v>1</v>
      </c>
      <c r="V70" s="52"/>
      <c r="W70" s="52">
        <v>1</v>
      </c>
      <c r="X70" s="52"/>
      <c r="Y70" s="52">
        <v>1</v>
      </c>
      <c r="Z70" s="52"/>
      <c r="AA70" s="114">
        <v>1</v>
      </c>
      <c r="AB70" s="114"/>
      <c r="AC70" s="114">
        <v>1</v>
      </c>
      <c r="AD70" s="114"/>
    </row>
    <row r="71" spans="1:30" x14ac:dyDescent="0.2">
      <c r="A71" s="20" t="s">
        <v>14</v>
      </c>
      <c r="B71" s="20" t="s">
        <v>98</v>
      </c>
      <c r="C71" s="20" t="s">
        <v>16</v>
      </c>
      <c r="D71" s="20" t="str">
        <f t="shared" si="1"/>
        <v>B1-P3-C1</v>
      </c>
      <c r="E71" s="20" t="s">
        <v>35</v>
      </c>
      <c r="F71" s="20" t="s">
        <v>20</v>
      </c>
      <c r="G71" s="50" t="s">
        <v>787</v>
      </c>
      <c r="H71" s="50">
        <v>70</v>
      </c>
      <c r="I71" s="52">
        <v>1</v>
      </c>
      <c r="J71" s="52"/>
      <c r="K71" s="52">
        <v>1</v>
      </c>
      <c r="L71" s="52"/>
      <c r="M71" s="52">
        <v>1</v>
      </c>
      <c r="N71" s="52"/>
      <c r="O71" s="52">
        <v>1</v>
      </c>
      <c r="P71" s="52"/>
      <c r="Q71" s="52">
        <v>1</v>
      </c>
      <c r="R71" s="52"/>
      <c r="S71" s="52">
        <v>1</v>
      </c>
      <c r="T71" s="52"/>
      <c r="U71" s="52">
        <v>1</v>
      </c>
      <c r="V71" s="52"/>
      <c r="W71" s="52">
        <v>1</v>
      </c>
      <c r="X71" s="52"/>
      <c r="Y71" s="52">
        <v>1</v>
      </c>
      <c r="Z71" s="52"/>
      <c r="AA71" s="114">
        <v>1</v>
      </c>
      <c r="AB71" s="114"/>
      <c r="AC71" s="114">
        <v>1</v>
      </c>
      <c r="AD71" s="114"/>
    </row>
    <row r="72" spans="1:30" x14ac:dyDescent="0.2">
      <c r="A72" s="20" t="s">
        <v>14</v>
      </c>
      <c r="B72" s="20" t="s">
        <v>98</v>
      </c>
      <c r="C72" s="20" t="s">
        <v>16</v>
      </c>
      <c r="D72" s="20" t="str">
        <f t="shared" si="1"/>
        <v>B1-P3-C1</v>
      </c>
      <c r="E72" s="20" t="s">
        <v>35</v>
      </c>
      <c r="F72" s="20" t="s">
        <v>20</v>
      </c>
      <c r="G72" s="50" t="s">
        <v>788</v>
      </c>
      <c r="H72" s="50">
        <v>71</v>
      </c>
      <c r="I72" s="52">
        <v>1</v>
      </c>
      <c r="J72" s="52"/>
      <c r="K72" s="52">
        <v>1</v>
      </c>
      <c r="L72" s="52"/>
      <c r="M72" s="52">
        <v>1</v>
      </c>
      <c r="N72" s="52"/>
      <c r="O72" s="52">
        <v>1</v>
      </c>
      <c r="P72" s="52"/>
      <c r="Q72" s="52">
        <v>1</v>
      </c>
      <c r="R72" s="52"/>
      <c r="S72" s="52">
        <v>1</v>
      </c>
      <c r="T72" s="52"/>
      <c r="U72" s="52">
        <v>1</v>
      </c>
      <c r="V72" s="52"/>
      <c r="W72" s="52">
        <v>1</v>
      </c>
      <c r="X72" s="52"/>
      <c r="Y72" s="52">
        <v>1</v>
      </c>
      <c r="Z72" s="52"/>
      <c r="AA72" s="114">
        <v>1</v>
      </c>
      <c r="AB72" s="114"/>
      <c r="AC72" s="114">
        <v>2</v>
      </c>
      <c r="AD72" s="114"/>
    </row>
    <row r="73" spans="1:30" x14ac:dyDescent="0.2">
      <c r="A73" s="20" t="s">
        <v>14</v>
      </c>
      <c r="B73" s="20" t="s">
        <v>98</v>
      </c>
      <c r="C73" s="20" t="s">
        <v>16</v>
      </c>
      <c r="D73" s="20" t="str">
        <f t="shared" si="1"/>
        <v>B1-P3-C1</v>
      </c>
      <c r="E73" s="20" t="s">
        <v>35</v>
      </c>
      <c r="F73" s="20" t="s">
        <v>20</v>
      </c>
      <c r="G73" s="50" t="s">
        <v>789</v>
      </c>
      <c r="H73" s="50">
        <v>72</v>
      </c>
      <c r="I73" s="52">
        <v>1</v>
      </c>
      <c r="J73" s="52"/>
      <c r="K73" s="52">
        <v>1</v>
      </c>
      <c r="L73" s="52"/>
      <c r="M73" s="52">
        <v>1</v>
      </c>
      <c r="N73" s="52"/>
      <c r="O73" s="52">
        <v>1</v>
      </c>
      <c r="P73" s="52"/>
      <c r="Q73" s="52">
        <v>1</v>
      </c>
      <c r="R73" s="52"/>
      <c r="S73" s="52">
        <v>1</v>
      </c>
      <c r="T73" s="52"/>
      <c r="U73" s="52">
        <v>1</v>
      </c>
      <c r="V73" s="52"/>
      <c r="W73" s="52">
        <v>1</v>
      </c>
      <c r="X73" s="52"/>
      <c r="Y73" s="52">
        <v>2</v>
      </c>
      <c r="Z73" s="52"/>
      <c r="AA73" s="114">
        <v>1</v>
      </c>
      <c r="AB73" s="114"/>
      <c r="AC73" s="114">
        <v>1</v>
      </c>
      <c r="AD73" s="114"/>
    </row>
    <row r="74" spans="1:30" x14ac:dyDescent="0.2">
      <c r="A74" s="14" t="s">
        <v>14</v>
      </c>
      <c r="B74" s="14" t="s">
        <v>98</v>
      </c>
      <c r="C74" s="14" t="s">
        <v>32</v>
      </c>
      <c r="D74" s="14" t="str">
        <f t="shared" si="1"/>
        <v>B1-P3-C2</v>
      </c>
      <c r="E74" s="14" t="s">
        <v>19</v>
      </c>
      <c r="F74" s="14" t="s">
        <v>20</v>
      </c>
      <c r="G74" s="51" t="s">
        <v>791</v>
      </c>
      <c r="H74" s="51">
        <v>73</v>
      </c>
      <c r="I74" s="53">
        <v>1</v>
      </c>
      <c r="J74" s="54"/>
      <c r="K74" s="53">
        <v>1</v>
      </c>
      <c r="L74" s="54"/>
      <c r="M74" s="54">
        <v>1</v>
      </c>
      <c r="N74" s="54"/>
      <c r="O74" s="54">
        <v>1</v>
      </c>
      <c r="P74" s="54"/>
      <c r="Q74" s="54">
        <v>1</v>
      </c>
      <c r="R74" s="54"/>
      <c r="S74" s="54">
        <v>1</v>
      </c>
      <c r="T74" s="54"/>
      <c r="U74" s="54">
        <v>1</v>
      </c>
      <c r="V74" s="54"/>
      <c r="W74" s="54">
        <v>1</v>
      </c>
      <c r="X74" s="54"/>
      <c r="Y74" s="54">
        <v>1</v>
      </c>
      <c r="Z74" s="54"/>
      <c r="AA74" s="115">
        <v>1</v>
      </c>
      <c r="AB74" s="115"/>
      <c r="AC74" s="115">
        <v>4</v>
      </c>
      <c r="AD74" s="115"/>
    </row>
    <row r="75" spans="1:30" x14ac:dyDescent="0.2">
      <c r="A75" s="14" t="s">
        <v>14</v>
      </c>
      <c r="B75" s="14" t="s">
        <v>98</v>
      </c>
      <c r="C75" s="14" t="s">
        <v>32</v>
      </c>
      <c r="D75" s="14" t="str">
        <f t="shared" si="1"/>
        <v>B1-P3-C2</v>
      </c>
      <c r="E75" s="14" t="s">
        <v>19</v>
      </c>
      <c r="F75" s="14" t="s">
        <v>20</v>
      </c>
      <c r="G75" s="51" t="s">
        <v>792</v>
      </c>
      <c r="H75" s="51">
        <v>74</v>
      </c>
      <c r="I75" s="53">
        <v>1</v>
      </c>
      <c r="J75" s="54"/>
      <c r="K75" s="53">
        <v>1</v>
      </c>
      <c r="L75" s="54"/>
      <c r="M75" s="54">
        <v>1</v>
      </c>
      <c r="N75" s="54"/>
      <c r="O75" s="54">
        <v>1</v>
      </c>
      <c r="P75" s="54"/>
      <c r="Q75" s="54">
        <v>1</v>
      </c>
      <c r="R75" s="54"/>
      <c r="S75" s="54">
        <v>1</v>
      </c>
      <c r="T75" s="54"/>
      <c r="U75" s="54">
        <v>1</v>
      </c>
      <c r="V75" s="54"/>
      <c r="W75" s="54">
        <v>1</v>
      </c>
      <c r="X75" s="54"/>
      <c r="Y75" s="54">
        <v>1</v>
      </c>
      <c r="Z75" s="54"/>
      <c r="AA75" s="115">
        <v>1</v>
      </c>
      <c r="AB75" s="115"/>
      <c r="AC75" s="115">
        <v>3</v>
      </c>
      <c r="AD75" s="115"/>
    </row>
    <row r="76" spans="1:30" x14ac:dyDescent="0.2">
      <c r="A76" s="14" t="s">
        <v>14</v>
      </c>
      <c r="B76" s="14" t="s">
        <v>98</v>
      </c>
      <c r="C76" s="14" t="s">
        <v>32</v>
      </c>
      <c r="D76" s="14" t="str">
        <f t="shared" si="1"/>
        <v>B1-P3-C2</v>
      </c>
      <c r="E76" s="14" t="s">
        <v>19</v>
      </c>
      <c r="F76" s="14" t="s">
        <v>20</v>
      </c>
      <c r="G76" s="51" t="s">
        <v>793</v>
      </c>
      <c r="H76" s="51">
        <v>75</v>
      </c>
      <c r="I76" s="53">
        <v>1</v>
      </c>
      <c r="J76" s="54"/>
      <c r="K76" s="53">
        <v>1</v>
      </c>
      <c r="L76" s="54"/>
      <c r="M76" s="54">
        <v>1</v>
      </c>
      <c r="N76" s="54"/>
      <c r="O76" s="54">
        <v>1</v>
      </c>
      <c r="P76" s="54"/>
      <c r="Q76" s="54">
        <v>1</v>
      </c>
      <c r="R76" s="54"/>
      <c r="S76" s="54">
        <v>1</v>
      </c>
      <c r="T76" s="54"/>
      <c r="U76" s="54">
        <v>1</v>
      </c>
      <c r="V76" s="54"/>
      <c r="W76" s="54">
        <v>1</v>
      </c>
      <c r="X76" s="54"/>
      <c r="Y76" s="54">
        <v>1</v>
      </c>
      <c r="Z76" s="54"/>
      <c r="AA76" s="115">
        <v>1</v>
      </c>
      <c r="AB76" s="115"/>
      <c r="AC76" s="115">
        <v>3</v>
      </c>
      <c r="AD76" s="115"/>
    </row>
    <row r="77" spans="1:30" x14ac:dyDescent="0.2">
      <c r="A77" s="14" t="s">
        <v>14</v>
      </c>
      <c r="B77" s="14" t="s">
        <v>98</v>
      </c>
      <c r="C77" s="14" t="s">
        <v>32</v>
      </c>
      <c r="D77" s="14" t="str">
        <f t="shared" si="1"/>
        <v>B1-P3-C2</v>
      </c>
      <c r="E77" s="14" t="s">
        <v>19</v>
      </c>
      <c r="F77" s="14" t="s">
        <v>20</v>
      </c>
      <c r="G77" s="51" t="s">
        <v>794</v>
      </c>
      <c r="H77" s="51">
        <v>76</v>
      </c>
      <c r="I77" s="53">
        <v>1</v>
      </c>
      <c r="J77" s="54"/>
      <c r="K77" s="53">
        <v>1</v>
      </c>
      <c r="L77" s="54"/>
      <c r="M77" s="54">
        <v>1</v>
      </c>
      <c r="N77" s="54"/>
      <c r="O77" s="54">
        <v>1</v>
      </c>
      <c r="P77" s="54"/>
      <c r="Q77" s="54">
        <v>1</v>
      </c>
      <c r="R77" s="54"/>
      <c r="S77" s="54">
        <v>1</v>
      </c>
      <c r="T77" s="54"/>
      <c r="U77" s="54">
        <v>1</v>
      </c>
      <c r="V77" s="54"/>
      <c r="W77" s="54">
        <v>1</v>
      </c>
      <c r="X77" s="54"/>
      <c r="Y77" s="54">
        <v>1</v>
      </c>
      <c r="Z77" s="54"/>
      <c r="AA77" s="115">
        <v>2</v>
      </c>
      <c r="AB77" s="115"/>
      <c r="AC77" s="115">
        <v>4</v>
      </c>
      <c r="AD77" s="115"/>
    </row>
    <row r="78" spans="1:30" x14ac:dyDescent="0.2">
      <c r="A78" s="14" t="s">
        <v>14</v>
      </c>
      <c r="B78" s="14" t="s">
        <v>98</v>
      </c>
      <c r="C78" s="14" t="s">
        <v>32</v>
      </c>
      <c r="D78" s="14" t="str">
        <f t="shared" si="1"/>
        <v>B1-P3-C2</v>
      </c>
      <c r="E78" s="14" t="s">
        <v>19</v>
      </c>
      <c r="F78" s="14" t="s">
        <v>20</v>
      </c>
      <c r="G78" s="51" t="s">
        <v>795</v>
      </c>
      <c r="H78" s="51">
        <v>77</v>
      </c>
      <c r="I78" s="53">
        <v>1</v>
      </c>
      <c r="J78" s="54"/>
      <c r="K78" s="53">
        <v>1</v>
      </c>
      <c r="L78" s="54"/>
      <c r="M78" s="54">
        <v>1</v>
      </c>
      <c r="N78" s="54"/>
      <c r="O78" s="54">
        <v>1</v>
      </c>
      <c r="P78" s="54"/>
      <c r="Q78" s="54">
        <v>1</v>
      </c>
      <c r="R78" s="54"/>
      <c r="S78" s="54">
        <v>1</v>
      </c>
      <c r="T78" s="54"/>
      <c r="U78" s="54">
        <v>1</v>
      </c>
      <c r="V78" s="54"/>
      <c r="W78" s="54">
        <v>1</v>
      </c>
      <c r="X78" s="54"/>
      <c r="Y78" s="54">
        <v>1</v>
      </c>
      <c r="Z78" s="54"/>
      <c r="AA78" s="115">
        <v>2</v>
      </c>
      <c r="AB78" s="115"/>
      <c r="AC78" s="115">
        <v>4</v>
      </c>
      <c r="AD78" s="115"/>
    </row>
    <row r="79" spans="1:30" x14ac:dyDescent="0.2">
      <c r="A79" s="14" t="s">
        <v>14</v>
      </c>
      <c r="B79" s="14" t="s">
        <v>98</v>
      </c>
      <c r="C79" s="14" t="s">
        <v>32</v>
      </c>
      <c r="D79" s="14" t="str">
        <f t="shared" si="1"/>
        <v>B1-P3-C2</v>
      </c>
      <c r="E79" s="14" t="s">
        <v>19</v>
      </c>
      <c r="F79" s="14" t="s">
        <v>20</v>
      </c>
      <c r="G79" s="51" t="s">
        <v>796</v>
      </c>
      <c r="H79" s="51">
        <v>78</v>
      </c>
      <c r="I79" s="53">
        <v>1</v>
      </c>
      <c r="J79" s="54"/>
      <c r="K79" s="53">
        <v>1</v>
      </c>
      <c r="L79" s="54"/>
      <c r="M79" s="54">
        <v>1</v>
      </c>
      <c r="N79" s="54"/>
      <c r="O79" s="54">
        <v>1</v>
      </c>
      <c r="P79" s="54"/>
      <c r="Q79" s="54">
        <v>1</v>
      </c>
      <c r="R79" s="54"/>
      <c r="S79" s="54">
        <v>1</v>
      </c>
      <c r="T79" s="54"/>
      <c r="U79" s="54">
        <v>1</v>
      </c>
      <c r="V79" s="54"/>
      <c r="W79" s="54">
        <v>1</v>
      </c>
      <c r="X79" s="54"/>
      <c r="Y79" s="54">
        <v>1</v>
      </c>
      <c r="Z79" s="54"/>
      <c r="AA79" s="115">
        <v>1</v>
      </c>
      <c r="AB79" s="115"/>
      <c r="AC79" s="115">
        <v>4</v>
      </c>
      <c r="AD79" s="115"/>
    </row>
    <row r="80" spans="1:30" x14ac:dyDescent="0.2">
      <c r="A80" s="14" t="s">
        <v>14</v>
      </c>
      <c r="B80" s="14" t="s">
        <v>98</v>
      </c>
      <c r="C80" s="14" t="s">
        <v>32</v>
      </c>
      <c r="D80" s="14" t="str">
        <f t="shared" si="1"/>
        <v>B1-P3-C2</v>
      </c>
      <c r="E80" s="14" t="s">
        <v>19</v>
      </c>
      <c r="F80" s="14" t="s">
        <v>20</v>
      </c>
      <c r="G80" s="51" t="s">
        <v>797</v>
      </c>
      <c r="H80" s="51">
        <v>79</v>
      </c>
      <c r="I80" s="53">
        <v>1</v>
      </c>
      <c r="J80" s="54"/>
      <c r="K80" s="53">
        <v>1</v>
      </c>
      <c r="L80" s="54"/>
      <c r="M80" s="54">
        <v>1</v>
      </c>
      <c r="N80" s="54"/>
      <c r="O80" s="54">
        <v>1</v>
      </c>
      <c r="P80" s="54"/>
      <c r="Q80" s="54">
        <v>1</v>
      </c>
      <c r="R80" s="54"/>
      <c r="S80" s="54">
        <v>1</v>
      </c>
      <c r="T80" s="54"/>
      <c r="U80" s="54">
        <v>1</v>
      </c>
      <c r="V80" s="54"/>
      <c r="W80" s="54">
        <v>1</v>
      </c>
      <c r="X80" s="54"/>
      <c r="Y80" s="54">
        <v>1</v>
      </c>
      <c r="Z80" s="54"/>
      <c r="AA80" s="115">
        <v>1</v>
      </c>
      <c r="AB80" s="115"/>
      <c r="AC80" s="115">
        <v>4</v>
      </c>
      <c r="AD80" s="115"/>
    </row>
    <row r="81" spans="1:30" x14ac:dyDescent="0.2">
      <c r="A81" s="14" t="s">
        <v>14</v>
      </c>
      <c r="B81" s="14" t="s">
        <v>98</v>
      </c>
      <c r="C81" s="14" t="s">
        <v>32</v>
      </c>
      <c r="D81" s="14" t="str">
        <f t="shared" si="1"/>
        <v>B1-P3-C2</v>
      </c>
      <c r="E81" s="14" t="s">
        <v>19</v>
      </c>
      <c r="F81" s="14" t="s">
        <v>20</v>
      </c>
      <c r="G81" s="51" t="s">
        <v>798</v>
      </c>
      <c r="H81" s="51">
        <v>80</v>
      </c>
      <c r="I81" s="53">
        <v>1</v>
      </c>
      <c r="J81" s="54"/>
      <c r="K81" s="53">
        <v>1</v>
      </c>
      <c r="L81" s="54"/>
      <c r="M81" s="54">
        <v>1</v>
      </c>
      <c r="N81" s="54"/>
      <c r="O81" s="54">
        <v>1</v>
      </c>
      <c r="P81" s="54"/>
      <c r="Q81" s="54">
        <v>1</v>
      </c>
      <c r="R81" s="54"/>
      <c r="S81" s="54">
        <v>1</v>
      </c>
      <c r="T81" s="54"/>
      <c r="U81" s="54">
        <v>1</v>
      </c>
      <c r="V81" s="54"/>
      <c r="W81" s="54">
        <v>1</v>
      </c>
      <c r="X81" s="54"/>
      <c r="Y81" s="54">
        <v>1</v>
      </c>
      <c r="Z81" s="54"/>
      <c r="AA81" s="115">
        <v>1</v>
      </c>
      <c r="AB81" s="115"/>
      <c r="AC81" s="115">
        <v>4</v>
      </c>
      <c r="AD81" s="115"/>
    </row>
    <row r="82" spans="1:30" x14ac:dyDescent="0.2">
      <c r="A82" s="20" t="s">
        <v>14</v>
      </c>
      <c r="B82" s="20" t="s">
        <v>98</v>
      </c>
      <c r="C82" s="20" t="s">
        <v>42</v>
      </c>
      <c r="D82" s="20" t="str">
        <f t="shared" si="1"/>
        <v>B1-P3-C3</v>
      </c>
      <c r="E82" s="20" t="s">
        <v>19</v>
      </c>
      <c r="F82" s="20" t="s">
        <v>20</v>
      </c>
      <c r="G82" s="50" t="s">
        <v>800</v>
      </c>
      <c r="H82" s="50">
        <v>81</v>
      </c>
      <c r="I82" s="52">
        <v>1</v>
      </c>
      <c r="J82" s="52"/>
      <c r="K82" s="52">
        <v>3</v>
      </c>
      <c r="L82" s="52"/>
      <c r="M82" s="52">
        <v>3</v>
      </c>
      <c r="N82" s="52"/>
      <c r="O82" s="52">
        <v>3</v>
      </c>
      <c r="P82" s="52"/>
      <c r="Q82" s="52">
        <v>3</v>
      </c>
      <c r="R82" s="52"/>
      <c r="S82" s="52">
        <v>3</v>
      </c>
      <c r="T82" s="52"/>
      <c r="U82" s="52">
        <v>4</v>
      </c>
      <c r="V82" s="52"/>
      <c r="W82" s="52">
        <v>4</v>
      </c>
      <c r="X82" s="52"/>
      <c r="Y82" s="52">
        <v>4</v>
      </c>
      <c r="Z82" s="52"/>
      <c r="AA82" s="114">
        <v>4</v>
      </c>
      <c r="AB82" s="114"/>
      <c r="AC82" s="114">
        <v>4</v>
      </c>
      <c r="AD82" s="114"/>
    </row>
    <row r="83" spans="1:30" x14ac:dyDescent="0.2">
      <c r="A83" s="20" t="s">
        <v>14</v>
      </c>
      <c r="B83" s="20" t="s">
        <v>98</v>
      </c>
      <c r="C83" s="20" t="s">
        <v>42</v>
      </c>
      <c r="D83" s="20" t="str">
        <f t="shared" si="1"/>
        <v>B1-P3-C3</v>
      </c>
      <c r="E83" s="20" t="s">
        <v>35</v>
      </c>
      <c r="F83" s="20" t="s">
        <v>20</v>
      </c>
      <c r="G83" s="50" t="s">
        <v>801</v>
      </c>
      <c r="H83" s="50">
        <v>82</v>
      </c>
      <c r="I83" s="52">
        <v>1</v>
      </c>
      <c r="J83" s="52"/>
      <c r="K83" s="52">
        <v>1</v>
      </c>
      <c r="L83" s="52"/>
      <c r="M83" s="52">
        <v>1</v>
      </c>
      <c r="N83" s="52"/>
      <c r="O83" s="52">
        <v>1</v>
      </c>
      <c r="P83" s="52"/>
      <c r="Q83" s="52">
        <v>1</v>
      </c>
      <c r="R83" s="52"/>
      <c r="S83" s="52">
        <v>1</v>
      </c>
      <c r="T83" s="52"/>
      <c r="U83" s="52">
        <v>1</v>
      </c>
      <c r="V83" s="52"/>
      <c r="W83" s="52">
        <v>1</v>
      </c>
      <c r="X83" s="52"/>
      <c r="Y83" s="52">
        <v>1</v>
      </c>
      <c r="Z83" s="52"/>
      <c r="AA83" s="114">
        <v>1</v>
      </c>
      <c r="AB83" s="114"/>
      <c r="AC83" s="114">
        <v>1</v>
      </c>
      <c r="AD83" s="114"/>
    </row>
    <row r="84" spans="1:30" x14ac:dyDescent="0.2">
      <c r="A84" s="20" t="s">
        <v>14</v>
      </c>
      <c r="B84" s="20" t="s">
        <v>98</v>
      </c>
      <c r="C84" s="20" t="s">
        <v>42</v>
      </c>
      <c r="D84" s="20" t="str">
        <f t="shared" si="1"/>
        <v>B1-P3-C3</v>
      </c>
      <c r="E84" s="20" t="s">
        <v>35</v>
      </c>
      <c r="F84" s="20" t="s">
        <v>20</v>
      </c>
      <c r="G84" s="50" t="s">
        <v>802</v>
      </c>
      <c r="H84" s="50">
        <v>83</v>
      </c>
      <c r="I84" s="52">
        <v>1</v>
      </c>
      <c r="J84" s="52"/>
      <c r="K84" s="52">
        <v>1</v>
      </c>
      <c r="L84" s="52"/>
      <c r="M84" s="52">
        <v>1</v>
      </c>
      <c r="N84" s="52"/>
      <c r="O84" s="52">
        <v>1</v>
      </c>
      <c r="P84" s="52"/>
      <c r="Q84" s="52">
        <v>1</v>
      </c>
      <c r="R84" s="52"/>
      <c r="S84" s="52">
        <v>1</v>
      </c>
      <c r="T84" s="52"/>
      <c r="U84" s="52">
        <v>1</v>
      </c>
      <c r="V84" s="52"/>
      <c r="W84" s="52">
        <v>1</v>
      </c>
      <c r="X84" s="52"/>
      <c r="Y84" s="52">
        <v>1</v>
      </c>
      <c r="Z84" s="52"/>
      <c r="AA84" s="114">
        <v>1</v>
      </c>
      <c r="AB84" s="114"/>
      <c r="AC84" s="114">
        <v>1</v>
      </c>
      <c r="AD84" s="114"/>
    </row>
    <row r="85" spans="1:30" x14ac:dyDescent="0.2">
      <c r="A85" s="20" t="s">
        <v>14</v>
      </c>
      <c r="B85" s="20" t="s">
        <v>98</v>
      </c>
      <c r="C85" s="20" t="s">
        <v>42</v>
      </c>
      <c r="D85" s="20" t="str">
        <f t="shared" si="1"/>
        <v>B1-P3-C3</v>
      </c>
      <c r="E85" s="20" t="s">
        <v>19</v>
      </c>
      <c r="F85" s="20" t="s">
        <v>20</v>
      </c>
      <c r="G85" s="50" t="s">
        <v>803</v>
      </c>
      <c r="H85" s="50">
        <v>84</v>
      </c>
      <c r="I85" s="52">
        <v>1</v>
      </c>
      <c r="J85" s="52"/>
      <c r="K85" s="52">
        <v>3</v>
      </c>
      <c r="L85" s="52"/>
      <c r="M85" s="52">
        <v>3</v>
      </c>
      <c r="N85" s="52"/>
      <c r="O85" s="52">
        <v>3</v>
      </c>
      <c r="P85" s="52"/>
      <c r="Q85" s="52">
        <v>3</v>
      </c>
      <c r="R85" s="52"/>
      <c r="S85" s="52">
        <v>3</v>
      </c>
      <c r="T85" s="52"/>
      <c r="U85" s="52">
        <v>4</v>
      </c>
      <c r="V85" s="52"/>
      <c r="W85" s="52">
        <v>4</v>
      </c>
      <c r="X85" s="52"/>
      <c r="Y85" s="52">
        <v>4</v>
      </c>
      <c r="Z85" s="52"/>
      <c r="AA85" s="114">
        <v>4</v>
      </c>
      <c r="AB85" s="114"/>
      <c r="AC85" s="114">
        <v>4</v>
      </c>
      <c r="AD85" s="114"/>
    </row>
    <row r="86" spans="1:30" x14ac:dyDescent="0.2">
      <c r="A86" s="20" t="s">
        <v>14</v>
      </c>
      <c r="B86" s="20" t="s">
        <v>98</v>
      </c>
      <c r="C86" s="20" t="s">
        <v>42</v>
      </c>
      <c r="D86" s="20" t="str">
        <f t="shared" si="1"/>
        <v>B1-P3-C3</v>
      </c>
      <c r="E86" s="20" t="s">
        <v>19</v>
      </c>
      <c r="F86" s="20" t="s">
        <v>20</v>
      </c>
      <c r="G86" s="50" t="s">
        <v>804</v>
      </c>
      <c r="H86" s="50">
        <v>85</v>
      </c>
      <c r="I86" s="52">
        <v>1</v>
      </c>
      <c r="J86" s="52"/>
      <c r="K86" s="52">
        <v>3</v>
      </c>
      <c r="L86" s="52"/>
      <c r="M86" s="52">
        <v>3</v>
      </c>
      <c r="N86" s="52"/>
      <c r="O86" s="52">
        <v>3</v>
      </c>
      <c r="P86" s="52"/>
      <c r="Q86" s="52">
        <v>3</v>
      </c>
      <c r="R86" s="52"/>
      <c r="S86" s="52">
        <v>3</v>
      </c>
      <c r="T86" s="52"/>
      <c r="U86" s="52">
        <v>4</v>
      </c>
      <c r="V86" s="52"/>
      <c r="W86" s="52">
        <v>4</v>
      </c>
      <c r="X86" s="52"/>
      <c r="Y86" s="52">
        <v>4</v>
      </c>
      <c r="Z86" s="52"/>
      <c r="AA86" s="114">
        <v>4</v>
      </c>
      <c r="AB86" s="114"/>
      <c r="AC86" s="114">
        <v>4</v>
      </c>
      <c r="AD86" s="114"/>
    </row>
    <row r="87" spans="1:30" x14ac:dyDescent="0.2">
      <c r="A87" s="20" t="s">
        <v>14</v>
      </c>
      <c r="B87" s="20" t="s">
        <v>98</v>
      </c>
      <c r="C87" s="20" t="s">
        <v>42</v>
      </c>
      <c r="D87" s="20" t="str">
        <f t="shared" si="1"/>
        <v>B1-P3-C3</v>
      </c>
      <c r="E87" s="20" t="s">
        <v>35</v>
      </c>
      <c r="F87" s="20" t="s">
        <v>20</v>
      </c>
      <c r="G87" s="50" t="s">
        <v>805</v>
      </c>
      <c r="H87" s="50">
        <v>86</v>
      </c>
      <c r="I87" s="52">
        <v>1</v>
      </c>
      <c r="J87" s="52"/>
      <c r="K87" s="52">
        <v>1</v>
      </c>
      <c r="L87" s="52"/>
      <c r="M87" s="52">
        <v>1</v>
      </c>
      <c r="N87" s="52"/>
      <c r="O87" s="52">
        <v>1</v>
      </c>
      <c r="P87" s="52"/>
      <c r="Q87" s="52">
        <v>1</v>
      </c>
      <c r="R87" s="52"/>
      <c r="S87" s="52">
        <v>1</v>
      </c>
      <c r="T87" s="52"/>
      <c r="U87" s="52">
        <v>1</v>
      </c>
      <c r="V87" s="52"/>
      <c r="W87" s="52">
        <v>1</v>
      </c>
      <c r="X87" s="52"/>
      <c r="Y87" s="52">
        <v>1</v>
      </c>
      <c r="Z87" s="52"/>
      <c r="AA87" s="114">
        <v>1</v>
      </c>
      <c r="AB87" s="114"/>
      <c r="AC87" s="114">
        <v>1</v>
      </c>
      <c r="AD87" s="114"/>
    </row>
    <row r="88" spans="1:30" x14ac:dyDescent="0.2">
      <c r="A88" s="20" t="s">
        <v>14</v>
      </c>
      <c r="B88" s="20" t="s">
        <v>98</v>
      </c>
      <c r="C88" s="20" t="s">
        <v>42</v>
      </c>
      <c r="D88" s="20" t="str">
        <f t="shared" si="1"/>
        <v>B1-P3-C3</v>
      </c>
      <c r="E88" s="20" t="s">
        <v>35</v>
      </c>
      <c r="F88" s="20" t="s">
        <v>20</v>
      </c>
      <c r="G88" s="50" t="s">
        <v>806</v>
      </c>
      <c r="H88" s="50">
        <v>87</v>
      </c>
      <c r="I88" s="52">
        <v>1</v>
      </c>
      <c r="J88" s="52"/>
      <c r="K88" s="52">
        <v>1</v>
      </c>
      <c r="L88" s="52"/>
      <c r="M88" s="52">
        <v>1</v>
      </c>
      <c r="N88" s="52"/>
      <c r="O88" s="52">
        <v>1</v>
      </c>
      <c r="P88" s="52"/>
      <c r="Q88" s="52">
        <v>1</v>
      </c>
      <c r="R88" s="52"/>
      <c r="S88" s="52">
        <v>1</v>
      </c>
      <c r="T88" s="52"/>
      <c r="U88" s="52">
        <v>1</v>
      </c>
      <c r="V88" s="52"/>
      <c r="W88" s="52">
        <v>1</v>
      </c>
      <c r="X88" s="52"/>
      <c r="Y88" s="52">
        <v>1</v>
      </c>
      <c r="Z88" s="52"/>
      <c r="AA88" s="114">
        <v>1</v>
      </c>
      <c r="AB88" s="114"/>
      <c r="AC88" s="114">
        <v>1</v>
      </c>
      <c r="AD88" s="114"/>
    </row>
    <row r="89" spans="1:30" x14ac:dyDescent="0.2">
      <c r="A89" s="20" t="s">
        <v>14</v>
      </c>
      <c r="B89" s="20" t="s">
        <v>98</v>
      </c>
      <c r="C89" s="20" t="s">
        <v>42</v>
      </c>
      <c r="D89" s="20" t="str">
        <f t="shared" si="1"/>
        <v>B1-P3-C3</v>
      </c>
      <c r="E89" s="20" t="s">
        <v>19</v>
      </c>
      <c r="F89" s="20" t="s">
        <v>20</v>
      </c>
      <c r="G89" s="50" t="s">
        <v>807</v>
      </c>
      <c r="H89" s="50">
        <v>88</v>
      </c>
      <c r="I89" s="52">
        <v>1</v>
      </c>
      <c r="J89" s="52"/>
      <c r="K89" s="52">
        <v>3</v>
      </c>
      <c r="L89" s="52"/>
      <c r="M89" s="52">
        <v>3</v>
      </c>
      <c r="N89" s="52"/>
      <c r="O89" s="52">
        <v>3</v>
      </c>
      <c r="P89" s="52"/>
      <c r="Q89" s="52">
        <v>2</v>
      </c>
      <c r="R89" s="52"/>
      <c r="S89" s="52">
        <v>3</v>
      </c>
      <c r="T89" s="52"/>
      <c r="U89" s="52">
        <v>4</v>
      </c>
      <c r="V89" s="52"/>
      <c r="W89" s="52">
        <v>4</v>
      </c>
      <c r="X89" s="52"/>
      <c r="Y89" s="52">
        <v>4</v>
      </c>
      <c r="Z89" s="52"/>
      <c r="AA89" s="114">
        <v>4</v>
      </c>
      <c r="AB89" s="114"/>
      <c r="AC89" s="114">
        <v>4</v>
      </c>
      <c r="AD89" s="114"/>
    </row>
    <row r="90" spans="1:30" x14ac:dyDescent="0.2">
      <c r="A90" s="14" t="s">
        <v>14</v>
      </c>
      <c r="B90" s="14" t="s">
        <v>98</v>
      </c>
      <c r="C90" s="14" t="s">
        <v>53</v>
      </c>
      <c r="D90" s="14" t="str">
        <f t="shared" si="1"/>
        <v>B1-P3-C4</v>
      </c>
      <c r="E90" s="14" t="s">
        <v>19</v>
      </c>
      <c r="F90" s="14" t="s">
        <v>20</v>
      </c>
      <c r="G90" s="51" t="s">
        <v>809</v>
      </c>
      <c r="H90" s="51">
        <v>89</v>
      </c>
      <c r="I90" s="53">
        <v>1</v>
      </c>
      <c r="J90" s="54"/>
      <c r="K90" s="53">
        <v>3</v>
      </c>
      <c r="L90" s="54"/>
      <c r="M90" s="54">
        <v>3</v>
      </c>
      <c r="N90" s="54"/>
      <c r="O90" s="54">
        <v>3</v>
      </c>
      <c r="P90" s="54"/>
      <c r="Q90" s="54">
        <v>3</v>
      </c>
      <c r="R90" s="54"/>
      <c r="S90" s="54">
        <v>3</v>
      </c>
      <c r="T90" s="54"/>
      <c r="U90" s="54">
        <v>3.5</v>
      </c>
      <c r="V90" s="54"/>
      <c r="W90" s="54">
        <v>4</v>
      </c>
      <c r="X90" s="54"/>
      <c r="Y90" s="54">
        <v>4</v>
      </c>
      <c r="Z90" s="54"/>
      <c r="AA90" s="115">
        <v>4</v>
      </c>
      <c r="AB90" s="115"/>
      <c r="AC90" s="115">
        <v>4</v>
      </c>
      <c r="AD90" s="115"/>
    </row>
    <row r="91" spans="1:30" x14ac:dyDescent="0.2">
      <c r="A91" s="14" t="s">
        <v>14</v>
      </c>
      <c r="B91" s="14" t="s">
        <v>98</v>
      </c>
      <c r="C91" s="14" t="s">
        <v>53</v>
      </c>
      <c r="D91" s="14" t="str">
        <f t="shared" si="1"/>
        <v>B1-P3-C4</v>
      </c>
      <c r="E91" s="14" t="s">
        <v>19</v>
      </c>
      <c r="F91" s="14" t="s">
        <v>20</v>
      </c>
      <c r="G91" s="51" t="s">
        <v>810</v>
      </c>
      <c r="H91" s="51">
        <v>90</v>
      </c>
      <c r="I91" s="53">
        <v>1</v>
      </c>
      <c r="J91" s="54"/>
      <c r="K91" s="53">
        <v>3</v>
      </c>
      <c r="L91" s="54"/>
      <c r="M91" s="54">
        <v>3</v>
      </c>
      <c r="N91" s="54"/>
      <c r="O91" s="54">
        <v>3</v>
      </c>
      <c r="P91" s="54"/>
      <c r="Q91" s="54">
        <v>3</v>
      </c>
      <c r="R91" s="54"/>
      <c r="S91" s="54">
        <v>3</v>
      </c>
      <c r="T91" s="54"/>
      <c r="U91" s="54">
        <v>3.5</v>
      </c>
      <c r="V91" s="54"/>
      <c r="W91" s="54">
        <v>4</v>
      </c>
      <c r="X91" s="54"/>
      <c r="Y91" s="54">
        <v>4</v>
      </c>
      <c r="Z91" s="54"/>
      <c r="AA91" s="115">
        <v>4</v>
      </c>
      <c r="AB91" s="115"/>
      <c r="AC91" s="115">
        <v>4</v>
      </c>
      <c r="AD91" s="115"/>
    </row>
    <row r="92" spans="1:30" x14ac:dyDescent="0.2">
      <c r="A92" s="14" t="s">
        <v>14</v>
      </c>
      <c r="B92" s="14" t="s">
        <v>98</v>
      </c>
      <c r="C92" s="14" t="s">
        <v>53</v>
      </c>
      <c r="D92" s="14" t="str">
        <f t="shared" si="1"/>
        <v>B1-P3-C4</v>
      </c>
      <c r="E92" s="14" t="s">
        <v>19</v>
      </c>
      <c r="F92" s="14" t="s">
        <v>20</v>
      </c>
      <c r="G92" s="51" t="s">
        <v>811</v>
      </c>
      <c r="H92" s="51">
        <v>91</v>
      </c>
      <c r="I92" s="53">
        <v>1</v>
      </c>
      <c r="J92" s="54"/>
      <c r="K92" s="53">
        <v>3</v>
      </c>
      <c r="L92" s="54"/>
      <c r="M92" s="54">
        <v>3</v>
      </c>
      <c r="N92" s="54"/>
      <c r="O92" s="54">
        <v>3</v>
      </c>
      <c r="P92" s="54"/>
      <c r="Q92" s="54">
        <v>3</v>
      </c>
      <c r="R92" s="54"/>
      <c r="S92" s="54">
        <v>3</v>
      </c>
      <c r="T92" s="54"/>
      <c r="U92" s="54">
        <v>4</v>
      </c>
      <c r="V92" s="54"/>
      <c r="W92" s="54">
        <v>4</v>
      </c>
      <c r="X92" s="54"/>
      <c r="Y92" s="54">
        <v>4</v>
      </c>
      <c r="Z92" s="54"/>
      <c r="AA92" s="115">
        <v>4</v>
      </c>
      <c r="AB92" s="115"/>
      <c r="AC92" s="115">
        <v>4</v>
      </c>
      <c r="AD92" s="115"/>
    </row>
    <row r="93" spans="1:30" x14ac:dyDescent="0.2">
      <c r="A93" s="14" t="s">
        <v>14</v>
      </c>
      <c r="B93" s="14" t="s">
        <v>98</v>
      </c>
      <c r="C93" s="14" t="s">
        <v>53</v>
      </c>
      <c r="D93" s="14" t="str">
        <f t="shared" si="1"/>
        <v>B1-P3-C4</v>
      </c>
      <c r="E93" s="14" t="s">
        <v>19</v>
      </c>
      <c r="F93" s="14" t="s">
        <v>20</v>
      </c>
      <c r="G93" s="51" t="s">
        <v>812</v>
      </c>
      <c r="H93" s="51">
        <v>92</v>
      </c>
      <c r="I93" s="53">
        <v>1</v>
      </c>
      <c r="J93" s="54"/>
      <c r="K93" s="53">
        <v>3</v>
      </c>
      <c r="L93" s="54"/>
      <c r="M93" s="54">
        <v>3</v>
      </c>
      <c r="N93" s="54"/>
      <c r="O93" s="54">
        <v>3</v>
      </c>
      <c r="P93" s="54"/>
      <c r="Q93" s="54">
        <v>3</v>
      </c>
      <c r="R93" s="54"/>
      <c r="S93" s="54">
        <v>3</v>
      </c>
      <c r="T93" s="54"/>
      <c r="U93" s="54">
        <v>4</v>
      </c>
      <c r="V93" s="54"/>
      <c r="W93" s="54">
        <v>4</v>
      </c>
      <c r="X93" s="54"/>
      <c r="Y93" s="54">
        <v>4</v>
      </c>
      <c r="Z93" s="54"/>
      <c r="AA93" s="115">
        <v>4</v>
      </c>
      <c r="AB93" s="115"/>
      <c r="AC93" s="115">
        <v>4</v>
      </c>
      <c r="AD93" s="115"/>
    </row>
    <row r="94" spans="1:30" x14ac:dyDescent="0.2">
      <c r="A94" s="14" t="s">
        <v>14</v>
      </c>
      <c r="B94" s="14" t="s">
        <v>98</v>
      </c>
      <c r="C94" s="14" t="s">
        <v>53</v>
      </c>
      <c r="D94" s="14" t="str">
        <f t="shared" si="1"/>
        <v>B1-P3-C4</v>
      </c>
      <c r="E94" s="14" t="s">
        <v>19</v>
      </c>
      <c r="F94" s="14" t="s">
        <v>20</v>
      </c>
      <c r="G94" s="51" t="s">
        <v>813</v>
      </c>
      <c r="H94" s="51">
        <v>93</v>
      </c>
      <c r="I94" s="53">
        <v>1</v>
      </c>
      <c r="J94" s="54"/>
      <c r="K94" s="53">
        <v>3</v>
      </c>
      <c r="L94" s="54"/>
      <c r="M94" s="54">
        <v>3</v>
      </c>
      <c r="N94" s="54"/>
      <c r="O94" s="54">
        <v>3</v>
      </c>
      <c r="P94" s="54"/>
      <c r="Q94" s="54">
        <v>3</v>
      </c>
      <c r="R94" s="54"/>
      <c r="S94" s="54">
        <v>3</v>
      </c>
      <c r="T94" s="54"/>
      <c r="U94" s="54">
        <v>4</v>
      </c>
      <c r="V94" s="54"/>
      <c r="W94" s="54">
        <v>4</v>
      </c>
      <c r="X94" s="54"/>
      <c r="Y94" s="54">
        <v>4</v>
      </c>
      <c r="Z94" s="54"/>
      <c r="AA94" s="115">
        <v>4</v>
      </c>
      <c r="AB94" s="115"/>
      <c r="AC94" s="115">
        <v>4</v>
      </c>
      <c r="AD94" s="115"/>
    </row>
    <row r="95" spans="1:30" x14ac:dyDescent="0.2">
      <c r="A95" s="14" t="s">
        <v>14</v>
      </c>
      <c r="B95" s="14" t="s">
        <v>98</v>
      </c>
      <c r="C95" s="14" t="s">
        <v>53</v>
      </c>
      <c r="D95" s="14" t="str">
        <f t="shared" si="1"/>
        <v>B1-P3-C4</v>
      </c>
      <c r="E95" s="14" t="s">
        <v>19</v>
      </c>
      <c r="F95" s="14" t="s">
        <v>20</v>
      </c>
      <c r="G95" s="51" t="s">
        <v>814</v>
      </c>
      <c r="H95" s="51">
        <v>94</v>
      </c>
      <c r="I95" s="53">
        <v>1</v>
      </c>
      <c r="J95" s="54"/>
      <c r="K95" s="53">
        <v>3</v>
      </c>
      <c r="L95" s="54"/>
      <c r="M95" s="54">
        <v>3</v>
      </c>
      <c r="N95" s="54"/>
      <c r="O95" s="54">
        <v>3</v>
      </c>
      <c r="P95" s="54"/>
      <c r="Q95" s="54">
        <v>3</v>
      </c>
      <c r="R95" s="54"/>
      <c r="S95" s="54">
        <v>3</v>
      </c>
      <c r="T95" s="54"/>
      <c r="U95" s="54">
        <v>4</v>
      </c>
      <c r="V95" s="54"/>
      <c r="W95" s="54">
        <v>4</v>
      </c>
      <c r="X95" s="54"/>
      <c r="Y95" s="54">
        <v>4</v>
      </c>
      <c r="Z95" s="54"/>
      <c r="AA95" s="115">
        <v>4</v>
      </c>
      <c r="AB95" s="115"/>
      <c r="AC95" s="115">
        <v>4</v>
      </c>
      <c r="AD95" s="115"/>
    </row>
    <row r="96" spans="1:30" x14ac:dyDescent="0.2">
      <c r="A96" s="14" t="s">
        <v>14</v>
      </c>
      <c r="B96" s="14" t="s">
        <v>98</v>
      </c>
      <c r="C96" s="14" t="s">
        <v>53</v>
      </c>
      <c r="D96" s="14" t="str">
        <f t="shared" si="1"/>
        <v>B1-P3-C4</v>
      </c>
      <c r="E96" s="14" t="s">
        <v>19</v>
      </c>
      <c r="F96" s="14" t="s">
        <v>20</v>
      </c>
      <c r="G96" s="51" t="s">
        <v>815</v>
      </c>
      <c r="H96" s="51">
        <v>95</v>
      </c>
      <c r="I96" s="53">
        <v>1</v>
      </c>
      <c r="J96" s="54"/>
      <c r="K96" s="53">
        <v>3</v>
      </c>
      <c r="L96" s="54"/>
      <c r="M96" s="54">
        <v>3</v>
      </c>
      <c r="N96" s="54"/>
      <c r="O96" s="54">
        <v>3</v>
      </c>
      <c r="P96" s="54"/>
      <c r="Q96" s="54">
        <v>3</v>
      </c>
      <c r="R96" s="54"/>
      <c r="S96" s="54">
        <v>3</v>
      </c>
      <c r="T96" s="54"/>
      <c r="U96" s="54">
        <v>4</v>
      </c>
      <c r="V96" s="54"/>
      <c r="W96" s="54">
        <v>4</v>
      </c>
      <c r="X96" s="54"/>
      <c r="Y96" s="54">
        <v>4</v>
      </c>
      <c r="Z96" s="54"/>
      <c r="AA96" s="115">
        <v>4</v>
      </c>
      <c r="AB96" s="115"/>
      <c r="AC96" s="115">
        <v>4</v>
      </c>
      <c r="AD96" s="115"/>
    </row>
    <row r="97" spans="1:30" x14ac:dyDescent="0.2">
      <c r="A97" s="14" t="s">
        <v>14</v>
      </c>
      <c r="B97" s="14" t="s">
        <v>98</v>
      </c>
      <c r="C97" s="14" t="s">
        <v>53</v>
      </c>
      <c r="D97" s="14" t="str">
        <f t="shared" si="1"/>
        <v>B1-P3-C4</v>
      </c>
      <c r="E97" s="14" t="s">
        <v>19</v>
      </c>
      <c r="F97" s="14" t="s">
        <v>20</v>
      </c>
      <c r="G97" s="51" t="s">
        <v>816</v>
      </c>
      <c r="H97" s="51">
        <v>96</v>
      </c>
      <c r="I97" s="53">
        <v>1</v>
      </c>
      <c r="J97" s="54"/>
      <c r="K97" s="53">
        <v>3</v>
      </c>
      <c r="L97" s="54"/>
      <c r="M97" s="54">
        <v>3</v>
      </c>
      <c r="N97" s="54"/>
      <c r="O97" s="54">
        <v>3</v>
      </c>
      <c r="P97" s="54"/>
      <c r="Q97" s="54">
        <v>3</v>
      </c>
      <c r="R97" s="54"/>
      <c r="S97" s="54">
        <v>3</v>
      </c>
      <c r="T97" s="54"/>
      <c r="U97" s="54">
        <v>4</v>
      </c>
      <c r="V97" s="54"/>
      <c r="W97" s="54">
        <v>4</v>
      </c>
      <c r="X97" s="54"/>
      <c r="Y97" s="54">
        <v>4</v>
      </c>
      <c r="Z97" s="54"/>
      <c r="AA97" s="115">
        <v>4</v>
      </c>
      <c r="AB97" s="115"/>
      <c r="AC97" s="115">
        <v>4</v>
      </c>
      <c r="AD97" s="115"/>
    </row>
    <row r="98" spans="1:30" x14ac:dyDescent="0.2">
      <c r="A98" s="20" t="s">
        <v>14</v>
      </c>
      <c r="B98" s="20" t="s">
        <v>131</v>
      </c>
      <c r="C98" s="20" t="s">
        <v>16</v>
      </c>
      <c r="D98" s="20" t="str">
        <f t="shared" si="1"/>
        <v>B1-P4-C1</v>
      </c>
      <c r="E98" s="20" t="s">
        <v>19</v>
      </c>
      <c r="F98" s="20" t="s">
        <v>133</v>
      </c>
      <c r="G98" s="50" t="s">
        <v>818</v>
      </c>
      <c r="H98" s="50">
        <v>97</v>
      </c>
      <c r="I98" s="52">
        <v>1</v>
      </c>
      <c r="J98" s="52"/>
      <c r="K98" s="52">
        <v>1</v>
      </c>
      <c r="L98" s="52"/>
      <c r="M98" s="52">
        <v>1</v>
      </c>
      <c r="N98" s="52"/>
      <c r="O98" s="52">
        <v>1</v>
      </c>
      <c r="P98" s="52"/>
      <c r="Q98" s="52">
        <v>1</v>
      </c>
      <c r="R98" s="52"/>
      <c r="S98" s="52">
        <v>1</v>
      </c>
      <c r="T98" s="52"/>
      <c r="U98" s="52">
        <v>1</v>
      </c>
      <c r="V98" s="52"/>
      <c r="W98" s="52">
        <v>1</v>
      </c>
      <c r="X98" s="52"/>
      <c r="Y98" s="52">
        <v>1</v>
      </c>
      <c r="Z98" s="52"/>
      <c r="AA98" s="114">
        <v>1</v>
      </c>
      <c r="AB98" s="114"/>
      <c r="AC98" s="114">
        <v>4</v>
      </c>
      <c r="AD98" s="114"/>
    </row>
    <row r="99" spans="1:30" x14ac:dyDescent="0.2">
      <c r="A99" s="20" t="s">
        <v>14</v>
      </c>
      <c r="B99" s="20" t="s">
        <v>131</v>
      </c>
      <c r="C99" s="20" t="s">
        <v>16</v>
      </c>
      <c r="D99" s="20" t="str">
        <f t="shared" si="1"/>
        <v>B1-P4-C1</v>
      </c>
      <c r="E99" s="20" t="s">
        <v>35</v>
      </c>
      <c r="F99" s="20" t="s">
        <v>133</v>
      </c>
      <c r="G99" s="50" t="s">
        <v>819</v>
      </c>
      <c r="H99" s="50">
        <v>98</v>
      </c>
      <c r="I99" s="52">
        <v>1</v>
      </c>
      <c r="J99" s="52"/>
      <c r="K99" s="52">
        <v>1</v>
      </c>
      <c r="L99" s="52"/>
      <c r="M99" s="52">
        <v>1</v>
      </c>
      <c r="N99" s="52"/>
      <c r="O99" s="52">
        <v>1</v>
      </c>
      <c r="P99" s="52"/>
      <c r="Q99" s="52">
        <v>1</v>
      </c>
      <c r="R99" s="52"/>
      <c r="S99" s="52">
        <v>1</v>
      </c>
      <c r="T99" s="52"/>
      <c r="U99" s="52">
        <v>1</v>
      </c>
      <c r="V99" s="52"/>
      <c r="W99" s="52">
        <v>1</v>
      </c>
      <c r="X99" s="52"/>
      <c r="Y99" s="52">
        <v>1</v>
      </c>
      <c r="Z99" s="52"/>
      <c r="AA99" s="114">
        <v>1</v>
      </c>
      <c r="AB99" s="114"/>
      <c r="AC99" s="114">
        <v>1</v>
      </c>
      <c r="AD99" s="114"/>
    </row>
    <row r="100" spans="1:30" x14ac:dyDescent="0.2">
      <c r="A100" s="20" t="s">
        <v>14</v>
      </c>
      <c r="B100" s="20" t="s">
        <v>131</v>
      </c>
      <c r="C100" s="20" t="s">
        <v>16</v>
      </c>
      <c r="D100" s="20" t="str">
        <f t="shared" si="1"/>
        <v>B1-P4-C1</v>
      </c>
      <c r="E100" s="20" t="s">
        <v>35</v>
      </c>
      <c r="F100" s="20" t="s">
        <v>133</v>
      </c>
      <c r="G100" s="50" t="s">
        <v>820</v>
      </c>
      <c r="H100" s="50">
        <v>99</v>
      </c>
      <c r="I100" s="52">
        <v>1</v>
      </c>
      <c r="J100" s="52"/>
      <c r="K100" s="52">
        <v>1</v>
      </c>
      <c r="L100" s="52"/>
      <c r="M100" s="52">
        <v>1</v>
      </c>
      <c r="N100" s="52"/>
      <c r="O100" s="52">
        <v>1</v>
      </c>
      <c r="P100" s="52"/>
      <c r="Q100" s="52">
        <v>1</v>
      </c>
      <c r="R100" s="52"/>
      <c r="S100" s="52">
        <v>1</v>
      </c>
      <c r="T100" s="52"/>
      <c r="U100" s="52">
        <v>1</v>
      </c>
      <c r="V100" s="52"/>
      <c r="W100" s="52">
        <v>1</v>
      </c>
      <c r="X100" s="52"/>
      <c r="Y100" s="52">
        <v>1</v>
      </c>
      <c r="Z100" s="52"/>
      <c r="AA100" s="114">
        <v>1</v>
      </c>
      <c r="AB100" s="114"/>
      <c r="AC100" s="114">
        <v>1</v>
      </c>
      <c r="AD100" s="114"/>
    </row>
    <row r="101" spans="1:30" x14ac:dyDescent="0.2">
      <c r="A101" s="20" t="s">
        <v>14</v>
      </c>
      <c r="B101" s="20" t="s">
        <v>131</v>
      </c>
      <c r="C101" s="20" t="s">
        <v>16</v>
      </c>
      <c r="D101" s="20" t="str">
        <f t="shared" si="1"/>
        <v>B1-P4-C1</v>
      </c>
      <c r="E101" s="20" t="s">
        <v>19</v>
      </c>
      <c r="F101" s="20" t="s">
        <v>133</v>
      </c>
      <c r="G101" s="50" t="s">
        <v>821</v>
      </c>
      <c r="H101" s="50">
        <v>100</v>
      </c>
      <c r="I101" s="52">
        <v>1</v>
      </c>
      <c r="J101" s="52"/>
      <c r="K101" s="52">
        <v>1</v>
      </c>
      <c r="L101" s="52"/>
      <c r="M101" s="52">
        <v>1</v>
      </c>
      <c r="N101" s="52"/>
      <c r="O101" s="52">
        <v>1</v>
      </c>
      <c r="P101" s="52"/>
      <c r="Q101" s="52">
        <v>1</v>
      </c>
      <c r="R101" s="52"/>
      <c r="S101" s="52">
        <v>1</v>
      </c>
      <c r="T101" s="52"/>
      <c r="U101" s="52">
        <v>1</v>
      </c>
      <c r="V101" s="52"/>
      <c r="W101" s="52">
        <v>1</v>
      </c>
      <c r="X101" s="52"/>
      <c r="Y101" s="52">
        <v>1</v>
      </c>
      <c r="Z101" s="52"/>
      <c r="AA101" s="114">
        <v>1</v>
      </c>
      <c r="AB101" s="114"/>
      <c r="AC101" s="114">
        <v>3</v>
      </c>
      <c r="AD101" s="114"/>
    </row>
    <row r="102" spans="1:30" x14ac:dyDescent="0.2">
      <c r="A102" s="20" t="s">
        <v>14</v>
      </c>
      <c r="B102" s="20" t="s">
        <v>131</v>
      </c>
      <c r="C102" s="20" t="s">
        <v>16</v>
      </c>
      <c r="D102" s="20" t="str">
        <f t="shared" si="1"/>
        <v>B1-P4-C1</v>
      </c>
      <c r="E102" s="20" t="s">
        <v>19</v>
      </c>
      <c r="F102" s="20" t="s">
        <v>133</v>
      </c>
      <c r="G102" s="50" t="s">
        <v>822</v>
      </c>
      <c r="H102" s="50">
        <v>101</v>
      </c>
      <c r="I102" s="52">
        <v>1</v>
      </c>
      <c r="J102" s="52"/>
      <c r="K102" s="52">
        <v>1</v>
      </c>
      <c r="L102" s="52"/>
      <c r="M102" s="52">
        <v>1</v>
      </c>
      <c r="N102" s="52"/>
      <c r="O102" s="52">
        <v>1</v>
      </c>
      <c r="P102" s="52"/>
      <c r="Q102" s="52">
        <v>1</v>
      </c>
      <c r="R102" s="52"/>
      <c r="S102" s="52">
        <v>1</v>
      </c>
      <c r="T102" s="52"/>
      <c r="U102" s="52">
        <v>1</v>
      </c>
      <c r="V102" s="52"/>
      <c r="W102" s="52">
        <v>1</v>
      </c>
      <c r="X102" s="52"/>
      <c r="Y102" s="52">
        <v>1</v>
      </c>
      <c r="Z102" s="52"/>
      <c r="AA102" s="114">
        <v>1</v>
      </c>
      <c r="AB102" s="114"/>
      <c r="AC102" s="114">
        <v>3</v>
      </c>
      <c r="AD102" s="114"/>
    </row>
    <row r="103" spans="1:30" x14ac:dyDescent="0.2">
      <c r="A103" s="20" t="s">
        <v>14</v>
      </c>
      <c r="B103" s="20" t="s">
        <v>131</v>
      </c>
      <c r="C103" s="20" t="s">
        <v>16</v>
      </c>
      <c r="D103" s="20" t="str">
        <f t="shared" si="1"/>
        <v>B1-P4-C1</v>
      </c>
      <c r="E103" s="20" t="s">
        <v>35</v>
      </c>
      <c r="F103" s="20" t="s">
        <v>133</v>
      </c>
      <c r="G103" s="50" t="s">
        <v>823</v>
      </c>
      <c r="H103" s="50">
        <v>102</v>
      </c>
      <c r="I103" s="52">
        <v>1</v>
      </c>
      <c r="J103" s="52"/>
      <c r="K103" s="52">
        <v>1</v>
      </c>
      <c r="L103" s="52"/>
      <c r="M103" s="52">
        <v>1</v>
      </c>
      <c r="N103" s="52"/>
      <c r="O103" s="52">
        <v>1</v>
      </c>
      <c r="P103" s="52"/>
      <c r="Q103" s="52">
        <v>1</v>
      </c>
      <c r="R103" s="52"/>
      <c r="S103" s="52">
        <v>1</v>
      </c>
      <c r="T103" s="52"/>
      <c r="U103" s="52">
        <v>1</v>
      </c>
      <c r="V103" s="52"/>
      <c r="W103" s="52">
        <v>1</v>
      </c>
      <c r="X103" s="52"/>
      <c r="Y103" s="52">
        <v>1</v>
      </c>
      <c r="Z103" s="52"/>
      <c r="AA103" s="114">
        <v>1</v>
      </c>
      <c r="AB103" s="114"/>
      <c r="AC103" s="114">
        <v>1</v>
      </c>
      <c r="AD103" s="114"/>
    </row>
    <row r="104" spans="1:30" x14ac:dyDescent="0.2">
      <c r="A104" s="20" t="s">
        <v>14</v>
      </c>
      <c r="B104" s="20" t="s">
        <v>131</v>
      </c>
      <c r="C104" s="20" t="s">
        <v>16</v>
      </c>
      <c r="D104" s="20" t="str">
        <f t="shared" si="1"/>
        <v>B1-P4-C1</v>
      </c>
      <c r="E104" s="20" t="s">
        <v>35</v>
      </c>
      <c r="F104" s="20" t="s">
        <v>133</v>
      </c>
      <c r="G104" s="50" t="s">
        <v>824</v>
      </c>
      <c r="H104" s="50">
        <v>103</v>
      </c>
      <c r="I104" s="52">
        <v>1</v>
      </c>
      <c r="J104" s="52"/>
      <c r="K104" s="52">
        <v>1</v>
      </c>
      <c r="L104" s="52"/>
      <c r="M104" s="52">
        <v>1</v>
      </c>
      <c r="N104" s="52"/>
      <c r="O104" s="52">
        <v>1</v>
      </c>
      <c r="P104" s="52"/>
      <c r="Q104" s="52">
        <v>1</v>
      </c>
      <c r="R104" s="52"/>
      <c r="S104" s="52">
        <v>1</v>
      </c>
      <c r="T104" s="52"/>
      <c r="U104" s="52">
        <v>1</v>
      </c>
      <c r="V104" s="52"/>
      <c r="W104" s="52">
        <v>1</v>
      </c>
      <c r="X104" s="52"/>
      <c r="Y104" s="52">
        <v>1</v>
      </c>
      <c r="Z104" s="52"/>
      <c r="AA104" s="114">
        <v>1</v>
      </c>
      <c r="AB104" s="114"/>
      <c r="AC104" s="114">
        <v>1</v>
      </c>
      <c r="AD104" s="114"/>
    </row>
    <row r="105" spans="1:30" x14ac:dyDescent="0.2">
      <c r="A105" s="20" t="s">
        <v>14</v>
      </c>
      <c r="B105" s="20" t="s">
        <v>131</v>
      </c>
      <c r="C105" s="20" t="s">
        <v>16</v>
      </c>
      <c r="D105" s="20" t="str">
        <f t="shared" si="1"/>
        <v>B1-P4-C1</v>
      </c>
      <c r="E105" s="20" t="s">
        <v>19</v>
      </c>
      <c r="F105" s="20" t="s">
        <v>133</v>
      </c>
      <c r="G105" s="50" t="s">
        <v>825</v>
      </c>
      <c r="H105" s="50">
        <v>104</v>
      </c>
      <c r="I105" s="52">
        <v>1</v>
      </c>
      <c r="J105" s="52"/>
      <c r="K105" s="52">
        <v>1</v>
      </c>
      <c r="L105" s="52"/>
      <c r="M105" s="52">
        <v>1</v>
      </c>
      <c r="N105" s="52"/>
      <c r="O105" s="52">
        <v>1</v>
      </c>
      <c r="P105" s="52"/>
      <c r="Q105" s="52">
        <v>1</v>
      </c>
      <c r="R105" s="52"/>
      <c r="S105" s="52">
        <v>1</v>
      </c>
      <c r="T105" s="52"/>
      <c r="U105" s="52">
        <v>1</v>
      </c>
      <c r="V105" s="52"/>
      <c r="W105" s="52">
        <v>1</v>
      </c>
      <c r="X105" s="52"/>
      <c r="Y105" s="52">
        <v>1</v>
      </c>
      <c r="Z105" s="52"/>
      <c r="AA105" s="114">
        <v>1</v>
      </c>
      <c r="AB105" s="114"/>
      <c r="AC105" s="114">
        <v>3</v>
      </c>
      <c r="AD105" s="114"/>
    </row>
    <row r="106" spans="1:30" x14ac:dyDescent="0.2">
      <c r="A106" s="14" t="s">
        <v>14</v>
      </c>
      <c r="B106" s="14" t="s">
        <v>131</v>
      </c>
      <c r="C106" s="14" t="s">
        <v>32</v>
      </c>
      <c r="D106" s="14" t="str">
        <f t="shared" si="1"/>
        <v>B1-P4-C2</v>
      </c>
      <c r="E106" s="14" t="s">
        <v>19</v>
      </c>
      <c r="F106" s="14" t="s">
        <v>133</v>
      </c>
      <c r="G106" s="51" t="s">
        <v>827</v>
      </c>
      <c r="H106" s="51">
        <v>105</v>
      </c>
      <c r="I106" s="53">
        <v>1</v>
      </c>
      <c r="J106" s="54"/>
      <c r="K106" s="53">
        <v>1</v>
      </c>
      <c r="L106" s="54"/>
      <c r="M106" s="54">
        <v>1</v>
      </c>
      <c r="N106" s="54"/>
      <c r="O106" s="54">
        <v>1</v>
      </c>
      <c r="P106" s="54"/>
      <c r="Q106" s="54">
        <v>1</v>
      </c>
      <c r="R106" s="54"/>
      <c r="S106" s="54">
        <v>1.5</v>
      </c>
      <c r="T106" s="54"/>
      <c r="U106" s="54">
        <v>3</v>
      </c>
      <c r="V106" s="54"/>
      <c r="W106" s="54">
        <v>3.5</v>
      </c>
      <c r="X106" s="54"/>
      <c r="Y106" s="54">
        <v>3.5</v>
      </c>
      <c r="Z106" s="54"/>
      <c r="AA106" s="115">
        <v>3.5</v>
      </c>
      <c r="AB106" s="115"/>
      <c r="AC106" s="115">
        <v>4</v>
      </c>
      <c r="AD106" s="115"/>
    </row>
    <row r="107" spans="1:30" x14ac:dyDescent="0.2">
      <c r="A107" s="14" t="s">
        <v>14</v>
      </c>
      <c r="B107" s="14" t="s">
        <v>131</v>
      </c>
      <c r="C107" s="14" t="s">
        <v>32</v>
      </c>
      <c r="D107" s="14" t="str">
        <f t="shared" si="1"/>
        <v>B1-P4-C2</v>
      </c>
      <c r="E107" s="14" t="s">
        <v>19</v>
      </c>
      <c r="F107" s="14" t="s">
        <v>133</v>
      </c>
      <c r="G107" s="51" t="s">
        <v>828</v>
      </c>
      <c r="H107" s="51">
        <v>106</v>
      </c>
      <c r="I107" s="53">
        <v>1</v>
      </c>
      <c r="J107" s="54"/>
      <c r="K107" s="53">
        <v>1</v>
      </c>
      <c r="L107" s="54"/>
      <c r="M107" s="54">
        <v>1</v>
      </c>
      <c r="N107" s="54"/>
      <c r="O107" s="54">
        <v>1</v>
      </c>
      <c r="P107" s="54"/>
      <c r="Q107" s="54">
        <v>1</v>
      </c>
      <c r="R107" s="54"/>
      <c r="S107" s="54">
        <v>1</v>
      </c>
      <c r="T107" s="54"/>
      <c r="U107" s="54">
        <v>4</v>
      </c>
      <c r="V107" s="54"/>
      <c r="W107" s="54">
        <v>4</v>
      </c>
      <c r="X107" s="54"/>
      <c r="Y107" s="54">
        <v>4</v>
      </c>
      <c r="Z107" s="54"/>
      <c r="AA107" s="115">
        <v>4</v>
      </c>
      <c r="AB107" s="115"/>
      <c r="AC107" s="115">
        <v>4</v>
      </c>
      <c r="AD107" s="115"/>
    </row>
    <row r="108" spans="1:30" x14ac:dyDescent="0.2">
      <c r="A108" s="14" t="s">
        <v>14</v>
      </c>
      <c r="B108" s="14" t="s">
        <v>131</v>
      </c>
      <c r="C108" s="14" t="s">
        <v>32</v>
      </c>
      <c r="D108" s="14" t="str">
        <f t="shared" si="1"/>
        <v>B1-P4-C2</v>
      </c>
      <c r="E108" s="14" t="s">
        <v>19</v>
      </c>
      <c r="F108" s="14" t="s">
        <v>133</v>
      </c>
      <c r="G108" s="51" t="s">
        <v>829</v>
      </c>
      <c r="H108" s="51">
        <v>107</v>
      </c>
      <c r="I108" s="53">
        <v>1</v>
      </c>
      <c r="J108" s="54"/>
      <c r="K108" s="53">
        <v>1</v>
      </c>
      <c r="L108" s="54"/>
      <c r="M108" s="54">
        <v>2</v>
      </c>
      <c r="N108" s="54"/>
      <c r="O108" s="54">
        <v>2</v>
      </c>
      <c r="P108" s="54"/>
      <c r="Q108" s="54">
        <v>2</v>
      </c>
      <c r="R108" s="54"/>
      <c r="S108" s="54">
        <v>2</v>
      </c>
      <c r="T108" s="54"/>
      <c r="U108" s="54">
        <v>3.5</v>
      </c>
      <c r="V108" s="54"/>
      <c r="W108" s="54">
        <v>3.5</v>
      </c>
      <c r="X108" s="54"/>
      <c r="Y108" s="54">
        <v>3.5</v>
      </c>
      <c r="Z108" s="54"/>
      <c r="AA108" s="115">
        <v>4</v>
      </c>
      <c r="AB108" s="115"/>
      <c r="AC108" s="115">
        <v>4</v>
      </c>
      <c r="AD108" s="115"/>
    </row>
    <row r="109" spans="1:30" x14ac:dyDescent="0.2">
      <c r="A109" s="14" t="s">
        <v>14</v>
      </c>
      <c r="B109" s="14" t="s">
        <v>131</v>
      </c>
      <c r="C109" s="14" t="s">
        <v>32</v>
      </c>
      <c r="D109" s="14" t="str">
        <f t="shared" si="1"/>
        <v>B1-P4-C2</v>
      </c>
      <c r="E109" s="14" t="s">
        <v>19</v>
      </c>
      <c r="F109" s="14" t="s">
        <v>133</v>
      </c>
      <c r="G109" s="51" t="s">
        <v>830</v>
      </c>
      <c r="H109" s="51">
        <v>108</v>
      </c>
      <c r="I109" s="53">
        <v>1</v>
      </c>
      <c r="J109" s="54"/>
      <c r="K109" s="53">
        <v>1</v>
      </c>
      <c r="L109" s="54"/>
      <c r="M109" s="54">
        <v>1</v>
      </c>
      <c r="N109" s="54"/>
      <c r="O109" s="54">
        <v>1</v>
      </c>
      <c r="P109" s="54"/>
      <c r="Q109" s="54">
        <v>1</v>
      </c>
      <c r="R109" s="54"/>
      <c r="S109" s="54">
        <v>1</v>
      </c>
      <c r="T109" s="54"/>
      <c r="U109" s="54">
        <v>3</v>
      </c>
      <c r="V109" s="54"/>
      <c r="W109" s="54">
        <v>3</v>
      </c>
      <c r="X109" s="54"/>
      <c r="Y109" s="54">
        <v>3.5</v>
      </c>
      <c r="Z109" s="54"/>
      <c r="AA109" s="115">
        <v>3.5</v>
      </c>
      <c r="AB109" s="115"/>
      <c r="AC109" s="115">
        <v>4</v>
      </c>
      <c r="AD109" s="115"/>
    </row>
    <row r="110" spans="1:30" x14ac:dyDescent="0.2">
      <c r="A110" s="14" t="s">
        <v>14</v>
      </c>
      <c r="B110" s="14" t="s">
        <v>131</v>
      </c>
      <c r="C110" s="14" t="s">
        <v>32</v>
      </c>
      <c r="D110" s="14" t="str">
        <f t="shared" si="1"/>
        <v>B1-P4-C2</v>
      </c>
      <c r="E110" s="14" t="s">
        <v>19</v>
      </c>
      <c r="F110" s="14" t="s">
        <v>133</v>
      </c>
      <c r="G110" s="51" t="s">
        <v>831</v>
      </c>
      <c r="H110" s="51">
        <v>109</v>
      </c>
      <c r="I110" s="53">
        <v>1</v>
      </c>
      <c r="J110" s="54"/>
      <c r="K110" s="53">
        <v>1</v>
      </c>
      <c r="L110" s="54"/>
      <c r="M110" s="54">
        <v>1</v>
      </c>
      <c r="N110" s="54"/>
      <c r="O110" s="54">
        <v>1</v>
      </c>
      <c r="P110" s="54"/>
      <c r="Q110" s="54">
        <v>1</v>
      </c>
      <c r="R110" s="54"/>
      <c r="S110" s="54">
        <v>1</v>
      </c>
      <c r="T110" s="54"/>
      <c r="U110" s="54">
        <v>3</v>
      </c>
      <c r="V110" s="54"/>
      <c r="W110" s="54">
        <v>3</v>
      </c>
      <c r="X110" s="54"/>
      <c r="Y110" s="54">
        <v>3.5</v>
      </c>
      <c r="Z110" s="54"/>
      <c r="AA110" s="115">
        <v>4</v>
      </c>
      <c r="AB110" s="115"/>
      <c r="AC110" s="115">
        <v>4</v>
      </c>
      <c r="AD110" s="115"/>
    </row>
    <row r="111" spans="1:30" x14ac:dyDescent="0.2">
      <c r="A111" s="14" t="s">
        <v>14</v>
      </c>
      <c r="B111" s="14" t="s">
        <v>131</v>
      </c>
      <c r="C111" s="14" t="s">
        <v>32</v>
      </c>
      <c r="D111" s="14" t="str">
        <f t="shared" si="1"/>
        <v>B1-P4-C2</v>
      </c>
      <c r="E111" s="14" t="s">
        <v>19</v>
      </c>
      <c r="F111" s="14" t="s">
        <v>133</v>
      </c>
      <c r="G111" s="51" t="s">
        <v>832</v>
      </c>
      <c r="H111" s="51">
        <v>110</v>
      </c>
      <c r="I111" s="53">
        <v>1</v>
      </c>
      <c r="J111" s="54"/>
      <c r="K111" s="53">
        <v>1</v>
      </c>
      <c r="L111" s="54"/>
      <c r="M111" s="54">
        <v>1</v>
      </c>
      <c r="N111" s="54"/>
      <c r="O111" s="54">
        <v>1</v>
      </c>
      <c r="P111" s="54"/>
      <c r="Q111" s="54">
        <v>1</v>
      </c>
      <c r="R111" s="54"/>
      <c r="S111" s="54">
        <v>1</v>
      </c>
      <c r="T111" s="54"/>
      <c r="U111" s="54">
        <v>4</v>
      </c>
      <c r="V111" s="54"/>
      <c r="W111" s="54">
        <v>4</v>
      </c>
      <c r="X111" s="54"/>
      <c r="Y111" s="54">
        <v>4</v>
      </c>
      <c r="Z111" s="54"/>
      <c r="AA111" s="115">
        <v>4</v>
      </c>
      <c r="AB111" s="115"/>
      <c r="AC111" s="115">
        <v>4</v>
      </c>
      <c r="AD111" s="115"/>
    </row>
    <row r="112" spans="1:30" x14ac:dyDescent="0.2">
      <c r="A112" s="14" t="s">
        <v>14</v>
      </c>
      <c r="B112" s="14" t="s">
        <v>131</v>
      </c>
      <c r="C112" s="14" t="s">
        <v>32</v>
      </c>
      <c r="D112" s="14" t="str">
        <f t="shared" si="1"/>
        <v>B1-P4-C2</v>
      </c>
      <c r="E112" s="14" t="s">
        <v>19</v>
      </c>
      <c r="F112" s="14" t="s">
        <v>133</v>
      </c>
      <c r="G112" s="51" t="s">
        <v>833</v>
      </c>
      <c r="H112" s="51">
        <v>111</v>
      </c>
      <c r="I112" s="53">
        <v>1</v>
      </c>
      <c r="J112" s="54"/>
      <c r="K112" s="53">
        <v>1</v>
      </c>
      <c r="L112" s="54"/>
      <c r="M112" s="54">
        <v>1</v>
      </c>
      <c r="N112" s="54"/>
      <c r="O112" s="54">
        <v>1</v>
      </c>
      <c r="P112" s="54"/>
      <c r="Q112" s="54">
        <v>1</v>
      </c>
      <c r="R112" s="54"/>
      <c r="S112" s="54">
        <v>1</v>
      </c>
      <c r="T112" s="54"/>
      <c r="U112" s="54">
        <v>4</v>
      </c>
      <c r="V112" s="54"/>
      <c r="W112" s="54">
        <v>4</v>
      </c>
      <c r="X112" s="54"/>
      <c r="Y112" s="54">
        <v>4</v>
      </c>
      <c r="Z112" s="54"/>
      <c r="AA112" s="115">
        <v>4</v>
      </c>
      <c r="AB112" s="115"/>
      <c r="AC112" s="115">
        <v>4</v>
      </c>
      <c r="AD112" s="115"/>
    </row>
    <row r="113" spans="1:30" x14ac:dyDescent="0.2">
      <c r="A113" s="14" t="s">
        <v>14</v>
      </c>
      <c r="B113" s="14" t="s">
        <v>131</v>
      </c>
      <c r="C113" s="14" t="s">
        <v>32</v>
      </c>
      <c r="D113" s="14" t="str">
        <f t="shared" si="1"/>
        <v>B1-P4-C2</v>
      </c>
      <c r="E113" s="14" t="s">
        <v>19</v>
      </c>
      <c r="F113" s="14" t="s">
        <v>133</v>
      </c>
      <c r="G113" s="51" t="s">
        <v>834</v>
      </c>
      <c r="H113" s="51">
        <v>112</v>
      </c>
      <c r="I113" s="53">
        <v>1</v>
      </c>
      <c r="J113" s="54"/>
      <c r="K113" s="53">
        <v>1</v>
      </c>
      <c r="L113" s="54"/>
      <c r="M113" s="54">
        <v>1</v>
      </c>
      <c r="N113" s="54"/>
      <c r="O113" s="54">
        <v>1</v>
      </c>
      <c r="P113" s="54"/>
      <c r="Q113" s="54">
        <v>1</v>
      </c>
      <c r="R113" s="54"/>
      <c r="S113" s="54">
        <v>1</v>
      </c>
      <c r="T113" s="54"/>
      <c r="U113" s="54">
        <v>4</v>
      </c>
      <c r="V113" s="54"/>
      <c r="W113" s="54">
        <v>3.5</v>
      </c>
      <c r="X113" s="54"/>
      <c r="Y113" s="54">
        <v>3.5</v>
      </c>
      <c r="Z113" s="54"/>
      <c r="AA113" s="115">
        <v>3.5</v>
      </c>
      <c r="AB113" s="115"/>
      <c r="AC113" s="115">
        <v>4</v>
      </c>
      <c r="AD113" s="115"/>
    </row>
    <row r="114" spans="1:30" x14ac:dyDescent="0.2">
      <c r="A114" s="20" t="s">
        <v>14</v>
      </c>
      <c r="B114" s="20" t="s">
        <v>131</v>
      </c>
      <c r="C114" s="20" t="s">
        <v>42</v>
      </c>
      <c r="D114" s="20" t="str">
        <f t="shared" si="1"/>
        <v>B1-P4-C3</v>
      </c>
      <c r="E114" s="20" t="s">
        <v>35</v>
      </c>
      <c r="F114" s="20" t="s">
        <v>133</v>
      </c>
      <c r="G114" s="50" t="s">
        <v>836</v>
      </c>
      <c r="H114" s="50">
        <v>113</v>
      </c>
      <c r="I114" s="52">
        <v>1</v>
      </c>
      <c r="J114" s="52"/>
      <c r="K114" s="52">
        <v>1</v>
      </c>
      <c r="L114" s="52"/>
      <c r="M114" s="52">
        <v>1</v>
      </c>
      <c r="N114" s="52"/>
      <c r="O114" s="52">
        <v>1</v>
      </c>
      <c r="P114" s="52"/>
      <c r="Q114" s="52">
        <v>1</v>
      </c>
      <c r="R114" s="52"/>
      <c r="S114" s="52">
        <v>1</v>
      </c>
      <c r="T114" s="52"/>
      <c r="U114" s="52">
        <v>1</v>
      </c>
      <c r="V114" s="52"/>
      <c r="W114" s="52">
        <v>1</v>
      </c>
      <c r="X114" s="52"/>
      <c r="Y114" s="52">
        <v>1</v>
      </c>
      <c r="Z114" s="52"/>
      <c r="AA114" s="114">
        <v>1</v>
      </c>
      <c r="AB114" s="114"/>
      <c r="AC114" s="114">
        <v>1</v>
      </c>
      <c r="AD114" s="114"/>
    </row>
    <row r="115" spans="1:30" x14ac:dyDescent="0.2">
      <c r="A115" s="20" t="s">
        <v>14</v>
      </c>
      <c r="B115" s="20" t="s">
        <v>131</v>
      </c>
      <c r="C115" s="20" t="s">
        <v>42</v>
      </c>
      <c r="D115" s="20" t="str">
        <f t="shared" si="1"/>
        <v>B1-P4-C3</v>
      </c>
      <c r="E115" s="20" t="s">
        <v>35</v>
      </c>
      <c r="F115" s="20" t="s">
        <v>133</v>
      </c>
      <c r="G115" s="50" t="s">
        <v>837</v>
      </c>
      <c r="H115" s="50">
        <v>114</v>
      </c>
      <c r="I115" s="52">
        <v>1</v>
      </c>
      <c r="J115" s="52"/>
      <c r="K115" s="52">
        <v>1</v>
      </c>
      <c r="L115" s="52"/>
      <c r="M115" s="52">
        <v>1</v>
      </c>
      <c r="N115" s="52"/>
      <c r="O115" s="52">
        <v>1</v>
      </c>
      <c r="P115" s="52"/>
      <c r="Q115" s="52">
        <v>1</v>
      </c>
      <c r="R115" s="52"/>
      <c r="S115" s="52">
        <v>1</v>
      </c>
      <c r="T115" s="52"/>
      <c r="U115" s="52">
        <v>1</v>
      </c>
      <c r="V115" s="52"/>
      <c r="W115" s="52">
        <v>1</v>
      </c>
      <c r="X115" s="52"/>
      <c r="Y115" s="52">
        <v>1</v>
      </c>
      <c r="Z115" s="52"/>
      <c r="AA115" s="114">
        <v>1</v>
      </c>
      <c r="AB115" s="114"/>
      <c r="AC115" s="114">
        <v>1</v>
      </c>
      <c r="AD115" s="114"/>
    </row>
    <row r="116" spans="1:30" x14ac:dyDescent="0.2">
      <c r="A116" s="20" t="s">
        <v>14</v>
      </c>
      <c r="B116" s="20" t="s">
        <v>131</v>
      </c>
      <c r="C116" s="20" t="s">
        <v>42</v>
      </c>
      <c r="D116" s="20" t="str">
        <f t="shared" si="1"/>
        <v>B1-P4-C3</v>
      </c>
      <c r="E116" s="20" t="s">
        <v>35</v>
      </c>
      <c r="F116" s="20" t="s">
        <v>133</v>
      </c>
      <c r="G116" s="50" t="s">
        <v>838</v>
      </c>
      <c r="H116" s="50">
        <v>115</v>
      </c>
      <c r="I116" s="52">
        <v>1</v>
      </c>
      <c r="J116" s="52"/>
      <c r="K116" s="52">
        <v>1</v>
      </c>
      <c r="L116" s="52"/>
      <c r="M116" s="52">
        <v>1</v>
      </c>
      <c r="N116" s="52"/>
      <c r="O116" s="52">
        <v>1</v>
      </c>
      <c r="P116" s="52"/>
      <c r="Q116" s="52">
        <v>1</v>
      </c>
      <c r="R116" s="52"/>
      <c r="S116" s="52">
        <v>1</v>
      </c>
      <c r="T116" s="52"/>
      <c r="U116" s="52">
        <v>1</v>
      </c>
      <c r="V116" s="52"/>
      <c r="W116" s="52">
        <v>1</v>
      </c>
      <c r="X116" s="52"/>
      <c r="Y116" s="52">
        <v>1</v>
      </c>
      <c r="Z116" s="52"/>
      <c r="AA116" s="114">
        <v>1</v>
      </c>
      <c r="AB116" s="114"/>
      <c r="AC116" s="114">
        <v>1</v>
      </c>
      <c r="AD116" s="114"/>
    </row>
    <row r="117" spans="1:30" x14ac:dyDescent="0.2">
      <c r="A117" s="20" t="s">
        <v>14</v>
      </c>
      <c r="B117" s="20" t="s">
        <v>131</v>
      </c>
      <c r="C117" s="20" t="s">
        <v>42</v>
      </c>
      <c r="D117" s="20" t="str">
        <f t="shared" si="1"/>
        <v>B1-P4-C3</v>
      </c>
      <c r="E117" s="20" t="s">
        <v>35</v>
      </c>
      <c r="F117" s="20" t="s">
        <v>133</v>
      </c>
      <c r="G117" s="50" t="s">
        <v>839</v>
      </c>
      <c r="H117" s="50">
        <v>116</v>
      </c>
      <c r="I117" s="52">
        <v>1</v>
      </c>
      <c r="J117" s="52"/>
      <c r="K117" s="52">
        <v>1</v>
      </c>
      <c r="L117" s="52"/>
      <c r="M117" s="52">
        <v>1</v>
      </c>
      <c r="N117" s="52"/>
      <c r="O117" s="52">
        <v>1</v>
      </c>
      <c r="P117" s="52"/>
      <c r="Q117" s="52">
        <v>1</v>
      </c>
      <c r="R117" s="52"/>
      <c r="S117" s="52">
        <v>1</v>
      </c>
      <c r="T117" s="52"/>
      <c r="U117" s="52">
        <v>1</v>
      </c>
      <c r="V117" s="52"/>
      <c r="W117" s="52">
        <v>1</v>
      </c>
      <c r="X117" s="52"/>
      <c r="Y117" s="52">
        <v>1</v>
      </c>
      <c r="Z117" s="52"/>
      <c r="AA117" s="114">
        <v>1</v>
      </c>
      <c r="AB117" s="114"/>
      <c r="AC117" s="114">
        <v>1</v>
      </c>
      <c r="AD117" s="114"/>
    </row>
    <row r="118" spans="1:30" x14ac:dyDescent="0.2">
      <c r="A118" s="20" t="s">
        <v>14</v>
      </c>
      <c r="B118" s="20" t="s">
        <v>131</v>
      </c>
      <c r="C118" s="20" t="s">
        <v>42</v>
      </c>
      <c r="D118" s="20" t="str">
        <f t="shared" si="1"/>
        <v>B1-P4-C3</v>
      </c>
      <c r="E118" s="20" t="s">
        <v>35</v>
      </c>
      <c r="F118" s="20" t="s">
        <v>133</v>
      </c>
      <c r="G118" s="50" t="s">
        <v>840</v>
      </c>
      <c r="H118" s="50">
        <v>117</v>
      </c>
      <c r="I118" s="52">
        <v>1</v>
      </c>
      <c r="J118" s="52"/>
      <c r="K118" s="52">
        <v>1</v>
      </c>
      <c r="L118" s="52"/>
      <c r="M118" s="52">
        <v>1</v>
      </c>
      <c r="N118" s="52"/>
      <c r="O118" s="52">
        <v>1</v>
      </c>
      <c r="P118" s="52"/>
      <c r="Q118" s="52">
        <v>1</v>
      </c>
      <c r="R118" s="52"/>
      <c r="S118" s="52">
        <v>1</v>
      </c>
      <c r="T118" s="52"/>
      <c r="U118" s="52">
        <v>1</v>
      </c>
      <c r="V118" s="52"/>
      <c r="W118" s="52">
        <v>1</v>
      </c>
      <c r="X118" s="52"/>
      <c r="Y118" s="52">
        <v>1</v>
      </c>
      <c r="Z118" s="52"/>
      <c r="AA118" s="114">
        <v>1</v>
      </c>
      <c r="AB118" s="114"/>
      <c r="AC118" s="114">
        <v>1</v>
      </c>
      <c r="AD118" s="114"/>
    </row>
    <row r="119" spans="1:30" x14ac:dyDescent="0.2">
      <c r="A119" s="20" t="s">
        <v>14</v>
      </c>
      <c r="B119" s="20" t="s">
        <v>131</v>
      </c>
      <c r="C119" s="20" t="s">
        <v>42</v>
      </c>
      <c r="D119" s="20" t="str">
        <f t="shared" si="1"/>
        <v>B1-P4-C3</v>
      </c>
      <c r="E119" s="20" t="s">
        <v>35</v>
      </c>
      <c r="F119" s="20" t="s">
        <v>133</v>
      </c>
      <c r="G119" s="50" t="s">
        <v>841</v>
      </c>
      <c r="H119" s="50">
        <v>118</v>
      </c>
      <c r="I119" s="52">
        <v>1</v>
      </c>
      <c r="J119" s="52"/>
      <c r="K119" s="52">
        <v>1</v>
      </c>
      <c r="L119" s="52"/>
      <c r="M119" s="52">
        <v>1</v>
      </c>
      <c r="N119" s="52"/>
      <c r="O119" s="52">
        <v>1</v>
      </c>
      <c r="P119" s="52"/>
      <c r="Q119" s="52">
        <v>1</v>
      </c>
      <c r="R119" s="52"/>
      <c r="S119" s="52">
        <v>1</v>
      </c>
      <c r="T119" s="52"/>
      <c r="U119" s="52">
        <v>1</v>
      </c>
      <c r="V119" s="52"/>
      <c r="W119" s="52">
        <v>1</v>
      </c>
      <c r="X119" s="52"/>
      <c r="Y119" s="52">
        <v>1</v>
      </c>
      <c r="Z119" s="52"/>
      <c r="AA119" s="114">
        <v>1</v>
      </c>
      <c r="AB119" s="114"/>
      <c r="AC119" s="114">
        <v>1</v>
      </c>
      <c r="AD119" s="114"/>
    </row>
    <row r="120" spans="1:30" x14ac:dyDescent="0.2">
      <c r="A120" s="20" t="s">
        <v>14</v>
      </c>
      <c r="B120" s="20" t="s">
        <v>131</v>
      </c>
      <c r="C120" s="20" t="s">
        <v>42</v>
      </c>
      <c r="D120" s="20" t="str">
        <f t="shared" si="1"/>
        <v>B1-P4-C3</v>
      </c>
      <c r="E120" s="20" t="s">
        <v>35</v>
      </c>
      <c r="F120" s="20" t="s">
        <v>133</v>
      </c>
      <c r="G120" s="50" t="s">
        <v>842</v>
      </c>
      <c r="H120" s="50">
        <v>119</v>
      </c>
      <c r="I120" s="52">
        <v>1</v>
      </c>
      <c r="J120" s="52"/>
      <c r="K120" s="52">
        <v>1</v>
      </c>
      <c r="L120" s="52"/>
      <c r="M120" s="52">
        <v>1</v>
      </c>
      <c r="N120" s="52"/>
      <c r="O120" s="52">
        <v>1</v>
      </c>
      <c r="P120" s="52"/>
      <c r="Q120" s="52">
        <v>1</v>
      </c>
      <c r="R120" s="52"/>
      <c r="S120" s="52">
        <v>1</v>
      </c>
      <c r="T120" s="52"/>
      <c r="U120" s="52">
        <v>1</v>
      </c>
      <c r="V120" s="52"/>
      <c r="W120" s="52">
        <v>1</v>
      </c>
      <c r="X120" s="52"/>
      <c r="Y120" s="52">
        <v>1</v>
      </c>
      <c r="Z120" s="52"/>
      <c r="AA120" s="114">
        <v>1</v>
      </c>
      <c r="AB120" s="114"/>
      <c r="AC120" s="114">
        <v>1</v>
      </c>
      <c r="AD120" s="114"/>
    </row>
    <row r="121" spans="1:30" x14ac:dyDescent="0.2">
      <c r="A121" s="20" t="s">
        <v>14</v>
      </c>
      <c r="B121" s="20" t="s">
        <v>131</v>
      </c>
      <c r="C121" s="20" t="s">
        <v>42</v>
      </c>
      <c r="D121" s="20" t="str">
        <f t="shared" si="1"/>
        <v>B1-P4-C3</v>
      </c>
      <c r="E121" s="20" t="s">
        <v>35</v>
      </c>
      <c r="F121" s="20" t="s">
        <v>133</v>
      </c>
      <c r="G121" s="50" t="s">
        <v>843</v>
      </c>
      <c r="H121" s="50">
        <v>120</v>
      </c>
      <c r="I121" s="52">
        <v>1</v>
      </c>
      <c r="J121" s="52"/>
      <c r="K121" s="52">
        <v>1</v>
      </c>
      <c r="L121" s="52"/>
      <c r="M121" s="52">
        <v>1</v>
      </c>
      <c r="N121" s="52"/>
      <c r="O121" s="52">
        <v>1</v>
      </c>
      <c r="P121" s="52"/>
      <c r="Q121" s="52">
        <v>1</v>
      </c>
      <c r="R121" s="52"/>
      <c r="S121" s="52">
        <v>1</v>
      </c>
      <c r="T121" s="52"/>
      <c r="U121" s="52">
        <v>1</v>
      </c>
      <c r="V121" s="52"/>
      <c r="W121" s="52">
        <v>1</v>
      </c>
      <c r="X121" s="52"/>
      <c r="Y121" s="52">
        <v>1</v>
      </c>
      <c r="Z121" s="52"/>
      <c r="AA121" s="114">
        <v>1</v>
      </c>
      <c r="AB121" s="114"/>
      <c r="AC121" s="114">
        <v>1</v>
      </c>
      <c r="AD121" s="114"/>
    </row>
    <row r="122" spans="1:30" x14ac:dyDescent="0.2">
      <c r="A122" s="14" t="s">
        <v>14</v>
      </c>
      <c r="B122" s="14" t="s">
        <v>131</v>
      </c>
      <c r="C122" s="14" t="s">
        <v>53</v>
      </c>
      <c r="D122" s="14" t="str">
        <f t="shared" si="1"/>
        <v>B1-P4-C4</v>
      </c>
      <c r="E122" s="14" t="s">
        <v>19</v>
      </c>
      <c r="F122" s="14" t="s">
        <v>133</v>
      </c>
      <c r="G122" s="51" t="s">
        <v>845</v>
      </c>
      <c r="H122" s="51">
        <v>121</v>
      </c>
      <c r="I122" s="53">
        <v>1</v>
      </c>
      <c r="J122" s="54"/>
      <c r="K122" s="53">
        <v>1</v>
      </c>
      <c r="L122" s="54"/>
      <c r="M122" s="54">
        <v>1</v>
      </c>
      <c r="N122" s="54"/>
      <c r="O122" s="54">
        <v>1</v>
      </c>
      <c r="P122" s="54"/>
      <c r="Q122" s="54">
        <v>1</v>
      </c>
      <c r="R122" s="54"/>
      <c r="S122" s="54">
        <v>2</v>
      </c>
      <c r="T122" s="54"/>
      <c r="U122" s="54">
        <v>4</v>
      </c>
      <c r="V122" s="54"/>
      <c r="W122" s="54">
        <v>4</v>
      </c>
      <c r="X122" s="54"/>
      <c r="Y122" s="54">
        <v>4</v>
      </c>
      <c r="Z122" s="54"/>
      <c r="AA122" s="115">
        <v>4</v>
      </c>
      <c r="AB122" s="115"/>
      <c r="AC122" s="115">
        <v>4</v>
      </c>
      <c r="AD122" s="115"/>
    </row>
    <row r="123" spans="1:30" x14ac:dyDescent="0.2">
      <c r="A123" s="14" t="s">
        <v>14</v>
      </c>
      <c r="B123" s="14" t="s">
        <v>131</v>
      </c>
      <c r="C123" s="14" t="s">
        <v>53</v>
      </c>
      <c r="D123" s="14" t="str">
        <f t="shared" si="1"/>
        <v>B1-P4-C4</v>
      </c>
      <c r="E123" s="14" t="s">
        <v>35</v>
      </c>
      <c r="F123" s="14" t="s">
        <v>133</v>
      </c>
      <c r="G123" s="51" t="s">
        <v>846</v>
      </c>
      <c r="H123" s="51">
        <v>122</v>
      </c>
      <c r="I123" s="53">
        <v>1</v>
      </c>
      <c r="J123" s="54"/>
      <c r="K123" s="53">
        <v>1</v>
      </c>
      <c r="L123" s="54"/>
      <c r="M123" s="54">
        <v>1</v>
      </c>
      <c r="N123" s="54"/>
      <c r="O123" s="54">
        <v>1</v>
      </c>
      <c r="P123" s="54"/>
      <c r="Q123" s="54">
        <v>1</v>
      </c>
      <c r="R123" s="54"/>
      <c r="S123" s="54">
        <v>1</v>
      </c>
      <c r="T123" s="54"/>
      <c r="U123" s="54">
        <v>1</v>
      </c>
      <c r="V123" s="54"/>
      <c r="W123" s="54">
        <v>1</v>
      </c>
      <c r="X123" s="54"/>
      <c r="Y123" s="54">
        <v>1</v>
      </c>
      <c r="Z123" s="54"/>
      <c r="AA123" s="115">
        <v>1</v>
      </c>
      <c r="AB123" s="115"/>
      <c r="AC123" s="115">
        <v>1</v>
      </c>
      <c r="AD123" s="115"/>
    </row>
    <row r="124" spans="1:30" x14ac:dyDescent="0.2">
      <c r="A124" s="14" t="s">
        <v>14</v>
      </c>
      <c r="B124" s="14" t="s">
        <v>131</v>
      </c>
      <c r="C124" s="14" t="s">
        <v>53</v>
      </c>
      <c r="D124" s="14" t="str">
        <f t="shared" si="1"/>
        <v>B1-P4-C4</v>
      </c>
      <c r="E124" s="14" t="s">
        <v>35</v>
      </c>
      <c r="F124" s="14" t="s">
        <v>133</v>
      </c>
      <c r="G124" s="51" t="s">
        <v>847</v>
      </c>
      <c r="H124" s="51">
        <v>123</v>
      </c>
      <c r="I124" s="53">
        <v>1</v>
      </c>
      <c r="J124" s="54"/>
      <c r="K124" s="53">
        <v>1</v>
      </c>
      <c r="L124" s="54"/>
      <c r="M124" s="54">
        <v>1</v>
      </c>
      <c r="N124" s="54"/>
      <c r="O124" s="54">
        <v>1</v>
      </c>
      <c r="P124" s="54"/>
      <c r="Q124" s="54">
        <v>1</v>
      </c>
      <c r="R124" s="54"/>
      <c r="S124" s="54">
        <v>1</v>
      </c>
      <c r="T124" s="54"/>
      <c r="U124" s="54">
        <v>1</v>
      </c>
      <c r="V124" s="54"/>
      <c r="W124" s="54">
        <v>1</v>
      </c>
      <c r="X124" s="54"/>
      <c r="Y124" s="54">
        <v>1</v>
      </c>
      <c r="Z124" s="54"/>
      <c r="AA124" s="115">
        <v>1</v>
      </c>
      <c r="AB124" s="115"/>
      <c r="AC124" s="115">
        <v>1</v>
      </c>
      <c r="AD124" s="115"/>
    </row>
    <row r="125" spans="1:30" x14ac:dyDescent="0.2">
      <c r="A125" s="14" t="s">
        <v>14</v>
      </c>
      <c r="B125" s="14" t="s">
        <v>131</v>
      </c>
      <c r="C125" s="14" t="s">
        <v>53</v>
      </c>
      <c r="D125" s="14" t="str">
        <f t="shared" si="1"/>
        <v>B1-P4-C4</v>
      </c>
      <c r="E125" s="14" t="s">
        <v>19</v>
      </c>
      <c r="F125" s="14" t="s">
        <v>133</v>
      </c>
      <c r="G125" s="51" t="s">
        <v>848</v>
      </c>
      <c r="H125" s="51">
        <v>124</v>
      </c>
      <c r="I125" s="53">
        <v>1</v>
      </c>
      <c r="J125" s="54"/>
      <c r="K125" s="53">
        <v>1</v>
      </c>
      <c r="L125" s="54"/>
      <c r="M125" s="54">
        <v>1</v>
      </c>
      <c r="N125" s="54"/>
      <c r="O125" s="54">
        <v>1</v>
      </c>
      <c r="P125" s="54"/>
      <c r="Q125" s="54">
        <v>1</v>
      </c>
      <c r="R125" s="54"/>
      <c r="S125" s="54">
        <v>2</v>
      </c>
      <c r="T125" s="54"/>
      <c r="U125" s="54">
        <v>4</v>
      </c>
      <c r="V125" s="54"/>
      <c r="W125" s="54">
        <v>4</v>
      </c>
      <c r="X125" s="54"/>
      <c r="Y125" s="54">
        <v>4</v>
      </c>
      <c r="Z125" s="54"/>
      <c r="AA125" s="115">
        <v>4</v>
      </c>
      <c r="AB125" s="115"/>
      <c r="AC125" s="115">
        <v>4</v>
      </c>
      <c r="AD125" s="115"/>
    </row>
    <row r="126" spans="1:30" x14ac:dyDescent="0.2">
      <c r="A126" s="14" t="s">
        <v>14</v>
      </c>
      <c r="B126" s="14" t="s">
        <v>131</v>
      </c>
      <c r="C126" s="14" t="s">
        <v>53</v>
      </c>
      <c r="D126" s="14" t="str">
        <f t="shared" si="1"/>
        <v>B1-P4-C4</v>
      </c>
      <c r="E126" s="14" t="s">
        <v>19</v>
      </c>
      <c r="F126" s="14" t="s">
        <v>133</v>
      </c>
      <c r="G126" s="51" t="s">
        <v>849</v>
      </c>
      <c r="H126" s="51">
        <v>125</v>
      </c>
      <c r="I126" s="53">
        <v>1</v>
      </c>
      <c r="J126" s="54"/>
      <c r="K126" s="53">
        <v>1</v>
      </c>
      <c r="L126" s="54"/>
      <c r="M126" s="54">
        <v>1</v>
      </c>
      <c r="N126" s="54"/>
      <c r="O126" s="54">
        <v>1</v>
      </c>
      <c r="P126" s="54"/>
      <c r="Q126" s="54">
        <v>1</v>
      </c>
      <c r="R126" s="54"/>
      <c r="S126" s="54">
        <v>1</v>
      </c>
      <c r="T126" s="54"/>
      <c r="U126" s="54">
        <v>3</v>
      </c>
      <c r="V126" s="54"/>
      <c r="W126" s="54">
        <v>3</v>
      </c>
      <c r="X126" s="54"/>
      <c r="Y126" s="54">
        <v>3.5</v>
      </c>
      <c r="Z126" s="54"/>
      <c r="AA126" s="115">
        <v>3.5</v>
      </c>
      <c r="AB126" s="115"/>
      <c r="AC126" s="115">
        <v>4</v>
      </c>
      <c r="AD126" s="115"/>
    </row>
    <row r="127" spans="1:30" x14ac:dyDescent="0.2">
      <c r="A127" s="14" t="s">
        <v>14</v>
      </c>
      <c r="B127" s="14" t="s">
        <v>131</v>
      </c>
      <c r="C127" s="14" t="s">
        <v>53</v>
      </c>
      <c r="D127" s="14" t="str">
        <f t="shared" si="1"/>
        <v>B1-P4-C4</v>
      </c>
      <c r="E127" s="14" t="s">
        <v>35</v>
      </c>
      <c r="F127" s="14" t="s">
        <v>133</v>
      </c>
      <c r="G127" s="51" t="s">
        <v>850</v>
      </c>
      <c r="H127" s="51">
        <v>126</v>
      </c>
      <c r="I127" s="53">
        <v>1</v>
      </c>
      <c r="J127" s="54"/>
      <c r="K127" s="53">
        <v>1</v>
      </c>
      <c r="L127" s="54"/>
      <c r="M127" s="54">
        <v>1</v>
      </c>
      <c r="N127" s="54"/>
      <c r="O127" s="54">
        <v>1</v>
      </c>
      <c r="P127" s="54"/>
      <c r="Q127" s="54">
        <v>1</v>
      </c>
      <c r="R127" s="54"/>
      <c r="S127" s="54">
        <v>1</v>
      </c>
      <c r="T127" s="54"/>
      <c r="U127" s="54">
        <v>1</v>
      </c>
      <c r="V127" s="54"/>
      <c r="W127" s="54">
        <v>1</v>
      </c>
      <c r="X127" s="54"/>
      <c r="Y127" s="54">
        <v>1</v>
      </c>
      <c r="Z127" s="54"/>
      <c r="AA127" s="115">
        <v>1</v>
      </c>
      <c r="AB127" s="115"/>
      <c r="AC127" s="115">
        <v>1</v>
      </c>
      <c r="AD127" s="115"/>
    </row>
    <row r="128" spans="1:30" x14ac:dyDescent="0.2">
      <c r="A128" s="14" t="s">
        <v>14</v>
      </c>
      <c r="B128" s="14" t="s">
        <v>131</v>
      </c>
      <c r="C128" s="14" t="s">
        <v>53</v>
      </c>
      <c r="D128" s="14" t="str">
        <f t="shared" si="1"/>
        <v>B1-P4-C4</v>
      </c>
      <c r="E128" s="14" t="s">
        <v>35</v>
      </c>
      <c r="F128" s="14" t="s">
        <v>133</v>
      </c>
      <c r="G128" s="51" t="s">
        <v>851</v>
      </c>
      <c r="H128" s="51">
        <v>127</v>
      </c>
      <c r="I128" s="53">
        <v>1</v>
      </c>
      <c r="J128" s="54"/>
      <c r="K128" s="53">
        <v>1</v>
      </c>
      <c r="L128" s="54"/>
      <c r="M128" s="54">
        <v>1</v>
      </c>
      <c r="N128" s="54"/>
      <c r="O128" s="54">
        <v>1</v>
      </c>
      <c r="P128" s="54"/>
      <c r="Q128" s="54">
        <v>1</v>
      </c>
      <c r="R128" s="54"/>
      <c r="S128" s="54">
        <v>1</v>
      </c>
      <c r="T128" s="54"/>
      <c r="U128" s="54">
        <v>1</v>
      </c>
      <c r="V128" s="54"/>
      <c r="W128" s="54">
        <v>1</v>
      </c>
      <c r="X128" s="54"/>
      <c r="Y128" s="54">
        <v>1</v>
      </c>
      <c r="Z128" s="54"/>
      <c r="AA128" s="115">
        <v>1</v>
      </c>
      <c r="AB128" s="115"/>
      <c r="AC128" s="115">
        <v>1</v>
      </c>
      <c r="AD128" s="115"/>
    </row>
    <row r="129" spans="1:30" x14ac:dyDescent="0.2">
      <c r="A129" s="14" t="s">
        <v>14</v>
      </c>
      <c r="B129" s="14" t="s">
        <v>131</v>
      </c>
      <c r="C129" s="14" t="s">
        <v>53</v>
      </c>
      <c r="D129" s="14" t="str">
        <f t="shared" si="1"/>
        <v>B1-P4-C4</v>
      </c>
      <c r="E129" s="14" t="s">
        <v>19</v>
      </c>
      <c r="F129" s="14" t="s">
        <v>133</v>
      </c>
      <c r="G129" s="51" t="s">
        <v>852</v>
      </c>
      <c r="H129" s="51">
        <v>128</v>
      </c>
      <c r="I129" s="53">
        <v>1</v>
      </c>
      <c r="J129" s="54"/>
      <c r="K129" s="53">
        <v>1</v>
      </c>
      <c r="L129" s="54"/>
      <c r="M129" s="54">
        <v>1</v>
      </c>
      <c r="N129" s="54"/>
      <c r="O129" s="54">
        <v>1</v>
      </c>
      <c r="P129" s="54"/>
      <c r="Q129" s="54">
        <v>1</v>
      </c>
      <c r="R129" s="54"/>
      <c r="S129" s="54">
        <v>2</v>
      </c>
      <c r="T129" s="54"/>
      <c r="U129" s="54">
        <v>4</v>
      </c>
      <c r="V129" s="54"/>
      <c r="W129" s="54">
        <v>4</v>
      </c>
      <c r="X129" s="54"/>
      <c r="Y129" s="54">
        <v>4</v>
      </c>
      <c r="Z129" s="54"/>
      <c r="AA129" s="115">
        <v>4</v>
      </c>
      <c r="AB129" s="115"/>
      <c r="AC129" s="115">
        <v>4</v>
      </c>
      <c r="AD129" s="115"/>
    </row>
    <row r="130" spans="1:30" x14ac:dyDescent="0.2">
      <c r="A130" s="20" t="s">
        <v>14</v>
      </c>
      <c r="B130" s="20" t="s">
        <v>167</v>
      </c>
      <c r="C130" s="20" t="s">
        <v>16</v>
      </c>
      <c r="D130" s="20" t="str">
        <f t="shared" si="1"/>
        <v>B1-P5-C1</v>
      </c>
      <c r="E130" s="20" t="s">
        <v>35</v>
      </c>
      <c r="F130" s="20" t="s">
        <v>133</v>
      </c>
      <c r="G130" s="50" t="s">
        <v>854</v>
      </c>
      <c r="H130" s="50">
        <v>129</v>
      </c>
      <c r="I130" s="52">
        <v>1</v>
      </c>
      <c r="J130" s="52"/>
      <c r="K130" s="52">
        <v>1</v>
      </c>
      <c r="L130" s="52"/>
      <c r="M130" s="52">
        <v>1</v>
      </c>
      <c r="N130" s="52"/>
      <c r="O130" s="52">
        <v>1</v>
      </c>
      <c r="P130" s="52"/>
      <c r="Q130" s="52">
        <v>1</v>
      </c>
      <c r="R130" s="52"/>
      <c r="S130" s="52">
        <v>1</v>
      </c>
      <c r="T130" s="52"/>
      <c r="U130" s="52">
        <v>1</v>
      </c>
      <c r="V130" s="52"/>
      <c r="W130" s="52">
        <v>1</v>
      </c>
      <c r="X130" s="52"/>
      <c r="Y130" s="52">
        <v>1</v>
      </c>
      <c r="Z130" s="52"/>
      <c r="AA130" s="114">
        <v>1</v>
      </c>
      <c r="AB130" s="114"/>
      <c r="AC130" s="114">
        <v>1</v>
      </c>
      <c r="AD130" s="114"/>
    </row>
    <row r="131" spans="1:30" x14ac:dyDescent="0.2">
      <c r="A131" s="20" t="s">
        <v>14</v>
      </c>
      <c r="B131" s="20" t="s">
        <v>167</v>
      </c>
      <c r="C131" s="20" t="s">
        <v>16</v>
      </c>
      <c r="D131" s="20" t="str">
        <f t="shared" ref="D131:D194" si="2">A131&amp;"-"&amp;B131&amp;"-"&amp;C131</f>
        <v>B1-P5-C1</v>
      </c>
      <c r="E131" s="20" t="s">
        <v>35</v>
      </c>
      <c r="F131" s="20" t="s">
        <v>133</v>
      </c>
      <c r="G131" s="50" t="s">
        <v>855</v>
      </c>
      <c r="H131" s="50">
        <v>130</v>
      </c>
      <c r="I131" s="52">
        <v>1</v>
      </c>
      <c r="J131" s="52"/>
      <c r="K131" s="52">
        <v>1</v>
      </c>
      <c r="L131" s="52"/>
      <c r="M131" s="52">
        <v>1</v>
      </c>
      <c r="N131" s="52"/>
      <c r="O131" s="52">
        <v>1</v>
      </c>
      <c r="P131" s="52"/>
      <c r="Q131" s="52">
        <v>1</v>
      </c>
      <c r="R131" s="52"/>
      <c r="S131" s="52">
        <v>1</v>
      </c>
      <c r="T131" s="52"/>
      <c r="U131" s="52">
        <v>1</v>
      </c>
      <c r="V131" s="52"/>
      <c r="W131" s="52">
        <v>1</v>
      </c>
      <c r="X131" s="52"/>
      <c r="Y131" s="52">
        <v>1</v>
      </c>
      <c r="Z131" s="52"/>
      <c r="AA131" s="114">
        <v>1</v>
      </c>
      <c r="AB131" s="114"/>
      <c r="AC131" s="114">
        <v>1</v>
      </c>
      <c r="AD131" s="114"/>
    </row>
    <row r="132" spans="1:30" x14ac:dyDescent="0.2">
      <c r="A132" s="20" t="s">
        <v>14</v>
      </c>
      <c r="B132" s="20" t="s">
        <v>167</v>
      </c>
      <c r="C132" s="20" t="s">
        <v>16</v>
      </c>
      <c r="D132" s="20" t="str">
        <f t="shared" si="2"/>
        <v>B1-P5-C1</v>
      </c>
      <c r="E132" s="20" t="s">
        <v>35</v>
      </c>
      <c r="F132" s="20" t="s">
        <v>133</v>
      </c>
      <c r="G132" s="50" t="s">
        <v>856</v>
      </c>
      <c r="H132" s="50">
        <v>131</v>
      </c>
      <c r="I132" s="52">
        <v>1</v>
      </c>
      <c r="J132" s="52"/>
      <c r="K132" s="52">
        <v>1</v>
      </c>
      <c r="L132" s="52"/>
      <c r="M132" s="52">
        <v>1</v>
      </c>
      <c r="N132" s="52"/>
      <c r="O132" s="52">
        <v>1</v>
      </c>
      <c r="P132" s="52"/>
      <c r="Q132" s="52">
        <v>1</v>
      </c>
      <c r="R132" s="52"/>
      <c r="S132" s="52">
        <v>1</v>
      </c>
      <c r="T132" s="52"/>
      <c r="U132" s="52">
        <v>1</v>
      </c>
      <c r="V132" s="52"/>
      <c r="W132" s="52">
        <v>2</v>
      </c>
      <c r="X132" s="52"/>
      <c r="Y132" s="52">
        <v>1</v>
      </c>
      <c r="Z132" s="52"/>
      <c r="AA132" s="114">
        <v>1</v>
      </c>
      <c r="AB132" s="114"/>
      <c r="AC132" s="114">
        <v>1</v>
      </c>
      <c r="AD132" s="114"/>
    </row>
    <row r="133" spans="1:30" x14ac:dyDescent="0.2">
      <c r="A133" s="20" t="s">
        <v>14</v>
      </c>
      <c r="B133" s="20" t="s">
        <v>167</v>
      </c>
      <c r="C133" s="20" t="s">
        <v>16</v>
      </c>
      <c r="D133" s="20" t="str">
        <f t="shared" si="2"/>
        <v>B1-P5-C1</v>
      </c>
      <c r="E133" s="20" t="s">
        <v>35</v>
      </c>
      <c r="F133" s="20" t="s">
        <v>133</v>
      </c>
      <c r="G133" s="50" t="s">
        <v>857</v>
      </c>
      <c r="H133" s="50">
        <v>132</v>
      </c>
      <c r="I133" s="52">
        <v>1</v>
      </c>
      <c r="J133" s="52"/>
      <c r="K133" s="52">
        <v>1</v>
      </c>
      <c r="L133" s="52"/>
      <c r="M133" s="52">
        <v>1</v>
      </c>
      <c r="N133" s="52"/>
      <c r="O133" s="52">
        <v>1</v>
      </c>
      <c r="P133" s="52"/>
      <c r="Q133" s="52">
        <v>1</v>
      </c>
      <c r="R133" s="52"/>
      <c r="S133" s="52">
        <v>1</v>
      </c>
      <c r="T133" s="52"/>
      <c r="U133" s="52">
        <v>1</v>
      </c>
      <c r="V133" s="52"/>
      <c r="W133" s="52">
        <v>1</v>
      </c>
      <c r="X133" s="52"/>
      <c r="Y133" s="52">
        <v>1</v>
      </c>
      <c r="Z133" s="52"/>
      <c r="AA133" s="114">
        <v>1</v>
      </c>
      <c r="AB133" s="114"/>
      <c r="AC133" s="114">
        <v>1</v>
      </c>
      <c r="AD133" s="114"/>
    </row>
    <row r="134" spans="1:30" x14ac:dyDescent="0.2">
      <c r="A134" s="20" t="s">
        <v>14</v>
      </c>
      <c r="B134" s="20" t="s">
        <v>167</v>
      </c>
      <c r="C134" s="20" t="s">
        <v>16</v>
      </c>
      <c r="D134" s="20" t="str">
        <f t="shared" si="2"/>
        <v>B1-P5-C1</v>
      </c>
      <c r="E134" s="20" t="s">
        <v>35</v>
      </c>
      <c r="F134" s="20" t="s">
        <v>133</v>
      </c>
      <c r="G134" s="50" t="s">
        <v>858</v>
      </c>
      <c r="H134" s="50">
        <v>133</v>
      </c>
      <c r="I134" s="52">
        <v>1</v>
      </c>
      <c r="J134" s="52"/>
      <c r="K134" s="52">
        <v>1</v>
      </c>
      <c r="L134" s="52"/>
      <c r="M134" s="52">
        <v>1</v>
      </c>
      <c r="N134" s="52"/>
      <c r="O134" s="52">
        <v>1</v>
      </c>
      <c r="P134" s="52"/>
      <c r="Q134" s="52">
        <v>1</v>
      </c>
      <c r="R134" s="52"/>
      <c r="S134" s="52">
        <v>1</v>
      </c>
      <c r="T134" s="52"/>
      <c r="U134" s="52">
        <v>1</v>
      </c>
      <c r="V134" s="52"/>
      <c r="W134" s="52">
        <v>1</v>
      </c>
      <c r="X134" s="52"/>
      <c r="Y134" s="52">
        <v>1</v>
      </c>
      <c r="Z134" s="52"/>
      <c r="AA134" s="114">
        <v>1</v>
      </c>
      <c r="AB134" s="114"/>
      <c r="AC134" s="114">
        <v>1</v>
      </c>
      <c r="AD134" s="114"/>
    </row>
    <row r="135" spans="1:30" x14ac:dyDescent="0.2">
      <c r="A135" s="20" t="s">
        <v>14</v>
      </c>
      <c r="B135" s="20" t="s">
        <v>167</v>
      </c>
      <c r="C135" s="20" t="s">
        <v>16</v>
      </c>
      <c r="D135" s="20" t="str">
        <f t="shared" si="2"/>
        <v>B1-P5-C1</v>
      </c>
      <c r="E135" s="20" t="s">
        <v>35</v>
      </c>
      <c r="F135" s="20" t="s">
        <v>133</v>
      </c>
      <c r="G135" s="50" t="s">
        <v>859</v>
      </c>
      <c r="H135" s="50">
        <v>134</v>
      </c>
      <c r="I135" s="52">
        <v>1</v>
      </c>
      <c r="J135" s="52"/>
      <c r="K135" s="52">
        <v>1</v>
      </c>
      <c r="L135" s="52"/>
      <c r="M135" s="52">
        <v>1</v>
      </c>
      <c r="N135" s="52"/>
      <c r="O135" s="52">
        <v>1</v>
      </c>
      <c r="P135" s="52"/>
      <c r="Q135" s="52">
        <v>1</v>
      </c>
      <c r="R135" s="52"/>
      <c r="S135" s="52">
        <v>1</v>
      </c>
      <c r="T135" s="52"/>
      <c r="U135" s="52">
        <v>1</v>
      </c>
      <c r="V135" s="52"/>
      <c r="W135" s="52">
        <v>1</v>
      </c>
      <c r="X135" s="52"/>
      <c r="Y135" s="52">
        <v>1</v>
      </c>
      <c r="Z135" s="52"/>
      <c r="AA135" s="114">
        <v>1</v>
      </c>
      <c r="AB135" s="114"/>
      <c r="AC135" s="114">
        <v>1</v>
      </c>
      <c r="AD135" s="114"/>
    </row>
    <row r="136" spans="1:30" x14ac:dyDescent="0.2">
      <c r="A136" s="20" t="s">
        <v>14</v>
      </c>
      <c r="B136" s="20" t="s">
        <v>167</v>
      </c>
      <c r="C136" s="20" t="s">
        <v>16</v>
      </c>
      <c r="D136" s="20" t="str">
        <f t="shared" si="2"/>
        <v>B1-P5-C1</v>
      </c>
      <c r="E136" s="20" t="s">
        <v>35</v>
      </c>
      <c r="F136" s="20" t="s">
        <v>133</v>
      </c>
      <c r="G136" s="50" t="s">
        <v>860</v>
      </c>
      <c r="H136" s="50">
        <v>135</v>
      </c>
      <c r="I136" s="52">
        <v>1</v>
      </c>
      <c r="J136" s="52"/>
      <c r="K136" s="52">
        <v>1</v>
      </c>
      <c r="L136" s="52"/>
      <c r="M136" s="52">
        <v>1</v>
      </c>
      <c r="N136" s="52"/>
      <c r="O136" s="52">
        <v>1</v>
      </c>
      <c r="P136" s="52"/>
      <c r="Q136" s="52">
        <v>1</v>
      </c>
      <c r="R136" s="52"/>
      <c r="S136" s="52">
        <v>1</v>
      </c>
      <c r="T136" s="52"/>
      <c r="U136" s="52">
        <v>1</v>
      </c>
      <c r="V136" s="52"/>
      <c r="W136" s="52">
        <v>1</v>
      </c>
      <c r="X136" s="52"/>
      <c r="Y136" s="52">
        <v>1</v>
      </c>
      <c r="Z136" s="52"/>
      <c r="AA136" s="114">
        <v>1</v>
      </c>
      <c r="AB136" s="114"/>
      <c r="AC136" s="114">
        <v>1</v>
      </c>
      <c r="AD136" s="114"/>
    </row>
    <row r="137" spans="1:30" x14ac:dyDescent="0.2">
      <c r="A137" s="20" t="s">
        <v>14</v>
      </c>
      <c r="B137" s="20" t="s">
        <v>167</v>
      </c>
      <c r="C137" s="20" t="s">
        <v>16</v>
      </c>
      <c r="D137" s="20" t="str">
        <f t="shared" si="2"/>
        <v>B1-P5-C1</v>
      </c>
      <c r="E137" s="20" t="s">
        <v>35</v>
      </c>
      <c r="F137" s="20" t="s">
        <v>133</v>
      </c>
      <c r="G137" s="50" t="s">
        <v>861</v>
      </c>
      <c r="H137" s="50">
        <v>136</v>
      </c>
      <c r="I137" s="52">
        <v>1</v>
      </c>
      <c r="J137" s="52"/>
      <c r="K137" s="52">
        <v>1</v>
      </c>
      <c r="L137" s="52"/>
      <c r="M137" s="52">
        <v>1</v>
      </c>
      <c r="N137" s="52"/>
      <c r="O137" s="52">
        <v>1</v>
      </c>
      <c r="P137" s="52"/>
      <c r="Q137" s="52">
        <v>1</v>
      </c>
      <c r="R137" s="52"/>
      <c r="S137" s="52">
        <v>1</v>
      </c>
      <c r="T137" s="52"/>
      <c r="U137" s="52">
        <v>1</v>
      </c>
      <c r="V137" s="52"/>
      <c r="W137" s="52">
        <v>1</v>
      </c>
      <c r="X137" s="52"/>
      <c r="Y137" s="52">
        <v>1</v>
      </c>
      <c r="Z137" s="52"/>
      <c r="AA137" s="114">
        <v>1</v>
      </c>
      <c r="AB137" s="114"/>
      <c r="AC137" s="114">
        <v>1</v>
      </c>
      <c r="AD137" s="114"/>
    </row>
    <row r="138" spans="1:30" x14ac:dyDescent="0.2">
      <c r="A138" s="14" t="s">
        <v>14</v>
      </c>
      <c r="B138" s="14" t="s">
        <v>167</v>
      </c>
      <c r="C138" s="14" t="s">
        <v>32</v>
      </c>
      <c r="D138" s="14" t="str">
        <f t="shared" si="2"/>
        <v>B1-P5-C2</v>
      </c>
      <c r="E138" s="14" t="s">
        <v>19</v>
      </c>
      <c r="F138" s="14" t="s">
        <v>133</v>
      </c>
      <c r="G138" s="51" t="s">
        <v>863</v>
      </c>
      <c r="H138" s="51">
        <v>137</v>
      </c>
      <c r="I138" s="53">
        <v>1</v>
      </c>
      <c r="J138" s="54"/>
      <c r="K138" s="53">
        <v>1</v>
      </c>
      <c r="L138" s="54"/>
      <c r="M138" s="54">
        <v>1</v>
      </c>
      <c r="N138" s="54"/>
      <c r="O138" s="54">
        <v>1</v>
      </c>
      <c r="P138" s="54"/>
      <c r="Q138" s="54">
        <v>1</v>
      </c>
      <c r="R138" s="54"/>
      <c r="S138" s="54">
        <v>1.5</v>
      </c>
      <c r="T138" s="54"/>
      <c r="U138" s="54">
        <v>4</v>
      </c>
      <c r="V138" s="54"/>
      <c r="W138" s="54">
        <v>4</v>
      </c>
      <c r="X138" s="54"/>
      <c r="Y138" s="54">
        <v>4</v>
      </c>
      <c r="Z138" s="54"/>
      <c r="AA138" s="115">
        <v>4</v>
      </c>
      <c r="AB138" s="115"/>
      <c r="AC138" s="115">
        <v>4</v>
      </c>
      <c r="AD138" s="115"/>
    </row>
    <row r="139" spans="1:30" x14ac:dyDescent="0.2">
      <c r="A139" s="14" t="s">
        <v>14</v>
      </c>
      <c r="B139" s="14" t="s">
        <v>167</v>
      </c>
      <c r="C139" s="14" t="s">
        <v>32</v>
      </c>
      <c r="D139" s="14" t="str">
        <f t="shared" si="2"/>
        <v>B1-P5-C2</v>
      </c>
      <c r="E139" s="14" t="s">
        <v>35</v>
      </c>
      <c r="F139" s="14" t="s">
        <v>133</v>
      </c>
      <c r="G139" s="51" t="s">
        <v>864</v>
      </c>
      <c r="H139" s="51">
        <v>138</v>
      </c>
      <c r="I139" s="53">
        <v>1</v>
      </c>
      <c r="J139" s="54"/>
      <c r="K139" s="53">
        <v>1</v>
      </c>
      <c r="L139" s="54"/>
      <c r="M139" s="54">
        <v>1</v>
      </c>
      <c r="N139" s="54"/>
      <c r="O139" s="54">
        <v>1</v>
      </c>
      <c r="P139" s="54"/>
      <c r="Q139" s="54">
        <v>1</v>
      </c>
      <c r="R139" s="54"/>
      <c r="S139" s="54">
        <v>1</v>
      </c>
      <c r="T139" s="54"/>
      <c r="U139" s="54">
        <v>1</v>
      </c>
      <c r="V139" s="54"/>
      <c r="W139" s="54">
        <v>1</v>
      </c>
      <c r="X139" s="54"/>
      <c r="Y139" s="54">
        <v>1</v>
      </c>
      <c r="Z139" s="54"/>
      <c r="AA139" s="115">
        <v>1</v>
      </c>
      <c r="AB139" s="115"/>
      <c r="AC139" s="115">
        <v>1</v>
      </c>
      <c r="AD139" s="115"/>
    </row>
    <row r="140" spans="1:30" x14ac:dyDescent="0.2">
      <c r="A140" s="14" t="s">
        <v>14</v>
      </c>
      <c r="B140" s="14" t="s">
        <v>167</v>
      </c>
      <c r="C140" s="14" t="s">
        <v>32</v>
      </c>
      <c r="D140" s="14" t="str">
        <f t="shared" si="2"/>
        <v>B1-P5-C2</v>
      </c>
      <c r="E140" s="14" t="s">
        <v>35</v>
      </c>
      <c r="F140" s="14" t="s">
        <v>133</v>
      </c>
      <c r="G140" s="51" t="s">
        <v>865</v>
      </c>
      <c r="H140" s="51">
        <v>139</v>
      </c>
      <c r="I140" s="53">
        <v>1</v>
      </c>
      <c r="J140" s="54"/>
      <c r="K140" s="53">
        <v>1</v>
      </c>
      <c r="L140" s="54"/>
      <c r="M140" s="54">
        <v>1</v>
      </c>
      <c r="N140" s="54"/>
      <c r="O140" s="54">
        <v>1</v>
      </c>
      <c r="P140" s="54"/>
      <c r="Q140" s="54">
        <v>1</v>
      </c>
      <c r="R140" s="54"/>
      <c r="S140" s="54">
        <v>1</v>
      </c>
      <c r="T140" s="54"/>
      <c r="U140" s="54">
        <v>1</v>
      </c>
      <c r="V140" s="54"/>
      <c r="W140" s="54">
        <v>1</v>
      </c>
      <c r="X140" s="54"/>
      <c r="Y140" s="54">
        <v>1</v>
      </c>
      <c r="Z140" s="54"/>
      <c r="AA140" s="115">
        <v>1</v>
      </c>
      <c r="AB140" s="115"/>
      <c r="AC140" s="115">
        <v>1</v>
      </c>
      <c r="AD140" s="115"/>
    </row>
    <row r="141" spans="1:30" x14ac:dyDescent="0.2">
      <c r="A141" s="14" t="s">
        <v>14</v>
      </c>
      <c r="B141" s="14" t="s">
        <v>167</v>
      </c>
      <c r="C141" s="14" t="s">
        <v>32</v>
      </c>
      <c r="D141" s="14" t="str">
        <f t="shared" si="2"/>
        <v>B1-P5-C2</v>
      </c>
      <c r="E141" s="14" t="s">
        <v>19</v>
      </c>
      <c r="F141" s="14" t="s">
        <v>133</v>
      </c>
      <c r="G141" s="51" t="s">
        <v>866</v>
      </c>
      <c r="H141" s="51">
        <v>140</v>
      </c>
      <c r="I141" s="53">
        <v>1</v>
      </c>
      <c r="J141" s="54"/>
      <c r="K141" s="53">
        <v>1</v>
      </c>
      <c r="L141" s="54"/>
      <c r="M141" s="54">
        <v>1</v>
      </c>
      <c r="N141" s="54"/>
      <c r="O141" s="54">
        <v>1</v>
      </c>
      <c r="P141" s="54"/>
      <c r="Q141" s="54">
        <v>1</v>
      </c>
      <c r="R141" s="54"/>
      <c r="S141" s="54">
        <v>1</v>
      </c>
      <c r="T141" s="54"/>
      <c r="U141" s="54">
        <v>4</v>
      </c>
      <c r="V141" s="54"/>
      <c r="W141" s="54">
        <v>4</v>
      </c>
      <c r="X141" s="54"/>
      <c r="Y141" s="54">
        <v>4</v>
      </c>
      <c r="Z141" s="54"/>
      <c r="AA141" s="115">
        <v>4</v>
      </c>
      <c r="AB141" s="115"/>
      <c r="AC141" s="115">
        <v>4</v>
      </c>
      <c r="AD141" s="115"/>
    </row>
    <row r="142" spans="1:30" x14ac:dyDescent="0.2">
      <c r="A142" s="14" t="s">
        <v>14</v>
      </c>
      <c r="B142" s="14" t="s">
        <v>167</v>
      </c>
      <c r="C142" s="14" t="s">
        <v>32</v>
      </c>
      <c r="D142" s="14" t="str">
        <f t="shared" si="2"/>
        <v>B1-P5-C2</v>
      </c>
      <c r="E142" s="14" t="s">
        <v>19</v>
      </c>
      <c r="F142" s="14" t="s">
        <v>133</v>
      </c>
      <c r="G142" s="51" t="s">
        <v>867</v>
      </c>
      <c r="H142" s="51">
        <v>141</v>
      </c>
      <c r="I142" s="53">
        <v>1</v>
      </c>
      <c r="J142" s="54"/>
      <c r="K142" s="53">
        <v>1</v>
      </c>
      <c r="L142" s="54"/>
      <c r="M142" s="54">
        <v>1</v>
      </c>
      <c r="N142" s="54"/>
      <c r="O142" s="54">
        <v>1</v>
      </c>
      <c r="P142" s="54"/>
      <c r="Q142" s="54">
        <v>1</v>
      </c>
      <c r="R142" s="54"/>
      <c r="S142" s="54">
        <v>1.5</v>
      </c>
      <c r="T142" s="54"/>
      <c r="U142" s="54">
        <v>4</v>
      </c>
      <c r="V142" s="54"/>
      <c r="W142" s="54">
        <v>3</v>
      </c>
      <c r="X142" s="54" t="s">
        <v>1867</v>
      </c>
      <c r="Y142" s="54">
        <v>3</v>
      </c>
      <c r="Z142" s="54" t="s">
        <v>1867</v>
      </c>
      <c r="AA142" s="115">
        <v>4</v>
      </c>
      <c r="AB142" s="115"/>
      <c r="AC142" s="115">
        <v>4</v>
      </c>
      <c r="AD142" s="115"/>
    </row>
    <row r="143" spans="1:30" x14ac:dyDescent="0.2">
      <c r="A143" s="14" t="s">
        <v>14</v>
      </c>
      <c r="B143" s="14" t="s">
        <v>167</v>
      </c>
      <c r="C143" s="14" t="s">
        <v>32</v>
      </c>
      <c r="D143" s="14" t="str">
        <f t="shared" si="2"/>
        <v>B1-P5-C2</v>
      </c>
      <c r="E143" s="14" t="s">
        <v>35</v>
      </c>
      <c r="F143" s="14" t="s">
        <v>133</v>
      </c>
      <c r="G143" s="51" t="s">
        <v>868</v>
      </c>
      <c r="H143" s="51">
        <v>142</v>
      </c>
      <c r="I143" s="53">
        <v>1</v>
      </c>
      <c r="J143" s="54"/>
      <c r="K143" s="53">
        <v>1</v>
      </c>
      <c r="L143" s="54"/>
      <c r="M143" s="54">
        <v>1</v>
      </c>
      <c r="N143" s="54"/>
      <c r="O143" s="54">
        <v>1</v>
      </c>
      <c r="P143" s="54"/>
      <c r="Q143" s="54">
        <v>1</v>
      </c>
      <c r="R143" s="54"/>
      <c r="S143" s="54">
        <v>1</v>
      </c>
      <c r="T143" s="54"/>
      <c r="U143" s="54">
        <v>1</v>
      </c>
      <c r="V143" s="54"/>
      <c r="W143" s="54">
        <v>1</v>
      </c>
      <c r="X143" s="54"/>
      <c r="Y143" s="54">
        <v>1</v>
      </c>
      <c r="Z143" s="54"/>
      <c r="AA143" s="115">
        <v>1</v>
      </c>
      <c r="AB143" s="115"/>
      <c r="AC143" s="115">
        <v>1</v>
      </c>
      <c r="AD143" s="115"/>
    </row>
    <row r="144" spans="1:30" x14ac:dyDescent="0.2">
      <c r="A144" s="14" t="s">
        <v>14</v>
      </c>
      <c r="B144" s="14" t="s">
        <v>167</v>
      </c>
      <c r="C144" s="14" t="s">
        <v>32</v>
      </c>
      <c r="D144" s="14" t="str">
        <f t="shared" si="2"/>
        <v>B1-P5-C2</v>
      </c>
      <c r="E144" s="14" t="s">
        <v>35</v>
      </c>
      <c r="F144" s="14" t="s">
        <v>133</v>
      </c>
      <c r="G144" s="51" t="s">
        <v>869</v>
      </c>
      <c r="H144" s="51">
        <v>143</v>
      </c>
      <c r="I144" s="53">
        <v>1</v>
      </c>
      <c r="J144" s="54"/>
      <c r="K144" s="53">
        <v>1</v>
      </c>
      <c r="L144" s="54"/>
      <c r="M144" s="54">
        <v>1</v>
      </c>
      <c r="N144" s="54"/>
      <c r="O144" s="54">
        <v>1</v>
      </c>
      <c r="P144" s="54"/>
      <c r="Q144" s="54">
        <v>1</v>
      </c>
      <c r="R144" s="54"/>
      <c r="S144" s="54">
        <v>1</v>
      </c>
      <c r="T144" s="54"/>
      <c r="U144" s="54">
        <v>1</v>
      </c>
      <c r="V144" s="54"/>
      <c r="W144" s="54">
        <v>1</v>
      </c>
      <c r="X144" s="54"/>
      <c r="Y144" s="54">
        <v>1</v>
      </c>
      <c r="Z144" s="54"/>
      <c r="AA144" s="115">
        <v>1</v>
      </c>
      <c r="AB144" s="115"/>
      <c r="AC144" s="115">
        <v>1</v>
      </c>
      <c r="AD144" s="115"/>
    </row>
    <row r="145" spans="1:30" x14ac:dyDescent="0.2">
      <c r="A145" s="14" t="s">
        <v>14</v>
      </c>
      <c r="B145" s="14" t="s">
        <v>167</v>
      </c>
      <c r="C145" s="14" t="s">
        <v>32</v>
      </c>
      <c r="D145" s="14" t="str">
        <f t="shared" si="2"/>
        <v>B1-P5-C2</v>
      </c>
      <c r="E145" s="14" t="s">
        <v>19</v>
      </c>
      <c r="F145" s="14" t="s">
        <v>133</v>
      </c>
      <c r="G145" s="51" t="s">
        <v>870</v>
      </c>
      <c r="H145" s="51">
        <v>144</v>
      </c>
      <c r="I145" s="53">
        <v>1</v>
      </c>
      <c r="J145" s="54"/>
      <c r="K145" s="53">
        <v>2</v>
      </c>
      <c r="L145" s="54"/>
      <c r="M145" s="54">
        <v>2</v>
      </c>
      <c r="N145" s="54"/>
      <c r="O145" s="54">
        <v>2</v>
      </c>
      <c r="P145" s="54"/>
      <c r="Q145" s="54">
        <v>1</v>
      </c>
      <c r="R145" s="54"/>
      <c r="S145" s="54">
        <v>1.5</v>
      </c>
      <c r="T145" s="54"/>
      <c r="U145" s="54">
        <v>4</v>
      </c>
      <c r="V145" s="54"/>
      <c r="W145" s="54">
        <v>4</v>
      </c>
      <c r="X145" s="54"/>
      <c r="Y145" s="54">
        <v>4</v>
      </c>
      <c r="Z145" s="54"/>
      <c r="AA145" s="115">
        <v>4</v>
      </c>
      <c r="AB145" s="115"/>
      <c r="AC145" s="115">
        <v>4</v>
      </c>
      <c r="AD145" s="115"/>
    </row>
    <row r="146" spans="1:30" x14ac:dyDescent="0.2">
      <c r="A146" s="20" t="s">
        <v>14</v>
      </c>
      <c r="B146" s="20" t="s">
        <v>167</v>
      </c>
      <c r="C146" s="20" t="s">
        <v>42</v>
      </c>
      <c r="D146" s="20" t="str">
        <f t="shared" si="2"/>
        <v>B1-P5-C3</v>
      </c>
      <c r="E146" s="20" t="s">
        <v>19</v>
      </c>
      <c r="F146" s="20" t="s">
        <v>133</v>
      </c>
      <c r="G146" s="50" t="s">
        <v>872</v>
      </c>
      <c r="H146" s="50">
        <v>145</v>
      </c>
      <c r="I146" s="52">
        <v>1</v>
      </c>
      <c r="J146" s="52"/>
      <c r="K146" s="52">
        <v>1</v>
      </c>
      <c r="L146" s="52"/>
      <c r="M146" s="52">
        <v>1</v>
      </c>
      <c r="N146" s="52"/>
      <c r="O146" s="52">
        <v>1</v>
      </c>
      <c r="P146" s="52"/>
      <c r="Q146" s="52">
        <v>1</v>
      </c>
      <c r="R146" s="52"/>
      <c r="S146" s="52">
        <v>1</v>
      </c>
      <c r="T146" s="52"/>
      <c r="U146" s="52">
        <v>1</v>
      </c>
      <c r="V146" s="52"/>
      <c r="W146" s="52">
        <v>1</v>
      </c>
      <c r="X146" s="52"/>
      <c r="Y146" s="52">
        <v>1</v>
      </c>
      <c r="Z146" s="52"/>
      <c r="AA146" s="114">
        <v>1</v>
      </c>
      <c r="AB146" s="114"/>
      <c r="AC146" s="114">
        <v>4</v>
      </c>
      <c r="AD146" s="114"/>
    </row>
    <row r="147" spans="1:30" x14ac:dyDescent="0.2">
      <c r="A147" s="20" t="s">
        <v>14</v>
      </c>
      <c r="B147" s="20" t="s">
        <v>167</v>
      </c>
      <c r="C147" s="20" t="s">
        <v>42</v>
      </c>
      <c r="D147" s="20" t="str">
        <f t="shared" si="2"/>
        <v>B1-P5-C3</v>
      </c>
      <c r="E147" s="20" t="s">
        <v>19</v>
      </c>
      <c r="F147" s="20" t="s">
        <v>133</v>
      </c>
      <c r="G147" s="50" t="s">
        <v>873</v>
      </c>
      <c r="H147" s="50">
        <v>146</v>
      </c>
      <c r="I147" s="52">
        <v>1</v>
      </c>
      <c r="J147" s="52"/>
      <c r="K147" s="52">
        <v>1</v>
      </c>
      <c r="L147" s="52"/>
      <c r="M147" s="52">
        <v>1</v>
      </c>
      <c r="N147" s="52"/>
      <c r="O147" s="52">
        <v>1</v>
      </c>
      <c r="P147" s="52"/>
      <c r="Q147" s="52">
        <v>1</v>
      </c>
      <c r="R147" s="52"/>
      <c r="S147" s="52">
        <v>1</v>
      </c>
      <c r="T147" s="52"/>
      <c r="U147" s="52">
        <v>1</v>
      </c>
      <c r="V147" s="52"/>
      <c r="W147" s="52">
        <v>1</v>
      </c>
      <c r="X147" s="52"/>
      <c r="Y147" s="52">
        <v>1</v>
      </c>
      <c r="Z147" s="52"/>
      <c r="AA147" s="114">
        <v>2</v>
      </c>
      <c r="AB147" s="114"/>
      <c r="AC147" s="114">
        <v>4</v>
      </c>
      <c r="AD147" s="114"/>
    </row>
    <row r="148" spans="1:30" x14ac:dyDescent="0.2">
      <c r="A148" s="20" t="s">
        <v>14</v>
      </c>
      <c r="B148" s="20" t="s">
        <v>167</v>
      </c>
      <c r="C148" s="20" t="s">
        <v>42</v>
      </c>
      <c r="D148" s="20" t="str">
        <f t="shared" si="2"/>
        <v>B1-P5-C3</v>
      </c>
      <c r="E148" s="20" t="s">
        <v>19</v>
      </c>
      <c r="F148" s="20" t="s">
        <v>133</v>
      </c>
      <c r="G148" s="50" t="s">
        <v>874</v>
      </c>
      <c r="H148" s="50">
        <v>147</v>
      </c>
      <c r="I148" s="52">
        <v>1</v>
      </c>
      <c r="J148" s="52"/>
      <c r="K148" s="52">
        <v>1</v>
      </c>
      <c r="L148" s="52"/>
      <c r="M148" s="52">
        <v>1</v>
      </c>
      <c r="N148" s="52"/>
      <c r="O148" s="52">
        <v>1</v>
      </c>
      <c r="P148" s="52"/>
      <c r="Q148" s="52">
        <v>1</v>
      </c>
      <c r="R148" s="52"/>
      <c r="S148" s="52">
        <v>1</v>
      </c>
      <c r="T148" s="52"/>
      <c r="U148" s="52">
        <v>1</v>
      </c>
      <c r="V148" s="52"/>
      <c r="W148" s="52">
        <v>1</v>
      </c>
      <c r="X148" s="52"/>
      <c r="Y148" s="52">
        <v>1</v>
      </c>
      <c r="Z148" s="52"/>
      <c r="AA148" s="114">
        <v>1</v>
      </c>
      <c r="AB148" s="114"/>
      <c r="AC148" s="114">
        <v>3</v>
      </c>
      <c r="AD148" s="114"/>
    </row>
    <row r="149" spans="1:30" x14ac:dyDescent="0.2">
      <c r="A149" s="20" t="s">
        <v>14</v>
      </c>
      <c r="B149" s="20" t="s">
        <v>167</v>
      </c>
      <c r="C149" s="20" t="s">
        <v>42</v>
      </c>
      <c r="D149" s="20" t="str">
        <f t="shared" si="2"/>
        <v>B1-P5-C3</v>
      </c>
      <c r="E149" s="20" t="s">
        <v>19</v>
      </c>
      <c r="F149" s="20" t="s">
        <v>133</v>
      </c>
      <c r="G149" s="50" t="s">
        <v>875</v>
      </c>
      <c r="H149" s="50">
        <v>148</v>
      </c>
      <c r="I149" s="52">
        <v>1</v>
      </c>
      <c r="J149" s="52"/>
      <c r="K149" s="52">
        <v>1</v>
      </c>
      <c r="L149" s="52"/>
      <c r="M149" s="52">
        <v>1</v>
      </c>
      <c r="N149" s="52"/>
      <c r="O149" s="52">
        <v>1</v>
      </c>
      <c r="P149" s="52"/>
      <c r="Q149" s="52">
        <v>1</v>
      </c>
      <c r="R149" s="52"/>
      <c r="S149" s="52">
        <v>1</v>
      </c>
      <c r="T149" s="52"/>
      <c r="U149" s="52">
        <v>1</v>
      </c>
      <c r="V149" s="52"/>
      <c r="W149" s="52">
        <v>1</v>
      </c>
      <c r="X149" s="52"/>
      <c r="Y149" s="52">
        <v>1</v>
      </c>
      <c r="Z149" s="52"/>
      <c r="AA149" s="114">
        <v>1</v>
      </c>
      <c r="AB149" s="114"/>
      <c r="AC149" s="114">
        <v>3</v>
      </c>
      <c r="AD149" s="114"/>
    </row>
    <row r="150" spans="1:30" x14ac:dyDescent="0.2">
      <c r="A150" s="20" t="s">
        <v>14</v>
      </c>
      <c r="B150" s="20" t="s">
        <v>167</v>
      </c>
      <c r="C150" s="20" t="s">
        <v>42</v>
      </c>
      <c r="D150" s="20" t="str">
        <f t="shared" si="2"/>
        <v>B1-P5-C3</v>
      </c>
      <c r="E150" s="20" t="s">
        <v>19</v>
      </c>
      <c r="F150" s="20" t="s">
        <v>133</v>
      </c>
      <c r="G150" s="50" t="s">
        <v>876</v>
      </c>
      <c r="H150" s="50">
        <v>149</v>
      </c>
      <c r="I150" s="52">
        <v>1</v>
      </c>
      <c r="J150" s="52"/>
      <c r="K150" s="52">
        <v>1</v>
      </c>
      <c r="L150" s="52"/>
      <c r="M150" s="52">
        <v>1</v>
      </c>
      <c r="N150" s="52"/>
      <c r="O150" s="52">
        <v>1</v>
      </c>
      <c r="P150" s="52"/>
      <c r="Q150" s="52">
        <v>1</v>
      </c>
      <c r="R150" s="52"/>
      <c r="S150" s="52">
        <v>1</v>
      </c>
      <c r="T150" s="52"/>
      <c r="U150" s="52">
        <v>1</v>
      </c>
      <c r="V150" s="52"/>
      <c r="W150" s="52">
        <v>1</v>
      </c>
      <c r="X150" s="52"/>
      <c r="Y150" s="52">
        <v>1</v>
      </c>
      <c r="Z150" s="52"/>
      <c r="AA150" s="114">
        <v>1</v>
      </c>
      <c r="AB150" s="114"/>
      <c r="AC150" s="114">
        <v>3</v>
      </c>
      <c r="AD150" s="114"/>
    </row>
    <row r="151" spans="1:30" x14ac:dyDescent="0.2">
      <c r="A151" s="20" t="s">
        <v>14</v>
      </c>
      <c r="B151" s="20" t="s">
        <v>167</v>
      </c>
      <c r="C151" s="20" t="s">
        <v>42</v>
      </c>
      <c r="D151" s="20" t="str">
        <f t="shared" si="2"/>
        <v>B1-P5-C3</v>
      </c>
      <c r="E151" s="20" t="s">
        <v>19</v>
      </c>
      <c r="F151" s="20" t="s">
        <v>133</v>
      </c>
      <c r="G151" s="50" t="s">
        <v>877</v>
      </c>
      <c r="H151" s="50">
        <v>150</v>
      </c>
      <c r="I151" s="52">
        <v>1</v>
      </c>
      <c r="J151" s="52"/>
      <c r="K151" s="52">
        <v>1</v>
      </c>
      <c r="L151" s="52"/>
      <c r="M151" s="52">
        <v>1</v>
      </c>
      <c r="N151" s="52"/>
      <c r="O151" s="52">
        <v>1</v>
      </c>
      <c r="P151" s="52"/>
      <c r="Q151" s="52">
        <v>1</v>
      </c>
      <c r="R151" s="52"/>
      <c r="S151" s="52">
        <v>1</v>
      </c>
      <c r="T151" s="52"/>
      <c r="U151" s="52">
        <v>1</v>
      </c>
      <c r="V151" s="52"/>
      <c r="W151" s="52">
        <v>1</v>
      </c>
      <c r="X151" s="52"/>
      <c r="Y151" s="52">
        <v>1</v>
      </c>
      <c r="Z151" s="52"/>
      <c r="AA151" s="114">
        <v>1</v>
      </c>
      <c r="AB151" s="114"/>
      <c r="AC151" s="114">
        <v>3</v>
      </c>
      <c r="AD151" s="114"/>
    </row>
    <row r="152" spans="1:30" x14ac:dyDescent="0.2">
      <c r="A152" s="20" t="s">
        <v>14</v>
      </c>
      <c r="B152" s="20" t="s">
        <v>167</v>
      </c>
      <c r="C152" s="20" t="s">
        <v>42</v>
      </c>
      <c r="D152" s="20" t="str">
        <f t="shared" si="2"/>
        <v>B1-P5-C3</v>
      </c>
      <c r="E152" s="20" t="s">
        <v>19</v>
      </c>
      <c r="F152" s="20" t="s">
        <v>133</v>
      </c>
      <c r="G152" s="50" t="s">
        <v>878</v>
      </c>
      <c r="H152" s="50">
        <v>151</v>
      </c>
      <c r="I152" s="52">
        <v>1</v>
      </c>
      <c r="J152" s="52"/>
      <c r="K152" s="52">
        <v>1</v>
      </c>
      <c r="L152" s="52"/>
      <c r="M152" s="52">
        <v>1</v>
      </c>
      <c r="N152" s="52"/>
      <c r="O152" s="52">
        <v>1</v>
      </c>
      <c r="P152" s="52"/>
      <c r="Q152" s="52">
        <v>1</v>
      </c>
      <c r="R152" s="52"/>
      <c r="S152" s="52">
        <v>1</v>
      </c>
      <c r="T152" s="52"/>
      <c r="U152" s="52">
        <v>1</v>
      </c>
      <c r="V152" s="52"/>
      <c r="W152" s="52">
        <v>1</v>
      </c>
      <c r="X152" s="52"/>
      <c r="Y152" s="52">
        <v>1</v>
      </c>
      <c r="Z152" s="52"/>
      <c r="AA152" s="114">
        <v>1</v>
      </c>
      <c r="AB152" s="114"/>
      <c r="AC152" s="114">
        <v>3</v>
      </c>
      <c r="AD152" s="114"/>
    </row>
    <row r="153" spans="1:30" x14ac:dyDescent="0.2">
      <c r="A153" s="20" t="s">
        <v>14</v>
      </c>
      <c r="B153" s="20" t="s">
        <v>167</v>
      </c>
      <c r="C153" s="20" t="s">
        <v>42</v>
      </c>
      <c r="D153" s="20" t="str">
        <f t="shared" si="2"/>
        <v>B1-P5-C3</v>
      </c>
      <c r="E153" s="20" t="s">
        <v>19</v>
      </c>
      <c r="F153" s="20" t="s">
        <v>133</v>
      </c>
      <c r="G153" s="50" t="s">
        <v>879</v>
      </c>
      <c r="H153" s="50">
        <v>152</v>
      </c>
      <c r="I153" s="52">
        <v>1</v>
      </c>
      <c r="J153" s="52"/>
      <c r="K153" s="52">
        <v>1</v>
      </c>
      <c r="L153" s="52"/>
      <c r="M153" s="52">
        <v>1</v>
      </c>
      <c r="N153" s="52"/>
      <c r="O153" s="52">
        <v>1</v>
      </c>
      <c r="P153" s="52"/>
      <c r="Q153" s="52">
        <v>1</v>
      </c>
      <c r="R153" s="52"/>
      <c r="S153" s="52">
        <v>1</v>
      </c>
      <c r="T153" s="52"/>
      <c r="U153" s="52">
        <v>1</v>
      </c>
      <c r="V153" s="52"/>
      <c r="W153" s="52">
        <v>1</v>
      </c>
      <c r="X153" s="52"/>
      <c r="Y153" s="52">
        <v>1</v>
      </c>
      <c r="Z153" s="52"/>
      <c r="AA153" s="114">
        <v>1</v>
      </c>
      <c r="AB153" s="114"/>
      <c r="AC153" s="114">
        <v>4</v>
      </c>
      <c r="AD153" s="114"/>
    </row>
    <row r="154" spans="1:30" x14ac:dyDescent="0.2">
      <c r="A154" s="14" t="s">
        <v>14</v>
      </c>
      <c r="B154" s="14" t="s">
        <v>167</v>
      </c>
      <c r="C154" s="14" t="s">
        <v>53</v>
      </c>
      <c r="D154" s="14" t="str">
        <f t="shared" si="2"/>
        <v>B1-P5-C4</v>
      </c>
      <c r="E154" s="14" t="s">
        <v>35</v>
      </c>
      <c r="F154" s="14" t="s">
        <v>133</v>
      </c>
      <c r="G154" s="51" t="s">
        <v>881</v>
      </c>
      <c r="H154" s="51">
        <v>153</v>
      </c>
      <c r="I154" s="53">
        <v>1</v>
      </c>
      <c r="J154" s="54"/>
      <c r="K154" s="53">
        <v>1</v>
      </c>
      <c r="L154" s="54"/>
      <c r="M154" s="54">
        <v>1</v>
      </c>
      <c r="N154" s="54"/>
      <c r="O154" s="54">
        <v>1</v>
      </c>
      <c r="P154" s="54"/>
      <c r="Q154" s="54">
        <v>1</v>
      </c>
      <c r="R154" s="54"/>
      <c r="S154" s="54">
        <v>1</v>
      </c>
      <c r="T154" s="54"/>
      <c r="U154" s="54">
        <v>1</v>
      </c>
      <c r="V154" s="54"/>
      <c r="W154" s="54">
        <v>1</v>
      </c>
      <c r="X154" s="54"/>
      <c r="Y154" s="54">
        <v>1</v>
      </c>
      <c r="Z154" s="54"/>
      <c r="AA154" s="115">
        <v>1</v>
      </c>
      <c r="AB154" s="115"/>
      <c r="AC154" s="115">
        <v>1</v>
      </c>
      <c r="AD154" s="115"/>
    </row>
    <row r="155" spans="1:30" x14ac:dyDescent="0.2">
      <c r="A155" s="14" t="s">
        <v>14</v>
      </c>
      <c r="B155" s="14" t="s">
        <v>167</v>
      </c>
      <c r="C155" s="14" t="s">
        <v>53</v>
      </c>
      <c r="D155" s="14" t="str">
        <f t="shared" si="2"/>
        <v>B1-P5-C4</v>
      </c>
      <c r="E155" s="14" t="s">
        <v>35</v>
      </c>
      <c r="F155" s="14" t="s">
        <v>133</v>
      </c>
      <c r="G155" s="51" t="s">
        <v>882</v>
      </c>
      <c r="H155" s="51">
        <v>154</v>
      </c>
      <c r="I155" s="53">
        <v>1</v>
      </c>
      <c r="J155" s="54"/>
      <c r="K155" s="53">
        <v>1</v>
      </c>
      <c r="L155" s="54"/>
      <c r="M155" s="54">
        <v>1</v>
      </c>
      <c r="N155" s="54"/>
      <c r="O155" s="54">
        <v>1</v>
      </c>
      <c r="P155" s="54"/>
      <c r="Q155" s="54">
        <v>1</v>
      </c>
      <c r="R155" s="54"/>
      <c r="S155" s="54">
        <v>1</v>
      </c>
      <c r="T155" s="54"/>
      <c r="U155" s="54">
        <v>1</v>
      </c>
      <c r="V155" s="54"/>
      <c r="W155" s="54">
        <v>1</v>
      </c>
      <c r="X155" s="54"/>
      <c r="Y155" s="54">
        <v>1</v>
      </c>
      <c r="Z155" s="54"/>
      <c r="AA155" s="115">
        <v>1</v>
      </c>
      <c r="AB155" s="115"/>
      <c r="AC155" s="115">
        <v>1</v>
      </c>
      <c r="AD155" s="115"/>
    </row>
    <row r="156" spans="1:30" x14ac:dyDescent="0.2">
      <c r="A156" s="14" t="s">
        <v>14</v>
      </c>
      <c r="B156" s="14" t="s">
        <v>167</v>
      </c>
      <c r="C156" s="14" t="s">
        <v>53</v>
      </c>
      <c r="D156" s="14" t="str">
        <f t="shared" si="2"/>
        <v>B1-P5-C4</v>
      </c>
      <c r="E156" s="14" t="s">
        <v>35</v>
      </c>
      <c r="F156" s="14" t="s">
        <v>133</v>
      </c>
      <c r="G156" s="51" t="s">
        <v>883</v>
      </c>
      <c r="H156" s="51">
        <v>155</v>
      </c>
      <c r="I156" s="53">
        <v>1</v>
      </c>
      <c r="J156" s="54"/>
      <c r="K156" s="53">
        <v>1</v>
      </c>
      <c r="L156" s="54"/>
      <c r="M156" s="54">
        <v>1</v>
      </c>
      <c r="N156" s="54"/>
      <c r="O156" s="54">
        <v>1</v>
      </c>
      <c r="P156" s="54"/>
      <c r="Q156" s="54">
        <v>1</v>
      </c>
      <c r="R156" s="54"/>
      <c r="S156" s="54">
        <v>1</v>
      </c>
      <c r="T156" s="54"/>
      <c r="U156" s="54">
        <v>1</v>
      </c>
      <c r="V156" s="54"/>
      <c r="W156" s="54">
        <v>1</v>
      </c>
      <c r="X156" s="54"/>
      <c r="Y156" s="54">
        <v>1</v>
      </c>
      <c r="Z156" s="54"/>
      <c r="AA156" s="115">
        <v>1</v>
      </c>
      <c r="AB156" s="115"/>
      <c r="AC156" s="115">
        <v>1</v>
      </c>
      <c r="AD156" s="115"/>
    </row>
    <row r="157" spans="1:30" x14ac:dyDescent="0.2">
      <c r="A157" s="14" t="s">
        <v>14</v>
      </c>
      <c r="B157" s="14" t="s">
        <v>167</v>
      </c>
      <c r="C157" s="14" t="s">
        <v>53</v>
      </c>
      <c r="D157" s="14" t="str">
        <f t="shared" si="2"/>
        <v>B1-P5-C4</v>
      </c>
      <c r="E157" s="14" t="s">
        <v>35</v>
      </c>
      <c r="F157" s="14" t="s">
        <v>133</v>
      </c>
      <c r="G157" s="51" t="s">
        <v>884</v>
      </c>
      <c r="H157" s="51">
        <v>156</v>
      </c>
      <c r="I157" s="53">
        <v>1</v>
      </c>
      <c r="J157" s="54"/>
      <c r="K157" s="53">
        <v>1</v>
      </c>
      <c r="L157" s="54"/>
      <c r="M157" s="54">
        <v>1</v>
      </c>
      <c r="N157" s="54"/>
      <c r="O157" s="54">
        <v>1</v>
      </c>
      <c r="P157" s="54"/>
      <c r="Q157" s="54">
        <v>1</v>
      </c>
      <c r="R157" s="54"/>
      <c r="S157" s="54">
        <v>1</v>
      </c>
      <c r="T157" s="54"/>
      <c r="U157" s="54">
        <v>1</v>
      </c>
      <c r="V157" s="54"/>
      <c r="W157" s="54">
        <v>1</v>
      </c>
      <c r="X157" s="54"/>
      <c r="Y157" s="54">
        <v>1</v>
      </c>
      <c r="Z157" s="54"/>
      <c r="AA157" s="115">
        <v>1</v>
      </c>
      <c r="AB157" s="115"/>
      <c r="AC157" s="115">
        <v>1</v>
      </c>
      <c r="AD157" s="115"/>
    </row>
    <row r="158" spans="1:30" x14ac:dyDescent="0.2">
      <c r="A158" s="14" t="s">
        <v>14</v>
      </c>
      <c r="B158" s="14" t="s">
        <v>167</v>
      </c>
      <c r="C158" s="14" t="s">
        <v>53</v>
      </c>
      <c r="D158" s="14" t="str">
        <f t="shared" si="2"/>
        <v>B1-P5-C4</v>
      </c>
      <c r="E158" s="14" t="s">
        <v>35</v>
      </c>
      <c r="F158" s="14" t="s">
        <v>133</v>
      </c>
      <c r="G158" s="51" t="s">
        <v>885</v>
      </c>
      <c r="H158" s="51">
        <v>157</v>
      </c>
      <c r="I158" s="53">
        <v>1</v>
      </c>
      <c r="J158" s="54"/>
      <c r="K158" s="53">
        <v>1</v>
      </c>
      <c r="L158" s="54"/>
      <c r="M158" s="54">
        <v>1</v>
      </c>
      <c r="N158" s="54"/>
      <c r="O158" s="54">
        <v>1</v>
      </c>
      <c r="P158" s="54"/>
      <c r="Q158" s="54">
        <v>1</v>
      </c>
      <c r="R158" s="54"/>
      <c r="S158" s="54">
        <v>1</v>
      </c>
      <c r="T158" s="54"/>
      <c r="U158" s="54">
        <v>1</v>
      </c>
      <c r="V158" s="54"/>
      <c r="W158" s="54">
        <v>1</v>
      </c>
      <c r="X158" s="54"/>
      <c r="Y158" s="54">
        <v>1</v>
      </c>
      <c r="Z158" s="54"/>
      <c r="AA158" s="115">
        <v>1</v>
      </c>
      <c r="AB158" s="115"/>
      <c r="AC158" s="115">
        <v>1</v>
      </c>
      <c r="AD158" s="115"/>
    </row>
    <row r="159" spans="1:30" x14ac:dyDescent="0.2">
      <c r="A159" s="14" t="s">
        <v>14</v>
      </c>
      <c r="B159" s="14" t="s">
        <v>167</v>
      </c>
      <c r="C159" s="14" t="s">
        <v>53</v>
      </c>
      <c r="D159" s="14" t="str">
        <f t="shared" si="2"/>
        <v>B1-P5-C4</v>
      </c>
      <c r="E159" s="14" t="s">
        <v>35</v>
      </c>
      <c r="F159" s="14" t="s">
        <v>133</v>
      </c>
      <c r="G159" s="51" t="s">
        <v>886</v>
      </c>
      <c r="H159" s="51">
        <v>158</v>
      </c>
      <c r="I159" s="53">
        <v>1</v>
      </c>
      <c r="J159" s="54"/>
      <c r="K159" s="53">
        <v>1</v>
      </c>
      <c r="L159" s="54"/>
      <c r="M159" s="54">
        <v>1</v>
      </c>
      <c r="N159" s="54"/>
      <c r="O159" s="54">
        <v>1</v>
      </c>
      <c r="P159" s="54"/>
      <c r="Q159" s="54">
        <v>1</v>
      </c>
      <c r="R159" s="54"/>
      <c r="S159" s="54">
        <v>1</v>
      </c>
      <c r="T159" s="54"/>
      <c r="U159" s="54">
        <v>1</v>
      </c>
      <c r="V159" s="54"/>
      <c r="W159" s="54">
        <v>1</v>
      </c>
      <c r="X159" s="54"/>
      <c r="Y159" s="54">
        <v>1</v>
      </c>
      <c r="Z159" s="54"/>
      <c r="AA159" s="115">
        <v>1</v>
      </c>
      <c r="AB159" s="115"/>
      <c r="AC159" s="115">
        <v>1</v>
      </c>
      <c r="AD159" s="115"/>
    </row>
    <row r="160" spans="1:30" x14ac:dyDescent="0.2">
      <c r="A160" s="14" t="s">
        <v>14</v>
      </c>
      <c r="B160" s="14" t="s">
        <v>167</v>
      </c>
      <c r="C160" s="14" t="s">
        <v>53</v>
      </c>
      <c r="D160" s="14" t="str">
        <f t="shared" si="2"/>
        <v>B1-P5-C4</v>
      </c>
      <c r="E160" s="14" t="s">
        <v>35</v>
      </c>
      <c r="F160" s="14" t="s">
        <v>133</v>
      </c>
      <c r="G160" s="51" t="s">
        <v>887</v>
      </c>
      <c r="H160" s="51">
        <v>159</v>
      </c>
      <c r="I160" s="53">
        <v>1</v>
      </c>
      <c r="J160" s="54"/>
      <c r="K160" s="53">
        <v>1</v>
      </c>
      <c r="L160" s="54"/>
      <c r="M160" s="54">
        <v>1</v>
      </c>
      <c r="N160" s="54"/>
      <c r="O160" s="54">
        <v>1</v>
      </c>
      <c r="P160" s="54"/>
      <c r="Q160" s="54">
        <v>1</v>
      </c>
      <c r="R160" s="54"/>
      <c r="S160" s="54">
        <v>1</v>
      </c>
      <c r="T160" s="54"/>
      <c r="U160" s="54">
        <v>1</v>
      </c>
      <c r="V160" s="54"/>
      <c r="W160" s="54">
        <v>1</v>
      </c>
      <c r="X160" s="54"/>
      <c r="Y160" s="54">
        <v>1</v>
      </c>
      <c r="Z160" s="54"/>
      <c r="AA160" s="115">
        <v>1</v>
      </c>
      <c r="AB160" s="115"/>
      <c r="AC160" s="115">
        <v>1</v>
      </c>
      <c r="AD160" s="115"/>
    </row>
    <row r="161" spans="1:30" x14ac:dyDescent="0.2">
      <c r="A161" s="14" t="s">
        <v>14</v>
      </c>
      <c r="B161" s="14" t="s">
        <v>167</v>
      </c>
      <c r="C161" s="14" t="s">
        <v>53</v>
      </c>
      <c r="D161" s="14" t="str">
        <f t="shared" si="2"/>
        <v>B1-P5-C4</v>
      </c>
      <c r="E161" s="14" t="s">
        <v>35</v>
      </c>
      <c r="F161" s="14" t="s">
        <v>133</v>
      </c>
      <c r="G161" s="51" t="s">
        <v>888</v>
      </c>
      <c r="H161" s="51">
        <v>160</v>
      </c>
      <c r="I161" s="53">
        <v>1</v>
      </c>
      <c r="J161" s="54"/>
      <c r="K161" s="53">
        <v>1</v>
      </c>
      <c r="L161" s="54"/>
      <c r="M161" s="54">
        <v>1</v>
      </c>
      <c r="N161" s="54"/>
      <c r="O161" s="54">
        <v>1</v>
      </c>
      <c r="P161" s="54"/>
      <c r="Q161" s="54">
        <v>1</v>
      </c>
      <c r="R161" s="54"/>
      <c r="S161" s="54">
        <v>1</v>
      </c>
      <c r="T161" s="54"/>
      <c r="U161" s="54">
        <v>1</v>
      </c>
      <c r="V161" s="54"/>
      <c r="W161" s="54">
        <v>1</v>
      </c>
      <c r="X161" s="54"/>
      <c r="Y161" s="54">
        <v>1</v>
      </c>
      <c r="Z161" s="54"/>
      <c r="AA161" s="115">
        <v>1</v>
      </c>
      <c r="AB161" s="115"/>
      <c r="AC161" s="115">
        <v>1</v>
      </c>
      <c r="AD161" s="115"/>
    </row>
    <row r="162" spans="1:30" x14ac:dyDescent="0.2">
      <c r="A162" s="20" t="s">
        <v>14</v>
      </c>
      <c r="B162" s="20" t="s">
        <v>200</v>
      </c>
      <c r="C162" s="20" t="s">
        <v>16</v>
      </c>
      <c r="D162" s="20" t="str">
        <f t="shared" si="2"/>
        <v>B1-P6-C1</v>
      </c>
      <c r="E162" s="20" t="s">
        <v>19</v>
      </c>
      <c r="F162" s="20" t="s">
        <v>133</v>
      </c>
      <c r="G162" s="50" t="s">
        <v>890</v>
      </c>
      <c r="H162" s="50">
        <v>161</v>
      </c>
      <c r="I162" s="52">
        <v>1</v>
      </c>
      <c r="J162" s="52"/>
      <c r="K162" s="52">
        <v>1</v>
      </c>
      <c r="L162" s="52"/>
      <c r="M162" s="52">
        <v>1</v>
      </c>
      <c r="N162" s="52"/>
      <c r="O162" s="52">
        <v>1</v>
      </c>
      <c r="P162" s="52"/>
      <c r="Q162" s="52">
        <v>1</v>
      </c>
      <c r="R162" s="52"/>
      <c r="S162" s="52">
        <v>1</v>
      </c>
      <c r="T162" s="52"/>
      <c r="U162" s="52">
        <v>1</v>
      </c>
      <c r="V162" s="52"/>
      <c r="W162" s="52">
        <v>1</v>
      </c>
      <c r="X162" s="52"/>
      <c r="Y162" s="52">
        <v>1</v>
      </c>
      <c r="Z162" s="52"/>
      <c r="AA162" s="114">
        <v>1</v>
      </c>
      <c r="AB162" s="114"/>
      <c r="AC162" s="114">
        <v>3</v>
      </c>
      <c r="AD162" s="114"/>
    </row>
    <row r="163" spans="1:30" x14ac:dyDescent="0.2">
      <c r="A163" s="20" t="s">
        <v>14</v>
      </c>
      <c r="B163" s="20" t="s">
        <v>200</v>
      </c>
      <c r="C163" s="20" t="s">
        <v>16</v>
      </c>
      <c r="D163" s="20" t="str">
        <f t="shared" si="2"/>
        <v>B1-P6-C1</v>
      </c>
      <c r="E163" s="20" t="s">
        <v>19</v>
      </c>
      <c r="F163" s="20" t="s">
        <v>133</v>
      </c>
      <c r="G163" s="50" t="s">
        <v>891</v>
      </c>
      <c r="H163" s="50">
        <v>162</v>
      </c>
      <c r="I163" s="52">
        <v>1</v>
      </c>
      <c r="J163" s="52"/>
      <c r="K163" s="52">
        <v>1</v>
      </c>
      <c r="L163" s="52"/>
      <c r="M163" s="52">
        <v>1</v>
      </c>
      <c r="N163" s="52"/>
      <c r="O163" s="52">
        <v>1</v>
      </c>
      <c r="P163" s="52"/>
      <c r="Q163" s="52">
        <v>1</v>
      </c>
      <c r="R163" s="52"/>
      <c r="S163" s="52">
        <v>1</v>
      </c>
      <c r="T163" s="52"/>
      <c r="U163" s="52">
        <v>1</v>
      </c>
      <c r="V163" s="52"/>
      <c r="W163" s="52">
        <v>1</v>
      </c>
      <c r="X163" s="52"/>
      <c r="Y163" s="52">
        <v>1</v>
      </c>
      <c r="Z163" s="52"/>
      <c r="AA163" s="114">
        <v>1</v>
      </c>
      <c r="AB163" s="114"/>
      <c r="AC163" s="114">
        <v>4</v>
      </c>
      <c r="AD163" s="114"/>
    </row>
    <row r="164" spans="1:30" x14ac:dyDescent="0.2">
      <c r="A164" s="20" t="s">
        <v>14</v>
      </c>
      <c r="B164" s="20" t="s">
        <v>200</v>
      </c>
      <c r="C164" s="20" t="s">
        <v>16</v>
      </c>
      <c r="D164" s="20" t="str">
        <f t="shared" si="2"/>
        <v>B1-P6-C1</v>
      </c>
      <c r="E164" s="20" t="s">
        <v>19</v>
      </c>
      <c r="F164" s="20" t="s">
        <v>133</v>
      </c>
      <c r="G164" s="50" t="s">
        <v>892</v>
      </c>
      <c r="H164" s="50">
        <v>163</v>
      </c>
      <c r="I164" s="52">
        <v>1</v>
      </c>
      <c r="J164" s="52"/>
      <c r="K164" s="52">
        <v>1</v>
      </c>
      <c r="L164" s="52"/>
      <c r="M164" s="52">
        <v>1</v>
      </c>
      <c r="N164" s="52"/>
      <c r="O164" s="52">
        <v>1</v>
      </c>
      <c r="P164" s="52"/>
      <c r="Q164" s="52">
        <v>1</v>
      </c>
      <c r="R164" s="52"/>
      <c r="S164" s="52">
        <v>1</v>
      </c>
      <c r="T164" s="52"/>
      <c r="U164" s="52">
        <v>1</v>
      </c>
      <c r="V164" s="52"/>
      <c r="W164" s="52">
        <v>1</v>
      </c>
      <c r="X164" s="52"/>
      <c r="Y164" s="52">
        <v>1</v>
      </c>
      <c r="Z164" s="52"/>
      <c r="AA164" s="114">
        <v>1</v>
      </c>
      <c r="AB164" s="114"/>
      <c r="AC164" s="114">
        <v>4</v>
      </c>
      <c r="AD164" s="114"/>
    </row>
    <row r="165" spans="1:30" x14ac:dyDescent="0.2">
      <c r="A165" s="20" t="s">
        <v>14</v>
      </c>
      <c r="B165" s="20" t="s">
        <v>200</v>
      </c>
      <c r="C165" s="20" t="s">
        <v>16</v>
      </c>
      <c r="D165" s="20" t="str">
        <f t="shared" si="2"/>
        <v>B1-P6-C1</v>
      </c>
      <c r="E165" s="20" t="s">
        <v>19</v>
      </c>
      <c r="F165" s="20" t="s">
        <v>133</v>
      </c>
      <c r="G165" s="50" t="s">
        <v>893</v>
      </c>
      <c r="H165" s="50">
        <v>164</v>
      </c>
      <c r="I165" s="52">
        <v>1</v>
      </c>
      <c r="J165" s="52"/>
      <c r="K165" s="52">
        <v>1</v>
      </c>
      <c r="L165" s="52"/>
      <c r="M165" s="52">
        <v>1</v>
      </c>
      <c r="N165" s="52"/>
      <c r="O165" s="52">
        <v>1</v>
      </c>
      <c r="P165" s="52"/>
      <c r="Q165" s="52">
        <v>1</v>
      </c>
      <c r="R165" s="52"/>
      <c r="S165" s="52">
        <v>1</v>
      </c>
      <c r="T165" s="52"/>
      <c r="U165" s="52">
        <v>1</v>
      </c>
      <c r="V165" s="52"/>
      <c r="W165" s="52">
        <v>1</v>
      </c>
      <c r="X165" s="52"/>
      <c r="Y165" s="52">
        <v>1</v>
      </c>
      <c r="Z165" s="52"/>
      <c r="AA165" s="114">
        <v>1</v>
      </c>
      <c r="AB165" s="114"/>
      <c r="AC165" s="114">
        <v>4</v>
      </c>
      <c r="AD165" s="114"/>
    </row>
    <row r="166" spans="1:30" x14ac:dyDescent="0.2">
      <c r="A166" s="20" t="s">
        <v>14</v>
      </c>
      <c r="B166" s="20" t="s">
        <v>200</v>
      </c>
      <c r="C166" s="20" t="s">
        <v>16</v>
      </c>
      <c r="D166" s="20" t="str">
        <f t="shared" si="2"/>
        <v>B1-P6-C1</v>
      </c>
      <c r="E166" s="20" t="s">
        <v>19</v>
      </c>
      <c r="F166" s="20" t="s">
        <v>133</v>
      </c>
      <c r="G166" s="50" t="s">
        <v>894</v>
      </c>
      <c r="H166" s="50">
        <v>165</v>
      </c>
      <c r="I166" s="52">
        <v>1</v>
      </c>
      <c r="J166" s="52"/>
      <c r="K166" s="52">
        <v>1</v>
      </c>
      <c r="L166" s="52"/>
      <c r="M166" s="52">
        <v>1</v>
      </c>
      <c r="N166" s="52"/>
      <c r="O166" s="52">
        <v>1</v>
      </c>
      <c r="P166" s="52"/>
      <c r="Q166" s="52">
        <v>1</v>
      </c>
      <c r="R166" s="52"/>
      <c r="S166" s="52">
        <v>1</v>
      </c>
      <c r="T166" s="52"/>
      <c r="U166" s="52">
        <v>1</v>
      </c>
      <c r="V166" s="52"/>
      <c r="W166" s="52">
        <v>1</v>
      </c>
      <c r="X166" s="52"/>
      <c r="Y166" s="52">
        <v>1</v>
      </c>
      <c r="Z166" s="52"/>
      <c r="AA166" s="114">
        <v>1</v>
      </c>
      <c r="AB166" s="114"/>
      <c r="AC166" s="114">
        <v>4</v>
      </c>
      <c r="AD166" s="114"/>
    </row>
    <row r="167" spans="1:30" x14ac:dyDescent="0.2">
      <c r="A167" s="20" t="s">
        <v>14</v>
      </c>
      <c r="B167" s="20" t="s">
        <v>200</v>
      </c>
      <c r="C167" s="20" t="s">
        <v>16</v>
      </c>
      <c r="D167" s="20" t="str">
        <f t="shared" si="2"/>
        <v>B1-P6-C1</v>
      </c>
      <c r="E167" s="20" t="s">
        <v>19</v>
      </c>
      <c r="F167" s="20" t="s">
        <v>133</v>
      </c>
      <c r="G167" s="50" t="s">
        <v>895</v>
      </c>
      <c r="H167" s="50">
        <v>166</v>
      </c>
      <c r="I167" s="52">
        <v>1</v>
      </c>
      <c r="J167" s="52"/>
      <c r="K167" s="52">
        <v>1</v>
      </c>
      <c r="L167" s="52"/>
      <c r="M167" s="52">
        <v>1</v>
      </c>
      <c r="N167" s="52"/>
      <c r="O167" s="52">
        <v>1</v>
      </c>
      <c r="P167" s="52"/>
      <c r="Q167" s="52">
        <v>1</v>
      </c>
      <c r="R167" s="52"/>
      <c r="S167" s="52">
        <v>1</v>
      </c>
      <c r="T167" s="52"/>
      <c r="U167" s="52">
        <v>1</v>
      </c>
      <c r="V167" s="52"/>
      <c r="W167" s="52">
        <v>1</v>
      </c>
      <c r="X167" s="52"/>
      <c r="Y167" s="52">
        <v>1</v>
      </c>
      <c r="Z167" s="52"/>
      <c r="AA167" s="114">
        <v>1</v>
      </c>
      <c r="AB167" s="114"/>
      <c r="AC167" s="114">
        <v>4</v>
      </c>
      <c r="AD167" s="114"/>
    </row>
    <row r="168" spans="1:30" x14ac:dyDescent="0.2">
      <c r="A168" s="20" t="s">
        <v>14</v>
      </c>
      <c r="B168" s="20" t="s">
        <v>200</v>
      </c>
      <c r="C168" s="20" t="s">
        <v>16</v>
      </c>
      <c r="D168" s="20" t="str">
        <f t="shared" si="2"/>
        <v>B1-P6-C1</v>
      </c>
      <c r="E168" s="20" t="s">
        <v>19</v>
      </c>
      <c r="F168" s="20" t="s">
        <v>133</v>
      </c>
      <c r="G168" s="50" t="s">
        <v>896</v>
      </c>
      <c r="H168" s="50">
        <v>167</v>
      </c>
      <c r="I168" s="52">
        <v>1</v>
      </c>
      <c r="J168" s="52"/>
      <c r="K168" s="52">
        <v>1</v>
      </c>
      <c r="L168" s="52"/>
      <c r="M168" s="52">
        <v>1</v>
      </c>
      <c r="N168" s="52"/>
      <c r="O168" s="52">
        <v>1</v>
      </c>
      <c r="P168" s="52"/>
      <c r="Q168" s="52">
        <v>1</v>
      </c>
      <c r="R168" s="52"/>
      <c r="S168" s="52">
        <v>1</v>
      </c>
      <c r="T168" s="52"/>
      <c r="U168" s="52">
        <v>1</v>
      </c>
      <c r="V168" s="52"/>
      <c r="W168" s="52">
        <v>1</v>
      </c>
      <c r="X168" s="52"/>
      <c r="Y168" s="52">
        <v>1</v>
      </c>
      <c r="Z168" s="52"/>
      <c r="AA168" s="114">
        <v>1</v>
      </c>
      <c r="AB168" s="114"/>
      <c r="AC168" s="114">
        <v>4</v>
      </c>
      <c r="AD168" s="114"/>
    </row>
    <row r="169" spans="1:30" x14ac:dyDescent="0.2">
      <c r="A169" s="20" t="s">
        <v>14</v>
      </c>
      <c r="B169" s="20" t="s">
        <v>200</v>
      </c>
      <c r="C169" s="20" t="s">
        <v>16</v>
      </c>
      <c r="D169" s="20" t="str">
        <f t="shared" si="2"/>
        <v>B1-P6-C1</v>
      </c>
      <c r="E169" s="20" t="s">
        <v>19</v>
      </c>
      <c r="F169" s="20" t="s">
        <v>133</v>
      </c>
      <c r="G169" s="50" t="s">
        <v>897</v>
      </c>
      <c r="H169" s="50">
        <v>168</v>
      </c>
      <c r="I169" s="52">
        <v>1</v>
      </c>
      <c r="J169" s="52"/>
      <c r="K169" s="52">
        <v>1</v>
      </c>
      <c r="L169" s="52"/>
      <c r="M169" s="52">
        <v>1</v>
      </c>
      <c r="N169" s="52"/>
      <c r="O169" s="52">
        <v>1</v>
      </c>
      <c r="P169" s="52"/>
      <c r="Q169" s="52">
        <v>1</v>
      </c>
      <c r="R169" s="52"/>
      <c r="S169" s="52">
        <v>1</v>
      </c>
      <c r="T169" s="52"/>
      <c r="U169" s="52">
        <v>1</v>
      </c>
      <c r="V169" s="52"/>
      <c r="W169" s="52">
        <v>1</v>
      </c>
      <c r="X169" s="52"/>
      <c r="Y169" s="52">
        <v>1.5</v>
      </c>
      <c r="Z169" s="52"/>
      <c r="AA169" s="114">
        <v>2</v>
      </c>
      <c r="AB169" s="114"/>
      <c r="AC169" s="114">
        <v>4</v>
      </c>
      <c r="AD169" s="114"/>
    </row>
    <row r="170" spans="1:30" x14ac:dyDescent="0.2">
      <c r="A170" s="14" t="s">
        <v>14</v>
      </c>
      <c r="B170" s="14" t="s">
        <v>200</v>
      </c>
      <c r="C170" s="14" t="s">
        <v>32</v>
      </c>
      <c r="D170" s="14" t="str">
        <f t="shared" si="2"/>
        <v>B1-P6-C2</v>
      </c>
      <c r="E170" s="14" t="s">
        <v>35</v>
      </c>
      <c r="F170" s="14" t="s">
        <v>133</v>
      </c>
      <c r="G170" s="51" t="s">
        <v>899</v>
      </c>
      <c r="H170" s="51">
        <v>169</v>
      </c>
      <c r="I170" s="53">
        <v>1</v>
      </c>
      <c r="J170" s="54"/>
      <c r="K170" s="53">
        <v>1</v>
      </c>
      <c r="L170" s="54"/>
      <c r="M170" s="54">
        <v>1</v>
      </c>
      <c r="N170" s="54"/>
      <c r="O170" s="54">
        <v>1</v>
      </c>
      <c r="P170" s="54"/>
      <c r="Q170" s="54">
        <v>1</v>
      </c>
      <c r="R170" s="54"/>
      <c r="S170" s="54">
        <v>1</v>
      </c>
      <c r="T170" s="54"/>
      <c r="U170" s="54">
        <v>1</v>
      </c>
      <c r="V170" s="54"/>
      <c r="W170" s="54">
        <v>1</v>
      </c>
      <c r="X170" s="54"/>
      <c r="Y170" s="54">
        <v>1</v>
      </c>
      <c r="Z170" s="54"/>
      <c r="AA170" s="115">
        <v>1</v>
      </c>
      <c r="AB170" s="115"/>
      <c r="AC170" s="115">
        <v>1</v>
      </c>
      <c r="AD170" s="115"/>
    </row>
    <row r="171" spans="1:30" x14ac:dyDescent="0.2">
      <c r="A171" s="14" t="s">
        <v>14</v>
      </c>
      <c r="B171" s="14" t="s">
        <v>200</v>
      </c>
      <c r="C171" s="14" t="s">
        <v>32</v>
      </c>
      <c r="D171" s="14" t="str">
        <f t="shared" si="2"/>
        <v>B1-P6-C2</v>
      </c>
      <c r="E171" s="14" t="s">
        <v>35</v>
      </c>
      <c r="F171" s="14" t="s">
        <v>133</v>
      </c>
      <c r="G171" s="51" t="s">
        <v>900</v>
      </c>
      <c r="H171" s="51">
        <v>170</v>
      </c>
      <c r="I171" s="53">
        <v>1</v>
      </c>
      <c r="J171" s="54"/>
      <c r="K171" s="53">
        <v>1</v>
      </c>
      <c r="L171" s="54"/>
      <c r="M171" s="54">
        <v>1</v>
      </c>
      <c r="N171" s="54"/>
      <c r="O171" s="54">
        <v>1</v>
      </c>
      <c r="P171" s="54"/>
      <c r="Q171" s="54">
        <v>1</v>
      </c>
      <c r="R171" s="54"/>
      <c r="S171" s="54">
        <v>1</v>
      </c>
      <c r="T171" s="54"/>
      <c r="U171" s="54">
        <v>1</v>
      </c>
      <c r="V171" s="54"/>
      <c r="W171" s="54">
        <v>1</v>
      </c>
      <c r="X171" s="54"/>
      <c r="Y171" s="54">
        <v>1</v>
      </c>
      <c r="Z171" s="54"/>
      <c r="AA171" s="115">
        <v>1</v>
      </c>
      <c r="AB171" s="115"/>
      <c r="AC171" s="115">
        <v>1</v>
      </c>
      <c r="AD171" s="115"/>
    </row>
    <row r="172" spans="1:30" x14ac:dyDescent="0.2">
      <c r="A172" s="14" t="s">
        <v>14</v>
      </c>
      <c r="B172" s="14" t="s">
        <v>200</v>
      </c>
      <c r="C172" s="14" t="s">
        <v>32</v>
      </c>
      <c r="D172" s="14" t="str">
        <f t="shared" si="2"/>
        <v>B1-P6-C2</v>
      </c>
      <c r="E172" s="14" t="s">
        <v>35</v>
      </c>
      <c r="F172" s="14" t="s">
        <v>133</v>
      </c>
      <c r="G172" s="51" t="s">
        <v>901</v>
      </c>
      <c r="H172" s="51">
        <v>171</v>
      </c>
      <c r="I172" s="53">
        <v>1</v>
      </c>
      <c r="J172" s="54"/>
      <c r="K172" s="53">
        <v>1</v>
      </c>
      <c r="L172" s="54"/>
      <c r="M172" s="54">
        <v>1</v>
      </c>
      <c r="N172" s="54"/>
      <c r="O172" s="54">
        <v>1</v>
      </c>
      <c r="P172" s="54"/>
      <c r="Q172" s="54">
        <v>1</v>
      </c>
      <c r="R172" s="54"/>
      <c r="S172" s="54">
        <v>1</v>
      </c>
      <c r="T172" s="54"/>
      <c r="U172" s="54">
        <v>1</v>
      </c>
      <c r="V172" s="54"/>
      <c r="W172" s="54">
        <v>1</v>
      </c>
      <c r="X172" s="54"/>
      <c r="Y172" s="54">
        <v>1</v>
      </c>
      <c r="Z172" s="54"/>
      <c r="AA172" s="115">
        <v>1</v>
      </c>
      <c r="AB172" s="115"/>
      <c r="AC172" s="115">
        <v>1</v>
      </c>
      <c r="AD172" s="115"/>
    </row>
    <row r="173" spans="1:30" x14ac:dyDescent="0.2">
      <c r="A173" s="14" t="s">
        <v>14</v>
      </c>
      <c r="B173" s="14" t="s">
        <v>200</v>
      </c>
      <c r="C173" s="14" t="s">
        <v>32</v>
      </c>
      <c r="D173" s="14" t="str">
        <f t="shared" si="2"/>
        <v>B1-P6-C2</v>
      </c>
      <c r="E173" s="14" t="s">
        <v>35</v>
      </c>
      <c r="F173" s="14" t="s">
        <v>133</v>
      </c>
      <c r="G173" s="51" t="s">
        <v>902</v>
      </c>
      <c r="H173" s="51">
        <v>172</v>
      </c>
      <c r="I173" s="53">
        <v>1</v>
      </c>
      <c r="J173" s="54"/>
      <c r="K173" s="53">
        <v>1</v>
      </c>
      <c r="L173" s="54"/>
      <c r="M173" s="54">
        <v>1</v>
      </c>
      <c r="N173" s="54"/>
      <c r="O173" s="54">
        <v>1</v>
      </c>
      <c r="P173" s="54"/>
      <c r="Q173" s="54">
        <v>1</v>
      </c>
      <c r="R173" s="54"/>
      <c r="S173" s="54">
        <v>1</v>
      </c>
      <c r="T173" s="54"/>
      <c r="U173" s="54">
        <v>1</v>
      </c>
      <c r="V173" s="54"/>
      <c r="W173" s="54">
        <v>1</v>
      </c>
      <c r="X173" s="54"/>
      <c r="Y173" s="54">
        <v>1</v>
      </c>
      <c r="Z173" s="54"/>
      <c r="AA173" s="115">
        <v>1</v>
      </c>
      <c r="AB173" s="115"/>
      <c r="AC173" s="115">
        <v>1</v>
      </c>
      <c r="AD173" s="115"/>
    </row>
    <row r="174" spans="1:30" x14ac:dyDescent="0.2">
      <c r="A174" s="14" t="s">
        <v>14</v>
      </c>
      <c r="B174" s="14" t="s">
        <v>200</v>
      </c>
      <c r="C174" s="14" t="s">
        <v>32</v>
      </c>
      <c r="D174" s="14" t="str">
        <f t="shared" si="2"/>
        <v>B1-P6-C2</v>
      </c>
      <c r="E174" s="14" t="s">
        <v>35</v>
      </c>
      <c r="F174" s="14" t="s">
        <v>133</v>
      </c>
      <c r="G174" s="51" t="s">
        <v>903</v>
      </c>
      <c r="H174" s="51">
        <v>173</v>
      </c>
      <c r="I174" s="53">
        <v>1</v>
      </c>
      <c r="J174" s="54"/>
      <c r="K174" s="53">
        <v>1</v>
      </c>
      <c r="L174" s="54"/>
      <c r="M174" s="54">
        <v>1</v>
      </c>
      <c r="N174" s="54"/>
      <c r="O174" s="54">
        <v>1</v>
      </c>
      <c r="P174" s="54"/>
      <c r="Q174" s="54">
        <v>1</v>
      </c>
      <c r="R174" s="54"/>
      <c r="S174" s="54">
        <v>1</v>
      </c>
      <c r="T174" s="54"/>
      <c r="U174" s="54">
        <v>1</v>
      </c>
      <c r="V174" s="54"/>
      <c r="W174" s="54">
        <v>1</v>
      </c>
      <c r="X174" s="54"/>
      <c r="Y174" s="54">
        <v>1</v>
      </c>
      <c r="Z174" s="54"/>
      <c r="AA174" s="115">
        <v>1</v>
      </c>
      <c r="AB174" s="115"/>
      <c r="AC174" s="115">
        <v>1</v>
      </c>
      <c r="AD174" s="115"/>
    </row>
    <row r="175" spans="1:30" x14ac:dyDescent="0.2">
      <c r="A175" s="14" t="s">
        <v>14</v>
      </c>
      <c r="B175" s="14" t="s">
        <v>200</v>
      </c>
      <c r="C175" s="14" t="s">
        <v>32</v>
      </c>
      <c r="D175" s="14" t="str">
        <f t="shared" si="2"/>
        <v>B1-P6-C2</v>
      </c>
      <c r="E175" s="14" t="s">
        <v>35</v>
      </c>
      <c r="F175" s="14" t="s">
        <v>133</v>
      </c>
      <c r="G175" s="51" t="s">
        <v>904</v>
      </c>
      <c r="H175" s="51">
        <v>174</v>
      </c>
      <c r="I175" s="53">
        <v>1</v>
      </c>
      <c r="J175" s="54"/>
      <c r="K175" s="53">
        <v>1</v>
      </c>
      <c r="L175" s="54"/>
      <c r="M175" s="54">
        <v>1</v>
      </c>
      <c r="N175" s="54"/>
      <c r="O175" s="54">
        <v>1</v>
      </c>
      <c r="P175" s="54"/>
      <c r="Q175" s="54">
        <v>1</v>
      </c>
      <c r="R175" s="54"/>
      <c r="S175" s="54">
        <v>1</v>
      </c>
      <c r="T175" s="54"/>
      <c r="U175" s="54">
        <v>1</v>
      </c>
      <c r="V175" s="54"/>
      <c r="W175" s="54">
        <v>1</v>
      </c>
      <c r="X175" s="54"/>
      <c r="Y175" s="54">
        <v>1</v>
      </c>
      <c r="Z175" s="54"/>
      <c r="AA175" s="115">
        <v>1</v>
      </c>
      <c r="AB175" s="115"/>
      <c r="AC175" s="115">
        <v>1</v>
      </c>
      <c r="AD175" s="115"/>
    </row>
    <row r="176" spans="1:30" x14ac:dyDescent="0.2">
      <c r="A176" s="14" t="s">
        <v>14</v>
      </c>
      <c r="B176" s="14" t="s">
        <v>200</v>
      </c>
      <c r="C176" s="14" t="s">
        <v>32</v>
      </c>
      <c r="D176" s="14" t="str">
        <f t="shared" si="2"/>
        <v>B1-P6-C2</v>
      </c>
      <c r="E176" s="14" t="s">
        <v>35</v>
      </c>
      <c r="F176" s="14" t="s">
        <v>133</v>
      </c>
      <c r="G176" s="51" t="s">
        <v>905</v>
      </c>
      <c r="H176" s="51">
        <v>175</v>
      </c>
      <c r="I176" s="53">
        <v>1</v>
      </c>
      <c r="J176" s="54"/>
      <c r="K176" s="53">
        <v>1</v>
      </c>
      <c r="L176" s="54"/>
      <c r="M176" s="54">
        <v>1</v>
      </c>
      <c r="N176" s="54"/>
      <c r="O176" s="54">
        <v>1</v>
      </c>
      <c r="P176" s="54"/>
      <c r="Q176" s="54">
        <v>1</v>
      </c>
      <c r="R176" s="54"/>
      <c r="S176" s="54">
        <v>1</v>
      </c>
      <c r="T176" s="54"/>
      <c r="U176" s="54">
        <v>1</v>
      </c>
      <c r="V176" s="54"/>
      <c r="W176" s="54">
        <v>1</v>
      </c>
      <c r="X176" s="54"/>
      <c r="Y176" s="54">
        <v>1</v>
      </c>
      <c r="Z176" s="54"/>
      <c r="AA176" s="115">
        <v>1</v>
      </c>
      <c r="AB176" s="115"/>
      <c r="AC176" s="115">
        <v>1</v>
      </c>
      <c r="AD176" s="115"/>
    </row>
    <row r="177" spans="1:30" x14ac:dyDescent="0.2">
      <c r="A177" s="14" t="s">
        <v>14</v>
      </c>
      <c r="B177" s="14" t="s">
        <v>200</v>
      </c>
      <c r="C177" s="14" t="s">
        <v>32</v>
      </c>
      <c r="D177" s="14" t="str">
        <f t="shared" si="2"/>
        <v>B1-P6-C2</v>
      </c>
      <c r="E177" s="14" t="s">
        <v>35</v>
      </c>
      <c r="F177" s="14" t="s">
        <v>133</v>
      </c>
      <c r="G177" s="51" t="s">
        <v>906</v>
      </c>
      <c r="H177" s="51">
        <v>176</v>
      </c>
      <c r="I177" s="53">
        <v>1</v>
      </c>
      <c r="J177" s="54"/>
      <c r="K177" s="53">
        <v>1</v>
      </c>
      <c r="L177" s="54"/>
      <c r="M177" s="54">
        <v>1</v>
      </c>
      <c r="N177" s="54"/>
      <c r="O177" s="54">
        <v>1</v>
      </c>
      <c r="P177" s="54"/>
      <c r="Q177" s="54">
        <v>1</v>
      </c>
      <c r="R177" s="54"/>
      <c r="S177" s="54">
        <v>1</v>
      </c>
      <c r="T177" s="54"/>
      <c r="U177" s="54">
        <v>1</v>
      </c>
      <c r="V177" s="54"/>
      <c r="W177" s="54">
        <v>1</v>
      </c>
      <c r="X177" s="54"/>
      <c r="Y177" s="54">
        <v>1</v>
      </c>
      <c r="Z177" s="54"/>
      <c r="AA177" s="115">
        <v>1</v>
      </c>
      <c r="AB177" s="115"/>
      <c r="AC177" s="115">
        <v>1</v>
      </c>
      <c r="AD177" s="115"/>
    </row>
    <row r="178" spans="1:30" x14ac:dyDescent="0.2">
      <c r="A178" s="20" t="s">
        <v>14</v>
      </c>
      <c r="B178" s="20" t="s">
        <v>200</v>
      </c>
      <c r="C178" s="20" t="s">
        <v>42</v>
      </c>
      <c r="D178" s="20" t="str">
        <f t="shared" si="2"/>
        <v>B1-P6-C3</v>
      </c>
      <c r="E178" s="20" t="s">
        <v>19</v>
      </c>
      <c r="F178" s="20" t="s">
        <v>133</v>
      </c>
      <c r="G178" s="50" t="s">
        <v>908</v>
      </c>
      <c r="H178" s="50">
        <v>177</v>
      </c>
      <c r="I178" s="52">
        <v>1</v>
      </c>
      <c r="J178" s="52"/>
      <c r="K178" s="52">
        <v>1</v>
      </c>
      <c r="L178" s="52"/>
      <c r="M178" s="52">
        <v>1</v>
      </c>
      <c r="N178" s="52"/>
      <c r="O178" s="52">
        <v>1</v>
      </c>
      <c r="P178" s="52"/>
      <c r="Q178" s="52">
        <v>1</v>
      </c>
      <c r="R178" s="52"/>
      <c r="S178" s="52">
        <v>1</v>
      </c>
      <c r="T178" s="52"/>
      <c r="U178" s="52">
        <v>1</v>
      </c>
      <c r="V178" s="52"/>
      <c r="W178" s="52">
        <v>1</v>
      </c>
      <c r="X178" s="52"/>
      <c r="Y178" s="52">
        <v>1</v>
      </c>
      <c r="Z178" s="52"/>
      <c r="AA178" s="114">
        <v>1</v>
      </c>
      <c r="AB178" s="114"/>
      <c r="AC178" s="114">
        <v>3</v>
      </c>
      <c r="AD178" s="114"/>
    </row>
    <row r="179" spans="1:30" x14ac:dyDescent="0.2">
      <c r="A179" s="20" t="s">
        <v>14</v>
      </c>
      <c r="B179" s="20" t="s">
        <v>200</v>
      </c>
      <c r="C179" s="20" t="s">
        <v>42</v>
      </c>
      <c r="D179" s="20" t="str">
        <f t="shared" si="2"/>
        <v>B1-P6-C3</v>
      </c>
      <c r="E179" s="20" t="s">
        <v>35</v>
      </c>
      <c r="F179" s="20" t="s">
        <v>133</v>
      </c>
      <c r="G179" s="50" t="s">
        <v>909</v>
      </c>
      <c r="H179" s="50">
        <v>178</v>
      </c>
      <c r="I179" s="52">
        <v>1</v>
      </c>
      <c r="J179" s="52"/>
      <c r="K179" s="52">
        <v>1</v>
      </c>
      <c r="L179" s="52"/>
      <c r="M179" s="52">
        <v>1</v>
      </c>
      <c r="N179" s="52"/>
      <c r="O179" s="52">
        <v>1</v>
      </c>
      <c r="P179" s="52"/>
      <c r="Q179" s="52">
        <v>1</v>
      </c>
      <c r="R179" s="52"/>
      <c r="S179" s="52">
        <v>1</v>
      </c>
      <c r="T179" s="52"/>
      <c r="U179" s="52">
        <v>1</v>
      </c>
      <c r="V179" s="52"/>
      <c r="W179" s="52">
        <v>1</v>
      </c>
      <c r="X179" s="52"/>
      <c r="Y179" s="52">
        <v>1</v>
      </c>
      <c r="Z179" s="52"/>
      <c r="AA179" s="114">
        <v>1</v>
      </c>
      <c r="AB179" s="114"/>
      <c r="AC179" s="114">
        <v>1</v>
      </c>
      <c r="AD179" s="114"/>
    </row>
    <row r="180" spans="1:30" x14ac:dyDescent="0.2">
      <c r="A180" s="20" t="s">
        <v>14</v>
      </c>
      <c r="B180" s="20" t="s">
        <v>200</v>
      </c>
      <c r="C180" s="20" t="s">
        <v>42</v>
      </c>
      <c r="D180" s="20" t="str">
        <f t="shared" si="2"/>
        <v>B1-P6-C3</v>
      </c>
      <c r="E180" s="20" t="s">
        <v>35</v>
      </c>
      <c r="F180" s="20" t="s">
        <v>133</v>
      </c>
      <c r="G180" s="50" t="s">
        <v>910</v>
      </c>
      <c r="H180" s="50">
        <v>179</v>
      </c>
      <c r="I180" s="52">
        <v>1</v>
      </c>
      <c r="J180" s="52"/>
      <c r="K180" s="52">
        <v>1</v>
      </c>
      <c r="L180" s="52"/>
      <c r="M180" s="52">
        <v>1</v>
      </c>
      <c r="N180" s="52"/>
      <c r="O180" s="52">
        <v>1</v>
      </c>
      <c r="P180" s="52"/>
      <c r="Q180" s="52">
        <v>1</v>
      </c>
      <c r="R180" s="52"/>
      <c r="S180" s="52">
        <v>1</v>
      </c>
      <c r="T180" s="52"/>
      <c r="U180" s="52">
        <v>1</v>
      </c>
      <c r="V180" s="52"/>
      <c r="W180" s="52">
        <v>1</v>
      </c>
      <c r="X180" s="52"/>
      <c r="Y180" s="52">
        <v>1</v>
      </c>
      <c r="Z180" s="52"/>
      <c r="AA180" s="114">
        <v>1</v>
      </c>
      <c r="AB180" s="114"/>
      <c r="AC180" s="114">
        <v>1</v>
      </c>
      <c r="AD180" s="114"/>
    </row>
    <row r="181" spans="1:30" x14ac:dyDescent="0.2">
      <c r="A181" s="20" t="s">
        <v>14</v>
      </c>
      <c r="B181" s="20" t="s">
        <v>200</v>
      </c>
      <c r="C181" s="20" t="s">
        <v>42</v>
      </c>
      <c r="D181" s="20" t="str">
        <f t="shared" si="2"/>
        <v>B1-P6-C3</v>
      </c>
      <c r="E181" s="20" t="s">
        <v>19</v>
      </c>
      <c r="F181" s="20" t="s">
        <v>133</v>
      </c>
      <c r="G181" s="50" t="s">
        <v>911</v>
      </c>
      <c r="H181" s="50">
        <v>180</v>
      </c>
      <c r="I181" s="52">
        <v>1</v>
      </c>
      <c r="J181" s="52"/>
      <c r="K181" s="52">
        <v>1</v>
      </c>
      <c r="L181" s="52"/>
      <c r="M181" s="52">
        <v>1</v>
      </c>
      <c r="N181" s="52"/>
      <c r="O181" s="52">
        <v>1</v>
      </c>
      <c r="P181" s="52"/>
      <c r="Q181" s="52">
        <v>1</v>
      </c>
      <c r="R181" s="52"/>
      <c r="S181" s="52">
        <v>1</v>
      </c>
      <c r="T181" s="52"/>
      <c r="U181" s="52">
        <v>1</v>
      </c>
      <c r="V181" s="52"/>
      <c r="W181" s="52">
        <v>1</v>
      </c>
      <c r="X181" s="52"/>
      <c r="Y181" s="52">
        <v>1</v>
      </c>
      <c r="Z181" s="52"/>
      <c r="AA181" s="114">
        <v>1</v>
      </c>
      <c r="AB181" s="114"/>
      <c r="AC181" s="114">
        <v>3</v>
      </c>
      <c r="AD181" s="114"/>
    </row>
    <row r="182" spans="1:30" x14ac:dyDescent="0.2">
      <c r="A182" s="20" t="s">
        <v>14</v>
      </c>
      <c r="B182" s="20" t="s">
        <v>200</v>
      </c>
      <c r="C182" s="20" t="s">
        <v>42</v>
      </c>
      <c r="D182" s="20" t="str">
        <f t="shared" si="2"/>
        <v>B1-P6-C3</v>
      </c>
      <c r="E182" s="20" t="s">
        <v>19</v>
      </c>
      <c r="F182" s="20" t="s">
        <v>133</v>
      </c>
      <c r="G182" s="50" t="s">
        <v>912</v>
      </c>
      <c r="H182" s="50">
        <v>181</v>
      </c>
      <c r="I182" s="52">
        <v>1</v>
      </c>
      <c r="J182" s="52"/>
      <c r="K182" s="52">
        <v>1</v>
      </c>
      <c r="L182" s="52"/>
      <c r="M182" s="52">
        <v>1</v>
      </c>
      <c r="N182" s="52"/>
      <c r="O182" s="52">
        <v>1</v>
      </c>
      <c r="P182" s="52"/>
      <c r="Q182" s="52">
        <v>1</v>
      </c>
      <c r="R182" s="52"/>
      <c r="S182" s="52">
        <v>1</v>
      </c>
      <c r="T182" s="52"/>
      <c r="U182" s="52">
        <v>1</v>
      </c>
      <c r="V182" s="52"/>
      <c r="W182" s="52">
        <v>1</v>
      </c>
      <c r="X182" s="52"/>
      <c r="Y182" s="52">
        <v>1</v>
      </c>
      <c r="Z182" s="52"/>
      <c r="AA182" s="114">
        <v>1</v>
      </c>
      <c r="AB182" s="114"/>
      <c r="AC182" s="114">
        <v>3</v>
      </c>
      <c r="AD182" s="114"/>
    </row>
    <row r="183" spans="1:30" x14ac:dyDescent="0.2">
      <c r="A183" s="20" t="s">
        <v>14</v>
      </c>
      <c r="B183" s="20" t="s">
        <v>200</v>
      </c>
      <c r="C183" s="20" t="s">
        <v>42</v>
      </c>
      <c r="D183" s="20" t="str">
        <f t="shared" si="2"/>
        <v>B1-P6-C3</v>
      </c>
      <c r="E183" s="20" t="s">
        <v>35</v>
      </c>
      <c r="F183" s="20" t="s">
        <v>133</v>
      </c>
      <c r="G183" s="50" t="s">
        <v>913</v>
      </c>
      <c r="H183" s="50">
        <v>182</v>
      </c>
      <c r="I183" s="52">
        <v>1</v>
      </c>
      <c r="J183" s="52"/>
      <c r="K183" s="52">
        <v>1</v>
      </c>
      <c r="L183" s="52"/>
      <c r="M183" s="52">
        <v>1</v>
      </c>
      <c r="N183" s="52"/>
      <c r="O183" s="52">
        <v>1</v>
      </c>
      <c r="P183" s="52"/>
      <c r="Q183" s="52">
        <v>1</v>
      </c>
      <c r="R183" s="52"/>
      <c r="S183" s="52">
        <v>1</v>
      </c>
      <c r="T183" s="52"/>
      <c r="U183" s="52">
        <v>1</v>
      </c>
      <c r="V183" s="52"/>
      <c r="W183" s="52">
        <v>1</v>
      </c>
      <c r="X183" s="52"/>
      <c r="Y183" s="52">
        <v>1</v>
      </c>
      <c r="Z183" s="52"/>
      <c r="AA183" s="114">
        <v>1</v>
      </c>
      <c r="AB183" s="114"/>
      <c r="AC183" s="114">
        <v>1</v>
      </c>
      <c r="AD183" s="114"/>
    </row>
    <row r="184" spans="1:30" x14ac:dyDescent="0.2">
      <c r="A184" s="20" t="s">
        <v>14</v>
      </c>
      <c r="B184" s="20" t="s">
        <v>200</v>
      </c>
      <c r="C184" s="20" t="s">
        <v>42</v>
      </c>
      <c r="D184" s="20" t="str">
        <f t="shared" si="2"/>
        <v>B1-P6-C3</v>
      </c>
      <c r="E184" s="20" t="s">
        <v>35</v>
      </c>
      <c r="F184" s="20" t="s">
        <v>133</v>
      </c>
      <c r="G184" s="50" t="s">
        <v>914</v>
      </c>
      <c r="H184" s="50">
        <v>183</v>
      </c>
      <c r="I184" s="52">
        <v>1</v>
      </c>
      <c r="J184" s="52"/>
      <c r="K184" s="52">
        <v>1</v>
      </c>
      <c r="L184" s="52"/>
      <c r="M184" s="52">
        <v>1</v>
      </c>
      <c r="N184" s="52"/>
      <c r="O184" s="52">
        <v>1</v>
      </c>
      <c r="P184" s="52"/>
      <c r="Q184" s="52">
        <v>1</v>
      </c>
      <c r="R184" s="52"/>
      <c r="S184" s="52">
        <v>1</v>
      </c>
      <c r="T184" s="52"/>
      <c r="U184" s="52">
        <v>1</v>
      </c>
      <c r="V184" s="52"/>
      <c r="W184" s="52">
        <v>1</v>
      </c>
      <c r="X184" s="52"/>
      <c r="Y184" s="52">
        <v>1</v>
      </c>
      <c r="Z184" s="52"/>
      <c r="AA184" s="114">
        <v>1</v>
      </c>
      <c r="AB184" s="114"/>
      <c r="AC184" s="114">
        <v>1</v>
      </c>
      <c r="AD184" s="114"/>
    </row>
    <row r="185" spans="1:30" x14ac:dyDescent="0.2">
      <c r="A185" s="20" t="s">
        <v>14</v>
      </c>
      <c r="B185" s="20" t="s">
        <v>200</v>
      </c>
      <c r="C185" s="20" t="s">
        <v>42</v>
      </c>
      <c r="D185" s="20" t="str">
        <f t="shared" si="2"/>
        <v>B1-P6-C3</v>
      </c>
      <c r="E185" s="20" t="s">
        <v>19</v>
      </c>
      <c r="F185" s="20" t="s">
        <v>133</v>
      </c>
      <c r="G185" s="50" t="s">
        <v>915</v>
      </c>
      <c r="H185" s="50">
        <v>184</v>
      </c>
      <c r="I185" s="52">
        <v>1</v>
      </c>
      <c r="J185" s="52"/>
      <c r="K185" s="52">
        <v>1</v>
      </c>
      <c r="L185" s="52"/>
      <c r="M185" s="52">
        <v>1</v>
      </c>
      <c r="N185" s="52"/>
      <c r="O185" s="52">
        <v>1</v>
      </c>
      <c r="P185" s="52"/>
      <c r="Q185" s="52">
        <v>1</v>
      </c>
      <c r="R185" s="52"/>
      <c r="S185" s="52">
        <v>1</v>
      </c>
      <c r="T185" s="52"/>
      <c r="U185" s="52">
        <v>1</v>
      </c>
      <c r="V185" s="52"/>
      <c r="W185" s="52">
        <v>1</v>
      </c>
      <c r="X185" s="52"/>
      <c r="Y185" s="52">
        <v>1</v>
      </c>
      <c r="Z185" s="52"/>
      <c r="AA185" s="114">
        <v>1</v>
      </c>
      <c r="AB185" s="114"/>
      <c r="AC185" s="114">
        <v>3</v>
      </c>
      <c r="AD185" s="114"/>
    </row>
    <row r="186" spans="1:30" x14ac:dyDescent="0.2">
      <c r="A186" s="14" t="s">
        <v>14</v>
      </c>
      <c r="B186" s="14" t="s">
        <v>200</v>
      </c>
      <c r="C186" s="14" t="s">
        <v>53</v>
      </c>
      <c r="D186" s="14" t="str">
        <f t="shared" si="2"/>
        <v>B1-P6-C4</v>
      </c>
      <c r="E186" s="14" t="s">
        <v>35</v>
      </c>
      <c r="F186" s="14" t="s">
        <v>133</v>
      </c>
      <c r="G186" s="51" t="s">
        <v>917</v>
      </c>
      <c r="H186" s="51">
        <v>185</v>
      </c>
      <c r="I186" s="53">
        <v>1</v>
      </c>
      <c r="J186" s="54"/>
      <c r="K186" s="53">
        <v>1</v>
      </c>
      <c r="L186" s="54"/>
      <c r="M186" s="54">
        <v>1</v>
      </c>
      <c r="N186" s="54"/>
      <c r="O186" s="54">
        <v>1</v>
      </c>
      <c r="P186" s="54"/>
      <c r="Q186" s="54">
        <v>1</v>
      </c>
      <c r="R186" s="54"/>
      <c r="S186" s="54">
        <v>1</v>
      </c>
      <c r="T186" s="54"/>
      <c r="U186" s="54">
        <v>1</v>
      </c>
      <c r="V186" s="54"/>
      <c r="W186" s="54">
        <v>1</v>
      </c>
      <c r="X186" s="54"/>
      <c r="Y186" s="54">
        <v>1</v>
      </c>
      <c r="Z186" s="54"/>
      <c r="AA186" s="115">
        <v>1</v>
      </c>
      <c r="AB186" s="115"/>
      <c r="AC186" s="115">
        <v>1</v>
      </c>
      <c r="AD186" s="115"/>
    </row>
    <row r="187" spans="1:30" x14ac:dyDescent="0.2">
      <c r="A187" s="14" t="s">
        <v>14</v>
      </c>
      <c r="B187" s="14" t="s">
        <v>200</v>
      </c>
      <c r="C187" s="14" t="s">
        <v>53</v>
      </c>
      <c r="D187" s="14" t="str">
        <f t="shared" si="2"/>
        <v>B1-P6-C4</v>
      </c>
      <c r="E187" s="14" t="s">
        <v>35</v>
      </c>
      <c r="F187" s="14" t="s">
        <v>133</v>
      </c>
      <c r="G187" s="51" t="s">
        <v>918</v>
      </c>
      <c r="H187" s="51">
        <v>186</v>
      </c>
      <c r="I187" s="53">
        <v>1</v>
      </c>
      <c r="J187" s="54"/>
      <c r="K187" s="53">
        <v>1</v>
      </c>
      <c r="L187" s="54"/>
      <c r="M187" s="54">
        <v>1</v>
      </c>
      <c r="N187" s="54"/>
      <c r="O187" s="54">
        <v>1</v>
      </c>
      <c r="P187" s="54"/>
      <c r="Q187" s="54">
        <v>1</v>
      </c>
      <c r="R187" s="54"/>
      <c r="S187" s="54">
        <v>1</v>
      </c>
      <c r="T187" s="54"/>
      <c r="U187" s="54">
        <v>1</v>
      </c>
      <c r="V187" s="54"/>
      <c r="W187" s="54">
        <v>1</v>
      </c>
      <c r="X187" s="54"/>
      <c r="Y187" s="54">
        <v>1</v>
      </c>
      <c r="Z187" s="54"/>
      <c r="AA187" s="115">
        <v>1</v>
      </c>
      <c r="AB187" s="115"/>
      <c r="AC187" s="115">
        <v>1</v>
      </c>
      <c r="AD187" s="115"/>
    </row>
    <row r="188" spans="1:30" x14ac:dyDescent="0.2">
      <c r="A188" s="14" t="s">
        <v>14</v>
      </c>
      <c r="B188" s="14" t="s">
        <v>200</v>
      </c>
      <c r="C188" s="14" t="s">
        <v>53</v>
      </c>
      <c r="D188" s="14" t="str">
        <f t="shared" si="2"/>
        <v>B1-P6-C4</v>
      </c>
      <c r="E188" s="14" t="s">
        <v>35</v>
      </c>
      <c r="F188" s="14" t="s">
        <v>133</v>
      </c>
      <c r="G188" s="51" t="s">
        <v>919</v>
      </c>
      <c r="H188" s="51">
        <v>187</v>
      </c>
      <c r="I188" s="53">
        <v>1</v>
      </c>
      <c r="J188" s="54"/>
      <c r="K188" s="53">
        <v>1</v>
      </c>
      <c r="L188" s="54"/>
      <c r="M188" s="54">
        <v>1</v>
      </c>
      <c r="N188" s="54"/>
      <c r="O188" s="54">
        <v>1</v>
      </c>
      <c r="P188" s="54"/>
      <c r="Q188" s="54">
        <v>1</v>
      </c>
      <c r="R188" s="54"/>
      <c r="S188" s="54">
        <v>1</v>
      </c>
      <c r="T188" s="54"/>
      <c r="U188" s="54">
        <v>1</v>
      </c>
      <c r="V188" s="54"/>
      <c r="W188" s="54">
        <v>1</v>
      </c>
      <c r="X188" s="54"/>
      <c r="Y188" s="54">
        <v>1</v>
      </c>
      <c r="Z188" s="54"/>
      <c r="AA188" s="115">
        <v>1</v>
      </c>
      <c r="AB188" s="115"/>
      <c r="AC188" s="115">
        <v>1</v>
      </c>
      <c r="AD188" s="115"/>
    </row>
    <row r="189" spans="1:30" x14ac:dyDescent="0.2">
      <c r="A189" s="14" t="s">
        <v>14</v>
      </c>
      <c r="B189" s="14" t="s">
        <v>200</v>
      </c>
      <c r="C189" s="14" t="s">
        <v>53</v>
      </c>
      <c r="D189" s="14" t="str">
        <f t="shared" si="2"/>
        <v>B1-P6-C4</v>
      </c>
      <c r="E189" s="14" t="s">
        <v>35</v>
      </c>
      <c r="F189" s="14" t="s">
        <v>133</v>
      </c>
      <c r="G189" s="51" t="s">
        <v>920</v>
      </c>
      <c r="H189" s="51">
        <v>188</v>
      </c>
      <c r="I189" s="53">
        <v>1</v>
      </c>
      <c r="J189" s="54"/>
      <c r="K189" s="53">
        <v>1</v>
      </c>
      <c r="L189" s="54"/>
      <c r="M189" s="54">
        <v>1</v>
      </c>
      <c r="N189" s="54"/>
      <c r="O189" s="54">
        <v>1</v>
      </c>
      <c r="P189" s="54"/>
      <c r="Q189" s="54">
        <v>1</v>
      </c>
      <c r="R189" s="54"/>
      <c r="S189" s="54">
        <v>1</v>
      </c>
      <c r="T189" s="54"/>
      <c r="U189" s="54">
        <v>1</v>
      </c>
      <c r="V189" s="54"/>
      <c r="W189" s="54">
        <v>1</v>
      </c>
      <c r="X189" s="54"/>
      <c r="Y189" s="54">
        <v>1</v>
      </c>
      <c r="Z189" s="54"/>
      <c r="AA189" s="115">
        <v>1</v>
      </c>
      <c r="AB189" s="115"/>
      <c r="AC189" s="115">
        <v>1</v>
      </c>
      <c r="AD189" s="115"/>
    </row>
    <row r="190" spans="1:30" x14ac:dyDescent="0.2">
      <c r="A190" s="14" t="s">
        <v>14</v>
      </c>
      <c r="B190" s="14" t="s">
        <v>200</v>
      </c>
      <c r="C190" s="14" t="s">
        <v>53</v>
      </c>
      <c r="D190" s="14" t="str">
        <f t="shared" si="2"/>
        <v>B1-P6-C4</v>
      </c>
      <c r="E190" s="14" t="s">
        <v>35</v>
      </c>
      <c r="F190" s="14" t="s">
        <v>133</v>
      </c>
      <c r="G190" s="51" t="s">
        <v>921</v>
      </c>
      <c r="H190" s="51">
        <v>189</v>
      </c>
      <c r="I190" s="53">
        <v>1</v>
      </c>
      <c r="J190" s="54"/>
      <c r="K190" s="53">
        <v>1</v>
      </c>
      <c r="L190" s="54"/>
      <c r="M190" s="54">
        <v>1</v>
      </c>
      <c r="N190" s="54"/>
      <c r="O190" s="54">
        <v>1</v>
      </c>
      <c r="P190" s="54"/>
      <c r="Q190" s="54">
        <v>1</v>
      </c>
      <c r="R190" s="54"/>
      <c r="S190" s="54">
        <v>1</v>
      </c>
      <c r="T190" s="54"/>
      <c r="U190" s="54">
        <v>1</v>
      </c>
      <c r="V190" s="54"/>
      <c r="W190" s="54">
        <v>1</v>
      </c>
      <c r="X190" s="54"/>
      <c r="Y190" s="54">
        <v>1</v>
      </c>
      <c r="Z190" s="54"/>
      <c r="AA190" s="115">
        <v>1</v>
      </c>
      <c r="AB190" s="115"/>
      <c r="AC190" s="115">
        <v>1</v>
      </c>
      <c r="AD190" s="115"/>
    </row>
    <row r="191" spans="1:30" x14ac:dyDescent="0.2">
      <c r="A191" s="14" t="s">
        <v>14</v>
      </c>
      <c r="B191" s="14" t="s">
        <v>200</v>
      </c>
      <c r="C191" s="14" t="s">
        <v>53</v>
      </c>
      <c r="D191" s="14" t="str">
        <f t="shared" si="2"/>
        <v>B1-P6-C4</v>
      </c>
      <c r="E191" s="14" t="s">
        <v>35</v>
      </c>
      <c r="F191" s="14" t="s">
        <v>133</v>
      </c>
      <c r="G191" s="51" t="s">
        <v>922</v>
      </c>
      <c r="H191" s="51">
        <v>190</v>
      </c>
      <c r="I191" s="53">
        <v>1</v>
      </c>
      <c r="J191" s="54"/>
      <c r="K191" s="53">
        <v>1</v>
      </c>
      <c r="L191" s="54"/>
      <c r="M191" s="54">
        <v>1</v>
      </c>
      <c r="N191" s="54"/>
      <c r="O191" s="54">
        <v>1</v>
      </c>
      <c r="P191" s="54"/>
      <c r="Q191" s="54">
        <v>1</v>
      </c>
      <c r="R191" s="54"/>
      <c r="S191" s="54">
        <v>1</v>
      </c>
      <c r="T191" s="54"/>
      <c r="U191" s="54">
        <v>1</v>
      </c>
      <c r="V191" s="54"/>
      <c r="W191" s="54">
        <v>1</v>
      </c>
      <c r="X191" s="54"/>
      <c r="Y191" s="54">
        <v>1</v>
      </c>
      <c r="Z191" s="54"/>
      <c r="AA191" s="115">
        <v>1</v>
      </c>
      <c r="AB191" s="115"/>
      <c r="AC191" s="115">
        <v>1</v>
      </c>
      <c r="AD191" s="115"/>
    </row>
    <row r="192" spans="1:30" x14ac:dyDescent="0.2">
      <c r="A192" s="14" t="s">
        <v>14</v>
      </c>
      <c r="B192" s="14" t="s">
        <v>200</v>
      </c>
      <c r="C192" s="14" t="s">
        <v>53</v>
      </c>
      <c r="D192" s="14" t="str">
        <f t="shared" si="2"/>
        <v>B1-P6-C4</v>
      </c>
      <c r="E192" s="14" t="s">
        <v>35</v>
      </c>
      <c r="F192" s="14" t="s">
        <v>133</v>
      </c>
      <c r="G192" s="51" t="s">
        <v>923</v>
      </c>
      <c r="H192" s="51">
        <v>191</v>
      </c>
      <c r="I192" s="53">
        <v>1</v>
      </c>
      <c r="J192" s="54"/>
      <c r="K192" s="53">
        <v>1</v>
      </c>
      <c r="L192" s="54"/>
      <c r="M192" s="54">
        <v>1</v>
      </c>
      <c r="N192" s="54"/>
      <c r="O192" s="54">
        <v>1</v>
      </c>
      <c r="P192" s="54"/>
      <c r="Q192" s="54">
        <v>1</v>
      </c>
      <c r="R192" s="54"/>
      <c r="S192" s="54">
        <v>1</v>
      </c>
      <c r="T192" s="54"/>
      <c r="U192" s="54">
        <v>1</v>
      </c>
      <c r="V192" s="54"/>
      <c r="W192" s="54">
        <v>1</v>
      </c>
      <c r="X192" s="54"/>
      <c r="Y192" s="54">
        <v>1</v>
      </c>
      <c r="Z192" s="54"/>
      <c r="AA192" s="115">
        <v>1</v>
      </c>
      <c r="AB192" s="115"/>
      <c r="AC192" s="115">
        <v>1</v>
      </c>
      <c r="AD192" s="115"/>
    </row>
    <row r="193" spans="1:30" x14ac:dyDescent="0.2">
      <c r="A193" s="14" t="s">
        <v>14</v>
      </c>
      <c r="B193" s="14" t="s">
        <v>200</v>
      </c>
      <c r="C193" s="14" t="s">
        <v>53</v>
      </c>
      <c r="D193" s="14" t="str">
        <f t="shared" si="2"/>
        <v>B1-P6-C4</v>
      </c>
      <c r="E193" s="14" t="s">
        <v>35</v>
      </c>
      <c r="F193" s="14" t="s">
        <v>133</v>
      </c>
      <c r="G193" s="51" t="s">
        <v>924</v>
      </c>
      <c r="H193" s="51">
        <v>192</v>
      </c>
      <c r="I193" s="53">
        <v>1</v>
      </c>
      <c r="J193" s="54"/>
      <c r="K193" s="53">
        <v>1</v>
      </c>
      <c r="L193" s="54"/>
      <c r="M193" s="54">
        <v>1</v>
      </c>
      <c r="N193" s="54"/>
      <c r="O193" s="54">
        <v>1</v>
      </c>
      <c r="P193" s="54"/>
      <c r="Q193" s="54">
        <v>1</v>
      </c>
      <c r="R193" s="54"/>
      <c r="S193" s="54">
        <v>1</v>
      </c>
      <c r="T193" s="54"/>
      <c r="U193" s="54">
        <v>1</v>
      </c>
      <c r="V193" s="54"/>
      <c r="W193" s="54">
        <v>1</v>
      </c>
      <c r="X193" s="54"/>
      <c r="Y193" s="54">
        <v>1</v>
      </c>
      <c r="Z193" s="54"/>
      <c r="AA193" s="115">
        <v>1</v>
      </c>
      <c r="AB193" s="115"/>
      <c r="AC193" s="115">
        <v>1</v>
      </c>
      <c r="AD193" s="115"/>
    </row>
    <row r="194" spans="1:30" x14ac:dyDescent="0.2">
      <c r="A194" s="20" t="s">
        <v>234</v>
      </c>
      <c r="B194" s="20" t="s">
        <v>15</v>
      </c>
      <c r="C194" s="20" t="s">
        <v>16</v>
      </c>
      <c r="D194" s="20" t="str">
        <f t="shared" si="2"/>
        <v>B2-P1-C1</v>
      </c>
      <c r="E194" s="20" t="s">
        <v>19</v>
      </c>
      <c r="F194" s="20" t="s">
        <v>133</v>
      </c>
      <c r="G194" s="50" t="s">
        <v>926</v>
      </c>
      <c r="H194" s="50">
        <v>193</v>
      </c>
      <c r="I194" s="52">
        <v>1</v>
      </c>
      <c r="J194" s="52"/>
      <c r="K194" s="52">
        <v>2</v>
      </c>
      <c r="L194" s="52" t="s">
        <v>1814</v>
      </c>
      <c r="M194" s="52">
        <v>3</v>
      </c>
      <c r="N194" s="52"/>
      <c r="O194" s="52">
        <v>3</v>
      </c>
      <c r="P194" s="52"/>
      <c r="Q194" s="52">
        <v>3</v>
      </c>
      <c r="R194" s="52"/>
      <c r="S194" s="52">
        <v>3</v>
      </c>
      <c r="T194" s="52"/>
      <c r="U194" s="52">
        <v>4</v>
      </c>
      <c r="V194" s="52"/>
      <c r="W194" s="52">
        <v>4</v>
      </c>
      <c r="X194" s="52"/>
      <c r="Y194" s="52">
        <v>4</v>
      </c>
      <c r="Z194" s="52"/>
      <c r="AA194" s="114">
        <v>4</v>
      </c>
      <c r="AB194" s="114"/>
      <c r="AC194" s="114">
        <v>4</v>
      </c>
      <c r="AD194" s="114"/>
    </row>
    <row r="195" spans="1:30" x14ac:dyDescent="0.2">
      <c r="A195" s="20" t="s">
        <v>234</v>
      </c>
      <c r="B195" s="20" t="s">
        <v>15</v>
      </c>
      <c r="C195" s="20" t="s">
        <v>16</v>
      </c>
      <c r="D195" s="20" t="str">
        <f t="shared" ref="D195:D258" si="3">A195&amp;"-"&amp;B195&amp;"-"&amp;C195</f>
        <v>B2-P1-C1</v>
      </c>
      <c r="E195" s="20" t="s">
        <v>19</v>
      </c>
      <c r="F195" s="20" t="s">
        <v>133</v>
      </c>
      <c r="G195" s="50" t="s">
        <v>927</v>
      </c>
      <c r="H195" s="50">
        <v>194</v>
      </c>
      <c r="I195" s="52">
        <v>1</v>
      </c>
      <c r="J195" s="52"/>
      <c r="K195" s="52">
        <v>1</v>
      </c>
      <c r="L195" s="52"/>
      <c r="M195" s="52">
        <v>1</v>
      </c>
      <c r="N195" s="52"/>
      <c r="O195" s="52">
        <v>1</v>
      </c>
      <c r="P195" s="52"/>
      <c r="Q195" s="52">
        <v>1</v>
      </c>
      <c r="R195" s="52"/>
      <c r="S195" s="52">
        <v>1</v>
      </c>
      <c r="T195" s="52"/>
      <c r="U195" s="52">
        <v>3</v>
      </c>
      <c r="V195" s="52"/>
      <c r="W195" s="52">
        <v>3</v>
      </c>
      <c r="X195" s="52"/>
      <c r="Y195" s="52">
        <v>3.5</v>
      </c>
      <c r="Z195" s="52"/>
      <c r="AA195" s="114">
        <v>4</v>
      </c>
      <c r="AB195" s="114"/>
      <c r="AC195" s="114">
        <v>4</v>
      </c>
      <c r="AD195" s="114"/>
    </row>
    <row r="196" spans="1:30" x14ac:dyDescent="0.2">
      <c r="A196" s="20" t="s">
        <v>234</v>
      </c>
      <c r="B196" s="20" t="s">
        <v>15</v>
      </c>
      <c r="C196" s="20" t="s">
        <v>16</v>
      </c>
      <c r="D196" s="20" t="str">
        <f t="shared" si="3"/>
        <v>B2-P1-C1</v>
      </c>
      <c r="E196" s="20" t="s">
        <v>19</v>
      </c>
      <c r="F196" s="20" t="s">
        <v>133</v>
      </c>
      <c r="G196" s="50" t="s">
        <v>928</v>
      </c>
      <c r="H196" s="50">
        <v>195</v>
      </c>
      <c r="I196" s="52">
        <v>1</v>
      </c>
      <c r="J196" s="52"/>
      <c r="K196" s="52">
        <v>1</v>
      </c>
      <c r="L196" s="52"/>
      <c r="M196" s="52">
        <v>1.5</v>
      </c>
      <c r="N196" s="52"/>
      <c r="O196" s="52">
        <v>1</v>
      </c>
      <c r="P196" s="52"/>
      <c r="Q196" s="52">
        <v>1</v>
      </c>
      <c r="R196" s="52"/>
      <c r="S196" s="52">
        <v>1.5</v>
      </c>
      <c r="T196" s="52"/>
      <c r="U196" s="52">
        <v>4</v>
      </c>
      <c r="V196" s="52"/>
      <c r="W196" s="52">
        <v>4</v>
      </c>
      <c r="X196" s="52"/>
      <c r="Y196" s="52">
        <v>4</v>
      </c>
      <c r="Z196" s="52"/>
      <c r="AA196" s="114">
        <v>4</v>
      </c>
      <c r="AB196" s="114"/>
      <c r="AC196" s="114">
        <v>4</v>
      </c>
      <c r="AD196" s="114"/>
    </row>
    <row r="197" spans="1:30" x14ac:dyDescent="0.2">
      <c r="A197" s="20" t="s">
        <v>234</v>
      </c>
      <c r="B197" s="20" t="s">
        <v>15</v>
      </c>
      <c r="C197" s="20" t="s">
        <v>16</v>
      </c>
      <c r="D197" s="20" t="str">
        <f t="shared" si="3"/>
        <v>B2-P1-C1</v>
      </c>
      <c r="E197" s="20" t="s">
        <v>19</v>
      </c>
      <c r="F197" s="20" t="s">
        <v>133</v>
      </c>
      <c r="G197" s="50" t="s">
        <v>929</v>
      </c>
      <c r="H197" s="50">
        <v>196</v>
      </c>
      <c r="I197" s="52">
        <v>1</v>
      </c>
      <c r="J197" s="52"/>
      <c r="K197" s="52">
        <v>1</v>
      </c>
      <c r="L197" s="52"/>
      <c r="M197" s="52">
        <v>1</v>
      </c>
      <c r="N197" s="52"/>
      <c r="O197" s="52">
        <v>1</v>
      </c>
      <c r="P197" s="52"/>
      <c r="Q197" s="52">
        <v>1</v>
      </c>
      <c r="R197" s="52"/>
      <c r="S197" s="52">
        <v>1</v>
      </c>
      <c r="T197" s="52"/>
      <c r="U197" s="52">
        <v>4</v>
      </c>
      <c r="V197" s="52"/>
      <c r="W197" s="52">
        <v>4</v>
      </c>
      <c r="X197" s="52"/>
      <c r="Y197" s="52">
        <v>4</v>
      </c>
      <c r="Z197" s="52"/>
      <c r="AA197" s="114">
        <v>4</v>
      </c>
      <c r="AB197" s="114"/>
      <c r="AC197" s="114">
        <v>4</v>
      </c>
      <c r="AD197" s="114"/>
    </row>
    <row r="198" spans="1:30" x14ac:dyDescent="0.2">
      <c r="A198" s="20" t="s">
        <v>234</v>
      </c>
      <c r="B198" s="20" t="s">
        <v>15</v>
      </c>
      <c r="C198" s="20" t="s">
        <v>16</v>
      </c>
      <c r="D198" s="20" t="str">
        <f t="shared" si="3"/>
        <v>B2-P1-C1</v>
      </c>
      <c r="E198" s="20" t="s">
        <v>19</v>
      </c>
      <c r="F198" s="20" t="s">
        <v>133</v>
      </c>
      <c r="G198" s="50" t="s">
        <v>930</v>
      </c>
      <c r="H198" s="50">
        <v>197</v>
      </c>
      <c r="I198" s="52">
        <v>1</v>
      </c>
      <c r="J198" s="52"/>
      <c r="K198" s="52">
        <v>1</v>
      </c>
      <c r="L198" s="52"/>
      <c r="M198" s="52">
        <v>1</v>
      </c>
      <c r="N198" s="52"/>
      <c r="O198" s="52">
        <v>1</v>
      </c>
      <c r="P198" s="52"/>
      <c r="Q198" s="52">
        <v>1</v>
      </c>
      <c r="R198" s="52"/>
      <c r="S198" s="52">
        <v>1</v>
      </c>
      <c r="T198" s="52"/>
      <c r="U198" s="52">
        <v>4</v>
      </c>
      <c r="V198" s="52"/>
      <c r="W198" s="52">
        <v>4</v>
      </c>
      <c r="X198" s="52"/>
      <c r="Y198" s="52">
        <v>4</v>
      </c>
      <c r="Z198" s="52"/>
      <c r="AA198" s="114">
        <v>4</v>
      </c>
      <c r="AB198" s="114"/>
      <c r="AC198" s="114">
        <v>4</v>
      </c>
      <c r="AD198" s="114"/>
    </row>
    <row r="199" spans="1:30" x14ac:dyDescent="0.2">
      <c r="A199" s="20" t="s">
        <v>234</v>
      </c>
      <c r="B199" s="20" t="s">
        <v>15</v>
      </c>
      <c r="C199" s="20" t="s">
        <v>16</v>
      </c>
      <c r="D199" s="20" t="str">
        <f t="shared" si="3"/>
        <v>B2-P1-C1</v>
      </c>
      <c r="E199" s="20" t="s">
        <v>19</v>
      </c>
      <c r="F199" s="20" t="s">
        <v>133</v>
      </c>
      <c r="G199" s="50" t="s">
        <v>931</v>
      </c>
      <c r="H199" s="50">
        <v>198</v>
      </c>
      <c r="I199" s="52">
        <v>1</v>
      </c>
      <c r="J199" s="52"/>
      <c r="K199" s="52">
        <v>1</v>
      </c>
      <c r="L199" s="52"/>
      <c r="M199" s="52">
        <v>1</v>
      </c>
      <c r="N199" s="52"/>
      <c r="O199" s="52">
        <v>1</v>
      </c>
      <c r="P199" s="52"/>
      <c r="Q199" s="52">
        <v>1</v>
      </c>
      <c r="R199" s="52"/>
      <c r="S199" s="52">
        <v>1</v>
      </c>
      <c r="T199" s="52"/>
      <c r="U199" s="52">
        <v>3</v>
      </c>
      <c r="V199" s="52"/>
      <c r="W199" s="52">
        <v>3</v>
      </c>
      <c r="X199" s="52"/>
      <c r="Y199" s="52">
        <v>3</v>
      </c>
      <c r="Z199" s="52"/>
      <c r="AA199" s="114">
        <v>4</v>
      </c>
      <c r="AB199" s="114"/>
      <c r="AC199" s="114">
        <v>4</v>
      </c>
      <c r="AD199" s="114"/>
    </row>
    <row r="200" spans="1:30" x14ac:dyDescent="0.2">
      <c r="A200" s="20" t="s">
        <v>234</v>
      </c>
      <c r="B200" s="20" t="s">
        <v>15</v>
      </c>
      <c r="C200" s="20" t="s">
        <v>16</v>
      </c>
      <c r="D200" s="20" t="str">
        <f t="shared" si="3"/>
        <v>B2-P1-C1</v>
      </c>
      <c r="E200" s="20" t="s">
        <v>19</v>
      </c>
      <c r="F200" s="20" t="s">
        <v>133</v>
      </c>
      <c r="G200" s="50" t="s">
        <v>932</v>
      </c>
      <c r="H200" s="50">
        <v>199</v>
      </c>
      <c r="I200" s="52">
        <v>1</v>
      </c>
      <c r="J200" s="52"/>
      <c r="K200" s="52">
        <v>1</v>
      </c>
      <c r="L200" s="52"/>
      <c r="M200" s="52">
        <v>1</v>
      </c>
      <c r="N200" s="52"/>
      <c r="O200" s="52">
        <v>1</v>
      </c>
      <c r="P200" s="52"/>
      <c r="Q200" s="52">
        <v>1</v>
      </c>
      <c r="R200" s="52"/>
      <c r="S200" s="52">
        <v>1.5</v>
      </c>
      <c r="T200" s="52"/>
      <c r="U200" s="52">
        <v>4</v>
      </c>
      <c r="V200" s="52"/>
      <c r="W200" s="52">
        <v>4</v>
      </c>
      <c r="X200" s="52"/>
      <c r="Y200" s="52">
        <v>4</v>
      </c>
      <c r="Z200" s="52"/>
      <c r="AA200" s="114">
        <v>4</v>
      </c>
      <c r="AB200" s="114"/>
      <c r="AC200" s="114">
        <v>4</v>
      </c>
      <c r="AD200" s="114"/>
    </row>
    <row r="201" spans="1:30" x14ac:dyDescent="0.2">
      <c r="A201" s="20" t="s">
        <v>234</v>
      </c>
      <c r="B201" s="20" t="s">
        <v>15</v>
      </c>
      <c r="C201" s="20" t="s">
        <v>16</v>
      </c>
      <c r="D201" s="20" t="str">
        <f t="shared" si="3"/>
        <v>B2-P1-C1</v>
      </c>
      <c r="E201" s="20" t="s">
        <v>19</v>
      </c>
      <c r="F201" s="20" t="s">
        <v>133</v>
      </c>
      <c r="G201" s="50" t="s">
        <v>933</v>
      </c>
      <c r="H201" s="50">
        <v>200</v>
      </c>
      <c r="I201" s="52">
        <v>1</v>
      </c>
      <c r="J201" s="52"/>
      <c r="K201" s="52">
        <v>1</v>
      </c>
      <c r="L201" s="52"/>
      <c r="M201" s="52">
        <v>1</v>
      </c>
      <c r="N201" s="52"/>
      <c r="O201" s="52">
        <v>1</v>
      </c>
      <c r="P201" s="52"/>
      <c r="Q201" s="52">
        <v>1</v>
      </c>
      <c r="R201" s="52"/>
      <c r="S201" s="52">
        <v>1.5</v>
      </c>
      <c r="T201" s="52"/>
      <c r="U201" s="52">
        <v>3</v>
      </c>
      <c r="V201" s="52"/>
      <c r="W201" s="52">
        <v>4</v>
      </c>
      <c r="X201" s="52"/>
      <c r="Y201" s="52">
        <v>4</v>
      </c>
      <c r="Z201" s="52"/>
      <c r="AA201" s="114">
        <v>4</v>
      </c>
      <c r="AB201" s="114"/>
      <c r="AC201" s="114">
        <v>4</v>
      </c>
      <c r="AD201" s="114"/>
    </row>
    <row r="202" spans="1:30" x14ac:dyDescent="0.2">
      <c r="A202" s="14" t="s">
        <v>234</v>
      </c>
      <c r="B202" s="14" t="s">
        <v>15</v>
      </c>
      <c r="C202" s="14" t="s">
        <v>32</v>
      </c>
      <c r="D202" s="14" t="str">
        <f t="shared" si="3"/>
        <v>B2-P1-C2</v>
      </c>
      <c r="E202" s="14" t="s">
        <v>19</v>
      </c>
      <c r="F202" s="14" t="s">
        <v>133</v>
      </c>
      <c r="G202" s="51" t="s">
        <v>935</v>
      </c>
      <c r="H202" s="51">
        <v>201</v>
      </c>
      <c r="I202" s="53">
        <v>1</v>
      </c>
      <c r="J202" s="54"/>
      <c r="K202" s="53">
        <v>1</v>
      </c>
      <c r="L202" s="54"/>
      <c r="M202" s="54">
        <v>1</v>
      </c>
      <c r="N202" s="54"/>
      <c r="O202" s="54">
        <v>1</v>
      </c>
      <c r="P202" s="54"/>
      <c r="Q202" s="54">
        <v>1</v>
      </c>
      <c r="R202" s="54"/>
      <c r="S202" s="54">
        <v>1</v>
      </c>
      <c r="T202" s="54"/>
      <c r="U202" s="54">
        <v>1</v>
      </c>
      <c r="V202" s="54"/>
      <c r="W202" s="1">
        <v>1</v>
      </c>
      <c r="X202" s="54"/>
      <c r="Y202" s="1">
        <v>1</v>
      </c>
      <c r="Z202" s="54"/>
      <c r="AA202" s="1">
        <v>1</v>
      </c>
      <c r="AB202" s="115"/>
      <c r="AC202" s="1">
        <v>4</v>
      </c>
      <c r="AD202" s="115"/>
    </row>
    <row r="203" spans="1:30" x14ac:dyDescent="0.2">
      <c r="A203" s="14" t="s">
        <v>234</v>
      </c>
      <c r="B203" s="14" t="s">
        <v>15</v>
      </c>
      <c r="C203" s="14" t="s">
        <v>32</v>
      </c>
      <c r="D203" s="14" t="str">
        <f t="shared" si="3"/>
        <v>B2-P1-C2</v>
      </c>
      <c r="E203" s="14" t="s">
        <v>19</v>
      </c>
      <c r="F203" s="14" t="s">
        <v>133</v>
      </c>
      <c r="G203" s="51" t="s">
        <v>936</v>
      </c>
      <c r="H203" s="51">
        <v>202</v>
      </c>
      <c r="I203" s="53">
        <v>1</v>
      </c>
      <c r="J203" s="54"/>
      <c r="K203" s="53">
        <v>1</v>
      </c>
      <c r="L203" s="54"/>
      <c r="M203" s="54">
        <v>1</v>
      </c>
      <c r="N203" s="54"/>
      <c r="O203" s="54">
        <v>1</v>
      </c>
      <c r="P203" s="54"/>
      <c r="Q203" s="54">
        <v>1</v>
      </c>
      <c r="R203" s="54"/>
      <c r="S203" s="54">
        <v>1</v>
      </c>
      <c r="T203" s="54"/>
      <c r="U203" s="54">
        <v>1</v>
      </c>
      <c r="V203" s="54"/>
      <c r="W203" s="1">
        <v>1</v>
      </c>
      <c r="X203" s="54"/>
      <c r="Y203" s="1">
        <v>1</v>
      </c>
      <c r="Z203" s="54"/>
      <c r="AA203" s="1">
        <v>1</v>
      </c>
      <c r="AB203" s="115"/>
      <c r="AC203" s="1">
        <v>4</v>
      </c>
      <c r="AD203" s="115"/>
    </row>
    <row r="204" spans="1:30" x14ac:dyDescent="0.2">
      <c r="A204" s="14" t="s">
        <v>234</v>
      </c>
      <c r="B204" s="14" t="s">
        <v>15</v>
      </c>
      <c r="C204" s="14" t="s">
        <v>32</v>
      </c>
      <c r="D204" s="14" t="str">
        <f t="shared" si="3"/>
        <v>B2-P1-C2</v>
      </c>
      <c r="E204" s="14" t="s">
        <v>19</v>
      </c>
      <c r="F204" s="14" t="s">
        <v>133</v>
      </c>
      <c r="G204" s="51" t="s">
        <v>937</v>
      </c>
      <c r="H204" s="51">
        <v>203</v>
      </c>
      <c r="I204" s="53">
        <v>1</v>
      </c>
      <c r="J204" s="54"/>
      <c r="K204" s="53">
        <v>1</v>
      </c>
      <c r="L204" s="54"/>
      <c r="M204" s="54">
        <v>1</v>
      </c>
      <c r="N204" s="54"/>
      <c r="O204" s="54">
        <v>1</v>
      </c>
      <c r="P204" s="54"/>
      <c r="Q204" s="54">
        <v>1</v>
      </c>
      <c r="R204" s="54"/>
      <c r="S204" s="54">
        <v>1</v>
      </c>
      <c r="T204" s="54"/>
      <c r="U204" s="54">
        <v>1</v>
      </c>
      <c r="V204" s="54"/>
      <c r="W204" s="1">
        <v>1</v>
      </c>
      <c r="X204" s="54"/>
      <c r="Y204" s="1">
        <v>1</v>
      </c>
      <c r="Z204" s="54"/>
      <c r="AA204" s="1">
        <v>1</v>
      </c>
      <c r="AB204" s="115"/>
      <c r="AC204" s="1">
        <v>3</v>
      </c>
      <c r="AD204" s="115"/>
    </row>
    <row r="205" spans="1:30" x14ac:dyDescent="0.2">
      <c r="A205" s="14" t="s">
        <v>234</v>
      </c>
      <c r="B205" s="14" t="s">
        <v>15</v>
      </c>
      <c r="C205" s="14" t="s">
        <v>32</v>
      </c>
      <c r="D205" s="14" t="str">
        <f t="shared" si="3"/>
        <v>B2-P1-C2</v>
      </c>
      <c r="E205" s="14" t="s">
        <v>19</v>
      </c>
      <c r="F205" s="14" t="s">
        <v>133</v>
      </c>
      <c r="G205" s="51" t="s">
        <v>938</v>
      </c>
      <c r="H205" s="51">
        <v>204</v>
      </c>
      <c r="I205" s="53">
        <v>1</v>
      </c>
      <c r="J205" s="54"/>
      <c r="K205" s="53">
        <v>1</v>
      </c>
      <c r="L205" s="54"/>
      <c r="M205" s="54">
        <v>1</v>
      </c>
      <c r="N205" s="54"/>
      <c r="O205" s="54">
        <v>1</v>
      </c>
      <c r="P205" s="54"/>
      <c r="Q205" s="54">
        <v>1</v>
      </c>
      <c r="R205" s="54"/>
      <c r="S205" s="54">
        <v>1</v>
      </c>
      <c r="T205" s="54"/>
      <c r="U205" s="54">
        <v>1</v>
      </c>
      <c r="V205" s="54"/>
      <c r="W205" s="54">
        <v>1</v>
      </c>
      <c r="X205" s="54"/>
      <c r="Y205" s="54">
        <v>1</v>
      </c>
      <c r="Z205" s="54"/>
      <c r="AA205" s="115">
        <v>1</v>
      </c>
      <c r="AB205" s="115"/>
      <c r="AC205" s="115">
        <v>3</v>
      </c>
      <c r="AD205" s="115"/>
    </row>
    <row r="206" spans="1:30" x14ac:dyDescent="0.2">
      <c r="A206" s="14" t="s">
        <v>234</v>
      </c>
      <c r="B206" s="14" t="s">
        <v>15</v>
      </c>
      <c r="C206" s="14" t="s">
        <v>32</v>
      </c>
      <c r="D206" s="14" t="str">
        <f t="shared" si="3"/>
        <v>B2-P1-C2</v>
      </c>
      <c r="E206" s="14" t="s">
        <v>19</v>
      </c>
      <c r="F206" s="14" t="s">
        <v>133</v>
      </c>
      <c r="G206" s="51" t="s">
        <v>939</v>
      </c>
      <c r="H206" s="51">
        <v>205</v>
      </c>
      <c r="I206" s="53">
        <v>1</v>
      </c>
      <c r="J206" s="54"/>
      <c r="K206" s="53">
        <v>1</v>
      </c>
      <c r="L206" s="54"/>
      <c r="M206" s="54">
        <v>1</v>
      </c>
      <c r="N206" s="54"/>
      <c r="O206" s="54">
        <v>1</v>
      </c>
      <c r="P206" s="54"/>
      <c r="Q206" s="54">
        <v>1</v>
      </c>
      <c r="R206" s="54"/>
      <c r="S206" s="54">
        <v>1</v>
      </c>
      <c r="T206" s="54"/>
      <c r="U206" s="54">
        <v>1</v>
      </c>
      <c r="V206" s="54"/>
      <c r="W206" s="54">
        <v>1</v>
      </c>
      <c r="X206" s="54"/>
      <c r="Y206" s="54">
        <v>1</v>
      </c>
      <c r="Z206" s="54"/>
      <c r="AA206" s="115">
        <v>1</v>
      </c>
      <c r="AB206" s="115"/>
      <c r="AC206" s="115">
        <v>2</v>
      </c>
      <c r="AD206" s="115"/>
    </row>
    <row r="207" spans="1:30" x14ac:dyDescent="0.2">
      <c r="A207" s="14" t="s">
        <v>234</v>
      </c>
      <c r="B207" s="14" t="s">
        <v>15</v>
      </c>
      <c r="C207" s="14" t="s">
        <v>32</v>
      </c>
      <c r="D207" s="14" t="str">
        <f t="shared" si="3"/>
        <v>B2-P1-C2</v>
      </c>
      <c r="E207" s="14" t="s">
        <v>19</v>
      </c>
      <c r="F207" s="14" t="s">
        <v>133</v>
      </c>
      <c r="G207" s="51" t="s">
        <v>940</v>
      </c>
      <c r="H207" s="51">
        <v>206</v>
      </c>
      <c r="I207" s="53">
        <v>1</v>
      </c>
      <c r="J207" s="54"/>
      <c r="K207" s="53">
        <v>1</v>
      </c>
      <c r="L207" s="54"/>
      <c r="M207" s="54">
        <v>1</v>
      </c>
      <c r="N207" s="54"/>
      <c r="O207" s="54">
        <v>1</v>
      </c>
      <c r="P207" s="54"/>
      <c r="Q207" s="54">
        <v>1</v>
      </c>
      <c r="R207" s="54"/>
      <c r="S207" s="54">
        <v>1</v>
      </c>
      <c r="T207" s="54"/>
      <c r="U207" s="54">
        <v>1</v>
      </c>
      <c r="V207" s="54"/>
      <c r="W207" s="54">
        <v>1</v>
      </c>
      <c r="X207" s="54"/>
      <c r="Y207" s="54">
        <v>1</v>
      </c>
      <c r="Z207" s="54"/>
      <c r="AA207" s="115">
        <v>1</v>
      </c>
      <c r="AB207" s="115"/>
      <c r="AC207" s="115">
        <v>3</v>
      </c>
      <c r="AD207" s="115"/>
    </row>
    <row r="208" spans="1:30" x14ac:dyDescent="0.2">
      <c r="A208" s="14" t="s">
        <v>234</v>
      </c>
      <c r="B208" s="14" t="s">
        <v>15</v>
      </c>
      <c r="C208" s="14" t="s">
        <v>32</v>
      </c>
      <c r="D208" s="14" t="str">
        <f t="shared" si="3"/>
        <v>B2-P1-C2</v>
      </c>
      <c r="E208" s="14" t="s">
        <v>19</v>
      </c>
      <c r="F208" s="14" t="s">
        <v>133</v>
      </c>
      <c r="G208" s="51" t="s">
        <v>941</v>
      </c>
      <c r="H208" s="51">
        <v>207</v>
      </c>
      <c r="I208" s="53">
        <v>1</v>
      </c>
      <c r="J208" s="54"/>
      <c r="K208" s="53">
        <v>1</v>
      </c>
      <c r="L208" s="54"/>
      <c r="M208" s="54">
        <v>1</v>
      </c>
      <c r="N208" s="54"/>
      <c r="O208" s="54">
        <v>1</v>
      </c>
      <c r="P208" s="54"/>
      <c r="Q208" s="54">
        <v>1</v>
      </c>
      <c r="R208" s="54"/>
      <c r="S208" s="54">
        <v>1</v>
      </c>
      <c r="T208" s="54"/>
      <c r="U208" s="54">
        <v>1</v>
      </c>
      <c r="V208" s="54"/>
      <c r="W208" s="54">
        <v>1</v>
      </c>
      <c r="X208" s="54"/>
      <c r="Y208" s="54">
        <v>1</v>
      </c>
      <c r="Z208" s="54"/>
      <c r="AA208" s="115">
        <v>1</v>
      </c>
      <c r="AB208" s="115"/>
      <c r="AC208" s="115">
        <v>3</v>
      </c>
      <c r="AD208" s="115"/>
    </row>
    <row r="209" spans="1:30" x14ac:dyDescent="0.2">
      <c r="A209" s="14" t="s">
        <v>234</v>
      </c>
      <c r="B209" s="14" t="s">
        <v>15</v>
      </c>
      <c r="C209" s="14" t="s">
        <v>32</v>
      </c>
      <c r="D209" s="14" t="str">
        <f t="shared" si="3"/>
        <v>B2-P1-C2</v>
      </c>
      <c r="E209" s="14" t="s">
        <v>19</v>
      </c>
      <c r="F209" s="14" t="s">
        <v>133</v>
      </c>
      <c r="G209" s="51" t="s">
        <v>942</v>
      </c>
      <c r="H209" s="51">
        <v>208</v>
      </c>
      <c r="I209" s="53">
        <v>1</v>
      </c>
      <c r="J209" s="54"/>
      <c r="K209" s="53">
        <v>1</v>
      </c>
      <c r="L209" s="54"/>
      <c r="M209" s="54">
        <v>1</v>
      </c>
      <c r="N209" s="54"/>
      <c r="O209" s="54">
        <v>1</v>
      </c>
      <c r="P209" s="54"/>
      <c r="Q209" s="54">
        <v>1</v>
      </c>
      <c r="R209" s="54"/>
      <c r="S209" s="54">
        <v>1</v>
      </c>
      <c r="T209" s="54"/>
      <c r="U209" s="54">
        <v>1</v>
      </c>
      <c r="V209" s="54"/>
      <c r="W209" s="54">
        <v>1</v>
      </c>
      <c r="X209" s="54"/>
      <c r="Y209" s="54">
        <v>1</v>
      </c>
      <c r="Z209" s="54"/>
      <c r="AA209" s="115">
        <v>1</v>
      </c>
      <c r="AB209" s="115"/>
      <c r="AC209" s="115">
        <v>4</v>
      </c>
      <c r="AD209" s="115"/>
    </row>
    <row r="210" spans="1:30" x14ac:dyDescent="0.2">
      <c r="A210" s="20" t="s">
        <v>234</v>
      </c>
      <c r="B210" s="20" t="s">
        <v>15</v>
      </c>
      <c r="C210" s="20" t="s">
        <v>42</v>
      </c>
      <c r="D210" s="20" t="str">
        <f t="shared" si="3"/>
        <v>B2-P1-C3</v>
      </c>
      <c r="E210" s="20" t="s">
        <v>19</v>
      </c>
      <c r="F210" s="20" t="s">
        <v>133</v>
      </c>
      <c r="G210" s="50" t="s">
        <v>944</v>
      </c>
      <c r="H210" s="50">
        <v>209</v>
      </c>
      <c r="I210" s="52">
        <v>1</v>
      </c>
      <c r="J210" s="52"/>
      <c r="K210" s="52">
        <v>2</v>
      </c>
      <c r="L210" s="52"/>
      <c r="M210" s="52">
        <v>3</v>
      </c>
      <c r="N210" s="52"/>
      <c r="O210" s="52">
        <v>3</v>
      </c>
      <c r="P210" s="52"/>
      <c r="Q210" s="52">
        <v>3</v>
      </c>
      <c r="R210" s="52"/>
      <c r="S210" s="52">
        <v>3</v>
      </c>
      <c r="T210" s="52"/>
      <c r="U210" s="52">
        <v>4</v>
      </c>
      <c r="V210" s="52"/>
      <c r="W210" s="52">
        <v>4</v>
      </c>
      <c r="X210" s="52"/>
      <c r="Y210" s="52">
        <v>4</v>
      </c>
      <c r="Z210" s="52"/>
      <c r="AA210" s="114">
        <v>4</v>
      </c>
      <c r="AB210" s="114"/>
      <c r="AC210" s="114">
        <v>4</v>
      </c>
      <c r="AD210" s="114"/>
    </row>
    <row r="211" spans="1:30" x14ac:dyDescent="0.2">
      <c r="A211" s="20" t="s">
        <v>234</v>
      </c>
      <c r="B211" s="20" t="s">
        <v>15</v>
      </c>
      <c r="C211" s="20" t="s">
        <v>42</v>
      </c>
      <c r="D211" s="20" t="str">
        <f t="shared" si="3"/>
        <v>B2-P1-C3</v>
      </c>
      <c r="E211" s="20" t="s">
        <v>35</v>
      </c>
      <c r="F211" s="20" t="s">
        <v>133</v>
      </c>
      <c r="G211" s="50" t="s">
        <v>945</v>
      </c>
      <c r="H211" s="50">
        <v>210</v>
      </c>
      <c r="I211" s="52">
        <v>1</v>
      </c>
      <c r="J211" s="52"/>
      <c r="K211" s="52">
        <v>1</v>
      </c>
      <c r="L211" s="52"/>
      <c r="M211" s="52">
        <v>1</v>
      </c>
      <c r="N211" s="52"/>
      <c r="O211" s="52">
        <v>1</v>
      </c>
      <c r="P211" s="52"/>
      <c r="Q211" s="52">
        <v>1</v>
      </c>
      <c r="R211" s="52"/>
      <c r="S211" s="52">
        <v>1</v>
      </c>
      <c r="T211" s="52"/>
      <c r="U211" s="52">
        <v>1</v>
      </c>
      <c r="V211" s="52"/>
      <c r="W211" s="52">
        <v>1</v>
      </c>
      <c r="X211" s="52"/>
      <c r="Y211" s="52">
        <v>1</v>
      </c>
      <c r="Z211" s="52"/>
      <c r="AA211" s="114">
        <v>1</v>
      </c>
      <c r="AB211" s="114"/>
      <c r="AC211" s="114">
        <v>1</v>
      </c>
      <c r="AD211" s="114"/>
    </row>
    <row r="212" spans="1:30" x14ac:dyDescent="0.2">
      <c r="A212" s="20" t="s">
        <v>234</v>
      </c>
      <c r="B212" s="20" t="s">
        <v>15</v>
      </c>
      <c r="C212" s="20" t="s">
        <v>42</v>
      </c>
      <c r="D212" s="20" t="str">
        <f t="shared" si="3"/>
        <v>B2-P1-C3</v>
      </c>
      <c r="E212" s="20" t="s">
        <v>35</v>
      </c>
      <c r="F212" s="20" t="s">
        <v>133</v>
      </c>
      <c r="G212" s="50" t="s">
        <v>946</v>
      </c>
      <c r="H212" s="50">
        <v>211</v>
      </c>
      <c r="I212" s="52">
        <v>1</v>
      </c>
      <c r="J212" s="52"/>
      <c r="K212" s="52">
        <v>1</v>
      </c>
      <c r="L212" s="52"/>
      <c r="M212" s="52">
        <v>1</v>
      </c>
      <c r="N212" s="52"/>
      <c r="O212" s="52">
        <v>1</v>
      </c>
      <c r="P212" s="52"/>
      <c r="Q212" s="52">
        <v>1</v>
      </c>
      <c r="R212" s="52"/>
      <c r="S212" s="52">
        <v>1</v>
      </c>
      <c r="T212" s="52"/>
      <c r="U212" s="52">
        <v>1</v>
      </c>
      <c r="V212" s="52"/>
      <c r="W212" s="52">
        <v>1</v>
      </c>
      <c r="X212" s="52"/>
      <c r="Y212" s="52">
        <v>1</v>
      </c>
      <c r="Z212" s="52"/>
      <c r="AA212" s="114">
        <v>1</v>
      </c>
      <c r="AB212" s="114"/>
      <c r="AC212" s="114">
        <v>1</v>
      </c>
      <c r="AD212" s="114"/>
    </row>
    <row r="213" spans="1:30" x14ac:dyDescent="0.2">
      <c r="A213" s="20" t="s">
        <v>234</v>
      </c>
      <c r="B213" s="20" t="s">
        <v>15</v>
      </c>
      <c r="C213" s="20" t="s">
        <v>42</v>
      </c>
      <c r="D213" s="20" t="str">
        <f t="shared" si="3"/>
        <v>B2-P1-C3</v>
      </c>
      <c r="E213" s="20" t="s">
        <v>19</v>
      </c>
      <c r="F213" s="20" t="s">
        <v>133</v>
      </c>
      <c r="G213" s="50" t="s">
        <v>947</v>
      </c>
      <c r="H213" s="50">
        <v>212</v>
      </c>
      <c r="I213" s="52">
        <v>1</v>
      </c>
      <c r="J213" s="52"/>
      <c r="K213" s="52">
        <v>3</v>
      </c>
      <c r="L213" s="52"/>
      <c r="M213" s="52">
        <v>3</v>
      </c>
      <c r="N213" s="52"/>
      <c r="O213" s="52">
        <v>3</v>
      </c>
      <c r="P213" s="52"/>
      <c r="Q213" s="52">
        <v>2.5</v>
      </c>
      <c r="R213" s="52"/>
      <c r="S213" s="52">
        <v>3</v>
      </c>
      <c r="T213" s="52"/>
      <c r="U213" s="52">
        <v>4</v>
      </c>
      <c r="V213" s="52"/>
      <c r="W213" s="52">
        <v>4</v>
      </c>
      <c r="X213" s="52"/>
      <c r="Y213" s="52">
        <v>4</v>
      </c>
      <c r="Z213" s="52"/>
      <c r="AA213" s="114">
        <v>4</v>
      </c>
      <c r="AB213" s="114"/>
      <c r="AC213" s="114">
        <v>4</v>
      </c>
      <c r="AD213" s="114"/>
    </row>
    <row r="214" spans="1:30" x14ac:dyDescent="0.2">
      <c r="A214" s="20" t="s">
        <v>234</v>
      </c>
      <c r="B214" s="20" t="s">
        <v>15</v>
      </c>
      <c r="C214" s="20" t="s">
        <v>42</v>
      </c>
      <c r="D214" s="20" t="str">
        <f t="shared" si="3"/>
        <v>B2-P1-C3</v>
      </c>
      <c r="E214" s="20" t="s">
        <v>19</v>
      </c>
      <c r="F214" s="20" t="s">
        <v>133</v>
      </c>
      <c r="G214" s="50" t="s">
        <v>948</v>
      </c>
      <c r="H214" s="50">
        <v>213</v>
      </c>
      <c r="I214" s="52">
        <v>1</v>
      </c>
      <c r="J214" s="52"/>
      <c r="K214" s="52">
        <v>2</v>
      </c>
      <c r="L214" s="52"/>
      <c r="M214" s="52">
        <v>3</v>
      </c>
      <c r="N214" s="52"/>
      <c r="O214" s="52">
        <v>3</v>
      </c>
      <c r="P214" s="52"/>
      <c r="Q214" s="52">
        <v>2.5</v>
      </c>
      <c r="R214" s="52"/>
      <c r="S214" s="52">
        <v>3</v>
      </c>
      <c r="T214" s="52"/>
      <c r="U214" s="52">
        <v>4</v>
      </c>
      <c r="V214" s="52"/>
      <c r="W214" s="52">
        <v>4</v>
      </c>
      <c r="X214" s="52"/>
      <c r="Y214" s="52">
        <v>4</v>
      </c>
      <c r="Z214" s="52"/>
      <c r="AA214" s="114">
        <v>4</v>
      </c>
      <c r="AB214" s="114"/>
      <c r="AC214" s="114">
        <v>4</v>
      </c>
      <c r="AD214" s="114"/>
    </row>
    <row r="215" spans="1:30" x14ac:dyDescent="0.2">
      <c r="A215" s="20" t="s">
        <v>234</v>
      </c>
      <c r="B215" s="20" t="s">
        <v>15</v>
      </c>
      <c r="C215" s="20" t="s">
        <v>42</v>
      </c>
      <c r="D215" s="20" t="str">
        <f t="shared" si="3"/>
        <v>B2-P1-C3</v>
      </c>
      <c r="E215" s="20" t="s">
        <v>35</v>
      </c>
      <c r="F215" s="20" t="s">
        <v>133</v>
      </c>
      <c r="G215" s="50" t="s">
        <v>949</v>
      </c>
      <c r="H215" s="50">
        <v>214</v>
      </c>
      <c r="I215" s="52">
        <v>1</v>
      </c>
      <c r="J215" s="52"/>
      <c r="K215" s="52">
        <v>1</v>
      </c>
      <c r="L215" s="52"/>
      <c r="M215" s="52">
        <v>1</v>
      </c>
      <c r="N215" s="52"/>
      <c r="O215" s="52">
        <v>1</v>
      </c>
      <c r="P215" s="52"/>
      <c r="Q215" s="52">
        <v>1</v>
      </c>
      <c r="R215" s="52"/>
      <c r="S215" s="52">
        <v>1</v>
      </c>
      <c r="T215" s="52"/>
      <c r="U215" s="52">
        <v>1</v>
      </c>
      <c r="V215" s="52"/>
      <c r="W215" s="52">
        <v>1</v>
      </c>
      <c r="X215" s="52"/>
      <c r="Y215" s="52">
        <v>1</v>
      </c>
      <c r="Z215" s="52"/>
      <c r="AA215" s="114">
        <v>1</v>
      </c>
      <c r="AB215" s="114"/>
      <c r="AC215" s="114">
        <v>1</v>
      </c>
      <c r="AD215" s="114"/>
    </row>
    <row r="216" spans="1:30" x14ac:dyDescent="0.2">
      <c r="A216" s="20" t="s">
        <v>234</v>
      </c>
      <c r="B216" s="20" t="s">
        <v>15</v>
      </c>
      <c r="C216" s="20" t="s">
        <v>42</v>
      </c>
      <c r="D216" s="20" t="str">
        <f t="shared" si="3"/>
        <v>B2-P1-C3</v>
      </c>
      <c r="E216" s="20" t="s">
        <v>35</v>
      </c>
      <c r="F216" s="20" t="s">
        <v>133</v>
      </c>
      <c r="G216" s="50" t="s">
        <v>950</v>
      </c>
      <c r="H216" s="50">
        <v>215</v>
      </c>
      <c r="I216" s="52">
        <v>1</v>
      </c>
      <c r="J216" s="52"/>
      <c r="K216" s="52">
        <v>1</v>
      </c>
      <c r="L216" s="52"/>
      <c r="M216" s="52">
        <v>1</v>
      </c>
      <c r="N216" s="52"/>
      <c r="O216" s="52">
        <v>1</v>
      </c>
      <c r="P216" s="52"/>
      <c r="Q216" s="52">
        <v>1</v>
      </c>
      <c r="R216" s="52"/>
      <c r="S216" s="52">
        <v>1</v>
      </c>
      <c r="T216" s="52"/>
      <c r="U216" s="52">
        <v>1</v>
      </c>
      <c r="V216" s="52"/>
      <c r="W216" s="52">
        <v>1</v>
      </c>
      <c r="X216" s="52"/>
      <c r="Y216" s="52">
        <v>1</v>
      </c>
      <c r="Z216" s="52"/>
      <c r="AA216" s="114">
        <v>1</v>
      </c>
      <c r="AB216" s="114"/>
      <c r="AC216" s="114">
        <v>1</v>
      </c>
      <c r="AD216" s="114"/>
    </row>
    <row r="217" spans="1:30" x14ac:dyDescent="0.2">
      <c r="A217" s="20" t="s">
        <v>234</v>
      </c>
      <c r="B217" s="20" t="s">
        <v>15</v>
      </c>
      <c r="C217" s="20" t="s">
        <v>42</v>
      </c>
      <c r="D217" s="20" t="str">
        <f t="shared" si="3"/>
        <v>B2-P1-C3</v>
      </c>
      <c r="E217" s="20" t="s">
        <v>19</v>
      </c>
      <c r="F217" s="20" t="s">
        <v>133</v>
      </c>
      <c r="G217" s="50" t="s">
        <v>951</v>
      </c>
      <c r="H217" s="50">
        <v>216</v>
      </c>
      <c r="I217" s="52">
        <v>1</v>
      </c>
      <c r="J217" s="52"/>
      <c r="K217" s="52">
        <v>2</v>
      </c>
      <c r="L217" s="52"/>
      <c r="M217" s="52">
        <v>3</v>
      </c>
      <c r="N217" s="52"/>
      <c r="O217" s="52">
        <v>3</v>
      </c>
      <c r="P217" s="52"/>
      <c r="Q217" s="52">
        <v>3</v>
      </c>
      <c r="R217" s="52"/>
      <c r="S217" s="52">
        <v>3</v>
      </c>
      <c r="T217" s="52"/>
      <c r="U217" s="52">
        <v>4</v>
      </c>
      <c r="V217" s="52"/>
      <c r="W217" s="52">
        <v>4</v>
      </c>
      <c r="X217" s="52"/>
      <c r="Y217" s="52">
        <v>4</v>
      </c>
      <c r="Z217" s="52"/>
      <c r="AA217" s="114">
        <v>4</v>
      </c>
      <c r="AB217" s="114"/>
      <c r="AC217" s="114">
        <v>4</v>
      </c>
      <c r="AD217" s="114"/>
    </row>
    <row r="218" spans="1:30" x14ac:dyDescent="0.2">
      <c r="A218" s="14" t="s">
        <v>234</v>
      </c>
      <c r="B218" s="14" t="s">
        <v>15</v>
      </c>
      <c r="C218" s="14" t="s">
        <v>53</v>
      </c>
      <c r="D218" s="14" t="str">
        <f t="shared" si="3"/>
        <v>B2-P1-C4</v>
      </c>
      <c r="E218" s="14" t="s">
        <v>19</v>
      </c>
      <c r="F218" s="14" t="s">
        <v>133</v>
      </c>
      <c r="G218" s="51" t="s">
        <v>953</v>
      </c>
      <c r="H218" s="51">
        <v>217</v>
      </c>
      <c r="I218" s="53">
        <v>1</v>
      </c>
      <c r="J218" s="54"/>
      <c r="K218" s="53">
        <v>1</v>
      </c>
      <c r="L218" s="54"/>
      <c r="M218" s="54">
        <v>1</v>
      </c>
      <c r="N218" s="54"/>
      <c r="O218" s="54">
        <v>1</v>
      </c>
      <c r="P218" s="54"/>
      <c r="Q218" s="54">
        <v>1</v>
      </c>
      <c r="R218" s="54"/>
      <c r="S218" s="54">
        <v>1</v>
      </c>
      <c r="T218" s="54"/>
      <c r="U218" s="54">
        <v>1</v>
      </c>
      <c r="V218" s="54"/>
      <c r="W218" s="54">
        <v>1</v>
      </c>
      <c r="X218" s="54"/>
      <c r="Y218" s="54">
        <v>1</v>
      </c>
      <c r="Z218" s="54"/>
      <c r="AA218" s="115">
        <v>1</v>
      </c>
      <c r="AB218" s="115"/>
      <c r="AC218" s="115">
        <v>3</v>
      </c>
      <c r="AD218" s="115"/>
    </row>
    <row r="219" spans="1:30" x14ac:dyDescent="0.2">
      <c r="A219" s="14" t="s">
        <v>234</v>
      </c>
      <c r="B219" s="14" t="s">
        <v>15</v>
      </c>
      <c r="C219" s="14" t="s">
        <v>53</v>
      </c>
      <c r="D219" s="14" t="str">
        <f t="shared" si="3"/>
        <v>B2-P1-C4</v>
      </c>
      <c r="E219" s="14" t="s">
        <v>35</v>
      </c>
      <c r="F219" s="14" t="s">
        <v>133</v>
      </c>
      <c r="G219" s="51" t="s">
        <v>954</v>
      </c>
      <c r="H219" s="51">
        <v>218</v>
      </c>
      <c r="I219" s="53">
        <v>1</v>
      </c>
      <c r="J219" s="54"/>
      <c r="K219" s="53">
        <v>1</v>
      </c>
      <c r="L219" s="54"/>
      <c r="M219" s="54">
        <v>1</v>
      </c>
      <c r="N219" s="54"/>
      <c r="O219" s="54">
        <v>1</v>
      </c>
      <c r="P219" s="54"/>
      <c r="Q219" s="54">
        <v>1</v>
      </c>
      <c r="R219" s="54"/>
      <c r="S219" s="54">
        <v>1</v>
      </c>
      <c r="T219" s="54"/>
      <c r="U219" s="54">
        <v>1</v>
      </c>
      <c r="V219" s="54"/>
      <c r="W219" s="54">
        <v>1</v>
      </c>
      <c r="X219" s="54"/>
      <c r="Y219" s="54">
        <v>1</v>
      </c>
      <c r="Z219" s="54"/>
      <c r="AA219" s="115">
        <v>1</v>
      </c>
      <c r="AB219" s="115"/>
      <c r="AC219" s="115">
        <v>1</v>
      </c>
      <c r="AD219" s="115"/>
    </row>
    <row r="220" spans="1:30" x14ac:dyDescent="0.2">
      <c r="A220" s="14" t="s">
        <v>234</v>
      </c>
      <c r="B220" s="14" t="s">
        <v>15</v>
      </c>
      <c r="C220" s="14" t="s">
        <v>53</v>
      </c>
      <c r="D220" s="14" t="str">
        <f t="shared" si="3"/>
        <v>B2-P1-C4</v>
      </c>
      <c r="E220" s="14" t="s">
        <v>35</v>
      </c>
      <c r="F220" s="14" t="s">
        <v>133</v>
      </c>
      <c r="G220" s="51" t="s">
        <v>955</v>
      </c>
      <c r="H220" s="51">
        <v>219</v>
      </c>
      <c r="I220" s="53">
        <v>1</v>
      </c>
      <c r="J220" s="54"/>
      <c r="K220" s="53">
        <v>1</v>
      </c>
      <c r="L220" s="54"/>
      <c r="M220" s="54">
        <v>1</v>
      </c>
      <c r="N220" s="54"/>
      <c r="O220" s="54">
        <v>1</v>
      </c>
      <c r="P220" s="54"/>
      <c r="Q220" s="54">
        <v>1</v>
      </c>
      <c r="R220" s="54"/>
      <c r="S220" s="54">
        <v>1</v>
      </c>
      <c r="T220" s="54"/>
      <c r="U220" s="54">
        <v>1</v>
      </c>
      <c r="V220" s="54"/>
      <c r="W220" s="54">
        <v>1</v>
      </c>
      <c r="X220" s="54"/>
      <c r="Y220" s="54">
        <v>1</v>
      </c>
      <c r="Z220" s="54"/>
      <c r="AA220" s="115">
        <v>1</v>
      </c>
      <c r="AB220" s="115"/>
      <c r="AC220" s="115">
        <v>1</v>
      </c>
      <c r="AD220" s="115"/>
    </row>
    <row r="221" spans="1:30" x14ac:dyDescent="0.2">
      <c r="A221" s="14" t="s">
        <v>234</v>
      </c>
      <c r="B221" s="14" t="s">
        <v>15</v>
      </c>
      <c r="C221" s="14" t="s">
        <v>53</v>
      </c>
      <c r="D221" s="14" t="str">
        <f t="shared" si="3"/>
        <v>B2-P1-C4</v>
      </c>
      <c r="E221" s="14" t="s">
        <v>19</v>
      </c>
      <c r="F221" s="14" t="s">
        <v>133</v>
      </c>
      <c r="G221" s="51" t="s">
        <v>956</v>
      </c>
      <c r="H221" s="51">
        <v>220</v>
      </c>
      <c r="I221" s="53">
        <v>1</v>
      </c>
      <c r="J221" s="54"/>
      <c r="K221" s="53">
        <v>1</v>
      </c>
      <c r="L221" s="54"/>
      <c r="M221" s="54">
        <v>1</v>
      </c>
      <c r="N221" s="54"/>
      <c r="O221" s="54">
        <v>1</v>
      </c>
      <c r="P221" s="54"/>
      <c r="Q221" s="54">
        <v>1</v>
      </c>
      <c r="R221" s="54"/>
      <c r="S221" s="54">
        <v>1</v>
      </c>
      <c r="T221" s="54"/>
      <c r="U221" s="54">
        <v>1</v>
      </c>
      <c r="V221" s="54"/>
      <c r="W221" s="54">
        <v>1</v>
      </c>
      <c r="X221" s="54"/>
      <c r="Y221" s="54">
        <v>1</v>
      </c>
      <c r="Z221" s="54"/>
      <c r="AA221" s="115">
        <v>1</v>
      </c>
      <c r="AB221" s="115"/>
      <c r="AC221" s="115">
        <v>3</v>
      </c>
      <c r="AD221" s="115"/>
    </row>
    <row r="222" spans="1:30" x14ac:dyDescent="0.2">
      <c r="A222" s="14" t="s">
        <v>234</v>
      </c>
      <c r="B222" s="14" t="s">
        <v>15</v>
      </c>
      <c r="C222" s="14" t="s">
        <v>53</v>
      </c>
      <c r="D222" s="14" t="str">
        <f t="shared" si="3"/>
        <v>B2-P1-C4</v>
      </c>
      <c r="E222" s="14" t="s">
        <v>19</v>
      </c>
      <c r="F222" s="14" t="s">
        <v>133</v>
      </c>
      <c r="G222" s="51" t="s">
        <v>957</v>
      </c>
      <c r="H222" s="51">
        <v>221</v>
      </c>
      <c r="I222" s="53">
        <v>1</v>
      </c>
      <c r="J222" s="54"/>
      <c r="K222" s="53">
        <v>1</v>
      </c>
      <c r="L222" s="54"/>
      <c r="M222" s="54">
        <v>1</v>
      </c>
      <c r="N222" s="54"/>
      <c r="O222" s="54">
        <v>1</v>
      </c>
      <c r="P222" s="54"/>
      <c r="Q222" s="54">
        <v>1</v>
      </c>
      <c r="R222" s="54"/>
      <c r="S222" s="54">
        <v>1</v>
      </c>
      <c r="T222" s="54"/>
      <c r="U222" s="54">
        <v>1</v>
      </c>
      <c r="V222" s="54"/>
      <c r="W222" s="54">
        <v>1</v>
      </c>
      <c r="X222" s="54"/>
      <c r="Y222" s="54">
        <v>1</v>
      </c>
      <c r="Z222" s="54"/>
      <c r="AA222" s="115">
        <v>1</v>
      </c>
      <c r="AB222" s="115"/>
      <c r="AC222" s="115">
        <v>3</v>
      </c>
      <c r="AD222" s="115"/>
    </row>
    <row r="223" spans="1:30" x14ac:dyDescent="0.2">
      <c r="A223" s="14" t="s">
        <v>234</v>
      </c>
      <c r="B223" s="14" t="s">
        <v>15</v>
      </c>
      <c r="C223" s="14" t="s">
        <v>53</v>
      </c>
      <c r="D223" s="14" t="str">
        <f t="shared" si="3"/>
        <v>B2-P1-C4</v>
      </c>
      <c r="E223" s="14" t="s">
        <v>35</v>
      </c>
      <c r="F223" s="14" t="s">
        <v>133</v>
      </c>
      <c r="G223" s="51" t="s">
        <v>958</v>
      </c>
      <c r="H223" s="51">
        <v>222</v>
      </c>
      <c r="I223" s="53">
        <v>1</v>
      </c>
      <c r="J223" s="54"/>
      <c r="K223" s="53">
        <v>1</v>
      </c>
      <c r="L223" s="54"/>
      <c r="M223" s="54">
        <v>1</v>
      </c>
      <c r="N223" s="54"/>
      <c r="O223" s="54">
        <v>1</v>
      </c>
      <c r="P223" s="54"/>
      <c r="Q223" s="54">
        <v>1</v>
      </c>
      <c r="R223" s="54"/>
      <c r="S223" s="54">
        <v>1</v>
      </c>
      <c r="T223" s="54"/>
      <c r="U223" s="54">
        <v>1</v>
      </c>
      <c r="V223" s="54"/>
      <c r="W223" s="54">
        <v>1</v>
      </c>
      <c r="X223" s="54"/>
      <c r="Y223" s="54">
        <v>1</v>
      </c>
      <c r="Z223" s="54"/>
      <c r="AA223" s="115">
        <v>1</v>
      </c>
      <c r="AB223" s="115"/>
      <c r="AC223" s="115">
        <v>1</v>
      </c>
      <c r="AD223" s="115"/>
    </row>
    <row r="224" spans="1:30" x14ac:dyDescent="0.2">
      <c r="A224" s="14" t="s">
        <v>234</v>
      </c>
      <c r="B224" s="14" t="s">
        <v>15</v>
      </c>
      <c r="C224" s="14" t="s">
        <v>53</v>
      </c>
      <c r="D224" s="14" t="str">
        <f t="shared" si="3"/>
        <v>B2-P1-C4</v>
      </c>
      <c r="E224" s="14" t="s">
        <v>35</v>
      </c>
      <c r="F224" s="14" t="s">
        <v>133</v>
      </c>
      <c r="G224" s="51" t="s">
        <v>959</v>
      </c>
      <c r="H224" s="51">
        <v>223</v>
      </c>
      <c r="I224" s="53">
        <v>1</v>
      </c>
      <c r="J224" s="54"/>
      <c r="K224" s="53">
        <v>1</v>
      </c>
      <c r="L224" s="54"/>
      <c r="M224" s="54">
        <v>1</v>
      </c>
      <c r="N224" s="54"/>
      <c r="O224" s="54">
        <v>1</v>
      </c>
      <c r="P224" s="54"/>
      <c r="Q224" s="54">
        <v>1</v>
      </c>
      <c r="R224" s="54"/>
      <c r="S224" s="54">
        <v>1</v>
      </c>
      <c r="T224" s="54"/>
      <c r="U224" s="54">
        <v>1</v>
      </c>
      <c r="V224" s="54"/>
      <c r="W224" s="54">
        <v>1</v>
      </c>
      <c r="X224" s="54"/>
      <c r="Y224" s="54">
        <v>1</v>
      </c>
      <c r="Z224" s="54"/>
      <c r="AA224" s="115">
        <v>1</v>
      </c>
      <c r="AB224" s="115"/>
      <c r="AC224" s="115">
        <v>1</v>
      </c>
      <c r="AD224" s="115"/>
    </row>
    <row r="225" spans="1:30" x14ac:dyDescent="0.2">
      <c r="A225" s="14" t="s">
        <v>234</v>
      </c>
      <c r="B225" s="14" t="s">
        <v>15</v>
      </c>
      <c r="C225" s="14" t="s">
        <v>53</v>
      </c>
      <c r="D225" s="14" t="str">
        <f t="shared" si="3"/>
        <v>B2-P1-C4</v>
      </c>
      <c r="E225" s="14" t="s">
        <v>19</v>
      </c>
      <c r="F225" s="14" t="s">
        <v>133</v>
      </c>
      <c r="G225" s="51" t="s">
        <v>960</v>
      </c>
      <c r="H225" s="51">
        <v>224</v>
      </c>
      <c r="I225" s="53">
        <v>1</v>
      </c>
      <c r="J225" s="54"/>
      <c r="K225" s="53">
        <v>1</v>
      </c>
      <c r="L225" s="54"/>
      <c r="M225" s="54">
        <v>1</v>
      </c>
      <c r="N225" s="54"/>
      <c r="O225" s="54">
        <v>1</v>
      </c>
      <c r="P225" s="54"/>
      <c r="Q225" s="54">
        <v>1</v>
      </c>
      <c r="R225" s="54"/>
      <c r="S225" s="54">
        <v>1</v>
      </c>
      <c r="T225" s="54"/>
      <c r="U225" s="54">
        <v>1</v>
      </c>
      <c r="V225" s="54"/>
      <c r="W225" s="54">
        <v>1</v>
      </c>
      <c r="X225" s="54"/>
      <c r="Y225" s="54">
        <v>1</v>
      </c>
      <c r="Z225" s="54"/>
      <c r="AA225" s="115">
        <v>1</v>
      </c>
      <c r="AB225" s="115"/>
      <c r="AC225" s="115">
        <v>4</v>
      </c>
      <c r="AD225" s="115"/>
    </row>
    <row r="226" spans="1:30" x14ac:dyDescent="0.2">
      <c r="A226" s="20" t="s">
        <v>234</v>
      </c>
      <c r="B226" s="20" t="s">
        <v>62</v>
      </c>
      <c r="C226" s="20" t="s">
        <v>16</v>
      </c>
      <c r="D226" s="20" t="str">
        <f t="shared" si="3"/>
        <v>B2-P2-C1</v>
      </c>
      <c r="E226" s="20" t="s">
        <v>19</v>
      </c>
      <c r="F226" s="20" t="s">
        <v>133</v>
      </c>
      <c r="G226" s="50" t="s">
        <v>962</v>
      </c>
      <c r="H226" s="50">
        <v>225</v>
      </c>
      <c r="I226" s="52">
        <v>1</v>
      </c>
      <c r="J226" s="52"/>
      <c r="K226" s="52">
        <v>1</v>
      </c>
      <c r="L226" s="52"/>
      <c r="M226" s="52">
        <v>1</v>
      </c>
      <c r="N226" s="52"/>
      <c r="O226" s="52">
        <v>1</v>
      </c>
      <c r="P226" s="52"/>
      <c r="Q226" s="52">
        <v>1</v>
      </c>
      <c r="R226" s="52"/>
      <c r="S226" s="52">
        <v>1</v>
      </c>
      <c r="T226" s="52"/>
      <c r="U226" s="52">
        <v>2</v>
      </c>
      <c r="V226" s="52"/>
      <c r="W226" s="52">
        <v>2</v>
      </c>
      <c r="X226" s="52"/>
      <c r="Y226" s="52">
        <v>2</v>
      </c>
      <c r="Z226" s="52"/>
      <c r="AA226" s="114">
        <v>3</v>
      </c>
      <c r="AB226" s="114"/>
      <c r="AC226" s="114">
        <v>4</v>
      </c>
      <c r="AD226" s="114"/>
    </row>
    <row r="227" spans="1:30" x14ac:dyDescent="0.2">
      <c r="A227" s="20" t="s">
        <v>234</v>
      </c>
      <c r="B227" s="20" t="s">
        <v>62</v>
      </c>
      <c r="C227" s="20" t="s">
        <v>16</v>
      </c>
      <c r="D227" s="20" t="str">
        <f t="shared" si="3"/>
        <v>B2-P2-C1</v>
      </c>
      <c r="E227" s="20" t="s">
        <v>19</v>
      </c>
      <c r="F227" s="20" t="s">
        <v>133</v>
      </c>
      <c r="G227" s="50" t="s">
        <v>963</v>
      </c>
      <c r="H227" s="50">
        <v>226</v>
      </c>
      <c r="I227" s="52">
        <v>1</v>
      </c>
      <c r="J227" s="52"/>
      <c r="K227" s="52">
        <v>1</v>
      </c>
      <c r="L227" s="52"/>
      <c r="M227" s="52">
        <v>2</v>
      </c>
      <c r="N227" s="52"/>
      <c r="O227" s="52">
        <v>2</v>
      </c>
      <c r="P227" s="52"/>
      <c r="Q227" s="52">
        <v>2</v>
      </c>
      <c r="R227" s="52"/>
      <c r="S227" s="52">
        <v>2</v>
      </c>
      <c r="T227" s="52"/>
      <c r="U227" s="52">
        <v>2.5</v>
      </c>
      <c r="V227" s="52"/>
      <c r="W227" s="52">
        <v>3</v>
      </c>
      <c r="X227" s="52"/>
      <c r="Y227" s="52">
        <v>3</v>
      </c>
      <c r="Z227" s="52"/>
      <c r="AA227" s="114">
        <v>3</v>
      </c>
      <c r="AB227" s="114"/>
      <c r="AC227" s="114">
        <v>4</v>
      </c>
      <c r="AD227" s="114"/>
    </row>
    <row r="228" spans="1:30" x14ac:dyDescent="0.2">
      <c r="A228" s="20" t="s">
        <v>234</v>
      </c>
      <c r="B228" s="20" t="s">
        <v>62</v>
      </c>
      <c r="C228" s="20" t="s">
        <v>16</v>
      </c>
      <c r="D228" s="20" t="str">
        <f t="shared" si="3"/>
        <v>B2-P2-C1</v>
      </c>
      <c r="E228" s="20" t="s">
        <v>19</v>
      </c>
      <c r="F228" s="20" t="s">
        <v>133</v>
      </c>
      <c r="G228" s="50" t="s">
        <v>964</v>
      </c>
      <c r="H228" s="50">
        <v>227</v>
      </c>
      <c r="I228" s="52">
        <v>1</v>
      </c>
      <c r="J228" s="52"/>
      <c r="K228" s="52">
        <v>1</v>
      </c>
      <c r="L228" s="52"/>
      <c r="M228" s="52">
        <v>1</v>
      </c>
      <c r="N228" s="52"/>
      <c r="O228" s="52">
        <v>1</v>
      </c>
      <c r="P228" s="52"/>
      <c r="Q228" s="52">
        <v>1</v>
      </c>
      <c r="R228" s="52"/>
      <c r="S228" s="52">
        <v>1.5</v>
      </c>
      <c r="T228" s="52"/>
      <c r="U228" s="52">
        <v>2</v>
      </c>
      <c r="V228" s="52"/>
      <c r="W228" s="52">
        <v>2</v>
      </c>
      <c r="X228" s="52"/>
      <c r="Y228" s="52">
        <v>2</v>
      </c>
      <c r="Z228" s="52"/>
      <c r="AA228" s="114">
        <v>3</v>
      </c>
      <c r="AB228" s="114"/>
      <c r="AC228" s="114">
        <v>4</v>
      </c>
      <c r="AD228" s="114"/>
    </row>
    <row r="229" spans="1:30" x14ac:dyDescent="0.2">
      <c r="A229" s="20" t="s">
        <v>234</v>
      </c>
      <c r="B229" s="20" t="s">
        <v>62</v>
      </c>
      <c r="C229" s="20" t="s">
        <v>16</v>
      </c>
      <c r="D229" s="20" t="str">
        <f t="shared" si="3"/>
        <v>B2-P2-C1</v>
      </c>
      <c r="E229" s="20" t="s">
        <v>19</v>
      </c>
      <c r="F229" s="20" t="s">
        <v>133</v>
      </c>
      <c r="G229" s="50" t="s">
        <v>965</v>
      </c>
      <c r="H229" s="50">
        <v>228</v>
      </c>
      <c r="I229" s="52">
        <v>1</v>
      </c>
      <c r="J229" s="52"/>
      <c r="K229" s="52">
        <v>1</v>
      </c>
      <c r="L229" s="52"/>
      <c r="M229" s="52">
        <v>1</v>
      </c>
      <c r="N229" s="52"/>
      <c r="O229" s="52">
        <v>1</v>
      </c>
      <c r="P229" s="52"/>
      <c r="Q229" s="52">
        <v>1</v>
      </c>
      <c r="R229" s="52"/>
      <c r="S229" s="52">
        <v>1</v>
      </c>
      <c r="T229" s="52"/>
      <c r="U229" s="52">
        <v>2</v>
      </c>
      <c r="V229" s="52"/>
      <c r="W229" s="52">
        <v>3</v>
      </c>
      <c r="X229" s="52"/>
      <c r="Y229" s="52">
        <v>3</v>
      </c>
      <c r="Z229" s="52"/>
      <c r="AA229" s="114">
        <v>3</v>
      </c>
      <c r="AB229" s="114"/>
      <c r="AC229" s="114">
        <v>4</v>
      </c>
      <c r="AD229" s="114"/>
    </row>
    <row r="230" spans="1:30" x14ac:dyDescent="0.2">
      <c r="A230" s="20" t="s">
        <v>234</v>
      </c>
      <c r="B230" s="20" t="s">
        <v>62</v>
      </c>
      <c r="C230" s="20" t="s">
        <v>16</v>
      </c>
      <c r="D230" s="20" t="str">
        <f t="shared" si="3"/>
        <v>B2-P2-C1</v>
      </c>
      <c r="E230" s="20" t="s">
        <v>19</v>
      </c>
      <c r="F230" s="20" t="s">
        <v>133</v>
      </c>
      <c r="G230" s="50" t="s">
        <v>966</v>
      </c>
      <c r="H230" s="50">
        <v>229</v>
      </c>
      <c r="I230" s="52">
        <v>1</v>
      </c>
      <c r="J230" s="52"/>
      <c r="K230" s="52">
        <v>1</v>
      </c>
      <c r="L230" s="52"/>
      <c r="M230" s="52">
        <v>1</v>
      </c>
      <c r="N230" s="52"/>
      <c r="O230" s="52">
        <v>1</v>
      </c>
      <c r="P230" s="52"/>
      <c r="Q230" s="52">
        <v>1</v>
      </c>
      <c r="R230" s="52"/>
      <c r="S230" s="52">
        <v>1</v>
      </c>
      <c r="T230" s="52"/>
      <c r="U230" s="52">
        <v>3</v>
      </c>
      <c r="V230" s="52"/>
      <c r="W230" s="52">
        <v>3</v>
      </c>
      <c r="X230" s="52"/>
      <c r="Y230" s="52">
        <v>3</v>
      </c>
      <c r="Z230" s="52"/>
      <c r="AA230" s="114">
        <v>3</v>
      </c>
      <c r="AB230" s="114"/>
      <c r="AC230" s="114">
        <v>4</v>
      </c>
      <c r="AD230" s="114"/>
    </row>
    <row r="231" spans="1:30" x14ac:dyDescent="0.2">
      <c r="A231" s="20" t="s">
        <v>234</v>
      </c>
      <c r="B231" s="20" t="s">
        <v>62</v>
      </c>
      <c r="C231" s="20" t="s">
        <v>16</v>
      </c>
      <c r="D231" s="20" t="str">
        <f t="shared" si="3"/>
        <v>B2-P2-C1</v>
      </c>
      <c r="E231" s="20" t="s">
        <v>19</v>
      </c>
      <c r="F231" s="20" t="s">
        <v>133</v>
      </c>
      <c r="G231" s="50" t="s">
        <v>967</v>
      </c>
      <c r="H231" s="50">
        <v>230</v>
      </c>
      <c r="I231" s="52">
        <v>1</v>
      </c>
      <c r="J231" s="52"/>
      <c r="K231" s="52">
        <v>1</v>
      </c>
      <c r="L231" s="52"/>
      <c r="M231" s="52">
        <v>1</v>
      </c>
      <c r="N231" s="52"/>
      <c r="O231" s="52">
        <v>1</v>
      </c>
      <c r="P231" s="52"/>
      <c r="Q231" s="52">
        <v>1</v>
      </c>
      <c r="R231" s="52"/>
      <c r="S231" s="52">
        <v>1</v>
      </c>
      <c r="T231" s="52"/>
      <c r="U231" s="52">
        <v>3</v>
      </c>
      <c r="V231" s="52"/>
      <c r="W231" s="52">
        <v>3</v>
      </c>
      <c r="X231" s="52"/>
      <c r="Y231" s="52">
        <v>3.5</v>
      </c>
      <c r="Z231" s="52"/>
      <c r="AA231" s="114">
        <v>4</v>
      </c>
      <c r="AB231" s="114"/>
      <c r="AC231" s="114">
        <v>4</v>
      </c>
      <c r="AD231" s="114"/>
    </row>
    <row r="232" spans="1:30" x14ac:dyDescent="0.2">
      <c r="A232" s="20" t="s">
        <v>234</v>
      </c>
      <c r="B232" s="20" t="s">
        <v>62</v>
      </c>
      <c r="C232" s="20" t="s">
        <v>16</v>
      </c>
      <c r="D232" s="20" t="str">
        <f t="shared" si="3"/>
        <v>B2-P2-C1</v>
      </c>
      <c r="E232" s="20" t="s">
        <v>19</v>
      </c>
      <c r="F232" s="20" t="s">
        <v>133</v>
      </c>
      <c r="G232" s="50" t="s">
        <v>968</v>
      </c>
      <c r="H232" s="50">
        <v>231</v>
      </c>
      <c r="I232" s="52">
        <v>1</v>
      </c>
      <c r="J232" s="52"/>
      <c r="K232" s="52">
        <v>1</v>
      </c>
      <c r="L232" s="52"/>
      <c r="M232" s="52">
        <v>1</v>
      </c>
      <c r="N232" s="52"/>
      <c r="O232" s="52">
        <v>1</v>
      </c>
      <c r="P232" s="52"/>
      <c r="Q232" s="52">
        <v>1</v>
      </c>
      <c r="R232" s="52"/>
      <c r="S232" s="52">
        <v>1</v>
      </c>
      <c r="T232" s="52"/>
      <c r="U232" s="52">
        <v>2</v>
      </c>
      <c r="V232" s="52"/>
      <c r="W232" s="52">
        <v>3</v>
      </c>
      <c r="X232" s="52"/>
      <c r="Y232" s="52">
        <v>3</v>
      </c>
      <c r="Z232" s="52"/>
      <c r="AA232" s="114">
        <v>3</v>
      </c>
      <c r="AB232" s="114"/>
      <c r="AC232" s="114">
        <v>4</v>
      </c>
      <c r="AD232" s="114"/>
    </row>
    <row r="233" spans="1:30" x14ac:dyDescent="0.2">
      <c r="A233" s="20" t="s">
        <v>234</v>
      </c>
      <c r="B233" s="20" t="s">
        <v>62</v>
      </c>
      <c r="C233" s="20" t="s">
        <v>16</v>
      </c>
      <c r="D233" s="20" t="str">
        <f t="shared" si="3"/>
        <v>B2-P2-C1</v>
      </c>
      <c r="E233" s="20" t="s">
        <v>19</v>
      </c>
      <c r="F233" s="20" t="s">
        <v>133</v>
      </c>
      <c r="G233" s="50" t="s">
        <v>969</v>
      </c>
      <c r="H233" s="50">
        <v>232</v>
      </c>
      <c r="I233" s="52">
        <v>1</v>
      </c>
      <c r="J233" s="52"/>
      <c r="K233" s="52">
        <v>1</v>
      </c>
      <c r="L233" s="52"/>
      <c r="M233" s="52">
        <v>1</v>
      </c>
      <c r="N233" s="52"/>
      <c r="O233" s="52">
        <v>1</v>
      </c>
      <c r="P233" s="52"/>
      <c r="Q233" s="52">
        <v>1</v>
      </c>
      <c r="R233" s="52"/>
      <c r="S233" s="52">
        <v>1</v>
      </c>
      <c r="T233" s="52"/>
      <c r="U233" s="52">
        <v>3</v>
      </c>
      <c r="V233" s="52"/>
      <c r="W233" s="52">
        <v>3.5</v>
      </c>
      <c r="X233" s="52"/>
      <c r="Y233" s="52">
        <v>3.5</v>
      </c>
      <c r="Z233" s="52"/>
      <c r="AA233" s="114">
        <v>4</v>
      </c>
      <c r="AB233" s="114"/>
      <c r="AC233" s="114">
        <v>4</v>
      </c>
      <c r="AD233" s="114"/>
    </row>
    <row r="234" spans="1:30" x14ac:dyDescent="0.2">
      <c r="A234" s="14" t="s">
        <v>234</v>
      </c>
      <c r="B234" s="14" t="s">
        <v>62</v>
      </c>
      <c r="C234" s="14" t="s">
        <v>32</v>
      </c>
      <c r="D234" s="14" t="str">
        <f t="shared" si="3"/>
        <v>B2-P2-C2</v>
      </c>
      <c r="E234" s="14" t="s">
        <v>19</v>
      </c>
      <c r="F234" s="14" t="s">
        <v>133</v>
      </c>
      <c r="G234" s="51" t="s">
        <v>971</v>
      </c>
      <c r="H234" s="51">
        <v>233</v>
      </c>
      <c r="I234" s="53">
        <v>1</v>
      </c>
      <c r="J234" s="54"/>
      <c r="K234" s="53">
        <v>1</v>
      </c>
      <c r="L234" s="54"/>
      <c r="M234" s="54">
        <v>1</v>
      </c>
      <c r="N234" s="54"/>
      <c r="O234" s="54">
        <v>1</v>
      </c>
      <c r="P234" s="54"/>
      <c r="Q234" s="54">
        <v>1</v>
      </c>
      <c r="R234" s="54"/>
      <c r="S234" s="54">
        <v>2</v>
      </c>
      <c r="T234" s="54"/>
      <c r="U234" s="54">
        <v>4</v>
      </c>
      <c r="V234" s="54"/>
      <c r="W234" s="54">
        <v>4</v>
      </c>
      <c r="X234" s="54"/>
      <c r="Y234" s="54">
        <v>4</v>
      </c>
      <c r="Z234" s="54"/>
      <c r="AA234" s="115">
        <v>4</v>
      </c>
      <c r="AB234" s="115"/>
      <c r="AC234" s="115">
        <v>4</v>
      </c>
      <c r="AD234" s="115"/>
    </row>
    <row r="235" spans="1:30" x14ac:dyDescent="0.2">
      <c r="A235" s="14" t="s">
        <v>234</v>
      </c>
      <c r="B235" s="14" t="s">
        <v>62</v>
      </c>
      <c r="C235" s="14" t="s">
        <v>32</v>
      </c>
      <c r="D235" s="14" t="str">
        <f t="shared" si="3"/>
        <v>B2-P2-C2</v>
      </c>
      <c r="E235" s="14" t="s">
        <v>35</v>
      </c>
      <c r="F235" s="14" t="s">
        <v>133</v>
      </c>
      <c r="G235" s="51" t="s">
        <v>972</v>
      </c>
      <c r="H235" s="51">
        <v>234</v>
      </c>
      <c r="I235" s="53">
        <v>1</v>
      </c>
      <c r="J235" s="54"/>
      <c r="K235" s="53">
        <v>1</v>
      </c>
      <c r="L235" s="54"/>
      <c r="M235" s="54">
        <v>1</v>
      </c>
      <c r="N235" s="54"/>
      <c r="O235" s="54">
        <v>1</v>
      </c>
      <c r="P235" s="54"/>
      <c r="Q235" s="54">
        <v>1</v>
      </c>
      <c r="R235" s="54"/>
      <c r="S235" s="54">
        <v>1</v>
      </c>
      <c r="T235" s="54"/>
      <c r="U235" s="54">
        <v>1</v>
      </c>
      <c r="V235" s="54"/>
      <c r="W235" s="54">
        <v>1</v>
      </c>
      <c r="X235" s="54"/>
      <c r="Y235" s="54">
        <v>1</v>
      </c>
      <c r="Z235" s="54"/>
      <c r="AA235" s="115">
        <v>1</v>
      </c>
      <c r="AB235" s="115"/>
      <c r="AC235" s="115">
        <v>1</v>
      </c>
      <c r="AD235" s="115"/>
    </row>
    <row r="236" spans="1:30" x14ac:dyDescent="0.2">
      <c r="A236" s="14" t="s">
        <v>234</v>
      </c>
      <c r="B236" s="14" t="s">
        <v>62</v>
      </c>
      <c r="C236" s="14" t="s">
        <v>32</v>
      </c>
      <c r="D236" s="14" t="str">
        <f t="shared" si="3"/>
        <v>B2-P2-C2</v>
      </c>
      <c r="E236" s="14" t="s">
        <v>35</v>
      </c>
      <c r="F236" s="14" t="s">
        <v>133</v>
      </c>
      <c r="G236" s="51" t="s">
        <v>973</v>
      </c>
      <c r="H236" s="51">
        <v>235</v>
      </c>
      <c r="I236" s="53">
        <v>1</v>
      </c>
      <c r="J236" s="54"/>
      <c r="K236" s="53">
        <v>1</v>
      </c>
      <c r="L236" s="54"/>
      <c r="M236" s="54">
        <v>1</v>
      </c>
      <c r="N236" s="54"/>
      <c r="O236" s="54">
        <v>1</v>
      </c>
      <c r="P236" s="54"/>
      <c r="Q236" s="54">
        <v>1</v>
      </c>
      <c r="R236" s="54"/>
      <c r="S236" s="54">
        <v>1</v>
      </c>
      <c r="T236" s="54"/>
      <c r="U236" s="54">
        <v>1</v>
      </c>
      <c r="V236" s="54"/>
      <c r="W236" s="54">
        <v>1</v>
      </c>
      <c r="X236" s="54"/>
      <c r="Y236" s="54">
        <v>1</v>
      </c>
      <c r="Z236" s="54"/>
      <c r="AA236" s="115">
        <v>1</v>
      </c>
      <c r="AB236" s="115"/>
      <c r="AC236" s="115">
        <v>1</v>
      </c>
      <c r="AD236" s="115"/>
    </row>
    <row r="237" spans="1:30" x14ac:dyDescent="0.2">
      <c r="A237" s="14" t="s">
        <v>234</v>
      </c>
      <c r="B237" s="14" t="s">
        <v>62</v>
      </c>
      <c r="C237" s="14" t="s">
        <v>32</v>
      </c>
      <c r="D237" s="14" t="str">
        <f t="shared" si="3"/>
        <v>B2-P2-C2</v>
      </c>
      <c r="E237" s="14" t="s">
        <v>19</v>
      </c>
      <c r="F237" s="14" t="s">
        <v>133</v>
      </c>
      <c r="G237" s="51" t="s">
        <v>974</v>
      </c>
      <c r="H237" s="51">
        <v>236</v>
      </c>
      <c r="I237" s="53">
        <v>1</v>
      </c>
      <c r="J237" s="54"/>
      <c r="K237" s="53">
        <v>1</v>
      </c>
      <c r="L237" s="54"/>
      <c r="M237" s="54">
        <v>1</v>
      </c>
      <c r="N237" s="54"/>
      <c r="O237" s="54">
        <v>1.5</v>
      </c>
      <c r="P237" s="54"/>
      <c r="Q237" s="54">
        <v>1</v>
      </c>
      <c r="R237" s="54"/>
      <c r="S237" s="54">
        <v>2</v>
      </c>
      <c r="T237" s="54"/>
      <c r="U237" s="54">
        <v>3</v>
      </c>
      <c r="V237" s="54"/>
      <c r="W237" s="54">
        <v>3</v>
      </c>
      <c r="X237" s="54"/>
      <c r="Y237" s="54">
        <v>3</v>
      </c>
      <c r="Z237" s="54"/>
      <c r="AA237" s="115">
        <v>4</v>
      </c>
      <c r="AB237" s="115"/>
      <c r="AC237" s="115">
        <v>4</v>
      </c>
      <c r="AD237" s="115"/>
    </row>
    <row r="238" spans="1:30" x14ac:dyDescent="0.2">
      <c r="A238" s="14" t="s">
        <v>234</v>
      </c>
      <c r="B238" s="14" t="s">
        <v>62</v>
      </c>
      <c r="C238" s="14" t="s">
        <v>32</v>
      </c>
      <c r="D238" s="14" t="str">
        <f t="shared" si="3"/>
        <v>B2-P2-C2</v>
      </c>
      <c r="E238" s="14" t="s">
        <v>19</v>
      </c>
      <c r="F238" s="14" t="s">
        <v>133</v>
      </c>
      <c r="G238" s="51" t="s">
        <v>975</v>
      </c>
      <c r="H238" s="51">
        <v>237</v>
      </c>
      <c r="I238" s="53">
        <v>1</v>
      </c>
      <c r="J238" s="54"/>
      <c r="K238" s="53">
        <v>1</v>
      </c>
      <c r="L238" s="54"/>
      <c r="M238" s="54">
        <v>1</v>
      </c>
      <c r="N238" s="54"/>
      <c r="O238" s="54">
        <v>1</v>
      </c>
      <c r="P238" s="54"/>
      <c r="Q238" s="54">
        <v>1</v>
      </c>
      <c r="R238" s="54"/>
      <c r="S238" s="54">
        <v>1</v>
      </c>
      <c r="T238" s="54"/>
      <c r="U238" s="54">
        <v>3</v>
      </c>
      <c r="V238" s="54"/>
      <c r="W238" s="54">
        <v>3.5</v>
      </c>
      <c r="X238" s="54"/>
      <c r="Y238" s="54">
        <v>4</v>
      </c>
      <c r="Z238" s="54"/>
      <c r="AA238" s="115">
        <v>4</v>
      </c>
      <c r="AB238" s="115"/>
      <c r="AC238" s="115">
        <v>4</v>
      </c>
      <c r="AD238" s="115"/>
    </row>
    <row r="239" spans="1:30" x14ac:dyDescent="0.2">
      <c r="A239" s="14" t="s">
        <v>234</v>
      </c>
      <c r="B239" s="14" t="s">
        <v>62</v>
      </c>
      <c r="C239" s="14" t="s">
        <v>32</v>
      </c>
      <c r="D239" s="14" t="str">
        <f t="shared" si="3"/>
        <v>B2-P2-C2</v>
      </c>
      <c r="E239" s="14" t="s">
        <v>35</v>
      </c>
      <c r="F239" s="14" t="s">
        <v>133</v>
      </c>
      <c r="G239" s="51" t="s">
        <v>976</v>
      </c>
      <c r="H239" s="51">
        <v>238</v>
      </c>
      <c r="I239" s="53">
        <v>1</v>
      </c>
      <c r="J239" s="54"/>
      <c r="K239" s="53">
        <v>1</v>
      </c>
      <c r="L239" s="54"/>
      <c r="M239" s="54">
        <v>1</v>
      </c>
      <c r="N239" s="54"/>
      <c r="O239" s="54">
        <v>1</v>
      </c>
      <c r="P239" s="54"/>
      <c r="Q239" s="54">
        <v>1</v>
      </c>
      <c r="R239" s="54"/>
      <c r="S239" s="54">
        <v>1</v>
      </c>
      <c r="T239" s="54"/>
      <c r="U239" s="54">
        <v>1</v>
      </c>
      <c r="V239" s="54"/>
      <c r="W239" s="54">
        <v>1</v>
      </c>
      <c r="X239" s="54"/>
      <c r="Y239" s="54">
        <v>1</v>
      </c>
      <c r="Z239" s="54"/>
      <c r="AA239" s="115">
        <v>1</v>
      </c>
      <c r="AB239" s="115"/>
      <c r="AC239" s="115">
        <v>1</v>
      </c>
      <c r="AD239" s="115"/>
    </row>
    <row r="240" spans="1:30" x14ac:dyDescent="0.2">
      <c r="A240" s="14" t="s">
        <v>234</v>
      </c>
      <c r="B240" s="14" t="s">
        <v>62</v>
      </c>
      <c r="C240" s="14" t="s">
        <v>32</v>
      </c>
      <c r="D240" s="14" t="str">
        <f t="shared" si="3"/>
        <v>B2-P2-C2</v>
      </c>
      <c r="E240" s="14" t="s">
        <v>35</v>
      </c>
      <c r="F240" s="14" t="s">
        <v>133</v>
      </c>
      <c r="G240" s="51" t="s">
        <v>977</v>
      </c>
      <c r="H240" s="51">
        <v>239</v>
      </c>
      <c r="I240" s="53">
        <v>1</v>
      </c>
      <c r="J240" s="54"/>
      <c r="K240" s="53">
        <v>1</v>
      </c>
      <c r="L240" s="54"/>
      <c r="M240" s="54">
        <v>1</v>
      </c>
      <c r="N240" s="54"/>
      <c r="O240" s="54">
        <v>1</v>
      </c>
      <c r="P240" s="54"/>
      <c r="Q240" s="54">
        <v>1</v>
      </c>
      <c r="R240" s="54"/>
      <c r="S240" s="54">
        <v>1</v>
      </c>
      <c r="T240" s="54"/>
      <c r="U240" s="54">
        <v>1</v>
      </c>
      <c r="V240" s="54"/>
      <c r="W240" s="54">
        <v>1</v>
      </c>
      <c r="X240" s="54"/>
      <c r="Y240" s="54">
        <v>1</v>
      </c>
      <c r="Z240" s="54"/>
      <c r="AA240" s="115">
        <v>1</v>
      </c>
      <c r="AB240" s="115"/>
      <c r="AC240" s="115">
        <v>1</v>
      </c>
      <c r="AD240" s="115"/>
    </row>
    <row r="241" spans="1:30" x14ac:dyDescent="0.2">
      <c r="A241" s="14" t="s">
        <v>234</v>
      </c>
      <c r="B241" s="14" t="s">
        <v>62</v>
      </c>
      <c r="C241" s="14" t="s">
        <v>32</v>
      </c>
      <c r="D241" s="14" t="str">
        <f t="shared" si="3"/>
        <v>B2-P2-C2</v>
      </c>
      <c r="E241" s="14" t="s">
        <v>19</v>
      </c>
      <c r="F241" s="14" t="s">
        <v>133</v>
      </c>
      <c r="G241" s="51" t="s">
        <v>978</v>
      </c>
      <c r="H241" s="51">
        <v>240</v>
      </c>
      <c r="I241" s="53">
        <v>1</v>
      </c>
      <c r="J241" s="54"/>
      <c r="K241" s="53">
        <v>1</v>
      </c>
      <c r="L241" s="54"/>
      <c r="M241" s="54">
        <v>1</v>
      </c>
      <c r="N241" s="54"/>
      <c r="O241" s="54">
        <v>1</v>
      </c>
      <c r="P241" s="54"/>
      <c r="Q241" s="54">
        <v>1</v>
      </c>
      <c r="R241" s="54"/>
      <c r="S241" s="54">
        <v>1.5</v>
      </c>
      <c r="T241" s="54"/>
      <c r="U241" s="54">
        <v>4</v>
      </c>
      <c r="V241" s="54"/>
      <c r="W241" s="54">
        <v>4</v>
      </c>
      <c r="X241" s="54"/>
      <c r="Y241" s="54">
        <v>4</v>
      </c>
      <c r="Z241" s="54"/>
      <c r="AA241" s="115">
        <v>4</v>
      </c>
      <c r="AB241" s="115"/>
      <c r="AC241" s="115">
        <v>4</v>
      </c>
      <c r="AD241" s="115"/>
    </row>
    <row r="242" spans="1:30" x14ac:dyDescent="0.2">
      <c r="A242" s="20" t="s">
        <v>234</v>
      </c>
      <c r="B242" s="20" t="s">
        <v>62</v>
      </c>
      <c r="C242" s="20" t="s">
        <v>42</v>
      </c>
      <c r="D242" s="20" t="str">
        <f t="shared" si="3"/>
        <v>B2-P2-C3</v>
      </c>
      <c r="E242" s="20" t="s">
        <v>19</v>
      </c>
      <c r="F242" s="20" t="s">
        <v>133</v>
      </c>
      <c r="G242" s="50" t="s">
        <v>980</v>
      </c>
      <c r="H242" s="50">
        <v>241</v>
      </c>
      <c r="I242" s="52">
        <v>1</v>
      </c>
      <c r="J242" s="52"/>
      <c r="K242" s="52">
        <v>1</v>
      </c>
      <c r="L242" s="52"/>
      <c r="M242" s="52">
        <v>1</v>
      </c>
      <c r="N242" s="52"/>
      <c r="O242" s="52">
        <v>1</v>
      </c>
      <c r="P242" s="52"/>
      <c r="Q242" s="52">
        <v>1</v>
      </c>
      <c r="R242" s="52"/>
      <c r="S242" s="52">
        <v>1</v>
      </c>
      <c r="T242" s="52"/>
      <c r="U242" s="52">
        <v>1</v>
      </c>
      <c r="V242" s="52"/>
      <c r="W242" s="52">
        <v>1</v>
      </c>
      <c r="X242" s="52"/>
      <c r="Y242" s="52">
        <v>1</v>
      </c>
      <c r="Z242" s="52"/>
      <c r="AA242" s="114">
        <v>1</v>
      </c>
      <c r="AB242" s="114"/>
      <c r="AC242" s="114">
        <v>3</v>
      </c>
      <c r="AD242" s="114"/>
    </row>
    <row r="243" spans="1:30" x14ac:dyDescent="0.2">
      <c r="A243" s="20" t="s">
        <v>234</v>
      </c>
      <c r="B243" s="20" t="s">
        <v>62</v>
      </c>
      <c r="C243" s="20" t="s">
        <v>42</v>
      </c>
      <c r="D243" s="20" t="str">
        <f t="shared" si="3"/>
        <v>B2-P2-C3</v>
      </c>
      <c r="E243" s="20" t="s">
        <v>35</v>
      </c>
      <c r="F243" s="20" t="s">
        <v>133</v>
      </c>
      <c r="G243" s="50" t="s">
        <v>981</v>
      </c>
      <c r="H243" s="50">
        <v>242</v>
      </c>
      <c r="I243" s="52">
        <v>1</v>
      </c>
      <c r="J243" s="52"/>
      <c r="K243" s="52">
        <v>1</v>
      </c>
      <c r="L243" s="52"/>
      <c r="M243" s="52">
        <v>1</v>
      </c>
      <c r="N243" s="52"/>
      <c r="O243" s="52">
        <v>1</v>
      </c>
      <c r="P243" s="52"/>
      <c r="Q243" s="52">
        <v>1</v>
      </c>
      <c r="R243" s="52"/>
      <c r="S243" s="52">
        <v>1</v>
      </c>
      <c r="T243" s="52"/>
      <c r="U243" s="52">
        <v>1</v>
      </c>
      <c r="V243" s="52"/>
      <c r="W243" s="52">
        <v>1</v>
      </c>
      <c r="X243" s="52"/>
      <c r="Y243" s="52">
        <v>1</v>
      </c>
      <c r="Z243" s="52"/>
      <c r="AA243" s="114">
        <v>1</v>
      </c>
      <c r="AB243" s="114"/>
      <c r="AC243" s="114">
        <v>1</v>
      </c>
      <c r="AD243" s="114"/>
    </row>
    <row r="244" spans="1:30" x14ac:dyDescent="0.2">
      <c r="A244" s="20" t="s">
        <v>234</v>
      </c>
      <c r="B244" s="20" t="s">
        <v>62</v>
      </c>
      <c r="C244" s="20" t="s">
        <v>42</v>
      </c>
      <c r="D244" s="20" t="str">
        <f t="shared" si="3"/>
        <v>B2-P2-C3</v>
      </c>
      <c r="E244" s="20" t="s">
        <v>35</v>
      </c>
      <c r="F244" s="20" t="s">
        <v>133</v>
      </c>
      <c r="G244" s="50" t="s">
        <v>982</v>
      </c>
      <c r="H244" s="50">
        <v>243</v>
      </c>
      <c r="I244" s="52">
        <v>1</v>
      </c>
      <c r="J244" s="52"/>
      <c r="K244" s="52">
        <v>1</v>
      </c>
      <c r="L244" s="52"/>
      <c r="M244" s="52">
        <v>1</v>
      </c>
      <c r="N244" s="52"/>
      <c r="O244" s="52">
        <v>1</v>
      </c>
      <c r="P244" s="52"/>
      <c r="Q244" s="52">
        <v>1</v>
      </c>
      <c r="R244" s="52"/>
      <c r="S244" s="52">
        <v>1</v>
      </c>
      <c r="T244" s="52"/>
      <c r="U244" s="52">
        <v>1</v>
      </c>
      <c r="V244" s="52"/>
      <c r="W244" s="52">
        <v>1</v>
      </c>
      <c r="X244" s="52"/>
      <c r="Y244" s="52">
        <v>1</v>
      </c>
      <c r="Z244" s="52"/>
      <c r="AA244" s="114">
        <v>1</v>
      </c>
      <c r="AB244" s="114"/>
      <c r="AC244" s="114">
        <v>1</v>
      </c>
      <c r="AD244" s="114"/>
    </row>
    <row r="245" spans="1:30" x14ac:dyDescent="0.2">
      <c r="A245" s="20" t="s">
        <v>234</v>
      </c>
      <c r="B245" s="20" t="s">
        <v>62</v>
      </c>
      <c r="C245" s="20" t="s">
        <v>42</v>
      </c>
      <c r="D245" s="20" t="str">
        <f t="shared" si="3"/>
        <v>B2-P2-C3</v>
      </c>
      <c r="E245" s="20" t="s">
        <v>19</v>
      </c>
      <c r="F245" s="20" t="s">
        <v>133</v>
      </c>
      <c r="G245" s="50" t="s">
        <v>983</v>
      </c>
      <c r="H245" s="50">
        <v>244</v>
      </c>
      <c r="I245" s="52">
        <v>1</v>
      </c>
      <c r="J245" s="52"/>
      <c r="K245" s="52">
        <v>1</v>
      </c>
      <c r="L245" s="52"/>
      <c r="M245" s="52">
        <v>1</v>
      </c>
      <c r="N245" s="52"/>
      <c r="O245" s="52">
        <v>1</v>
      </c>
      <c r="P245" s="52"/>
      <c r="Q245" s="52">
        <v>1</v>
      </c>
      <c r="R245" s="52"/>
      <c r="S245" s="52">
        <v>1</v>
      </c>
      <c r="T245" s="52"/>
      <c r="U245" s="52">
        <v>1</v>
      </c>
      <c r="V245" s="52"/>
      <c r="W245" s="52">
        <v>1</v>
      </c>
      <c r="X245" s="52"/>
      <c r="Y245" s="52">
        <v>1</v>
      </c>
      <c r="Z245" s="52"/>
      <c r="AA245" s="114">
        <v>1</v>
      </c>
      <c r="AB245" s="114"/>
      <c r="AC245" s="114">
        <v>3</v>
      </c>
      <c r="AD245" s="114"/>
    </row>
    <row r="246" spans="1:30" x14ac:dyDescent="0.2">
      <c r="A246" s="20" t="s">
        <v>234</v>
      </c>
      <c r="B246" s="20" t="s">
        <v>62</v>
      </c>
      <c r="C246" s="20" t="s">
        <v>42</v>
      </c>
      <c r="D246" s="20" t="str">
        <f t="shared" si="3"/>
        <v>B2-P2-C3</v>
      </c>
      <c r="E246" s="20" t="s">
        <v>19</v>
      </c>
      <c r="F246" s="20" t="s">
        <v>133</v>
      </c>
      <c r="G246" s="50" t="s">
        <v>984</v>
      </c>
      <c r="H246" s="50">
        <v>245</v>
      </c>
      <c r="I246" s="52">
        <v>1</v>
      </c>
      <c r="J246" s="52"/>
      <c r="K246" s="52">
        <v>1</v>
      </c>
      <c r="L246" s="52"/>
      <c r="M246" s="52">
        <v>1</v>
      </c>
      <c r="N246" s="52"/>
      <c r="O246" s="52">
        <v>1</v>
      </c>
      <c r="P246" s="52"/>
      <c r="Q246" s="52">
        <v>1</v>
      </c>
      <c r="R246" s="52"/>
      <c r="S246" s="52">
        <v>1</v>
      </c>
      <c r="T246" s="52"/>
      <c r="U246" s="52">
        <v>1</v>
      </c>
      <c r="V246" s="52"/>
      <c r="W246" s="52">
        <v>1</v>
      </c>
      <c r="X246" s="52"/>
      <c r="Y246" s="52">
        <v>1</v>
      </c>
      <c r="Z246" s="52"/>
      <c r="AA246" s="114">
        <v>1</v>
      </c>
      <c r="AB246" s="114"/>
      <c r="AC246" s="114">
        <v>3</v>
      </c>
      <c r="AD246" s="114"/>
    </row>
    <row r="247" spans="1:30" x14ac:dyDescent="0.2">
      <c r="A247" s="20" t="s">
        <v>234</v>
      </c>
      <c r="B247" s="20" t="s">
        <v>62</v>
      </c>
      <c r="C247" s="20" t="s">
        <v>42</v>
      </c>
      <c r="D247" s="20" t="str">
        <f t="shared" si="3"/>
        <v>B2-P2-C3</v>
      </c>
      <c r="E247" s="20" t="s">
        <v>35</v>
      </c>
      <c r="F247" s="20" t="s">
        <v>133</v>
      </c>
      <c r="G247" s="50" t="s">
        <v>985</v>
      </c>
      <c r="H247" s="50">
        <v>246</v>
      </c>
      <c r="I247" s="52">
        <v>1</v>
      </c>
      <c r="J247" s="52"/>
      <c r="K247" s="52">
        <v>1</v>
      </c>
      <c r="L247" s="52"/>
      <c r="M247" s="52">
        <v>1</v>
      </c>
      <c r="N247" s="52"/>
      <c r="O247" s="52">
        <v>1</v>
      </c>
      <c r="P247" s="52"/>
      <c r="Q247" s="52">
        <v>1</v>
      </c>
      <c r="R247" s="52"/>
      <c r="S247" s="52">
        <v>1</v>
      </c>
      <c r="T247" s="52"/>
      <c r="U247" s="52">
        <v>1</v>
      </c>
      <c r="V247" s="52"/>
      <c r="W247" s="52">
        <v>1</v>
      </c>
      <c r="X247" s="52"/>
      <c r="Y247" s="52">
        <v>1</v>
      </c>
      <c r="Z247" s="52"/>
      <c r="AA247" s="114">
        <v>1</v>
      </c>
      <c r="AB247" s="114"/>
      <c r="AC247" s="114">
        <v>1</v>
      </c>
      <c r="AD247" s="114"/>
    </row>
    <row r="248" spans="1:30" x14ac:dyDescent="0.2">
      <c r="A248" s="20" t="s">
        <v>234</v>
      </c>
      <c r="B248" s="20" t="s">
        <v>62</v>
      </c>
      <c r="C248" s="20" t="s">
        <v>42</v>
      </c>
      <c r="D248" s="20" t="str">
        <f t="shared" si="3"/>
        <v>B2-P2-C3</v>
      </c>
      <c r="E248" s="20" t="s">
        <v>35</v>
      </c>
      <c r="F248" s="20" t="s">
        <v>133</v>
      </c>
      <c r="G248" s="50" t="s">
        <v>986</v>
      </c>
      <c r="H248" s="50">
        <v>247</v>
      </c>
      <c r="I248" s="52">
        <v>1</v>
      </c>
      <c r="J248" s="52"/>
      <c r="K248" s="52">
        <v>1</v>
      </c>
      <c r="L248" s="52"/>
      <c r="M248" s="52">
        <v>1</v>
      </c>
      <c r="N248" s="52"/>
      <c r="O248" s="52">
        <v>1</v>
      </c>
      <c r="P248" s="52"/>
      <c r="Q248" s="52">
        <v>1</v>
      </c>
      <c r="R248" s="52"/>
      <c r="S248" s="52">
        <v>1</v>
      </c>
      <c r="T248" s="52"/>
      <c r="U248" s="52">
        <v>1</v>
      </c>
      <c r="V248" s="52"/>
      <c r="W248" s="52">
        <v>1</v>
      </c>
      <c r="X248" s="52"/>
      <c r="Y248" s="52">
        <v>1</v>
      </c>
      <c r="Z248" s="52"/>
      <c r="AA248" s="114">
        <v>1</v>
      </c>
      <c r="AB248" s="114"/>
      <c r="AC248" s="114">
        <v>1</v>
      </c>
      <c r="AD248" s="114"/>
    </row>
    <row r="249" spans="1:30" x14ac:dyDescent="0.2">
      <c r="A249" s="20" t="s">
        <v>234</v>
      </c>
      <c r="B249" s="20" t="s">
        <v>62</v>
      </c>
      <c r="C249" s="20" t="s">
        <v>42</v>
      </c>
      <c r="D249" s="20" t="str">
        <f t="shared" si="3"/>
        <v>B2-P2-C3</v>
      </c>
      <c r="E249" s="20" t="s">
        <v>19</v>
      </c>
      <c r="F249" s="20" t="s">
        <v>133</v>
      </c>
      <c r="G249" s="50" t="s">
        <v>987</v>
      </c>
      <c r="H249" s="50">
        <v>248</v>
      </c>
      <c r="I249" s="52">
        <v>1</v>
      </c>
      <c r="J249" s="52"/>
      <c r="K249" s="52">
        <v>1</v>
      </c>
      <c r="L249" s="52"/>
      <c r="M249" s="52">
        <v>1</v>
      </c>
      <c r="N249" s="52"/>
      <c r="O249" s="52">
        <v>1</v>
      </c>
      <c r="P249" s="52"/>
      <c r="Q249" s="52">
        <v>1</v>
      </c>
      <c r="R249" s="52"/>
      <c r="S249" s="52">
        <v>1</v>
      </c>
      <c r="T249" s="52"/>
      <c r="U249" s="52">
        <v>1</v>
      </c>
      <c r="V249" s="52"/>
      <c r="W249" s="52">
        <v>1</v>
      </c>
      <c r="X249" s="52"/>
      <c r="Y249" s="52">
        <v>1</v>
      </c>
      <c r="Z249" s="52"/>
      <c r="AA249" s="114">
        <v>1</v>
      </c>
      <c r="AB249" s="114"/>
      <c r="AC249" s="114">
        <v>4</v>
      </c>
      <c r="AD249" s="114"/>
    </row>
    <row r="250" spans="1:30" x14ac:dyDescent="0.2">
      <c r="A250" s="14" t="s">
        <v>234</v>
      </c>
      <c r="B250" s="14" t="s">
        <v>62</v>
      </c>
      <c r="C250" s="14" t="s">
        <v>53</v>
      </c>
      <c r="D250" s="14" t="str">
        <f t="shared" si="3"/>
        <v>B2-P2-C4</v>
      </c>
      <c r="E250" s="14" t="s">
        <v>35</v>
      </c>
      <c r="F250" s="14" t="s">
        <v>133</v>
      </c>
      <c r="G250" s="51" t="s">
        <v>989</v>
      </c>
      <c r="H250" s="51">
        <v>249</v>
      </c>
      <c r="I250" s="53">
        <v>1</v>
      </c>
      <c r="J250" s="54"/>
      <c r="K250" s="53">
        <v>1</v>
      </c>
      <c r="L250" s="54"/>
      <c r="M250" s="54">
        <v>1</v>
      </c>
      <c r="N250" s="54"/>
      <c r="O250" s="54">
        <v>1</v>
      </c>
      <c r="P250" s="54"/>
      <c r="Q250" s="54">
        <v>1</v>
      </c>
      <c r="R250" s="54"/>
      <c r="S250" s="54">
        <v>1</v>
      </c>
      <c r="T250" s="54"/>
      <c r="U250" s="54">
        <v>1</v>
      </c>
      <c r="V250" s="54"/>
      <c r="W250" s="54">
        <v>1</v>
      </c>
      <c r="X250" s="54"/>
      <c r="Y250" s="54">
        <v>1</v>
      </c>
      <c r="Z250" s="54"/>
      <c r="AA250" s="115">
        <v>1</v>
      </c>
      <c r="AB250" s="115"/>
      <c r="AC250" s="115">
        <v>1</v>
      </c>
      <c r="AD250" s="115"/>
    </row>
    <row r="251" spans="1:30" x14ac:dyDescent="0.2">
      <c r="A251" s="14" t="s">
        <v>234</v>
      </c>
      <c r="B251" s="14" t="s">
        <v>62</v>
      </c>
      <c r="C251" s="14" t="s">
        <v>53</v>
      </c>
      <c r="D251" s="14" t="str">
        <f t="shared" si="3"/>
        <v>B2-P2-C4</v>
      </c>
      <c r="E251" s="14" t="s">
        <v>35</v>
      </c>
      <c r="F251" s="14" t="s">
        <v>133</v>
      </c>
      <c r="G251" s="51" t="s">
        <v>990</v>
      </c>
      <c r="H251" s="51">
        <v>250</v>
      </c>
      <c r="I251" s="53">
        <v>1</v>
      </c>
      <c r="J251" s="54"/>
      <c r="K251" s="53">
        <v>1</v>
      </c>
      <c r="L251" s="54"/>
      <c r="M251" s="54">
        <v>1</v>
      </c>
      <c r="N251" s="54"/>
      <c r="O251" s="54">
        <v>1</v>
      </c>
      <c r="P251" s="54"/>
      <c r="Q251" s="54">
        <v>1</v>
      </c>
      <c r="R251" s="54"/>
      <c r="S251" s="54">
        <v>1</v>
      </c>
      <c r="T251" s="54"/>
      <c r="U251" s="54">
        <v>1</v>
      </c>
      <c r="V251" s="54"/>
      <c r="W251" s="54">
        <v>1</v>
      </c>
      <c r="X251" s="54"/>
      <c r="Y251" s="54">
        <v>1</v>
      </c>
      <c r="Z251" s="54"/>
      <c r="AA251" s="115">
        <v>1</v>
      </c>
      <c r="AB251" s="115"/>
      <c r="AC251" s="115">
        <v>1</v>
      </c>
      <c r="AD251" s="115"/>
    </row>
    <row r="252" spans="1:30" x14ac:dyDescent="0.2">
      <c r="A252" s="14" t="s">
        <v>234</v>
      </c>
      <c r="B252" s="14" t="s">
        <v>62</v>
      </c>
      <c r="C252" s="14" t="s">
        <v>53</v>
      </c>
      <c r="D252" s="14" t="str">
        <f t="shared" si="3"/>
        <v>B2-P2-C4</v>
      </c>
      <c r="E252" s="14" t="s">
        <v>35</v>
      </c>
      <c r="F252" s="14" t="s">
        <v>133</v>
      </c>
      <c r="G252" s="51" t="s">
        <v>991</v>
      </c>
      <c r="H252" s="51">
        <v>251</v>
      </c>
      <c r="I252" s="53">
        <v>1</v>
      </c>
      <c r="J252" s="54"/>
      <c r="K252" s="53">
        <v>1</v>
      </c>
      <c r="L252" s="54"/>
      <c r="M252" s="54">
        <v>1</v>
      </c>
      <c r="N252" s="54"/>
      <c r="O252" s="54">
        <v>1</v>
      </c>
      <c r="P252" s="54"/>
      <c r="Q252" s="54">
        <v>1</v>
      </c>
      <c r="R252" s="54"/>
      <c r="S252" s="54">
        <v>1</v>
      </c>
      <c r="T252" s="54"/>
      <c r="U252" s="54">
        <v>1</v>
      </c>
      <c r="V252" s="54"/>
      <c r="W252" s="54">
        <v>1</v>
      </c>
      <c r="X252" s="54"/>
      <c r="Y252" s="54">
        <v>1</v>
      </c>
      <c r="Z252" s="54"/>
      <c r="AA252" s="115">
        <v>1</v>
      </c>
      <c r="AB252" s="115"/>
      <c r="AC252" s="115">
        <v>1</v>
      </c>
      <c r="AD252" s="115"/>
    </row>
    <row r="253" spans="1:30" x14ac:dyDescent="0.2">
      <c r="A253" s="14" t="s">
        <v>234</v>
      </c>
      <c r="B253" s="14" t="s">
        <v>62</v>
      </c>
      <c r="C253" s="14" t="s">
        <v>53</v>
      </c>
      <c r="D253" s="14" t="str">
        <f t="shared" si="3"/>
        <v>B2-P2-C4</v>
      </c>
      <c r="E253" s="14" t="s">
        <v>35</v>
      </c>
      <c r="F253" s="14" t="s">
        <v>133</v>
      </c>
      <c r="G253" s="51" t="s">
        <v>992</v>
      </c>
      <c r="H253" s="51">
        <v>252</v>
      </c>
      <c r="I253" s="53">
        <v>1</v>
      </c>
      <c r="J253" s="54"/>
      <c r="K253" s="53">
        <v>1</v>
      </c>
      <c r="L253" s="54"/>
      <c r="M253" s="54">
        <v>1</v>
      </c>
      <c r="N253" s="54"/>
      <c r="O253" s="54">
        <v>1</v>
      </c>
      <c r="P253" s="54"/>
      <c r="Q253" s="54">
        <v>1</v>
      </c>
      <c r="R253" s="54"/>
      <c r="S253" s="54">
        <v>1</v>
      </c>
      <c r="T253" s="54"/>
      <c r="U253" s="54">
        <v>1</v>
      </c>
      <c r="V253" s="54"/>
      <c r="W253" s="54">
        <v>1</v>
      </c>
      <c r="X253" s="54"/>
      <c r="Y253" s="54">
        <v>1</v>
      </c>
      <c r="Z253" s="54"/>
      <c r="AA253" s="115">
        <v>1</v>
      </c>
      <c r="AB253" s="115"/>
      <c r="AC253" s="115">
        <v>1</v>
      </c>
      <c r="AD253" s="115"/>
    </row>
    <row r="254" spans="1:30" x14ac:dyDescent="0.2">
      <c r="A254" s="14" t="s">
        <v>234</v>
      </c>
      <c r="B254" s="14" t="s">
        <v>62</v>
      </c>
      <c r="C254" s="14" t="s">
        <v>53</v>
      </c>
      <c r="D254" s="14" t="str">
        <f t="shared" si="3"/>
        <v>B2-P2-C4</v>
      </c>
      <c r="E254" s="14" t="s">
        <v>35</v>
      </c>
      <c r="F254" s="14" t="s">
        <v>133</v>
      </c>
      <c r="G254" s="51" t="s">
        <v>993</v>
      </c>
      <c r="H254" s="51">
        <v>253</v>
      </c>
      <c r="I254" s="53">
        <v>1</v>
      </c>
      <c r="J254" s="54"/>
      <c r="K254" s="53">
        <v>1</v>
      </c>
      <c r="L254" s="54"/>
      <c r="M254" s="54">
        <v>1</v>
      </c>
      <c r="N254" s="54"/>
      <c r="O254" s="54">
        <v>1</v>
      </c>
      <c r="P254" s="54"/>
      <c r="Q254" s="54">
        <v>1</v>
      </c>
      <c r="R254" s="54"/>
      <c r="S254" s="54">
        <v>1</v>
      </c>
      <c r="T254" s="54"/>
      <c r="U254" s="54">
        <v>1</v>
      </c>
      <c r="V254" s="54"/>
      <c r="W254" s="54">
        <v>1</v>
      </c>
      <c r="X254" s="54"/>
      <c r="Y254" s="54">
        <v>1</v>
      </c>
      <c r="Z254" s="54"/>
      <c r="AA254" s="115">
        <v>1</v>
      </c>
      <c r="AB254" s="115"/>
      <c r="AC254" s="115">
        <v>1</v>
      </c>
      <c r="AD254" s="115"/>
    </row>
    <row r="255" spans="1:30" x14ac:dyDescent="0.2">
      <c r="A255" s="14" t="s">
        <v>234</v>
      </c>
      <c r="B255" s="14" t="s">
        <v>62</v>
      </c>
      <c r="C255" s="14" t="s">
        <v>53</v>
      </c>
      <c r="D255" s="14" t="str">
        <f t="shared" si="3"/>
        <v>B2-P2-C4</v>
      </c>
      <c r="E255" s="14" t="s">
        <v>35</v>
      </c>
      <c r="F255" s="14" t="s">
        <v>133</v>
      </c>
      <c r="G255" s="51" t="s">
        <v>994</v>
      </c>
      <c r="H255" s="51">
        <v>254</v>
      </c>
      <c r="I255" s="53">
        <v>1</v>
      </c>
      <c r="J255" s="54"/>
      <c r="K255" s="53">
        <v>1</v>
      </c>
      <c r="L255" s="54"/>
      <c r="M255" s="54">
        <v>1</v>
      </c>
      <c r="N255" s="54"/>
      <c r="O255" s="54">
        <v>1</v>
      </c>
      <c r="P255" s="54"/>
      <c r="Q255" s="54">
        <v>1</v>
      </c>
      <c r="R255" s="54"/>
      <c r="S255" s="54">
        <v>1</v>
      </c>
      <c r="T255" s="54"/>
      <c r="U255" s="54">
        <v>1</v>
      </c>
      <c r="V255" s="54"/>
      <c r="W255" s="54">
        <v>1</v>
      </c>
      <c r="X255" s="54"/>
      <c r="Y255" s="54">
        <v>1</v>
      </c>
      <c r="Z255" s="54"/>
      <c r="AA255" s="115">
        <v>1</v>
      </c>
      <c r="AB255" s="115"/>
      <c r="AC255" s="115">
        <v>1</v>
      </c>
      <c r="AD255" s="115"/>
    </row>
    <row r="256" spans="1:30" x14ac:dyDescent="0.2">
      <c r="A256" s="14" t="s">
        <v>234</v>
      </c>
      <c r="B256" s="14" t="s">
        <v>62</v>
      </c>
      <c r="C256" s="14" t="s">
        <v>53</v>
      </c>
      <c r="D256" s="14" t="str">
        <f t="shared" si="3"/>
        <v>B2-P2-C4</v>
      </c>
      <c r="E256" s="14" t="s">
        <v>35</v>
      </c>
      <c r="F256" s="14" t="s">
        <v>133</v>
      </c>
      <c r="G256" s="51" t="s">
        <v>995</v>
      </c>
      <c r="H256" s="51">
        <v>255</v>
      </c>
      <c r="I256" s="53">
        <v>1</v>
      </c>
      <c r="J256" s="54"/>
      <c r="K256" s="53">
        <v>1</v>
      </c>
      <c r="L256" s="54"/>
      <c r="M256" s="54">
        <v>1</v>
      </c>
      <c r="N256" s="54"/>
      <c r="O256" s="54">
        <v>1</v>
      </c>
      <c r="P256" s="54"/>
      <c r="Q256" s="54">
        <v>1</v>
      </c>
      <c r="R256" s="54"/>
      <c r="S256" s="54">
        <v>1</v>
      </c>
      <c r="T256" s="54"/>
      <c r="U256" s="54">
        <v>1</v>
      </c>
      <c r="V256" s="54"/>
      <c r="W256" s="54">
        <v>1</v>
      </c>
      <c r="X256" s="54"/>
      <c r="Y256" s="54">
        <v>1</v>
      </c>
      <c r="Z256" s="54"/>
      <c r="AA256" s="115">
        <v>1</v>
      </c>
      <c r="AB256" s="115"/>
      <c r="AC256" s="115">
        <v>1</v>
      </c>
      <c r="AD256" s="115"/>
    </row>
    <row r="257" spans="1:30" x14ac:dyDescent="0.2">
      <c r="A257" s="14" t="s">
        <v>234</v>
      </c>
      <c r="B257" s="14" t="s">
        <v>62</v>
      </c>
      <c r="C257" s="14" t="s">
        <v>53</v>
      </c>
      <c r="D257" s="14" t="str">
        <f t="shared" si="3"/>
        <v>B2-P2-C4</v>
      </c>
      <c r="E257" s="14" t="s">
        <v>35</v>
      </c>
      <c r="F257" s="14" t="s">
        <v>133</v>
      </c>
      <c r="G257" s="51" t="s">
        <v>996</v>
      </c>
      <c r="H257" s="51">
        <v>256</v>
      </c>
      <c r="I257" s="53">
        <v>1</v>
      </c>
      <c r="J257" s="54"/>
      <c r="K257" s="53">
        <v>1</v>
      </c>
      <c r="L257" s="54"/>
      <c r="M257" s="54">
        <v>1</v>
      </c>
      <c r="N257" s="54"/>
      <c r="O257" s="54">
        <v>1</v>
      </c>
      <c r="P257" s="54"/>
      <c r="Q257" s="54">
        <v>1</v>
      </c>
      <c r="R257" s="54"/>
      <c r="S257" s="54">
        <v>1</v>
      </c>
      <c r="T257" s="54"/>
      <c r="U257" s="54">
        <v>1</v>
      </c>
      <c r="V257" s="54"/>
      <c r="W257" s="54">
        <v>1</v>
      </c>
      <c r="X257" s="54"/>
      <c r="Y257" s="54">
        <v>1</v>
      </c>
      <c r="Z257" s="54"/>
      <c r="AA257" s="115">
        <v>1</v>
      </c>
      <c r="AB257" s="115"/>
      <c r="AC257" s="115">
        <v>1</v>
      </c>
      <c r="AD257" s="115"/>
    </row>
    <row r="258" spans="1:30" x14ac:dyDescent="0.2">
      <c r="A258" s="20" t="s">
        <v>234</v>
      </c>
      <c r="B258" s="20" t="s">
        <v>98</v>
      </c>
      <c r="C258" s="20" t="s">
        <v>16</v>
      </c>
      <c r="D258" s="20" t="str">
        <f t="shared" si="3"/>
        <v>B2-P3-C1</v>
      </c>
      <c r="E258" s="20" t="s">
        <v>35</v>
      </c>
      <c r="F258" s="20" t="s">
        <v>133</v>
      </c>
      <c r="G258" s="50" t="s">
        <v>998</v>
      </c>
      <c r="H258" s="50">
        <v>257</v>
      </c>
      <c r="I258" s="52">
        <v>1</v>
      </c>
      <c r="J258" s="52"/>
      <c r="K258" s="52">
        <v>1</v>
      </c>
      <c r="L258" s="52"/>
      <c r="M258" s="52">
        <v>1</v>
      </c>
      <c r="N258" s="52"/>
      <c r="O258" s="52">
        <v>1.5</v>
      </c>
      <c r="P258" s="52"/>
      <c r="Q258" s="52">
        <v>2.5</v>
      </c>
      <c r="R258" s="52"/>
      <c r="S258" s="52">
        <v>2.5</v>
      </c>
      <c r="T258" s="52"/>
      <c r="U258" s="52">
        <v>2.5</v>
      </c>
      <c r="V258" s="52"/>
      <c r="W258" s="52">
        <v>3</v>
      </c>
      <c r="X258" s="52"/>
      <c r="Y258" s="52">
        <v>3</v>
      </c>
      <c r="Z258" s="52"/>
      <c r="AA258" s="114">
        <v>3</v>
      </c>
      <c r="AB258" s="114"/>
      <c r="AC258" s="114">
        <v>3</v>
      </c>
      <c r="AD258" s="114"/>
    </row>
    <row r="259" spans="1:30" x14ac:dyDescent="0.2">
      <c r="A259" s="20" t="s">
        <v>234</v>
      </c>
      <c r="B259" s="20" t="s">
        <v>98</v>
      </c>
      <c r="C259" s="20" t="s">
        <v>16</v>
      </c>
      <c r="D259" s="20" t="str">
        <f t="shared" ref="D259:D322" si="4">A259&amp;"-"&amp;B259&amp;"-"&amp;C259</f>
        <v>B2-P3-C1</v>
      </c>
      <c r="E259" s="20" t="s">
        <v>35</v>
      </c>
      <c r="F259" s="20" t="s">
        <v>133</v>
      </c>
      <c r="G259" s="50" t="s">
        <v>999</v>
      </c>
      <c r="H259" s="50">
        <v>258</v>
      </c>
      <c r="I259" s="52">
        <v>1</v>
      </c>
      <c r="J259" s="52"/>
      <c r="K259" s="52">
        <v>1</v>
      </c>
      <c r="L259" s="52"/>
      <c r="M259" s="52">
        <v>1</v>
      </c>
      <c r="N259" s="52"/>
      <c r="O259" s="52">
        <v>1</v>
      </c>
      <c r="P259" s="52"/>
      <c r="Q259" s="52">
        <v>1</v>
      </c>
      <c r="R259" s="52"/>
      <c r="S259" s="52">
        <v>1</v>
      </c>
      <c r="T259" s="52"/>
      <c r="U259" s="52">
        <v>1</v>
      </c>
      <c r="V259" s="52"/>
      <c r="W259" s="52">
        <v>1</v>
      </c>
      <c r="X259" s="52"/>
      <c r="Y259" s="52">
        <v>1</v>
      </c>
      <c r="Z259" s="52"/>
      <c r="AA259" s="114">
        <v>1</v>
      </c>
      <c r="AB259" s="114"/>
      <c r="AC259" s="114">
        <v>1</v>
      </c>
      <c r="AD259" s="114"/>
    </row>
    <row r="260" spans="1:30" x14ac:dyDescent="0.2">
      <c r="A260" s="20" t="s">
        <v>234</v>
      </c>
      <c r="B260" s="20" t="s">
        <v>98</v>
      </c>
      <c r="C260" s="20" t="s">
        <v>16</v>
      </c>
      <c r="D260" s="20" t="str">
        <f t="shared" si="4"/>
        <v>B2-P3-C1</v>
      </c>
      <c r="E260" s="20" t="s">
        <v>35</v>
      </c>
      <c r="F260" s="20" t="s">
        <v>133</v>
      </c>
      <c r="G260" s="50" t="s">
        <v>1000</v>
      </c>
      <c r="H260" s="50">
        <v>259</v>
      </c>
      <c r="I260" s="52">
        <v>1</v>
      </c>
      <c r="J260" s="52"/>
      <c r="K260" s="52">
        <v>1</v>
      </c>
      <c r="L260" s="52"/>
      <c r="M260" s="52">
        <v>1</v>
      </c>
      <c r="N260" s="52"/>
      <c r="O260" s="52">
        <v>1</v>
      </c>
      <c r="P260" s="52"/>
      <c r="Q260" s="52">
        <v>1</v>
      </c>
      <c r="R260" s="52"/>
      <c r="S260" s="52">
        <v>1</v>
      </c>
      <c r="T260" s="52"/>
      <c r="U260" s="52">
        <v>1</v>
      </c>
      <c r="V260" s="52"/>
      <c r="W260" s="52">
        <v>1</v>
      </c>
      <c r="X260" s="52"/>
      <c r="Y260" s="52">
        <v>1</v>
      </c>
      <c r="Z260" s="52"/>
      <c r="AA260" s="114">
        <v>1</v>
      </c>
      <c r="AB260" s="114"/>
      <c r="AC260" s="114">
        <v>1</v>
      </c>
      <c r="AD260" s="114"/>
    </row>
    <row r="261" spans="1:30" x14ac:dyDescent="0.2">
      <c r="A261" s="20" t="s">
        <v>234</v>
      </c>
      <c r="B261" s="20" t="s">
        <v>98</v>
      </c>
      <c r="C261" s="20" t="s">
        <v>16</v>
      </c>
      <c r="D261" s="20" t="str">
        <f t="shared" si="4"/>
        <v>B2-P3-C1</v>
      </c>
      <c r="E261" s="20" t="s">
        <v>35</v>
      </c>
      <c r="F261" s="20" t="s">
        <v>133</v>
      </c>
      <c r="G261" s="50" t="s">
        <v>1001</v>
      </c>
      <c r="H261" s="50">
        <v>260</v>
      </c>
      <c r="I261" s="52">
        <v>1</v>
      </c>
      <c r="J261" s="52"/>
      <c r="K261" s="52">
        <v>1</v>
      </c>
      <c r="L261" s="52"/>
      <c r="M261" s="52">
        <v>1</v>
      </c>
      <c r="N261" s="52"/>
      <c r="O261" s="52">
        <v>1</v>
      </c>
      <c r="P261" s="52"/>
      <c r="Q261" s="52">
        <v>1</v>
      </c>
      <c r="R261" s="52"/>
      <c r="S261" s="52">
        <v>1</v>
      </c>
      <c r="T261" s="52"/>
      <c r="U261" s="52">
        <v>1</v>
      </c>
      <c r="V261" s="52"/>
      <c r="W261" s="52">
        <v>1</v>
      </c>
      <c r="X261" s="52"/>
      <c r="Y261" s="52">
        <v>1</v>
      </c>
      <c r="Z261" s="52"/>
      <c r="AA261" s="114">
        <v>1</v>
      </c>
      <c r="AB261" s="114"/>
      <c r="AC261" s="114">
        <v>1</v>
      </c>
      <c r="AD261" s="114"/>
    </row>
    <row r="262" spans="1:30" x14ac:dyDescent="0.2">
      <c r="A262" s="20" t="s">
        <v>234</v>
      </c>
      <c r="B262" s="20" t="s">
        <v>98</v>
      </c>
      <c r="C262" s="20" t="s">
        <v>16</v>
      </c>
      <c r="D262" s="20" t="str">
        <f t="shared" si="4"/>
        <v>B2-P3-C1</v>
      </c>
      <c r="E262" s="20" t="s">
        <v>35</v>
      </c>
      <c r="F262" s="20" t="s">
        <v>133</v>
      </c>
      <c r="G262" s="50" t="s">
        <v>1002</v>
      </c>
      <c r="H262" s="50">
        <v>261</v>
      </c>
      <c r="I262" s="52">
        <v>1</v>
      </c>
      <c r="J262" s="52"/>
      <c r="K262" s="52">
        <v>1</v>
      </c>
      <c r="L262" s="52"/>
      <c r="M262" s="52">
        <v>1</v>
      </c>
      <c r="N262" s="52"/>
      <c r="O262" s="52">
        <v>1</v>
      </c>
      <c r="P262" s="52"/>
      <c r="Q262" s="52">
        <v>1</v>
      </c>
      <c r="R262" s="52"/>
      <c r="S262" s="52">
        <v>1</v>
      </c>
      <c r="T262" s="52"/>
      <c r="U262" s="52">
        <v>1</v>
      </c>
      <c r="V262" s="52"/>
      <c r="W262" s="52">
        <v>1</v>
      </c>
      <c r="X262" s="52"/>
      <c r="Y262" s="52">
        <v>1</v>
      </c>
      <c r="Z262" s="52"/>
      <c r="AA262" s="114">
        <v>1</v>
      </c>
      <c r="AB262" s="114"/>
      <c r="AC262" s="114">
        <v>1</v>
      </c>
      <c r="AD262" s="114"/>
    </row>
    <row r="263" spans="1:30" x14ac:dyDescent="0.2">
      <c r="A263" s="20" t="s">
        <v>234</v>
      </c>
      <c r="B263" s="20" t="s">
        <v>98</v>
      </c>
      <c r="C263" s="20" t="s">
        <v>16</v>
      </c>
      <c r="D263" s="20" t="str">
        <f t="shared" si="4"/>
        <v>B2-P3-C1</v>
      </c>
      <c r="E263" s="20" t="s">
        <v>35</v>
      </c>
      <c r="F263" s="20" t="s">
        <v>133</v>
      </c>
      <c r="G263" s="50" t="s">
        <v>1003</v>
      </c>
      <c r="H263" s="50">
        <v>262</v>
      </c>
      <c r="I263" s="52">
        <v>1</v>
      </c>
      <c r="J263" s="52"/>
      <c r="K263" s="52">
        <v>1</v>
      </c>
      <c r="L263" s="52"/>
      <c r="M263" s="52">
        <v>1</v>
      </c>
      <c r="N263" s="52"/>
      <c r="O263" s="52">
        <v>1</v>
      </c>
      <c r="P263" s="52"/>
      <c r="Q263" s="52">
        <v>1</v>
      </c>
      <c r="R263" s="52"/>
      <c r="S263" s="52">
        <v>1</v>
      </c>
      <c r="T263" s="52"/>
      <c r="U263" s="52">
        <v>1</v>
      </c>
      <c r="V263" s="52"/>
      <c r="W263" s="52">
        <v>1</v>
      </c>
      <c r="X263" s="52"/>
      <c r="Y263" s="52">
        <v>1</v>
      </c>
      <c r="Z263" s="52"/>
      <c r="AA263" s="114">
        <v>1</v>
      </c>
      <c r="AB263" s="114"/>
      <c r="AC263" s="114">
        <v>1</v>
      </c>
      <c r="AD263" s="114"/>
    </row>
    <row r="264" spans="1:30" x14ac:dyDescent="0.2">
      <c r="A264" s="20" t="s">
        <v>234</v>
      </c>
      <c r="B264" s="20" t="s">
        <v>98</v>
      </c>
      <c r="C264" s="20" t="s">
        <v>16</v>
      </c>
      <c r="D264" s="20" t="str">
        <f t="shared" si="4"/>
        <v>B2-P3-C1</v>
      </c>
      <c r="E264" s="20" t="s">
        <v>35</v>
      </c>
      <c r="F264" s="20" t="s">
        <v>133</v>
      </c>
      <c r="G264" s="50" t="s">
        <v>1004</v>
      </c>
      <c r="H264" s="50">
        <v>263</v>
      </c>
      <c r="I264" s="52">
        <v>1</v>
      </c>
      <c r="J264" s="52"/>
      <c r="K264" s="52">
        <v>1</v>
      </c>
      <c r="L264" s="52"/>
      <c r="M264" s="52">
        <v>1</v>
      </c>
      <c r="N264" s="52"/>
      <c r="O264" s="52">
        <v>1</v>
      </c>
      <c r="P264" s="52"/>
      <c r="Q264" s="52">
        <v>1</v>
      </c>
      <c r="R264" s="52"/>
      <c r="S264" s="52">
        <v>1</v>
      </c>
      <c r="T264" s="52"/>
      <c r="U264" s="52">
        <v>1</v>
      </c>
      <c r="V264" s="52"/>
      <c r="W264" s="52">
        <v>1</v>
      </c>
      <c r="X264" s="52"/>
      <c r="Y264" s="52">
        <v>1</v>
      </c>
      <c r="Z264" s="52"/>
      <c r="AA264" s="114">
        <v>1</v>
      </c>
      <c r="AB264" s="114"/>
      <c r="AC264" s="114">
        <v>1</v>
      </c>
      <c r="AD264" s="114"/>
    </row>
    <row r="265" spans="1:30" x14ac:dyDescent="0.2">
      <c r="A265" s="20" t="s">
        <v>234</v>
      </c>
      <c r="B265" s="20" t="s">
        <v>98</v>
      </c>
      <c r="C265" s="20" t="s">
        <v>16</v>
      </c>
      <c r="D265" s="20" t="str">
        <f t="shared" si="4"/>
        <v>B2-P3-C1</v>
      </c>
      <c r="E265" s="20" t="s">
        <v>35</v>
      </c>
      <c r="F265" s="20" t="s">
        <v>133</v>
      </c>
      <c r="G265" s="50" t="s">
        <v>1005</v>
      </c>
      <c r="H265" s="50">
        <v>264</v>
      </c>
      <c r="I265" s="52">
        <v>1</v>
      </c>
      <c r="J265" s="52"/>
      <c r="K265" s="52">
        <v>1</v>
      </c>
      <c r="L265" s="52"/>
      <c r="M265" s="52">
        <v>1</v>
      </c>
      <c r="N265" s="52"/>
      <c r="O265" s="52">
        <v>1</v>
      </c>
      <c r="P265" s="52"/>
      <c r="Q265" s="52">
        <v>1</v>
      </c>
      <c r="R265" s="52"/>
      <c r="S265" s="52">
        <v>1</v>
      </c>
      <c r="T265" s="52"/>
      <c r="U265" s="52">
        <v>1</v>
      </c>
      <c r="V265" s="52"/>
      <c r="W265" s="52">
        <v>1</v>
      </c>
      <c r="X265" s="52"/>
      <c r="Y265" s="52">
        <v>1</v>
      </c>
      <c r="Z265" s="52"/>
      <c r="AA265" s="114">
        <v>1</v>
      </c>
      <c r="AB265" s="114"/>
      <c r="AC265" s="114">
        <v>1</v>
      </c>
      <c r="AD265" s="114"/>
    </row>
    <row r="266" spans="1:30" x14ac:dyDescent="0.2">
      <c r="A266" s="14" t="s">
        <v>234</v>
      </c>
      <c r="B266" s="14" t="s">
        <v>98</v>
      </c>
      <c r="C266" s="14" t="s">
        <v>32</v>
      </c>
      <c r="D266" s="14" t="str">
        <f t="shared" si="4"/>
        <v>B2-P3-C2</v>
      </c>
      <c r="E266" s="14" t="s">
        <v>35</v>
      </c>
      <c r="F266" s="14" t="s">
        <v>133</v>
      </c>
      <c r="G266" s="51" t="s">
        <v>1007</v>
      </c>
      <c r="H266" s="51">
        <v>265</v>
      </c>
      <c r="I266" s="53">
        <v>1</v>
      </c>
      <c r="J266" s="54"/>
      <c r="K266" s="53">
        <v>1</v>
      </c>
      <c r="L266" s="54"/>
      <c r="M266" s="54">
        <v>1</v>
      </c>
      <c r="N266" s="54"/>
      <c r="O266" s="54">
        <v>1</v>
      </c>
      <c r="P266" s="54"/>
      <c r="Q266" s="54">
        <v>1</v>
      </c>
      <c r="R266" s="54"/>
      <c r="S266" s="54">
        <v>1</v>
      </c>
      <c r="T266" s="54"/>
      <c r="U266" s="54">
        <v>1</v>
      </c>
      <c r="V266" s="54"/>
      <c r="W266" s="54">
        <v>1</v>
      </c>
      <c r="X266" s="54"/>
      <c r="Y266" s="54">
        <v>1</v>
      </c>
      <c r="Z266" s="54"/>
      <c r="AA266" s="115">
        <v>1</v>
      </c>
      <c r="AB266" s="115"/>
      <c r="AC266" s="115">
        <v>1</v>
      </c>
      <c r="AD266" s="115"/>
    </row>
    <row r="267" spans="1:30" x14ac:dyDescent="0.2">
      <c r="A267" s="14" t="s">
        <v>234</v>
      </c>
      <c r="B267" s="14" t="s">
        <v>98</v>
      </c>
      <c r="C267" s="14" t="s">
        <v>32</v>
      </c>
      <c r="D267" s="14" t="str">
        <f t="shared" si="4"/>
        <v>B2-P3-C2</v>
      </c>
      <c r="E267" s="14" t="s">
        <v>35</v>
      </c>
      <c r="F267" s="14" t="s">
        <v>133</v>
      </c>
      <c r="G267" s="51" t="s">
        <v>1008</v>
      </c>
      <c r="H267" s="51">
        <v>266</v>
      </c>
      <c r="I267" s="53">
        <v>1</v>
      </c>
      <c r="J267" s="54"/>
      <c r="K267" s="53">
        <v>1</v>
      </c>
      <c r="L267" s="54"/>
      <c r="M267" s="54">
        <v>1</v>
      </c>
      <c r="N267" s="54"/>
      <c r="O267" s="54">
        <v>1</v>
      </c>
      <c r="P267" s="54"/>
      <c r="Q267" s="54">
        <v>1</v>
      </c>
      <c r="R267" s="54"/>
      <c r="S267" s="54">
        <v>1</v>
      </c>
      <c r="T267" s="54"/>
      <c r="U267" s="54">
        <v>1</v>
      </c>
      <c r="V267" s="54"/>
      <c r="W267" s="54">
        <v>1</v>
      </c>
      <c r="X267" s="54"/>
      <c r="Y267" s="54">
        <v>1</v>
      </c>
      <c r="Z267" s="54"/>
      <c r="AA267" s="115">
        <v>1</v>
      </c>
      <c r="AB267" s="115"/>
      <c r="AC267" s="115">
        <v>1</v>
      </c>
      <c r="AD267" s="115"/>
    </row>
    <row r="268" spans="1:30" x14ac:dyDescent="0.2">
      <c r="A268" s="14" t="s">
        <v>234</v>
      </c>
      <c r="B268" s="14" t="s">
        <v>98</v>
      </c>
      <c r="C268" s="14" t="s">
        <v>32</v>
      </c>
      <c r="D268" s="14" t="str">
        <f t="shared" si="4"/>
        <v>B2-P3-C2</v>
      </c>
      <c r="E268" s="14" t="s">
        <v>35</v>
      </c>
      <c r="F268" s="14" t="s">
        <v>133</v>
      </c>
      <c r="G268" s="51" t="s">
        <v>1009</v>
      </c>
      <c r="H268" s="51">
        <v>267</v>
      </c>
      <c r="I268" s="53">
        <v>1</v>
      </c>
      <c r="J268" s="54"/>
      <c r="K268" s="53">
        <v>1</v>
      </c>
      <c r="L268" s="54"/>
      <c r="M268" s="54">
        <v>1</v>
      </c>
      <c r="N268" s="54"/>
      <c r="O268" s="54">
        <v>1</v>
      </c>
      <c r="P268" s="54"/>
      <c r="Q268" s="54">
        <v>1</v>
      </c>
      <c r="R268" s="54"/>
      <c r="S268" s="54">
        <v>1</v>
      </c>
      <c r="T268" s="54"/>
      <c r="U268" s="54">
        <v>1</v>
      </c>
      <c r="V268" s="54"/>
      <c r="W268" s="54">
        <v>1</v>
      </c>
      <c r="X268" s="54"/>
      <c r="Y268" s="54">
        <v>1</v>
      </c>
      <c r="Z268" s="54"/>
      <c r="AA268" s="115">
        <v>1</v>
      </c>
      <c r="AB268" s="115"/>
      <c r="AC268" s="115">
        <v>1</v>
      </c>
      <c r="AD268" s="115"/>
    </row>
    <row r="269" spans="1:30" x14ac:dyDescent="0.2">
      <c r="A269" s="14" t="s">
        <v>234</v>
      </c>
      <c r="B269" s="14" t="s">
        <v>98</v>
      </c>
      <c r="C269" s="14" t="s">
        <v>32</v>
      </c>
      <c r="D269" s="14" t="str">
        <f t="shared" si="4"/>
        <v>B2-P3-C2</v>
      </c>
      <c r="E269" s="14" t="s">
        <v>35</v>
      </c>
      <c r="F269" s="14" t="s">
        <v>133</v>
      </c>
      <c r="G269" s="51" t="s">
        <v>1010</v>
      </c>
      <c r="H269" s="51">
        <v>268</v>
      </c>
      <c r="I269" s="53">
        <v>1</v>
      </c>
      <c r="J269" s="54"/>
      <c r="K269" s="53">
        <v>1</v>
      </c>
      <c r="L269" s="54"/>
      <c r="M269" s="54">
        <v>1</v>
      </c>
      <c r="N269" s="54"/>
      <c r="O269" s="54">
        <v>1</v>
      </c>
      <c r="P269" s="54"/>
      <c r="Q269" s="54">
        <v>1</v>
      </c>
      <c r="R269" s="54"/>
      <c r="S269" s="54">
        <v>1</v>
      </c>
      <c r="T269" s="54"/>
      <c r="U269" s="54">
        <v>1</v>
      </c>
      <c r="V269" s="54"/>
      <c r="W269" s="54">
        <v>1</v>
      </c>
      <c r="X269" s="54"/>
      <c r="Y269" s="54">
        <v>1</v>
      </c>
      <c r="Z269" s="54"/>
      <c r="AA269" s="115">
        <v>1</v>
      </c>
      <c r="AB269" s="115"/>
      <c r="AC269" s="115">
        <v>1</v>
      </c>
      <c r="AD269" s="115"/>
    </row>
    <row r="270" spans="1:30" x14ac:dyDescent="0.2">
      <c r="A270" s="14" t="s">
        <v>234</v>
      </c>
      <c r="B270" s="14" t="s">
        <v>98</v>
      </c>
      <c r="C270" s="14" t="s">
        <v>32</v>
      </c>
      <c r="D270" s="14" t="str">
        <f t="shared" si="4"/>
        <v>B2-P3-C2</v>
      </c>
      <c r="E270" s="14" t="s">
        <v>35</v>
      </c>
      <c r="F270" s="14" t="s">
        <v>133</v>
      </c>
      <c r="G270" s="51" t="s">
        <v>1011</v>
      </c>
      <c r="H270" s="51">
        <v>269</v>
      </c>
      <c r="I270" s="53">
        <v>1</v>
      </c>
      <c r="J270" s="54"/>
      <c r="K270" s="53">
        <v>1</v>
      </c>
      <c r="L270" s="54"/>
      <c r="M270" s="54">
        <v>1</v>
      </c>
      <c r="N270" s="54"/>
      <c r="O270" s="54">
        <v>1</v>
      </c>
      <c r="P270" s="54"/>
      <c r="Q270" s="54">
        <v>1</v>
      </c>
      <c r="R270" s="54"/>
      <c r="S270" s="54">
        <v>1</v>
      </c>
      <c r="T270" s="54"/>
      <c r="U270" s="54">
        <v>1</v>
      </c>
      <c r="V270" s="54"/>
      <c r="W270" s="54">
        <v>1</v>
      </c>
      <c r="X270" s="54"/>
      <c r="Y270" s="54">
        <v>1</v>
      </c>
      <c r="Z270" s="54"/>
      <c r="AA270" s="115">
        <v>1</v>
      </c>
      <c r="AB270" s="115"/>
      <c r="AC270" s="115">
        <v>1</v>
      </c>
      <c r="AD270" s="115"/>
    </row>
    <row r="271" spans="1:30" x14ac:dyDescent="0.2">
      <c r="A271" s="14" t="s">
        <v>234</v>
      </c>
      <c r="B271" s="14" t="s">
        <v>98</v>
      </c>
      <c r="C271" s="14" t="s">
        <v>32</v>
      </c>
      <c r="D271" s="14" t="str">
        <f t="shared" si="4"/>
        <v>B2-P3-C2</v>
      </c>
      <c r="E271" s="14" t="s">
        <v>35</v>
      </c>
      <c r="F271" s="14" t="s">
        <v>133</v>
      </c>
      <c r="G271" s="51" t="s">
        <v>1012</v>
      </c>
      <c r="H271" s="51">
        <v>270</v>
      </c>
      <c r="I271" s="53">
        <v>1</v>
      </c>
      <c r="J271" s="54"/>
      <c r="K271" s="53">
        <v>1</v>
      </c>
      <c r="L271" s="54"/>
      <c r="M271" s="54">
        <v>1</v>
      </c>
      <c r="N271" s="54"/>
      <c r="O271" s="54">
        <v>1</v>
      </c>
      <c r="P271" s="54"/>
      <c r="Q271" s="54">
        <v>1</v>
      </c>
      <c r="R271" s="54"/>
      <c r="S271" s="54">
        <v>1</v>
      </c>
      <c r="T271" s="54"/>
      <c r="U271" s="54">
        <v>1</v>
      </c>
      <c r="V271" s="54"/>
      <c r="W271" s="54">
        <v>1</v>
      </c>
      <c r="X271" s="54"/>
      <c r="Y271" s="54">
        <v>1</v>
      </c>
      <c r="Z271" s="54"/>
      <c r="AA271" s="115">
        <v>1</v>
      </c>
      <c r="AB271" s="115"/>
      <c r="AC271" s="115">
        <v>1</v>
      </c>
      <c r="AD271" s="115"/>
    </row>
    <row r="272" spans="1:30" x14ac:dyDescent="0.2">
      <c r="A272" s="14" t="s">
        <v>234</v>
      </c>
      <c r="B272" s="14" t="s">
        <v>98</v>
      </c>
      <c r="C272" s="14" t="s">
        <v>32</v>
      </c>
      <c r="D272" s="14" t="str">
        <f t="shared" si="4"/>
        <v>B2-P3-C2</v>
      </c>
      <c r="E272" s="14" t="s">
        <v>35</v>
      </c>
      <c r="F272" s="14" t="s">
        <v>133</v>
      </c>
      <c r="G272" s="51" t="s">
        <v>1013</v>
      </c>
      <c r="H272" s="51">
        <v>271</v>
      </c>
      <c r="I272" s="53">
        <v>1</v>
      </c>
      <c r="J272" s="54"/>
      <c r="K272" s="53">
        <v>1</v>
      </c>
      <c r="L272" s="54"/>
      <c r="M272" s="54">
        <v>1</v>
      </c>
      <c r="N272" s="54"/>
      <c r="O272" s="54">
        <v>1</v>
      </c>
      <c r="P272" s="54"/>
      <c r="Q272" s="54">
        <v>1</v>
      </c>
      <c r="R272" s="54"/>
      <c r="S272" s="54">
        <v>1</v>
      </c>
      <c r="T272" s="54"/>
      <c r="U272" s="54">
        <v>1</v>
      </c>
      <c r="V272" s="54"/>
      <c r="W272" s="54">
        <v>1</v>
      </c>
      <c r="X272" s="54"/>
      <c r="Y272" s="54">
        <v>1</v>
      </c>
      <c r="Z272" s="54"/>
      <c r="AA272" s="115">
        <v>1</v>
      </c>
      <c r="AB272" s="115"/>
      <c r="AC272" s="115">
        <v>1</v>
      </c>
      <c r="AD272" s="115"/>
    </row>
    <row r="273" spans="1:30" x14ac:dyDescent="0.2">
      <c r="A273" s="14" t="s">
        <v>234</v>
      </c>
      <c r="B273" s="14" t="s">
        <v>98</v>
      </c>
      <c r="C273" s="14" t="s">
        <v>32</v>
      </c>
      <c r="D273" s="14" t="str">
        <f t="shared" si="4"/>
        <v>B2-P3-C2</v>
      </c>
      <c r="E273" s="14" t="s">
        <v>35</v>
      </c>
      <c r="F273" s="14" t="s">
        <v>133</v>
      </c>
      <c r="G273" s="51" t="s">
        <v>1014</v>
      </c>
      <c r="H273" s="51">
        <v>272</v>
      </c>
      <c r="I273" s="53">
        <v>1</v>
      </c>
      <c r="J273" s="54"/>
      <c r="K273" s="53">
        <v>1</v>
      </c>
      <c r="L273" s="54"/>
      <c r="M273" s="54">
        <v>1</v>
      </c>
      <c r="N273" s="54"/>
      <c r="O273" s="54">
        <v>1</v>
      </c>
      <c r="P273" s="54"/>
      <c r="Q273" s="54">
        <v>1</v>
      </c>
      <c r="R273" s="54"/>
      <c r="S273" s="54">
        <v>1</v>
      </c>
      <c r="T273" s="54"/>
      <c r="U273" s="54">
        <v>1</v>
      </c>
      <c r="V273" s="54"/>
      <c r="W273" s="54">
        <v>1</v>
      </c>
      <c r="X273" s="54"/>
      <c r="Y273" s="54">
        <v>1</v>
      </c>
      <c r="Z273" s="54"/>
      <c r="AA273" s="115">
        <v>1</v>
      </c>
      <c r="AB273" s="115"/>
      <c r="AC273" s="115">
        <v>1</v>
      </c>
      <c r="AD273" s="115"/>
    </row>
    <row r="274" spans="1:30" x14ac:dyDescent="0.2">
      <c r="A274" s="20" t="s">
        <v>234</v>
      </c>
      <c r="B274" s="20" t="s">
        <v>98</v>
      </c>
      <c r="C274" s="20" t="s">
        <v>42</v>
      </c>
      <c r="D274" s="20" t="str">
        <f t="shared" si="4"/>
        <v>B2-P3-C3</v>
      </c>
      <c r="E274" s="20" t="s">
        <v>19</v>
      </c>
      <c r="F274" s="20" t="s">
        <v>133</v>
      </c>
      <c r="G274" s="50" t="s">
        <v>1016</v>
      </c>
      <c r="H274" s="50">
        <v>273</v>
      </c>
      <c r="I274" s="52">
        <v>1</v>
      </c>
      <c r="J274" s="52"/>
      <c r="K274" s="52">
        <v>1</v>
      </c>
      <c r="L274" s="52"/>
      <c r="M274" s="52">
        <v>1</v>
      </c>
      <c r="N274" s="52"/>
      <c r="O274" s="52">
        <v>1</v>
      </c>
      <c r="P274" s="52"/>
      <c r="Q274" s="52">
        <v>1</v>
      </c>
      <c r="R274" s="52"/>
      <c r="S274" s="52">
        <v>1</v>
      </c>
      <c r="T274" s="52"/>
      <c r="U274" s="52">
        <v>1</v>
      </c>
      <c r="V274" s="52"/>
      <c r="W274" s="52">
        <v>1</v>
      </c>
      <c r="X274" s="52"/>
      <c r="Y274" s="52">
        <v>1</v>
      </c>
      <c r="Z274" s="52"/>
      <c r="AA274" s="114">
        <v>1</v>
      </c>
      <c r="AB274" s="114"/>
      <c r="AC274" s="114">
        <v>4</v>
      </c>
      <c r="AD274" s="114"/>
    </row>
    <row r="275" spans="1:30" x14ac:dyDescent="0.2">
      <c r="A275" s="20" t="s">
        <v>234</v>
      </c>
      <c r="B275" s="20" t="s">
        <v>98</v>
      </c>
      <c r="C275" s="20" t="s">
        <v>42</v>
      </c>
      <c r="D275" s="20" t="str">
        <f t="shared" si="4"/>
        <v>B2-P3-C3</v>
      </c>
      <c r="E275" s="20" t="s">
        <v>19</v>
      </c>
      <c r="F275" s="20" t="s">
        <v>133</v>
      </c>
      <c r="G275" s="50" t="s">
        <v>1017</v>
      </c>
      <c r="H275" s="50">
        <v>274</v>
      </c>
      <c r="I275" s="52">
        <v>1</v>
      </c>
      <c r="J275" s="52" t="s">
        <v>1815</v>
      </c>
      <c r="K275" s="52">
        <v>1</v>
      </c>
      <c r="L275" s="52" t="s">
        <v>1815</v>
      </c>
      <c r="M275" s="52">
        <v>1</v>
      </c>
      <c r="N275" s="52"/>
      <c r="O275" s="52">
        <v>1</v>
      </c>
      <c r="P275" s="52"/>
      <c r="Q275" s="52">
        <v>1</v>
      </c>
      <c r="R275" s="52"/>
      <c r="S275" s="52">
        <v>1</v>
      </c>
      <c r="T275" s="52"/>
      <c r="U275" s="52">
        <v>1</v>
      </c>
      <c r="V275" s="52"/>
      <c r="W275" s="52">
        <v>1</v>
      </c>
      <c r="X275" s="52"/>
      <c r="Y275" s="52">
        <v>1</v>
      </c>
      <c r="Z275" s="52"/>
      <c r="AA275" s="114">
        <v>1</v>
      </c>
      <c r="AB275" s="114"/>
      <c r="AC275" s="114">
        <v>4</v>
      </c>
      <c r="AD275" s="114"/>
    </row>
    <row r="276" spans="1:30" x14ac:dyDescent="0.2">
      <c r="A276" s="20" t="s">
        <v>234</v>
      </c>
      <c r="B276" s="20" t="s">
        <v>98</v>
      </c>
      <c r="C276" s="20" t="s">
        <v>42</v>
      </c>
      <c r="D276" s="20" t="str">
        <f t="shared" si="4"/>
        <v>B2-P3-C3</v>
      </c>
      <c r="E276" s="20" t="s">
        <v>19</v>
      </c>
      <c r="F276" s="20" t="s">
        <v>133</v>
      </c>
      <c r="G276" s="50" t="s">
        <v>1019</v>
      </c>
      <c r="H276" s="50">
        <v>275</v>
      </c>
      <c r="I276" s="52">
        <v>1</v>
      </c>
      <c r="J276" s="52"/>
      <c r="K276" s="52">
        <v>1</v>
      </c>
      <c r="L276" s="52"/>
      <c r="M276" s="52">
        <v>1</v>
      </c>
      <c r="N276" s="52"/>
      <c r="O276" s="52">
        <v>1</v>
      </c>
      <c r="P276" s="52"/>
      <c r="Q276" s="52">
        <v>1</v>
      </c>
      <c r="R276" s="52"/>
      <c r="S276" s="52">
        <v>1</v>
      </c>
      <c r="T276" s="52"/>
      <c r="U276" s="52">
        <v>1</v>
      </c>
      <c r="V276" s="52"/>
      <c r="W276" s="52">
        <v>1</v>
      </c>
      <c r="X276" s="52"/>
      <c r="Y276" s="52">
        <v>1</v>
      </c>
      <c r="Z276" s="52"/>
      <c r="AA276" s="114">
        <v>1</v>
      </c>
      <c r="AB276" s="114"/>
      <c r="AC276" s="114">
        <v>4</v>
      </c>
      <c r="AD276" s="114"/>
    </row>
    <row r="277" spans="1:30" x14ac:dyDescent="0.2">
      <c r="A277" s="20" t="s">
        <v>234</v>
      </c>
      <c r="B277" s="20" t="s">
        <v>98</v>
      </c>
      <c r="C277" s="20" t="s">
        <v>42</v>
      </c>
      <c r="D277" s="20" t="str">
        <f t="shared" si="4"/>
        <v>B2-P3-C3</v>
      </c>
      <c r="E277" s="20" t="s">
        <v>19</v>
      </c>
      <c r="F277" s="20" t="s">
        <v>133</v>
      </c>
      <c r="G277" s="50" t="s">
        <v>1020</v>
      </c>
      <c r="H277" s="50">
        <v>276</v>
      </c>
      <c r="I277" s="52">
        <v>1</v>
      </c>
      <c r="J277" s="52" t="s">
        <v>1815</v>
      </c>
      <c r="K277" s="52">
        <v>1</v>
      </c>
      <c r="L277" s="52" t="s">
        <v>1815</v>
      </c>
      <c r="M277" s="52">
        <v>1</v>
      </c>
      <c r="N277" s="52"/>
      <c r="O277" s="52">
        <v>1</v>
      </c>
      <c r="P277" s="52"/>
      <c r="Q277" s="52">
        <v>1</v>
      </c>
      <c r="R277" s="52"/>
      <c r="S277" s="52">
        <v>1</v>
      </c>
      <c r="T277" s="52"/>
      <c r="U277" s="52">
        <v>1</v>
      </c>
      <c r="V277" s="52"/>
      <c r="W277" s="52">
        <v>1</v>
      </c>
      <c r="X277" s="52"/>
      <c r="Y277" s="52">
        <v>1</v>
      </c>
      <c r="Z277" s="52"/>
      <c r="AA277" s="114">
        <v>1</v>
      </c>
      <c r="AB277" s="114"/>
      <c r="AC277" s="114">
        <v>3</v>
      </c>
      <c r="AD277" s="114"/>
    </row>
    <row r="278" spans="1:30" x14ac:dyDescent="0.2">
      <c r="A278" s="20" t="s">
        <v>234</v>
      </c>
      <c r="B278" s="20" t="s">
        <v>98</v>
      </c>
      <c r="C278" s="20" t="s">
        <v>42</v>
      </c>
      <c r="D278" s="20" t="str">
        <f t="shared" si="4"/>
        <v>B2-P3-C3</v>
      </c>
      <c r="E278" s="20" t="s">
        <v>19</v>
      </c>
      <c r="F278" s="20" t="s">
        <v>133</v>
      </c>
      <c r="G278" s="50" t="s">
        <v>1022</v>
      </c>
      <c r="H278" s="50">
        <v>277</v>
      </c>
      <c r="I278" s="52">
        <v>1</v>
      </c>
      <c r="J278" s="52"/>
      <c r="K278" s="52">
        <v>1</v>
      </c>
      <c r="L278" s="52"/>
      <c r="M278" s="52">
        <v>1</v>
      </c>
      <c r="N278" s="52"/>
      <c r="O278" s="52">
        <v>1</v>
      </c>
      <c r="P278" s="52"/>
      <c r="Q278" s="52">
        <v>1</v>
      </c>
      <c r="R278" s="52"/>
      <c r="S278" s="52">
        <v>1</v>
      </c>
      <c r="T278" s="52"/>
      <c r="U278" s="52">
        <v>1</v>
      </c>
      <c r="V278" s="52"/>
      <c r="W278" s="52">
        <v>1</v>
      </c>
      <c r="X278" s="52"/>
      <c r="Y278" s="52">
        <v>1</v>
      </c>
      <c r="Z278" s="52"/>
      <c r="AA278" s="114">
        <v>1</v>
      </c>
      <c r="AB278" s="114"/>
      <c r="AC278" s="114">
        <v>4</v>
      </c>
      <c r="AD278" s="114"/>
    </row>
    <row r="279" spans="1:30" x14ac:dyDescent="0.2">
      <c r="A279" s="20" t="s">
        <v>234</v>
      </c>
      <c r="B279" s="20" t="s">
        <v>98</v>
      </c>
      <c r="C279" s="20" t="s">
        <v>42</v>
      </c>
      <c r="D279" s="20" t="str">
        <f t="shared" si="4"/>
        <v>B2-P3-C3</v>
      </c>
      <c r="E279" s="20" t="s">
        <v>19</v>
      </c>
      <c r="F279" s="20" t="s">
        <v>133</v>
      </c>
      <c r="G279" s="50" t="s">
        <v>1023</v>
      </c>
      <c r="H279" s="50">
        <v>278</v>
      </c>
      <c r="I279" s="52">
        <v>1</v>
      </c>
      <c r="J279" s="52"/>
      <c r="K279" s="52">
        <v>1</v>
      </c>
      <c r="L279" s="52"/>
      <c r="M279" s="52">
        <v>1</v>
      </c>
      <c r="N279" s="52"/>
      <c r="O279" s="52">
        <v>1</v>
      </c>
      <c r="P279" s="52"/>
      <c r="Q279" s="52">
        <v>1</v>
      </c>
      <c r="R279" s="52"/>
      <c r="S279" s="52">
        <v>1</v>
      </c>
      <c r="T279" s="52"/>
      <c r="U279" s="52">
        <v>1</v>
      </c>
      <c r="V279" s="52"/>
      <c r="W279" s="52">
        <v>1</v>
      </c>
      <c r="X279" s="52"/>
      <c r="Y279" s="52">
        <v>1</v>
      </c>
      <c r="Z279" s="52"/>
      <c r="AA279" s="114">
        <v>1</v>
      </c>
      <c r="AB279" s="114"/>
      <c r="AC279" s="114">
        <v>4</v>
      </c>
      <c r="AD279" s="114"/>
    </row>
    <row r="280" spans="1:30" x14ac:dyDescent="0.2">
      <c r="A280" s="20" t="s">
        <v>234</v>
      </c>
      <c r="B280" s="20" t="s">
        <v>98</v>
      </c>
      <c r="C280" s="20" t="s">
        <v>42</v>
      </c>
      <c r="D280" s="20" t="str">
        <f t="shared" si="4"/>
        <v>B2-P3-C3</v>
      </c>
      <c r="E280" s="20" t="s">
        <v>19</v>
      </c>
      <c r="F280" s="20" t="s">
        <v>133</v>
      </c>
      <c r="G280" s="50" t="s">
        <v>1024</v>
      </c>
      <c r="H280" s="50">
        <v>279</v>
      </c>
      <c r="I280" s="52">
        <v>1</v>
      </c>
      <c r="J280" s="52"/>
      <c r="K280" s="52">
        <v>1</v>
      </c>
      <c r="L280" s="52"/>
      <c r="M280" s="52">
        <v>1</v>
      </c>
      <c r="N280" s="52"/>
      <c r="O280" s="52">
        <v>1</v>
      </c>
      <c r="P280" s="52"/>
      <c r="Q280" s="52">
        <v>1</v>
      </c>
      <c r="R280" s="52"/>
      <c r="S280" s="52">
        <v>1</v>
      </c>
      <c r="T280" s="52"/>
      <c r="U280" s="52">
        <v>1</v>
      </c>
      <c r="V280" s="52"/>
      <c r="W280" s="52">
        <v>1</v>
      </c>
      <c r="X280" s="52"/>
      <c r="Y280" s="52">
        <v>1</v>
      </c>
      <c r="Z280" s="52"/>
      <c r="AA280" s="114">
        <v>1</v>
      </c>
      <c r="AB280" s="114"/>
      <c r="AC280" s="114">
        <v>4</v>
      </c>
      <c r="AD280" s="114"/>
    </row>
    <row r="281" spans="1:30" x14ac:dyDescent="0.2">
      <c r="A281" s="20" t="s">
        <v>234</v>
      </c>
      <c r="B281" s="20" t="s">
        <v>98</v>
      </c>
      <c r="C281" s="20" t="s">
        <v>42</v>
      </c>
      <c r="D281" s="20" t="str">
        <f t="shared" si="4"/>
        <v>B2-P3-C3</v>
      </c>
      <c r="E281" s="20" t="s">
        <v>19</v>
      </c>
      <c r="F281" s="20" t="s">
        <v>133</v>
      </c>
      <c r="G281" s="50" t="s">
        <v>1025</v>
      </c>
      <c r="H281" s="50">
        <v>280</v>
      </c>
      <c r="I281" s="52">
        <v>1</v>
      </c>
      <c r="J281" s="52"/>
      <c r="K281" s="52">
        <v>1</v>
      </c>
      <c r="L281" s="52"/>
      <c r="M281" s="52">
        <v>1</v>
      </c>
      <c r="N281" s="52"/>
      <c r="O281" s="52">
        <v>1</v>
      </c>
      <c r="P281" s="52"/>
      <c r="Q281" s="52">
        <v>1</v>
      </c>
      <c r="R281" s="52"/>
      <c r="S281" s="52">
        <v>1</v>
      </c>
      <c r="T281" s="52"/>
      <c r="U281" s="52">
        <v>1</v>
      </c>
      <c r="V281" s="52"/>
      <c r="W281" s="52">
        <v>1</v>
      </c>
      <c r="X281" s="52"/>
      <c r="Y281" s="52">
        <v>1</v>
      </c>
      <c r="Z281" s="52"/>
      <c r="AA281" s="114">
        <v>1</v>
      </c>
      <c r="AB281" s="114"/>
      <c r="AC281" s="114">
        <v>3</v>
      </c>
      <c r="AD281" s="114"/>
    </row>
    <row r="282" spans="1:30" x14ac:dyDescent="0.2">
      <c r="A282" s="14" t="s">
        <v>234</v>
      </c>
      <c r="B282" s="14" t="s">
        <v>98</v>
      </c>
      <c r="C282" s="14" t="s">
        <v>53</v>
      </c>
      <c r="D282" s="14" t="str">
        <f t="shared" si="4"/>
        <v>B2-P3-C4</v>
      </c>
      <c r="E282" s="14" t="s">
        <v>35</v>
      </c>
      <c r="F282" s="14" t="s">
        <v>133</v>
      </c>
      <c r="G282" s="51" t="s">
        <v>1027</v>
      </c>
      <c r="H282" s="51">
        <v>281</v>
      </c>
      <c r="I282" s="53">
        <v>1</v>
      </c>
      <c r="J282" s="54"/>
      <c r="K282" s="53">
        <v>1</v>
      </c>
      <c r="L282" s="54"/>
      <c r="M282" s="54">
        <v>1</v>
      </c>
      <c r="N282" s="54"/>
      <c r="O282" s="54">
        <v>1</v>
      </c>
      <c r="P282" s="54"/>
      <c r="Q282" s="54">
        <v>1</v>
      </c>
      <c r="R282" s="54"/>
      <c r="S282" s="54">
        <v>1</v>
      </c>
      <c r="T282" s="54"/>
      <c r="U282" s="54">
        <v>1</v>
      </c>
      <c r="V282" s="54"/>
      <c r="W282" s="54">
        <v>1</v>
      </c>
      <c r="X282" s="54"/>
      <c r="Y282" s="54">
        <v>1</v>
      </c>
      <c r="Z282" s="54"/>
      <c r="AA282" s="115">
        <v>1</v>
      </c>
      <c r="AB282" s="115"/>
      <c r="AC282" s="115">
        <v>1</v>
      </c>
      <c r="AD282" s="115"/>
    </row>
    <row r="283" spans="1:30" x14ac:dyDescent="0.2">
      <c r="A283" s="14" t="s">
        <v>234</v>
      </c>
      <c r="B283" s="14" t="s">
        <v>98</v>
      </c>
      <c r="C283" s="14" t="s">
        <v>53</v>
      </c>
      <c r="D283" s="14" t="str">
        <f t="shared" si="4"/>
        <v>B2-P3-C4</v>
      </c>
      <c r="E283" s="14" t="s">
        <v>35</v>
      </c>
      <c r="F283" s="14" t="s">
        <v>133</v>
      </c>
      <c r="G283" s="51" t="s">
        <v>1028</v>
      </c>
      <c r="H283" s="51">
        <v>282</v>
      </c>
      <c r="I283" s="53">
        <v>1</v>
      </c>
      <c r="J283" s="54"/>
      <c r="K283" s="53">
        <v>1</v>
      </c>
      <c r="L283" s="54"/>
      <c r="M283" s="54">
        <v>1</v>
      </c>
      <c r="N283" s="54"/>
      <c r="O283" s="54">
        <v>1</v>
      </c>
      <c r="P283" s="54"/>
      <c r="Q283" s="54">
        <v>1</v>
      </c>
      <c r="R283" s="54"/>
      <c r="S283" s="54">
        <v>1</v>
      </c>
      <c r="T283" s="54"/>
      <c r="U283" s="54">
        <v>1</v>
      </c>
      <c r="V283" s="54"/>
      <c r="W283" s="54">
        <v>1</v>
      </c>
      <c r="X283" s="54"/>
      <c r="Y283" s="54">
        <v>1</v>
      </c>
      <c r="Z283" s="54"/>
      <c r="AA283" s="115">
        <v>1</v>
      </c>
      <c r="AB283" s="115"/>
      <c r="AC283" s="115">
        <v>1</v>
      </c>
      <c r="AD283" s="115"/>
    </row>
    <row r="284" spans="1:30" x14ac:dyDescent="0.2">
      <c r="A284" s="14" t="s">
        <v>234</v>
      </c>
      <c r="B284" s="14" t="s">
        <v>98</v>
      </c>
      <c r="C284" s="14" t="s">
        <v>53</v>
      </c>
      <c r="D284" s="14" t="str">
        <f t="shared" si="4"/>
        <v>B2-P3-C4</v>
      </c>
      <c r="E284" s="14" t="s">
        <v>35</v>
      </c>
      <c r="F284" s="14" t="s">
        <v>133</v>
      </c>
      <c r="G284" s="51" t="s">
        <v>1029</v>
      </c>
      <c r="H284" s="51">
        <v>283</v>
      </c>
      <c r="I284" s="53">
        <v>1</v>
      </c>
      <c r="J284" s="54"/>
      <c r="K284" s="53">
        <v>1</v>
      </c>
      <c r="L284" s="54"/>
      <c r="M284" s="54">
        <v>1</v>
      </c>
      <c r="N284" s="54"/>
      <c r="O284" s="54">
        <v>1</v>
      </c>
      <c r="P284" s="54"/>
      <c r="Q284" s="54">
        <v>1</v>
      </c>
      <c r="R284" s="54"/>
      <c r="S284" s="54">
        <v>1</v>
      </c>
      <c r="T284" s="54"/>
      <c r="U284" s="54">
        <v>1</v>
      </c>
      <c r="V284" s="54"/>
      <c r="W284" s="54">
        <v>1</v>
      </c>
      <c r="X284" s="54"/>
      <c r="Y284" s="54">
        <v>1</v>
      </c>
      <c r="Z284" s="54"/>
      <c r="AA284" s="115">
        <v>1</v>
      </c>
      <c r="AB284" s="115"/>
      <c r="AC284" s="115">
        <v>1</v>
      </c>
      <c r="AD284" s="115"/>
    </row>
    <row r="285" spans="1:30" x14ac:dyDescent="0.2">
      <c r="A285" s="14" t="s">
        <v>234</v>
      </c>
      <c r="B285" s="14" t="s">
        <v>98</v>
      </c>
      <c r="C285" s="14" t="s">
        <v>53</v>
      </c>
      <c r="D285" s="14" t="str">
        <f t="shared" si="4"/>
        <v>B2-P3-C4</v>
      </c>
      <c r="E285" s="14" t="s">
        <v>35</v>
      </c>
      <c r="F285" s="14" t="s">
        <v>133</v>
      </c>
      <c r="G285" s="51" t="s">
        <v>1030</v>
      </c>
      <c r="H285" s="51">
        <v>284</v>
      </c>
      <c r="I285" s="53">
        <v>1</v>
      </c>
      <c r="J285" s="54"/>
      <c r="K285" s="53">
        <v>1</v>
      </c>
      <c r="L285" s="54"/>
      <c r="M285" s="54">
        <v>1</v>
      </c>
      <c r="N285" s="54"/>
      <c r="O285" s="54">
        <v>1</v>
      </c>
      <c r="P285" s="54"/>
      <c r="Q285" s="54">
        <v>1</v>
      </c>
      <c r="R285" s="54"/>
      <c r="S285" s="54">
        <v>1</v>
      </c>
      <c r="T285" s="54"/>
      <c r="U285" s="54">
        <v>1</v>
      </c>
      <c r="V285" s="54"/>
      <c r="W285" s="54">
        <v>1</v>
      </c>
      <c r="X285" s="54"/>
      <c r="Y285" s="54">
        <v>1</v>
      </c>
      <c r="Z285" s="54"/>
      <c r="AA285" s="115">
        <v>1</v>
      </c>
      <c r="AB285" s="115"/>
      <c r="AC285" s="115">
        <v>1</v>
      </c>
      <c r="AD285" s="115"/>
    </row>
    <row r="286" spans="1:30" x14ac:dyDescent="0.2">
      <c r="A286" s="14" t="s">
        <v>234</v>
      </c>
      <c r="B286" s="14" t="s">
        <v>98</v>
      </c>
      <c r="C286" s="14" t="s">
        <v>53</v>
      </c>
      <c r="D286" s="14" t="str">
        <f t="shared" si="4"/>
        <v>B2-P3-C4</v>
      </c>
      <c r="E286" s="14" t="s">
        <v>35</v>
      </c>
      <c r="F286" s="14" t="s">
        <v>133</v>
      </c>
      <c r="G286" s="51" t="s">
        <v>1031</v>
      </c>
      <c r="H286" s="51">
        <v>285</v>
      </c>
      <c r="I286" s="53">
        <v>1</v>
      </c>
      <c r="J286" s="54"/>
      <c r="K286" s="53">
        <v>1</v>
      </c>
      <c r="L286" s="54"/>
      <c r="M286" s="54">
        <v>1</v>
      </c>
      <c r="N286" s="54"/>
      <c r="O286" s="54">
        <v>1</v>
      </c>
      <c r="P286" s="54"/>
      <c r="Q286" s="54">
        <v>1</v>
      </c>
      <c r="R286" s="54"/>
      <c r="S286" s="54">
        <v>1</v>
      </c>
      <c r="T286" s="54"/>
      <c r="U286" s="54">
        <v>1</v>
      </c>
      <c r="V286" s="54"/>
      <c r="W286" s="54">
        <v>1</v>
      </c>
      <c r="X286" s="54"/>
      <c r="Y286" s="54">
        <v>1</v>
      </c>
      <c r="Z286" s="54"/>
      <c r="AA286" s="115">
        <v>1</v>
      </c>
      <c r="AB286" s="115"/>
      <c r="AC286" s="115">
        <v>1</v>
      </c>
      <c r="AD286" s="115"/>
    </row>
    <row r="287" spans="1:30" x14ac:dyDescent="0.2">
      <c r="A287" s="14" t="s">
        <v>234</v>
      </c>
      <c r="B287" s="14" t="s">
        <v>98</v>
      </c>
      <c r="C287" s="14" t="s">
        <v>53</v>
      </c>
      <c r="D287" s="14" t="str">
        <f t="shared" si="4"/>
        <v>B2-P3-C4</v>
      </c>
      <c r="E287" s="14" t="s">
        <v>35</v>
      </c>
      <c r="F287" s="14" t="s">
        <v>133</v>
      </c>
      <c r="G287" s="51" t="s">
        <v>1032</v>
      </c>
      <c r="H287" s="51">
        <v>286</v>
      </c>
      <c r="I287" s="53">
        <v>1</v>
      </c>
      <c r="J287" s="54"/>
      <c r="K287" s="53">
        <v>1</v>
      </c>
      <c r="L287" s="54"/>
      <c r="M287" s="54">
        <v>1</v>
      </c>
      <c r="N287" s="54"/>
      <c r="O287" s="54">
        <v>1</v>
      </c>
      <c r="P287" s="54"/>
      <c r="Q287" s="54">
        <v>1</v>
      </c>
      <c r="R287" s="54"/>
      <c r="S287" s="54">
        <v>1</v>
      </c>
      <c r="T287" s="54"/>
      <c r="U287" s="54">
        <v>1</v>
      </c>
      <c r="V287" s="54"/>
      <c r="W287" s="54">
        <v>1</v>
      </c>
      <c r="X287" s="54"/>
      <c r="Y287" s="54">
        <v>1</v>
      </c>
      <c r="Z287" s="54"/>
      <c r="AA287" s="115">
        <v>1</v>
      </c>
      <c r="AB287" s="115"/>
      <c r="AC287" s="115">
        <v>1</v>
      </c>
      <c r="AD287" s="115"/>
    </row>
    <row r="288" spans="1:30" x14ac:dyDescent="0.2">
      <c r="A288" s="14" t="s">
        <v>234</v>
      </c>
      <c r="B288" s="14" t="s">
        <v>98</v>
      </c>
      <c r="C288" s="14" t="s">
        <v>53</v>
      </c>
      <c r="D288" s="14" t="str">
        <f t="shared" si="4"/>
        <v>B2-P3-C4</v>
      </c>
      <c r="E288" s="14" t="s">
        <v>35</v>
      </c>
      <c r="F288" s="14" t="s">
        <v>133</v>
      </c>
      <c r="G288" s="51" t="s">
        <v>1033</v>
      </c>
      <c r="H288" s="51">
        <v>287</v>
      </c>
      <c r="I288" s="53">
        <v>1</v>
      </c>
      <c r="J288" s="54"/>
      <c r="K288" s="53">
        <v>1</v>
      </c>
      <c r="L288" s="54"/>
      <c r="M288" s="54">
        <v>1</v>
      </c>
      <c r="N288" s="54"/>
      <c r="O288" s="54">
        <v>1</v>
      </c>
      <c r="P288" s="54"/>
      <c r="Q288" s="54">
        <v>1</v>
      </c>
      <c r="R288" s="54"/>
      <c r="S288" s="54">
        <v>1</v>
      </c>
      <c r="T288" s="54"/>
      <c r="U288" s="54">
        <v>1</v>
      </c>
      <c r="V288" s="54"/>
      <c r="W288" s="54">
        <v>1</v>
      </c>
      <c r="X288" s="54"/>
      <c r="Y288" s="54">
        <v>1</v>
      </c>
      <c r="Z288" s="54"/>
      <c r="AA288" s="115">
        <v>1</v>
      </c>
      <c r="AB288" s="115"/>
      <c r="AC288" s="115">
        <v>1</v>
      </c>
      <c r="AD288" s="115"/>
    </row>
    <row r="289" spans="1:30" x14ac:dyDescent="0.2">
      <c r="A289" s="14" t="s">
        <v>234</v>
      </c>
      <c r="B289" s="14" t="s">
        <v>98</v>
      </c>
      <c r="C289" s="14" t="s">
        <v>53</v>
      </c>
      <c r="D289" s="14" t="str">
        <f t="shared" si="4"/>
        <v>B2-P3-C4</v>
      </c>
      <c r="E289" s="14" t="s">
        <v>35</v>
      </c>
      <c r="F289" s="14" t="s">
        <v>133</v>
      </c>
      <c r="G289" s="51" t="s">
        <v>1034</v>
      </c>
      <c r="H289" s="51">
        <v>288</v>
      </c>
      <c r="I289" s="53">
        <v>1</v>
      </c>
      <c r="J289" s="54"/>
      <c r="K289" s="53">
        <v>1</v>
      </c>
      <c r="L289" s="54"/>
      <c r="M289" s="54">
        <v>1</v>
      </c>
      <c r="N289" s="54"/>
      <c r="O289" s="54">
        <v>1</v>
      </c>
      <c r="P289" s="54"/>
      <c r="Q289" s="54">
        <v>1</v>
      </c>
      <c r="R289" s="54"/>
      <c r="S289" s="54">
        <v>1</v>
      </c>
      <c r="T289" s="54"/>
      <c r="U289" s="54">
        <v>1</v>
      </c>
      <c r="V289" s="54"/>
      <c r="W289" s="54">
        <v>1</v>
      </c>
      <c r="X289" s="54"/>
      <c r="Y289" s="54">
        <v>1</v>
      </c>
      <c r="Z289" s="54"/>
      <c r="AA289" s="115">
        <v>1</v>
      </c>
      <c r="AB289" s="115"/>
      <c r="AC289" s="115">
        <v>1</v>
      </c>
      <c r="AD289" s="115"/>
    </row>
    <row r="290" spans="1:30" x14ac:dyDescent="0.2">
      <c r="A290" s="20" t="s">
        <v>234</v>
      </c>
      <c r="B290" s="20" t="s">
        <v>131</v>
      </c>
      <c r="C290" s="20" t="s">
        <v>16</v>
      </c>
      <c r="D290" s="20" t="str">
        <f t="shared" si="4"/>
        <v>B2-P4-C1</v>
      </c>
      <c r="E290" s="20" t="s">
        <v>35</v>
      </c>
      <c r="F290" s="20" t="s">
        <v>20</v>
      </c>
      <c r="G290" s="50" t="s">
        <v>1036</v>
      </c>
      <c r="H290" s="50">
        <v>289</v>
      </c>
      <c r="I290" s="52">
        <v>1</v>
      </c>
      <c r="J290" s="52"/>
      <c r="K290" s="52">
        <v>1</v>
      </c>
      <c r="L290" s="52"/>
      <c r="M290" s="52">
        <v>1</v>
      </c>
      <c r="N290" s="52"/>
      <c r="O290" s="52">
        <v>1</v>
      </c>
      <c r="P290" s="52"/>
      <c r="Q290" s="52">
        <v>1</v>
      </c>
      <c r="R290" s="52"/>
      <c r="S290" s="52">
        <v>1</v>
      </c>
      <c r="T290" s="52"/>
      <c r="U290" s="52">
        <v>1</v>
      </c>
      <c r="V290" s="52"/>
      <c r="W290" s="52">
        <v>1</v>
      </c>
      <c r="X290" s="52"/>
      <c r="Y290" s="52">
        <v>1</v>
      </c>
      <c r="Z290" s="52"/>
      <c r="AA290" s="114">
        <v>1</v>
      </c>
      <c r="AB290" s="114"/>
      <c r="AC290" s="114">
        <v>1</v>
      </c>
      <c r="AD290" s="114"/>
    </row>
    <row r="291" spans="1:30" x14ac:dyDescent="0.2">
      <c r="A291" s="20" t="s">
        <v>234</v>
      </c>
      <c r="B291" s="20" t="s">
        <v>131</v>
      </c>
      <c r="C291" s="20" t="s">
        <v>16</v>
      </c>
      <c r="D291" s="20" t="str">
        <f t="shared" si="4"/>
        <v>B2-P4-C1</v>
      </c>
      <c r="E291" s="20" t="s">
        <v>35</v>
      </c>
      <c r="F291" s="20" t="s">
        <v>20</v>
      </c>
      <c r="G291" s="50" t="s">
        <v>1037</v>
      </c>
      <c r="H291" s="50">
        <v>290</v>
      </c>
      <c r="I291" s="52">
        <v>1</v>
      </c>
      <c r="J291" s="52"/>
      <c r="K291" s="52">
        <v>1</v>
      </c>
      <c r="L291" s="52"/>
      <c r="M291" s="52">
        <v>1</v>
      </c>
      <c r="N291" s="52"/>
      <c r="O291" s="52">
        <v>1</v>
      </c>
      <c r="P291" s="52"/>
      <c r="Q291" s="52">
        <v>1</v>
      </c>
      <c r="R291" s="52"/>
      <c r="S291" s="52">
        <v>1</v>
      </c>
      <c r="T291" s="52"/>
      <c r="U291" s="52">
        <v>1</v>
      </c>
      <c r="V291" s="52"/>
      <c r="W291" s="52">
        <v>1</v>
      </c>
      <c r="X291" s="52"/>
      <c r="Y291" s="52">
        <v>1</v>
      </c>
      <c r="Z291" s="52"/>
      <c r="AA291" s="114">
        <v>1</v>
      </c>
      <c r="AB291" s="114"/>
      <c r="AC291" s="114">
        <v>1</v>
      </c>
      <c r="AD291" s="114"/>
    </row>
    <row r="292" spans="1:30" x14ac:dyDescent="0.2">
      <c r="A292" s="20" t="s">
        <v>234</v>
      </c>
      <c r="B292" s="20" t="s">
        <v>131</v>
      </c>
      <c r="C292" s="20" t="s">
        <v>16</v>
      </c>
      <c r="D292" s="20" t="str">
        <f t="shared" si="4"/>
        <v>B2-P4-C1</v>
      </c>
      <c r="E292" s="20" t="s">
        <v>35</v>
      </c>
      <c r="F292" s="20" t="s">
        <v>20</v>
      </c>
      <c r="G292" s="50" t="s">
        <v>1038</v>
      </c>
      <c r="H292" s="50">
        <v>291</v>
      </c>
      <c r="I292" s="52">
        <v>1</v>
      </c>
      <c r="J292" s="52"/>
      <c r="K292" s="52">
        <v>1</v>
      </c>
      <c r="L292" s="52"/>
      <c r="M292" s="52">
        <v>1</v>
      </c>
      <c r="N292" s="52"/>
      <c r="O292" s="52">
        <v>1</v>
      </c>
      <c r="P292" s="52"/>
      <c r="Q292" s="52">
        <v>1</v>
      </c>
      <c r="R292" s="52"/>
      <c r="S292" s="52">
        <v>1</v>
      </c>
      <c r="T292" s="52"/>
      <c r="U292" s="52">
        <v>1</v>
      </c>
      <c r="V292" s="52"/>
      <c r="W292" s="52">
        <v>1</v>
      </c>
      <c r="X292" s="52"/>
      <c r="Y292" s="52">
        <v>1</v>
      </c>
      <c r="Z292" s="52"/>
      <c r="AA292" s="114">
        <v>1</v>
      </c>
      <c r="AB292" s="114"/>
      <c r="AC292" s="114">
        <v>1</v>
      </c>
      <c r="AD292" s="114"/>
    </row>
    <row r="293" spans="1:30" x14ac:dyDescent="0.2">
      <c r="A293" s="20" t="s">
        <v>234</v>
      </c>
      <c r="B293" s="20" t="s">
        <v>131</v>
      </c>
      <c r="C293" s="20" t="s">
        <v>16</v>
      </c>
      <c r="D293" s="20" t="str">
        <f t="shared" si="4"/>
        <v>B2-P4-C1</v>
      </c>
      <c r="E293" s="20" t="s">
        <v>35</v>
      </c>
      <c r="F293" s="20" t="s">
        <v>20</v>
      </c>
      <c r="G293" s="50" t="s">
        <v>1039</v>
      </c>
      <c r="H293" s="50">
        <v>292</v>
      </c>
      <c r="I293" s="52">
        <v>1</v>
      </c>
      <c r="J293" s="52"/>
      <c r="K293" s="52">
        <v>1</v>
      </c>
      <c r="L293" s="52"/>
      <c r="M293" s="52">
        <v>1</v>
      </c>
      <c r="N293" s="52"/>
      <c r="O293" s="52">
        <v>1</v>
      </c>
      <c r="P293" s="52"/>
      <c r="Q293" s="52">
        <v>1</v>
      </c>
      <c r="R293" s="52"/>
      <c r="S293" s="52">
        <v>1</v>
      </c>
      <c r="T293" s="52"/>
      <c r="U293" s="52">
        <v>1</v>
      </c>
      <c r="V293" s="52"/>
      <c r="W293" s="52">
        <v>1</v>
      </c>
      <c r="X293" s="52"/>
      <c r="Y293" s="52">
        <v>1</v>
      </c>
      <c r="Z293" s="52"/>
      <c r="AA293" s="114">
        <v>1</v>
      </c>
      <c r="AB293" s="114"/>
      <c r="AC293" s="114">
        <v>1</v>
      </c>
      <c r="AD293" s="114"/>
    </row>
    <row r="294" spans="1:30" x14ac:dyDescent="0.2">
      <c r="A294" s="20" t="s">
        <v>234</v>
      </c>
      <c r="B294" s="20" t="s">
        <v>131</v>
      </c>
      <c r="C294" s="20" t="s">
        <v>16</v>
      </c>
      <c r="D294" s="20" t="str">
        <f t="shared" si="4"/>
        <v>B2-P4-C1</v>
      </c>
      <c r="E294" s="20" t="s">
        <v>35</v>
      </c>
      <c r="F294" s="20" t="s">
        <v>20</v>
      </c>
      <c r="G294" s="50" t="s">
        <v>1040</v>
      </c>
      <c r="H294" s="50">
        <v>293</v>
      </c>
      <c r="I294" s="52">
        <v>1</v>
      </c>
      <c r="J294" s="52"/>
      <c r="K294" s="52">
        <v>1</v>
      </c>
      <c r="L294" s="52"/>
      <c r="M294" s="52">
        <v>1</v>
      </c>
      <c r="N294" s="52"/>
      <c r="O294" s="52">
        <v>1</v>
      </c>
      <c r="P294" s="52"/>
      <c r="Q294" s="52">
        <v>1</v>
      </c>
      <c r="R294" s="52"/>
      <c r="S294" s="52">
        <v>1</v>
      </c>
      <c r="T294" s="52"/>
      <c r="U294" s="52">
        <v>1</v>
      </c>
      <c r="V294" s="52"/>
      <c r="W294" s="52">
        <v>1</v>
      </c>
      <c r="X294" s="52"/>
      <c r="Y294" s="52">
        <v>1</v>
      </c>
      <c r="Z294" s="52"/>
      <c r="AA294" s="114">
        <v>1</v>
      </c>
      <c r="AB294" s="114"/>
      <c r="AC294" s="114">
        <v>1</v>
      </c>
      <c r="AD294" s="114"/>
    </row>
    <row r="295" spans="1:30" x14ac:dyDescent="0.2">
      <c r="A295" s="20" t="s">
        <v>234</v>
      </c>
      <c r="B295" s="20" t="s">
        <v>131</v>
      </c>
      <c r="C295" s="20" t="s">
        <v>16</v>
      </c>
      <c r="D295" s="20" t="str">
        <f t="shared" si="4"/>
        <v>B2-P4-C1</v>
      </c>
      <c r="E295" s="20" t="s">
        <v>35</v>
      </c>
      <c r="F295" s="20" t="s">
        <v>20</v>
      </c>
      <c r="G295" s="50" t="s">
        <v>1041</v>
      </c>
      <c r="H295" s="50">
        <v>294</v>
      </c>
      <c r="I295" s="52">
        <v>1</v>
      </c>
      <c r="J295" s="52"/>
      <c r="K295" s="52">
        <v>1</v>
      </c>
      <c r="L295" s="52"/>
      <c r="M295" s="52">
        <v>1</v>
      </c>
      <c r="N295" s="52"/>
      <c r="O295" s="52">
        <v>1</v>
      </c>
      <c r="P295" s="52"/>
      <c r="Q295" s="52">
        <v>1</v>
      </c>
      <c r="R295" s="52"/>
      <c r="S295" s="52">
        <v>1</v>
      </c>
      <c r="T295" s="52"/>
      <c r="U295" s="52">
        <v>1</v>
      </c>
      <c r="V295" s="52"/>
      <c r="W295" s="52">
        <v>1</v>
      </c>
      <c r="X295" s="52"/>
      <c r="Y295" s="52">
        <v>1</v>
      </c>
      <c r="Z295" s="52"/>
      <c r="AA295" s="114">
        <v>1</v>
      </c>
      <c r="AB295" s="114"/>
      <c r="AC295" s="114">
        <v>1</v>
      </c>
      <c r="AD295" s="114"/>
    </row>
    <row r="296" spans="1:30" x14ac:dyDescent="0.2">
      <c r="A296" s="20" t="s">
        <v>234</v>
      </c>
      <c r="B296" s="20" t="s">
        <v>131</v>
      </c>
      <c r="C296" s="20" t="s">
        <v>16</v>
      </c>
      <c r="D296" s="20" t="str">
        <f t="shared" si="4"/>
        <v>B2-P4-C1</v>
      </c>
      <c r="E296" s="20" t="s">
        <v>35</v>
      </c>
      <c r="F296" s="20" t="s">
        <v>20</v>
      </c>
      <c r="G296" s="50" t="s">
        <v>1042</v>
      </c>
      <c r="H296" s="50">
        <v>295</v>
      </c>
      <c r="I296" s="52">
        <v>1</v>
      </c>
      <c r="J296" s="52"/>
      <c r="K296" s="52">
        <v>1</v>
      </c>
      <c r="L296" s="52"/>
      <c r="M296" s="52">
        <v>1</v>
      </c>
      <c r="N296" s="52"/>
      <c r="O296" s="52">
        <v>1</v>
      </c>
      <c r="P296" s="52"/>
      <c r="Q296" s="52">
        <v>1</v>
      </c>
      <c r="R296" s="52"/>
      <c r="S296" s="52">
        <v>1</v>
      </c>
      <c r="T296" s="52"/>
      <c r="U296" s="52">
        <v>1</v>
      </c>
      <c r="V296" s="52"/>
      <c r="W296" s="52">
        <v>1</v>
      </c>
      <c r="X296" s="52"/>
      <c r="Y296" s="52">
        <v>1</v>
      </c>
      <c r="Z296" s="52"/>
      <c r="AA296" s="114">
        <v>1</v>
      </c>
      <c r="AB296" s="114"/>
      <c r="AC296" s="114">
        <v>1</v>
      </c>
      <c r="AD296" s="114"/>
    </row>
    <row r="297" spans="1:30" x14ac:dyDescent="0.2">
      <c r="A297" s="20" t="s">
        <v>234</v>
      </c>
      <c r="B297" s="20" t="s">
        <v>131</v>
      </c>
      <c r="C297" s="20" t="s">
        <v>16</v>
      </c>
      <c r="D297" s="20" t="str">
        <f t="shared" si="4"/>
        <v>B2-P4-C1</v>
      </c>
      <c r="E297" s="20" t="s">
        <v>35</v>
      </c>
      <c r="F297" s="20" t="s">
        <v>20</v>
      </c>
      <c r="G297" s="50" t="s">
        <v>1043</v>
      </c>
      <c r="H297" s="50">
        <v>296</v>
      </c>
      <c r="I297" s="52">
        <v>1</v>
      </c>
      <c r="J297" s="52"/>
      <c r="K297" s="52">
        <v>1</v>
      </c>
      <c r="L297" s="52"/>
      <c r="M297" s="52">
        <v>1</v>
      </c>
      <c r="N297" s="52"/>
      <c r="O297" s="52">
        <v>1</v>
      </c>
      <c r="P297" s="52"/>
      <c r="Q297" s="52">
        <v>1</v>
      </c>
      <c r="R297" s="52"/>
      <c r="S297" s="52">
        <v>1</v>
      </c>
      <c r="T297" s="52"/>
      <c r="U297" s="52">
        <v>1</v>
      </c>
      <c r="V297" s="52"/>
      <c r="W297" s="52">
        <v>1</v>
      </c>
      <c r="X297" s="52"/>
      <c r="Y297" s="52">
        <v>1</v>
      </c>
      <c r="Z297" s="52"/>
      <c r="AA297" s="114">
        <v>1</v>
      </c>
      <c r="AB297" s="114"/>
      <c r="AC297" s="114">
        <v>1</v>
      </c>
      <c r="AD297" s="114"/>
    </row>
    <row r="298" spans="1:30" x14ac:dyDescent="0.2">
      <c r="A298" s="14" t="s">
        <v>234</v>
      </c>
      <c r="B298" s="14" t="s">
        <v>131</v>
      </c>
      <c r="C298" s="14" t="s">
        <v>32</v>
      </c>
      <c r="D298" s="14" t="str">
        <f t="shared" si="4"/>
        <v>B2-P4-C2</v>
      </c>
      <c r="E298" s="14" t="s">
        <v>19</v>
      </c>
      <c r="F298" s="14" t="s">
        <v>20</v>
      </c>
      <c r="G298" s="51" t="s">
        <v>1045</v>
      </c>
      <c r="H298" s="51">
        <v>297</v>
      </c>
      <c r="I298" s="53">
        <v>1</v>
      </c>
      <c r="J298" s="54"/>
      <c r="K298" s="53">
        <v>3</v>
      </c>
      <c r="L298" s="54"/>
      <c r="M298" s="54">
        <v>3</v>
      </c>
      <c r="N298" s="54"/>
      <c r="O298" s="54">
        <v>3</v>
      </c>
      <c r="P298" s="54"/>
      <c r="Q298" s="54">
        <v>3</v>
      </c>
      <c r="R298" s="54"/>
      <c r="S298" s="54">
        <v>3</v>
      </c>
      <c r="T298" s="54"/>
      <c r="U298" s="54">
        <v>4</v>
      </c>
      <c r="V298" s="54"/>
      <c r="W298" s="54">
        <v>4</v>
      </c>
      <c r="X298" s="54"/>
      <c r="Y298" s="54">
        <v>4</v>
      </c>
      <c r="Z298" s="54"/>
      <c r="AA298" s="115">
        <v>4</v>
      </c>
      <c r="AB298" s="115"/>
      <c r="AC298" s="115">
        <v>4</v>
      </c>
      <c r="AD298" s="115"/>
    </row>
    <row r="299" spans="1:30" x14ac:dyDescent="0.2">
      <c r="A299" s="14" t="s">
        <v>234</v>
      </c>
      <c r="B299" s="14" t="s">
        <v>131</v>
      </c>
      <c r="C299" s="14" t="s">
        <v>32</v>
      </c>
      <c r="D299" s="14" t="str">
        <f t="shared" si="4"/>
        <v>B2-P4-C2</v>
      </c>
      <c r="E299" s="14" t="s">
        <v>35</v>
      </c>
      <c r="F299" s="14" t="s">
        <v>20</v>
      </c>
      <c r="G299" s="51" t="s">
        <v>1046</v>
      </c>
      <c r="H299" s="51">
        <v>298</v>
      </c>
      <c r="I299" s="53">
        <v>1</v>
      </c>
      <c r="J299" s="54"/>
      <c r="K299" s="53">
        <v>1</v>
      </c>
      <c r="L299" s="54"/>
      <c r="M299" s="54">
        <v>1</v>
      </c>
      <c r="N299" s="54"/>
      <c r="O299" s="54">
        <v>1</v>
      </c>
      <c r="P299" s="54"/>
      <c r="Q299" s="54">
        <v>1</v>
      </c>
      <c r="R299" s="54"/>
      <c r="S299" s="54">
        <v>1</v>
      </c>
      <c r="T299" s="54"/>
      <c r="U299" s="54">
        <v>1</v>
      </c>
      <c r="V299" s="54"/>
      <c r="W299" s="54">
        <v>1</v>
      </c>
      <c r="X299" s="54"/>
      <c r="Y299" s="54">
        <v>1</v>
      </c>
      <c r="Z299" s="54"/>
      <c r="AA299" s="115">
        <v>1</v>
      </c>
      <c r="AB299" s="115"/>
      <c r="AC299" s="115">
        <v>1</v>
      </c>
      <c r="AD299" s="115"/>
    </row>
    <row r="300" spans="1:30" x14ac:dyDescent="0.2">
      <c r="A300" s="14" t="s">
        <v>234</v>
      </c>
      <c r="B300" s="14" t="s">
        <v>131</v>
      </c>
      <c r="C300" s="14" t="s">
        <v>32</v>
      </c>
      <c r="D300" s="14" t="str">
        <f t="shared" si="4"/>
        <v>B2-P4-C2</v>
      </c>
      <c r="E300" s="14" t="s">
        <v>35</v>
      </c>
      <c r="F300" s="14" t="s">
        <v>20</v>
      </c>
      <c r="G300" s="51" t="s">
        <v>1047</v>
      </c>
      <c r="H300" s="51">
        <v>299</v>
      </c>
      <c r="I300" s="53">
        <v>1</v>
      </c>
      <c r="J300" s="54"/>
      <c r="K300" s="53">
        <v>1</v>
      </c>
      <c r="L300" s="54"/>
      <c r="M300" s="54">
        <v>1</v>
      </c>
      <c r="N300" s="54"/>
      <c r="O300" s="54">
        <v>1</v>
      </c>
      <c r="P300" s="54"/>
      <c r="Q300" s="54">
        <v>1</v>
      </c>
      <c r="R300" s="54"/>
      <c r="S300" s="54">
        <v>1</v>
      </c>
      <c r="T300" s="54"/>
      <c r="U300" s="54">
        <v>1</v>
      </c>
      <c r="V300" s="54"/>
      <c r="W300" s="54">
        <v>1</v>
      </c>
      <c r="X300" s="54"/>
      <c r="Y300" s="54">
        <v>1</v>
      </c>
      <c r="Z300" s="54"/>
      <c r="AA300" s="115">
        <v>1</v>
      </c>
      <c r="AB300" s="115"/>
      <c r="AC300" s="115">
        <v>1</v>
      </c>
      <c r="AD300" s="115"/>
    </row>
    <row r="301" spans="1:30" x14ac:dyDescent="0.2">
      <c r="A301" s="14" t="s">
        <v>234</v>
      </c>
      <c r="B301" s="14" t="s">
        <v>131</v>
      </c>
      <c r="C301" s="14" t="s">
        <v>32</v>
      </c>
      <c r="D301" s="14" t="str">
        <f t="shared" si="4"/>
        <v>B2-P4-C2</v>
      </c>
      <c r="E301" s="14" t="s">
        <v>19</v>
      </c>
      <c r="F301" s="14" t="s">
        <v>20</v>
      </c>
      <c r="G301" s="51" t="s">
        <v>1048</v>
      </c>
      <c r="H301" s="51">
        <v>300</v>
      </c>
      <c r="I301" s="53">
        <v>1</v>
      </c>
      <c r="J301" s="54"/>
      <c r="K301" s="53">
        <v>3</v>
      </c>
      <c r="L301" s="54"/>
      <c r="M301" s="54">
        <v>3</v>
      </c>
      <c r="N301" s="54"/>
      <c r="O301" s="54">
        <v>3</v>
      </c>
      <c r="P301" s="54"/>
      <c r="Q301" s="54">
        <v>3</v>
      </c>
      <c r="R301" s="54"/>
      <c r="S301" s="54">
        <v>3</v>
      </c>
      <c r="T301" s="54"/>
      <c r="U301" s="54">
        <v>4</v>
      </c>
      <c r="V301" s="54"/>
      <c r="W301" s="54">
        <v>4</v>
      </c>
      <c r="X301" s="54"/>
      <c r="Y301" s="54">
        <v>4</v>
      </c>
      <c r="Z301" s="54"/>
      <c r="AA301" s="115">
        <v>4</v>
      </c>
      <c r="AB301" s="115"/>
      <c r="AC301" s="115">
        <v>4</v>
      </c>
      <c r="AD301" s="115"/>
    </row>
    <row r="302" spans="1:30" x14ac:dyDescent="0.2">
      <c r="A302" s="14" t="s">
        <v>234</v>
      </c>
      <c r="B302" s="14" t="s">
        <v>131</v>
      </c>
      <c r="C302" s="14" t="s">
        <v>32</v>
      </c>
      <c r="D302" s="14" t="str">
        <f t="shared" si="4"/>
        <v>B2-P4-C2</v>
      </c>
      <c r="E302" s="14" t="s">
        <v>19</v>
      </c>
      <c r="F302" s="14" t="s">
        <v>20</v>
      </c>
      <c r="G302" s="51" t="s">
        <v>1049</v>
      </c>
      <c r="H302" s="51">
        <v>301</v>
      </c>
      <c r="I302" s="53">
        <v>1</v>
      </c>
      <c r="J302" s="54"/>
      <c r="K302" s="53">
        <v>3</v>
      </c>
      <c r="L302" s="54"/>
      <c r="M302" s="54">
        <v>3</v>
      </c>
      <c r="N302" s="54"/>
      <c r="O302" s="54">
        <v>3</v>
      </c>
      <c r="P302" s="54"/>
      <c r="Q302" s="54">
        <v>3</v>
      </c>
      <c r="R302" s="54"/>
      <c r="S302" s="54">
        <v>3</v>
      </c>
      <c r="T302" s="54"/>
      <c r="U302" s="54">
        <v>4</v>
      </c>
      <c r="V302" s="54"/>
      <c r="W302" s="54">
        <v>4</v>
      </c>
      <c r="X302" s="54"/>
      <c r="Y302" s="54">
        <v>4</v>
      </c>
      <c r="Z302" s="54"/>
      <c r="AA302" s="115">
        <v>4</v>
      </c>
      <c r="AB302" s="115"/>
      <c r="AC302" s="115">
        <v>4</v>
      </c>
      <c r="AD302" s="115"/>
    </row>
    <row r="303" spans="1:30" x14ac:dyDescent="0.2">
      <c r="A303" s="14" t="s">
        <v>234</v>
      </c>
      <c r="B303" s="14" t="s">
        <v>131</v>
      </c>
      <c r="C303" s="14" t="s">
        <v>32</v>
      </c>
      <c r="D303" s="14" t="str">
        <f t="shared" si="4"/>
        <v>B2-P4-C2</v>
      </c>
      <c r="E303" s="14" t="s">
        <v>35</v>
      </c>
      <c r="F303" s="14" t="s">
        <v>20</v>
      </c>
      <c r="G303" s="51" t="s">
        <v>1050</v>
      </c>
      <c r="H303" s="51">
        <v>302</v>
      </c>
      <c r="I303" s="53">
        <v>1</v>
      </c>
      <c r="J303" s="54"/>
      <c r="K303" s="53">
        <v>1</v>
      </c>
      <c r="L303" s="54"/>
      <c r="M303" s="54">
        <v>1</v>
      </c>
      <c r="N303" s="54"/>
      <c r="O303" s="54">
        <v>1</v>
      </c>
      <c r="P303" s="54"/>
      <c r="Q303" s="54">
        <v>1</v>
      </c>
      <c r="R303" s="54"/>
      <c r="S303" s="54">
        <v>1</v>
      </c>
      <c r="T303" s="54"/>
      <c r="U303" s="54">
        <v>1</v>
      </c>
      <c r="V303" s="54"/>
      <c r="W303" s="54">
        <v>1</v>
      </c>
      <c r="X303" s="54"/>
      <c r="Y303" s="54">
        <v>1</v>
      </c>
      <c r="Z303" s="54"/>
      <c r="AA303" s="115">
        <v>1</v>
      </c>
      <c r="AB303" s="115"/>
      <c r="AC303" s="115">
        <v>1</v>
      </c>
      <c r="AD303" s="115"/>
    </row>
    <row r="304" spans="1:30" x14ac:dyDescent="0.2">
      <c r="A304" s="14" t="s">
        <v>234</v>
      </c>
      <c r="B304" s="14" t="s">
        <v>131</v>
      </c>
      <c r="C304" s="14" t="s">
        <v>32</v>
      </c>
      <c r="D304" s="14" t="str">
        <f t="shared" si="4"/>
        <v>B2-P4-C2</v>
      </c>
      <c r="E304" s="14" t="s">
        <v>35</v>
      </c>
      <c r="F304" s="14" t="s">
        <v>20</v>
      </c>
      <c r="G304" s="51" t="s">
        <v>1051</v>
      </c>
      <c r="H304" s="51">
        <v>303</v>
      </c>
      <c r="I304" s="53">
        <v>1</v>
      </c>
      <c r="J304" s="54"/>
      <c r="K304" s="53">
        <v>1</v>
      </c>
      <c r="L304" s="54"/>
      <c r="M304" s="54">
        <v>1</v>
      </c>
      <c r="N304" s="54"/>
      <c r="O304" s="54">
        <v>1</v>
      </c>
      <c r="P304" s="54"/>
      <c r="Q304" s="54">
        <v>1</v>
      </c>
      <c r="R304" s="54"/>
      <c r="S304" s="54">
        <v>1</v>
      </c>
      <c r="T304" s="54"/>
      <c r="U304" s="54">
        <v>1</v>
      </c>
      <c r="V304" s="54"/>
      <c r="W304" s="54">
        <v>1</v>
      </c>
      <c r="X304" s="54"/>
      <c r="Y304" s="54">
        <v>1</v>
      </c>
      <c r="Z304" s="54"/>
      <c r="AA304" s="115">
        <v>1</v>
      </c>
      <c r="AB304" s="115"/>
      <c r="AC304" s="115">
        <v>1</v>
      </c>
      <c r="AD304" s="115"/>
    </row>
    <row r="305" spans="1:30" x14ac:dyDescent="0.2">
      <c r="A305" s="14" t="s">
        <v>234</v>
      </c>
      <c r="B305" s="14" t="s">
        <v>131</v>
      </c>
      <c r="C305" s="14" t="s">
        <v>32</v>
      </c>
      <c r="D305" s="14" t="str">
        <f t="shared" si="4"/>
        <v>B2-P4-C2</v>
      </c>
      <c r="E305" s="14" t="s">
        <v>19</v>
      </c>
      <c r="F305" s="14" t="s">
        <v>20</v>
      </c>
      <c r="G305" s="51" t="s">
        <v>1052</v>
      </c>
      <c r="H305" s="51">
        <v>304</v>
      </c>
      <c r="I305" s="53">
        <v>1</v>
      </c>
      <c r="J305" s="54"/>
      <c r="K305" s="53">
        <v>3</v>
      </c>
      <c r="L305" s="54"/>
      <c r="M305" s="54">
        <v>3</v>
      </c>
      <c r="N305" s="54"/>
      <c r="O305" s="54">
        <v>3</v>
      </c>
      <c r="P305" s="54"/>
      <c r="Q305" s="54">
        <v>3</v>
      </c>
      <c r="R305" s="54"/>
      <c r="S305" s="54">
        <v>3</v>
      </c>
      <c r="T305" s="54"/>
      <c r="U305" s="54">
        <v>4</v>
      </c>
      <c r="V305" s="54"/>
      <c r="W305" s="54">
        <v>4</v>
      </c>
      <c r="X305" s="54"/>
      <c r="Y305" s="54">
        <v>4</v>
      </c>
      <c r="Z305" s="54"/>
      <c r="AA305" s="115">
        <v>4</v>
      </c>
      <c r="AB305" s="115"/>
      <c r="AC305" s="115">
        <v>4</v>
      </c>
      <c r="AD305" s="115"/>
    </row>
    <row r="306" spans="1:30" x14ac:dyDescent="0.2">
      <c r="A306" s="20" t="s">
        <v>234</v>
      </c>
      <c r="B306" s="20" t="s">
        <v>131</v>
      </c>
      <c r="C306" s="20" t="s">
        <v>42</v>
      </c>
      <c r="D306" s="20" t="str">
        <f t="shared" si="4"/>
        <v>B2-P4-C3</v>
      </c>
      <c r="E306" s="20" t="s">
        <v>19</v>
      </c>
      <c r="F306" s="20" t="s">
        <v>20</v>
      </c>
      <c r="G306" s="50" t="s">
        <v>1054</v>
      </c>
      <c r="H306" s="50">
        <v>305</v>
      </c>
      <c r="I306" s="52">
        <v>1</v>
      </c>
      <c r="J306" s="52"/>
      <c r="K306" s="52">
        <v>1</v>
      </c>
      <c r="L306" s="52"/>
      <c r="M306" s="52">
        <v>1</v>
      </c>
      <c r="N306" s="52"/>
      <c r="O306" s="52">
        <v>1</v>
      </c>
      <c r="P306" s="52"/>
      <c r="Q306" s="52">
        <v>1</v>
      </c>
      <c r="R306" s="52"/>
      <c r="S306" s="52">
        <v>1</v>
      </c>
      <c r="T306" s="52"/>
      <c r="U306" s="52">
        <v>1</v>
      </c>
      <c r="V306" s="52"/>
      <c r="W306" s="52">
        <v>1</v>
      </c>
      <c r="X306" s="52"/>
      <c r="Y306" s="52">
        <v>1</v>
      </c>
      <c r="Z306" s="52"/>
      <c r="AA306" s="114">
        <v>1</v>
      </c>
      <c r="AB306" s="114"/>
      <c r="AC306" s="114">
        <v>3</v>
      </c>
      <c r="AD306" s="114"/>
    </row>
    <row r="307" spans="1:30" x14ac:dyDescent="0.2">
      <c r="A307" s="20" t="s">
        <v>234</v>
      </c>
      <c r="B307" s="20" t="s">
        <v>131</v>
      </c>
      <c r="C307" s="20" t="s">
        <v>42</v>
      </c>
      <c r="D307" s="20" t="str">
        <f t="shared" si="4"/>
        <v>B2-P4-C3</v>
      </c>
      <c r="E307" s="20" t="s">
        <v>19</v>
      </c>
      <c r="F307" s="20" t="s">
        <v>20</v>
      </c>
      <c r="G307" s="50" t="s">
        <v>1055</v>
      </c>
      <c r="H307" s="50">
        <v>306</v>
      </c>
      <c r="I307" s="52">
        <v>1</v>
      </c>
      <c r="J307" s="52"/>
      <c r="K307" s="52">
        <v>1</v>
      </c>
      <c r="L307" s="52"/>
      <c r="M307" s="52">
        <v>1</v>
      </c>
      <c r="N307" s="52"/>
      <c r="O307" s="52">
        <v>1</v>
      </c>
      <c r="P307" s="52"/>
      <c r="Q307" s="52">
        <v>1</v>
      </c>
      <c r="R307" s="52"/>
      <c r="S307" s="52">
        <v>1</v>
      </c>
      <c r="T307" s="52"/>
      <c r="U307" s="52">
        <v>1</v>
      </c>
      <c r="V307" s="52"/>
      <c r="W307" s="52">
        <v>1</v>
      </c>
      <c r="X307" s="52"/>
      <c r="Y307" s="52">
        <v>1</v>
      </c>
      <c r="Z307" s="52"/>
      <c r="AA307" s="114">
        <v>1</v>
      </c>
      <c r="AB307" s="114"/>
      <c r="AC307" s="114">
        <v>4</v>
      </c>
      <c r="AD307" s="114"/>
    </row>
    <row r="308" spans="1:30" x14ac:dyDescent="0.2">
      <c r="A308" s="20" t="s">
        <v>234</v>
      </c>
      <c r="B308" s="20" t="s">
        <v>131</v>
      </c>
      <c r="C308" s="20" t="s">
        <v>42</v>
      </c>
      <c r="D308" s="20" t="str">
        <f t="shared" si="4"/>
        <v>B2-P4-C3</v>
      </c>
      <c r="E308" s="20" t="s">
        <v>19</v>
      </c>
      <c r="F308" s="20" t="s">
        <v>20</v>
      </c>
      <c r="G308" s="50" t="s">
        <v>1056</v>
      </c>
      <c r="H308" s="50">
        <v>307</v>
      </c>
      <c r="I308" s="52">
        <v>1</v>
      </c>
      <c r="J308" s="52"/>
      <c r="K308" s="52">
        <v>1</v>
      </c>
      <c r="L308" s="52"/>
      <c r="M308" s="52">
        <v>1</v>
      </c>
      <c r="N308" s="52"/>
      <c r="O308" s="52">
        <v>1</v>
      </c>
      <c r="P308" s="52"/>
      <c r="Q308" s="52">
        <v>1</v>
      </c>
      <c r="R308" s="52"/>
      <c r="S308" s="52">
        <v>1</v>
      </c>
      <c r="T308" s="52"/>
      <c r="U308" s="52">
        <v>1</v>
      </c>
      <c r="V308" s="52"/>
      <c r="W308" s="52">
        <v>1</v>
      </c>
      <c r="X308" s="52"/>
      <c r="Y308" s="52">
        <v>1</v>
      </c>
      <c r="Z308" s="52"/>
      <c r="AA308" s="114">
        <v>1</v>
      </c>
      <c r="AB308" s="114"/>
      <c r="AC308" s="114">
        <v>3</v>
      </c>
      <c r="AD308" s="114"/>
    </row>
    <row r="309" spans="1:30" x14ac:dyDescent="0.2">
      <c r="A309" s="20" t="s">
        <v>234</v>
      </c>
      <c r="B309" s="20" t="s">
        <v>131</v>
      </c>
      <c r="C309" s="20" t="s">
        <v>42</v>
      </c>
      <c r="D309" s="20" t="str">
        <f t="shared" si="4"/>
        <v>B2-P4-C3</v>
      </c>
      <c r="E309" s="20" t="s">
        <v>19</v>
      </c>
      <c r="F309" s="20" t="s">
        <v>20</v>
      </c>
      <c r="G309" s="50" t="s">
        <v>1057</v>
      </c>
      <c r="H309" s="50">
        <v>308</v>
      </c>
      <c r="I309" s="52">
        <v>1</v>
      </c>
      <c r="J309" s="52"/>
      <c r="K309" s="52">
        <v>1</v>
      </c>
      <c r="L309" s="52"/>
      <c r="M309" s="52">
        <v>1</v>
      </c>
      <c r="N309" s="52"/>
      <c r="O309" s="52">
        <v>1</v>
      </c>
      <c r="P309" s="52"/>
      <c r="Q309" s="52">
        <v>1</v>
      </c>
      <c r="R309" s="52"/>
      <c r="S309" s="52">
        <v>1</v>
      </c>
      <c r="T309" s="52"/>
      <c r="U309" s="52">
        <v>1</v>
      </c>
      <c r="V309" s="52"/>
      <c r="W309" s="52">
        <v>1</v>
      </c>
      <c r="X309" s="52"/>
      <c r="Y309" s="52">
        <v>1</v>
      </c>
      <c r="Z309" s="52"/>
      <c r="AA309" s="114">
        <v>1</v>
      </c>
      <c r="AB309" s="114"/>
      <c r="AC309" s="114">
        <v>4</v>
      </c>
      <c r="AD309" s="114"/>
    </row>
    <row r="310" spans="1:30" x14ac:dyDescent="0.2">
      <c r="A310" s="20" t="s">
        <v>234</v>
      </c>
      <c r="B310" s="20" t="s">
        <v>131</v>
      </c>
      <c r="C310" s="20" t="s">
        <v>42</v>
      </c>
      <c r="D310" s="20" t="str">
        <f t="shared" si="4"/>
        <v>B2-P4-C3</v>
      </c>
      <c r="E310" s="20" t="s">
        <v>19</v>
      </c>
      <c r="F310" s="20" t="s">
        <v>20</v>
      </c>
      <c r="G310" s="50" t="s">
        <v>1058</v>
      </c>
      <c r="H310" s="50">
        <v>309</v>
      </c>
      <c r="I310" s="52">
        <v>1</v>
      </c>
      <c r="J310" s="52"/>
      <c r="K310" s="52">
        <v>1</v>
      </c>
      <c r="L310" s="52"/>
      <c r="M310" s="52">
        <v>1</v>
      </c>
      <c r="N310" s="52"/>
      <c r="O310" s="52">
        <v>1</v>
      </c>
      <c r="P310" s="52"/>
      <c r="Q310" s="52">
        <v>1</v>
      </c>
      <c r="R310" s="52"/>
      <c r="S310" s="52">
        <v>1</v>
      </c>
      <c r="T310" s="52"/>
      <c r="U310" s="52">
        <v>1</v>
      </c>
      <c r="V310" s="52"/>
      <c r="W310" s="52">
        <v>1</v>
      </c>
      <c r="X310" s="52"/>
      <c r="Y310" s="52">
        <v>1</v>
      </c>
      <c r="Z310" s="52"/>
      <c r="AA310" s="52">
        <v>1</v>
      </c>
      <c r="AB310" s="114"/>
      <c r="AC310" s="52">
        <v>3</v>
      </c>
      <c r="AD310" s="114"/>
    </row>
    <row r="311" spans="1:30" x14ac:dyDescent="0.2">
      <c r="A311" s="20" t="s">
        <v>234</v>
      </c>
      <c r="B311" s="20" t="s">
        <v>131</v>
      </c>
      <c r="C311" s="20" t="s">
        <v>42</v>
      </c>
      <c r="D311" s="20" t="str">
        <f t="shared" si="4"/>
        <v>B2-P4-C3</v>
      </c>
      <c r="E311" s="20" t="s">
        <v>19</v>
      </c>
      <c r="F311" s="20" t="s">
        <v>20</v>
      </c>
      <c r="G311" s="50" t="s">
        <v>1059</v>
      </c>
      <c r="H311" s="50">
        <v>310</v>
      </c>
      <c r="I311" s="52">
        <v>1</v>
      </c>
      <c r="J311" s="52"/>
      <c r="K311" s="52">
        <v>1</v>
      </c>
      <c r="L311" s="52"/>
      <c r="M311" s="52">
        <v>1</v>
      </c>
      <c r="N311" s="52"/>
      <c r="O311" s="52">
        <v>1</v>
      </c>
      <c r="P311" s="52"/>
      <c r="Q311" s="52">
        <v>1</v>
      </c>
      <c r="R311" s="52"/>
      <c r="S311" s="52">
        <v>1</v>
      </c>
      <c r="T311" s="52"/>
      <c r="U311" s="52">
        <v>1</v>
      </c>
      <c r="V311" s="52"/>
      <c r="W311" s="52">
        <v>1</v>
      </c>
      <c r="X311" s="52"/>
      <c r="Y311" s="52">
        <v>1</v>
      </c>
      <c r="Z311" s="52"/>
      <c r="AA311" s="52">
        <v>1</v>
      </c>
      <c r="AB311" s="114"/>
      <c r="AC311" s="52">
        <v>3</v>
      </c>
      <c r="AD311" s="114"/>
    </row>
    <row r="312" spans="1:30" x14ac:dyDescent="0.2">
      <c r="A312" s="20" t="s">
        <v>234</v>
      </c>
      <c r="B312" s="20" t="s">
        <v>131</v>
      </c>
      <c r="C312" s="20" t="s">
        <v>42</v>
      </c>
      <c r="D312" s="20" t="str">
        <f t="shared" si="4"/>
        <v>B2-P4-C3</v>
      </c>
      <c r="E312" s="20" t="s">
        <v>19</v>
      </c>
      <c r="F312" s="20" t="s">
        <v>20</v>
      </c>
      <c r="G312" s="50" t="s">
        <v>1060</v>
      </c>
      <c r="H312" s="50">
        <v>311</v>
      </c>
      <c r="I312" s="52">
        <v>1</v>
      </c>
      <c r="J312" s="52"/>
      <c r="K312" s="52">
        <v>1</v>
      </c>
      <c r="L312" s="52"/>
      <c r="M312" s="52">
        <v>1</v>
      </c>
      <c r="N312" s="52"/>
      <c r="O312" s="52">
        <v>1</v>
      </c>
      <c r="P312" s="52"/>
      <c r="Q312" s="52">
        <v>1</v>
      </c>
      <c r="R312" s="52"/>
      <c r="S312" s="52">
        <v>1</v>
      </c>
      <c r="T312" s="52"/>
      <c r="U312" s="52">
        <v>1</v>
      </c>
      <c r="V312" s="52"/>
      <c r="W312" s="52">
        <v>1</v>
      </c>
      <c r="X312" s="52"/>
      <c r="Y312" s="52">
        <v>1</v>
      </c>
      <c r="Z312" s="52"/>
      <c r="AA312" s="52">
        <v>1</v>
      </c>
      <c r="AB312" s="114"/>
      <c r="AC312" s="52">
        <v>4</v>
      </c>
      <c r="AD312" s="114"/>
    </row>
    <row r="313" spans="1:30" x14ac:dyDescent="0.2">
      <c r="A313" s="20" t="s">
        <v>234</v>
      </c>
      <c r="B313" s="20" t="s">
        <v>131</v>
      </c>
      <c r="C313" s="20" t="s">
        <v>42</v>
      </c>
      <c r="D313" s="20" t="str">
        <f t="shared" si="4"/>
        <v>B2-P4-C3</v>
      </c>
      <c r="E313" s="20" t="s">
        <v>19</v>
      </c>
      <c r="F313" s="20" t="s">
        <v>20</v>
      </c>
      <c r="G313" s="50" t="s">
        <v>1061</v>
      </c>
      <c r="H313" s="50">
        <v>312</v>
      </c>
      <c r="I313" s="52">
        <v>1</v>
      </c>
      <c r="J313" s="52"/>
      <c r="K313" s="52">
        <v>1</v>
      </c>
      <c r="L313" s="52"/>
      <c r="M313" s="52">
        <v>1</v>
      </c>
      <c r="N313" s="52"/>
      <c r="O313" s="52">
        <v>1</v>
      </c>
      <c r="P313" s="52"/>
      <c r="Q313" s="52">
        <v>1</v>
      </c>
      <c r="R313" s="52"/>
      <c r="S313" s="52">
        <v>1</v>
      </c>
      <c r="T313" s="52"/>
      <c r="U313" s="52">
        <v>1</v>
      </c>
      <c r="V313" s="52"/>
      <c r="W313" s="52">
        <v>1</v>
      </c>
      <c r="X313" s="52"/>
      <c r="Y313" s="52">
        <v>1</v>
      </c>
      <c r="Z313" s="52"/>
      <c r="AA313" s="52">
        <v>1</v>
      </c>
      <c r="AB313" s="114"/>
      <c r="AC313" s="52">
        <v>3</v>
      </c>
      <c r="AD313" s="114"/>
    </row>
    <row r="314" spans="1:30" x14ac:dyDescent="0.2">
      <c r="A314" s="14" t="s">
        <v>234</v>
      </c>
      <c r="B314" s="14" t="s">
        <v>131</v>
      </c>
      <c r="C314" s="14" t="s">
        <v>53</v>
      </c>
      <c r="D314" s="14" t="str">
        <f t="shared" si="4"/>
        <v>B2-P4-C4</v>
      </c>
      <c r="E314" s="14" t="s">
        <v>35</v>
      </c>
      <c r="F314" s="14" t="s">
        <v>20</v>
      </c>
      <c r="G314" s="51" t="s">
        <v>1063</v>
      </c>
      <c r="H314" s="51">
        <v>313</v>
      </c>
      <c r="I314" s="53">
        <v>1</v>
      </c>
      <c r="J314" s="54"/>
      <c r="K314" s="53">
        <v>1</v>
      </c>
      <c r="L314" s="54"/>
      <c r="M314" s="54">
        <v>1</v>
      </c>
      <c r="N314" s="54"/>
      <c r="O314" s="54">
        <v>1</v>
      </c>
      <c r="P314" s="54"/>
      <c r="Q314" s="54">
        <v>1</v>
      </c>
      <c r="R314" s="54"/>
      <c r="S314" s="54">
        <v>1</v>
      </c>
      <c r="T314" s="54"/>
      <c r="U314" s="54">
        <v>1</v>
      </c>
      <c r="V314" s="54"/>
      <c r="W314" s="54">
        <v>1</v>
      </c>
      <c r="X314" s="54"/>
      <c r="Y314" s="54">
        <v>1</v>
      </c>
      <c r="Z314" s="54"/>
      <c r="AA314" s="54">
        <v>1</v>
      </c>
      <c r="AB314" s="115"/>
      <c r="AC314" s="54">
        <v>1</v>
      </c>
      <c r="AD314" s="115"/>
    </row>
    <row r="315" spans="1:30" x14ac:dyDescent="0.2">
      <c r="A315" s="14" t="s">
        <v>234</v>
      </c>
      <c r="B315" s="14" t="s">
        <v>131</v>
      </c>
      <c r="C315" s="14" t="s">
        <v>53</v>
      </c>
      <c r="D315" s="14" t="str">
        <f t="shared" si="4"/>
        <v>B2-P4-C4</v>
      </c>
      <c r="E315" s="14" t="s">
        <v>35</v>
      </c>
      <c r="F315" s="14" t="s">
        <v>20</v>
      </c>
      <c r="G315" s="51" t="s">
        <v>1064</v>
      </c>
      <c r="H315" s="51">
        <v>314</v>
      </c>
      <c r="I315" s="53">
        <v>1</v>
      </c>
      <c r="J315" s="54"/>
      <c r="K315" s="53">
        <v>1</v>
      </c>
      <c r="L315" s="54"/>
      <c r="M315" s="54">
        <v>1</v>
      </c>
      <c r="N315" s="54"/>
      <c r="O315" s="54">
        <v>1</v>
      </c>
      <c r="P315" s="54"/>
      <c r="Q315" s="54">
        <v>1</v>
      </c>
      <c r="R315" s="54"/>
      <c r="S315" s="54">
        <v>1</v>
      </c>
      <c r="T315" s="54"/>
      <c r="U315" s="54">
        <v>1</v>
      </c>
      <c r="V315" s="54"/>
      <c r="W315" s="54">
        <v>1</v>
      </c>
      <c r="X315" s="54"/>
      <c r="Y315" s="54">
        <v>1</v>
      </c>
      <c r="Z315" s="54"/>
      <c r="AA315" s="54">
        <v>1</v>
      </c>
      <c r="AB315" s="115"/>
      <c r="AC315" s="54">
        <v>1</v>
      </c>
      <c r="AD315" s="115"/>
    </row>
    <row r="316" spans="1:30" x14ac:dyDescent="0.2">
      <c r="A316" s="14" t="s">
        <v>234</v>
      </c>
      <c r="B316" s="14" t="s">
        <v>131</v>
      </c>
      <c r="C316" s="14" t="s">
        <v>53</v>
      </c>
      <c r="D316" s="14" t="str">
        <f t="shared" si="4"/>
        <v>B2-P4-C4</v>
      </c>
      <c r="E316" s="14" t="s">
        <v>35</v>
      </c>
      <c r="F316" s="14" t="s">
        <v>20</v>
      </c>
      <c r="G316" s="51" t="s">
        <v>1065</v>
      </c>
      <c r="H316" s="51">
        <v>315</v>
      </c>
      <c r="I316" s="53">
        <v>1</v>
      </c>
      <c r="J316" s="54"/>
      <c r="K316" s="53">
        <v>1</v>
      </c>
      <c r="L316" s="54"/>
      <c r="M316" s="54">
        <v>1</v>
      </c>
      <c r="N316" s="54"/>
      <c r="O316" s="54">
        <v>1</v>
      </c>
      <c r="P316" s="54"/>
      <c r="Q316" s="54">
        <v>1</v>
      </c>
      <c r="R316" s="54"/>
      <c r="S316" s="54">
        <v>1</v>
      </c>
      <c r="T316" s="54"/>
      <c r="U316" s="54">
        <v>1</v>
      </c>
      <c r="V316" s="54"/>
      <c r="W316" s="54">
        <v>1</v>
      </c>
      <c r="X316" s="54"/>
      <c r="Y316" s="54">
        <v>1</v>
      </c>
      <c r="Z316" s="54"/>
      <c r="AA316" s="54">
        <v>1</v>
      </c>
      <c r="AB316" s="115"/>
      <c r="AC316" s="54">
        <v>1</v>
      </c>
      <c r="AD316" s="115"/>
    </row>
    <row r="317" spans="1:30" x14ac:dyDescent="0.2">
      <c r="A317" s="14" t="s">
        <v>234</v>
      </c>
      <c r="B317" s="14" t="s">
        <v>131</v>
      </c>
      <c r="C317" s="14" t="s">
        <v>53</v>
      </c>
      <c r="D317" s="14" t="str">
        <f t="shared" si="4"/>
        <v>B2-P4-C4</v>
      </c>
      <c r="E317" s="14" t="s">
        <v>35</v>
      </c>
      <c r="F317" s="14" t="s">
        <v>20</v>
      </c>
      <c r="G317" s="51" t="s">
        <v>1066</v>
      </c>
      <c r="H317" s="51">
        <v>316</v>
      </c>
      <c r="I317" s="53">
        <v>1</v>
      </c>
      <c r="J317" s="54"/>
      <c r="K317" s="53">
        <v>1</v>
      </c>
      <c r="L317" s="54"/>
      <c r="M317" s="54">
        <v>1</v>
      </c>
      <c r="N317" s="54"/>
      <c r="O317" s="54">
        <v>1</v>
      </c>
      <c r="P317" s="54"/>
      <c r="Q317" s="54">
        <v>1</v>
      </c>
      <c r="R317" s="54"/>
      <c r="S317" s="54">
        <v>1</v>
      </c>
      <c r="T317" s="54"/>
      <c r="U317" s="54">
        <v>1</v>
      </c>
      <c r="V317" s="54"/>
      <c r="W317" s="54">
        <v>1</v>
      </c>
      <c r="X317" s="54"/>
      <c r="Y317" s="54">
        <v>1</v>
      </c>
      <c r="Z317" s="54"/>
      <c r="AA317" s="54">
        <v>1</v>
      </c>
      <c r="AB317" s="115"/>
      <c r="AC317" s="54">
        <v>1</v>
      </c>
      <c r="AD317" s="115"/>
    </row>
    <row r="318" spans="1:30" x14ac:dyDescent="0.2">
      <c r="A318" s="14" t="s">
        <v>234</v>
      </c>
      <c r="B318" s="14" t="s">
        <v>131</v>
      </c>
      <c r="C318" s="14" t="s">
        <v>53</v>
      </c>
      <c r="D318" s="14" t="str">
        <f t="shared" si="4"/>
        <v>B2-P4-C4</v>
      </c>
      <c r="E318" s="14" t="s">
        <v>35</v>
      </c>
      <c r="F318" s="14" t="s">
        <v>20</v>
      </c>
      <c r="G318" s="51" t="s">
        <v>1067</v>
      </c>
      <c r="H318" s="51">
        <v>317</v>
      </c>
      <c r="I318" s="53">
        <v>1</v>
      </c>
      <c r="J318" s="54"/>
      <c r="K318" s="53">
        <v>1</v>
      </c>
      <c r="L318" s="54"/>
      <c r="M318" s="54">
        <v>1</v>
      </c>
      <c r="N318" s="54"/>
      <c r="O318" s="54">
        <v>1</v>
      </c>
      <c r="P318" s="54"/>
      <c r="Q318" s="54">
        <v>1</v>
      </c>
      <c r="R318" s="54"/>
      <c r="S318" s="54">
        <v>1</v>
      </c>
      <c r="T318" s="54"/>
      <c r="U318" s="54">
        <v>1</v>
      </c>
      <c r="V318" s="54"/>
      <c r="W318" s="54">
        <v>1</v>
      </c>
      <c r="X318" s="54"/>
      <c r="Y318" s="54">
        <v>1</v>
      </c>
      <c r="Z318" s="54"/>
      <c r="AA318" s="54">
        <v>1</v>
      </c>
      <c r="AB318" s="115"/>
      <c r="AC318" s="54">
        <v>1</v>
      </c>
      <c r="AD318" s="115"/>
    </row>
    <row r="319" spans="1:30" x14ac:dyDescent="0.2">
      <c r="A319" s="14" t="s">
        <v>234</v>
      </c>
      <c r="B319" s="14" t="s">
        <v>131</v>
      </c>
      <c r="C319" s="14" t="s">
        <v>53</v>
      </c>
      <c r="D319" s="14" t="str">
        <f t="shared" si="4"/>
        <v>B2-P4-C4</v>
      </c>
      <c r="E319" s="14" t="s">
        <v>35</v>
      </c>
      <c r="F319" s="14" t="s">
        <v>20</v>
      </c>
      <c r="G319" s="51" t="s">
        <v>1068</v>
      </c>
      <c r="H319" s="51">
        <v>318</v>
      </c>
      <c r="I319" s="53">
        <v>1</v>
      </c>
      <c r="J319" s="54"/>
      <c r="K319" s="53">
        <v>1</v>
      </c>
      <c r="L319" s="54"/>
      <c r="M319" s="54">
        <v>1</v>
      </c>
      <c r="N319" s="54"/>
      <c r="O319" s="54">
        <v>1</v>
      </c>
      <c r="P319" s="54"/>
      <c r="Q319" s="54">
        <v>1</v>
      </c>
      <c r="R319" s="54"/>
      <c r="S319" s="54">
        <v>1</v>
      </c>
      <c r="T319" s="54"/>
      <c r="U319" s="54">
        <v>1</v>
      </c>
      <c r="V319" s="54"/>
      <c r="W319" s="54">
        <v>1</v>
      </c>
      <c r="X319" s="54"/>
      <c r="Y319" s="54">
        <v>1</v>
      </c>
      <c r="Z319" s="54"/>
      <c r="AA319" s="54">
        <v>1</v>
      </c>
      <c r="AB319" s="115"/>
      <c r="AC319" s="54">
        <v>1</v>
      </c>
      <c r="AD319" s="115"/>
    </row>
    <row r="320" spans="1:30" x14ac:dyDescent="0.2">
      <c r="A320" s="14" t="s">
        <v>234</v>
      </c>
      <c r="B320" s="14" t="s">
        <v>131</v>
      </c>
      <c r="C320" s="14" t="s">
        <v>53</v>
      </c>
      <c r="D320" s="14" t="str">
        <f t="shared" si="4"/>
        <v>B2-P4-C4</v>
      </c>
      <c r="E320" s="14" t="s">
        <v>35</v>
      </c>
      <c r="F320" s="14" t="s">
        <v>20</v>
      </c>
      <c r="G320" s="51" t="s">
        <v>1069</v>
      </c>
      <c r="H320" s="51">
        <v>319</v>
      </c>
      <c r="I320" s="53">
        <v>1</v>
      </c>
      <c r="J320" s="54"/>
      <c r="K320" s="53">
        <v>1</v>
      </c>
      <c r="L320" s="54"/>
      <c r="M320" s="54">
        <v>1</v>
      </c>
      <c r="N320" s="54"/>
      <c r="O320" s="54">
        <v>1</v>
      </c>
      <c r="P320" s="54"/>
      <c r="Q320" s="54">
        <v>1</v>
      </c>
      <c r="R320" s="54"/>
      <c r="S320" s="54">
        <v>1</v>
      </c>
      <c r="T320" s="54"/>
      <c r="U320" s="54">
        <v>1</v>
      </c>
      <c r="V320" s="54"/>
      <c r="W320" s="54">
        <v>1</v>
      </c>
      <c r="X320" s="54"/>
      <c r="Y320" s="54">
        <v>1</v>
      </c>
      <c r="Z320" s="54"/>
      <c r="AA320" s="54">
        <v>1</v>
      </c>
      <c r="AB320" s="115"/>
      <c r="AC320" s="54">
        <v>1</v>
      </c>
      <c r="AD320" s="115"/>
    </row>
    <row r="321" spans="1:30" x14ac:dyDescent="0.2">
      <c r="A321" s="14" t="s">
        <v>234</v>
      </c>
      <c r="B321" s="14" t="s">
        <v>131</v>
      </c>
      <c r="C321" s="14" t="s">
        <v>53</v>
      </c>
      <c r="D321" s="14" t="str">
        <f t="shared" si="4"/>
        <v>B2-P4-C4</v>
      </c>
      <c r="E321" s="14" t="s">
        <v>35</v>
      </c>
      <c r="F321" s="14" t="s">
        <v>20</v>
      </c>
      <c r="G321" s="51" t="s">
        <v>1070</v>
      </c>
      <c r="H321" s="51">
        <v>320</v>
      </c>
      <c r="I321" s="53">
        <v>1</v>
      </c>
      <c r="J321" s="54"/>
      <c r="K321" s="53">
        <v>1</v>
      </c>
      <c r="L321" s="54"/>
      <c r="M321" s="54">
        <v>1</v>
      </c>
      <c r="N321" s="54"/>
      <c r="O321" s="54">
        <v>1</v>
      </c>
      <c r="P321" s="54"/>
      <c r="Q321" s="54">
        <v>1</v>
      </c>
      <c r="R321" s="54"/>
      <c r="S321" s="54">
        <v>1</v>
      </c>
      <c r="T321" s="54"/>
      <c r="U321" s="54">
        <v>1</v>
      </c>
      <c r="V321" s="54"/>
      <c r="W321" s="54">
        <v>1</v>
      </c>
      <c r="X321" s="54"/>
      <c r="Y321" s="54">
        <v>1</v>
      </c>
      <c r="Z321" s="54"/>
      <c r="AA321" s="54">
        <v>1</v>
      </c>
      <c r="AB321" s="115"/>
      <c r="AC321" s="54">
        <v>1</v>
      </c>
      <c r="AD321" s="115"/>
    </row>
    <row r="322" spans="1:30" x14ac:dyDescent="0.2">
      <c r="A322" s="20" t="s">
        <v>234</v>
      </c>
      <c r="B322" s="20" t="s">
        <v>167</v>
      </c>
      <c r="C322" s="20" t="s">
        <v>16</v>
      </c>
      <c r="D322" s="20" t="str">
        <f t="shared" si="4"/>
        <v>B2-P5-C1</v>
      </c>
      <c r="E322" s="20" t="s">
        <v>19</v>
      </c>
      <c r="F322" s="20" t="s">
        <v>20</v>
      </c>
      <c r="G322" s="50" t="s">
        <v>1072</v>
      </c>
      <c r="H322" s="50">
        <v>321</v>
      </c>
      <c r="I322" s="52">
        <v>1</v>
      </c>
      <c r="J322" s="52"/>
      <c r="K322" s="52">
        <v>1</v>
      </c>
      <c r="L322" s="52"/>
      <c r="M322" s="52">
        <v>1</v>
      </c>
      <c r="N322" s="52"/>
      <c r="O322" s="52">
        <v>1</v>
      </c>
      <c r="P322" s="52"/>
      <c r="Q322" s="52">
        <v>1</v>
      </c>
      <c r="R322" s="52"/>
      <c r="S322" s="52">
        <v>1</v>
      </c>
      <c r="T322" s="52"/>
      <c r="U322" s="52">
        <v>1</v>
      </c>
      <c r="V322" s="52"/>
      <c r="W322" s="52">
        <v>1</v>
      </c>
      <c r="X322" s="52"/>
      <c r="Y322" s="52">
        <v>1</v>
      </c>
      <c r="Z322" s="52"/>
      <c r="AA322" s="52">
        <v>1</v>
      </c>
      <c r="AB322" s="114"/>
      <c r="AC322" s="52">
        <v>4</v>
      </c>
      <c r="AD322" s="114"/>
    </row>
    <row r="323" spans="1:30" x14ac:dyDescent="0.2">
      <c r="A323" s="20" t="s">
        <v>234</v>
      </c>
      <c r="B323" s="20" t="s">
        <v>167</v>
      </c>
      <c r="C323" s="20" t="s">
        <v>16</v>
      </c>
      <c r="D323" s="20" t="str">
        <f t="shared" ref="D323:D386" si="5">A323&amp;"-"&amp;B323&amp;"-"&amp;C323</f>
        <v>B2-P5-C1</v>
      </c>
      <c r="E323" s="20" t="s">
        <v>19</v>
      </c>
      <c r="F323" s="20" t="s">
        <v>20</v>
      </c>
      <c r="G323" s="50" t="s">
        <v>1073</v>
      </c>
      <c r="H323" s="50">
        <v>322</v>
      </c>
      <c r="I323" s="52">
        <v>1</v>
      </c>
      <c r="J323" s="52"/>
      <c r="K323" s="52">
        <v>1</v>
      </c>
      <c r="L323" s="52"/>
      <c r="M323" s="52">
        <v>1</v>
      </c>
      <c r="N323" s="52"/>
      <c r="O323" s="52">
        <v>1</v>
      </c>
      <c r="P323" s="52"/>
      <c r="Q323" s="52">
        <v>1</v>
      </c>
      <c r="R323" s="52"/>
      <c r="S323" s="52">
        <v>1</v>
      </c>
      <c r="T323" s="52"/>
      <c r="U323" s="52">
        <v>1</v>
      </c>
      <c r="V323" s="52"/>
      <c r="W323" s="52">
        <v>1</v>
      </c>
      <c r="X323" s="52"/>
      <c r="Y323" s="52">
        <v>1</v>
      </c>
      <c r="Z323" s="52"/>
      <c r="AA323" s="52">
        <v>1</v>
      </c>
      <c r="AB323" s="114"/>
      <c r="AC323" s="52">
        <v>4</v>
      </c>
      <c r="AD323" s="114"/>
    </row>
    <row r="324" spans="1:30" x14ac:dyDescent="0.2">
      <c r="A324" s="20" t="s">
        <v>234</v>
      </c>
      <c r="B324" s="20" t="s">
        <v>167</v>
      </c>
      <c r="C324" s="20" t="s">
        <v>16</v>
      </c>
      <c r="D324" s="20" t="str">
        <f t="shared" si="5"/>
        <v>B2-P5-C1</v>
      </c>
      <c r="E324" s="20" t="s">
        <v>19</v>
      </c>
      <c r="F324" s="20" t="s">
        <v>20</v>
      </c>
      <c r="G324" s="50" t="s">
        <v>1074</v>
      </c>
      <c r="H324" s="50">
        <v>323</v>
      </c>
      <c r="I324" s="52">
        <v>1</v>
      </c>
      <c r="J324" s="52"/>
      <c r="K324" s="52">
        <v>1</v>
      </c>
      <c r="L324" s="52"/>
      <c r="M324" s="52">
        <v>1</v>
      </c>
      <c r="N324" s="52"/>
      <c r="O324" s="52">
        <v>1</v>
      </c>
      <c r="P324" s="52"/>
      <c r="Q324" s="52">
        <v>1</v>
      </c>
      <c r="R324" s="52"/>
      <c r="S324" s="52">
        <v>1</v>
      </c>
      <c r="T324" s="52"/>
      <c r="U324" s="52">
        <v>1</v>
      </c>
      <c r="V324" s="52"/>
      <c r="W324" s="52">
        <v>1</v>
      </c>
      <c r="X324" s="52"/>
      <c r="Y324" s="52">
        <v>1</v>
      </c>
      <c r="Z324" s="52"/>
      <c r="AA324" s="52">
        <v>1</v>
      </c>
      <c r="AB324" s="114"/>
      <c r="AC324" s="52">
        <v>3</v>
      </c>
      <c r="AD324" s="114"/>
    </row>
    <row r="325" spans="1:30" x14ac:dyDescent="0.2">
      <c r="A325" s="20" t="s">
        <v>234</v>
      </c>
      <c r="B325" s="20" t="s">
        <v>167</v>
      </c>
      <c r="C325" s="20" t="s">
        <v>16</v>
      </c>
      <c r="D325" s="20" t="str">
        <f t="shared" si="5"/>
        <v>B2-P5-C1</v>
      </c>
      <c r="E325" s="20" t="s">
        <v>19</v>
      </c>
      <c r="F325" s="20" t="s">
        <v>20</v>
      </c>
      <c r="G325" s="50" t="s">
        <v>1075</v>
      </c>
      <c r="H325" s="50">
        <v>324</v>
      </c>
      <c r="I325" s="52">
        <v>1</v>
      </c>
      <c r="J325" s="52"/>
      <c r="K325" s="52">
        <v>1</v>
      </c>
      <c r="L325" s="52"/>
      <c r="M325" s="52">
        <v>1</v>
      </c>
      <c r="N325" s="52"/>
      <c r="O325" s="52">
        <v>1</v>
      </c>
      <c r="P325" s="52"/>
      <c r="Q325" s="52">
        <v>1</v>
      </c>
      <c r="R325" s="52"/>
      <c r="S325" s="52">
        <v>1</v>
      </c>
      <c r="T325" s="52"/>
      <c r="U325" s="52">
        <v>1</v>
      </c>
      <c r="V325" s="52"/>
      <c r="W325" s="52">
        <v>1</v>
      </c>
      <c r="X325" s="52"/>
      <c r="Y325" s="52">
        <v>1</v>
      </c>
      <c r="Z325" s="52"/>
      <c r="AA325" s="52">
        <v>1</v>
      </c>
      <c r="AB325" s="114"/>
      <c r="AC325" s="52">
        <v>4</v>
      </c>
      <c r="AD325" s="114"/>
    </row>
    <row r="326" spans="1:30" x14ac:dyDescent="0.2">
      <c r="A326" s="20" t="s">
        <v>234</v>
      </c>
      <c r="B326" s="20" t="s">
        <v>167</v>
      </c>
      <c r="C326" s="20" t="s">
        <v>16</v>
      </c>
      <c r="D326" s="20" t="str">
        <f t="shared" si="5"/>
        <v>B2-P5-C1</v>
      </c>
      <c r="E326" s="20" t="s">
        <v>19</v>
      </c>
      <c r="F326" s="20" t="s">
        <v>20</v>
      </c>
      <c r="G326" s="50" t="s">
        <v>1076</v>
      </c>
      <c r="H326" s="50">
        <v>325</v>
      </c>
      <c r="I326" s="52">
        <v>1</v>
      </c>
      <c r="J326" s="52"/>
      <c r="K326" s="52">
        <v>1</v>
      </c>
      <c r="L326" s="52"/>
      <c r="M326" s="52">
        <v>1</v>
      </c>
      <c r="N326" s="52"/>
      <c r="O326" s="52">
        <v>1</v>
      </c>
      <c r="P326" s="52"/>
      <c r="Q326" s="52">
        <v>1</v>
      </c>
      <c r="R326" s="52"/>
      <c r="S326" s="52">
        <v>1</v>
      </c>
      <c r="T326" s="52"/>
      <c r="U326" s="52">
        <v>1</v>
      </c>
      <c r="V326" s="52"/>
      <c r="W326" s="52">
        <v>1</v>
      </c>
      <c r="X326" s="52"/>
      <c r="Y326" s="52">
        <v>1</v>
      </c>
      <c r="Z326" s="52"/>
      <c r="AA326" s="52">
        <v>1</v>
      </c>
      <c r="AB326" s="114"/>
      <c r="AC326" s="52">
        <v>4</v>
      </c>
      <c r="AD326" s="114"/>
    </row>
    <row r="327" spans="1:30" x14ac:dyDescent="0.2">
      <c r="A327" s="20" t="s">
        <v>234</v>
      </c>
      <c r="B327" s="20" t="s">
        <v>167</v>
      </c>
      <c r="C327" s="20" t="s">
        <v>16</v>
      </c>
      <c r="D327" s="20" t="str">
        <f t="shared" si="5"/>
        <v>B2-P5-C1</v>
      </c>
      <c r="E327" s="20" t="s">
        <v>19</v>
      </c>
      <c r="F327" s="20" t="s">
        <v>20</v>
      </c>
      <c r="G327" s="50" t="s">
        <v>1077</v>
      </c>
      <c r="H327" s="50">
        <v>326</v>
      </c>
      <c r="I327" s="52">
        <v>1</v>
      </c>
      <c r="J327" s="52"/>
      <c r="K327" s="52">
        <v>1</v>
      </c>
      <c r="L327" s="52"/>
      <c r="M327" s="52">
        <v>1</v>
      </c>
      <c r="N327" s="52"/>
      <c r="O327" s="52">
        <v>1</v>
      </c>
      <c r="P327" s="52"/>
      <c r="Q327" s="52">
        <v>1</v>
      </c>
      <c r="R327" s="52"/>
      <c r="S327" s="52">
        <v>1</v>
      </c>
      <c r="T327" s="52"/>
      <c r="U327" s="52">
        <v>1</v>
      </c>
      <c r="V327" s="52"/>
      <c r="W327" s="52">
        <v>1</v>
      </c>
      <c r="X327" s="52"/>
      <c r="Y327" s="52">
        <v>1</v>
      </c>
      <c r="Z327" s="52"/>
      <c r="AA327" s="52">
        <v>1</v>
      </c>
      <c r="AB327" s="114"/>
      <c r="AC327" s="52">
        <v>3</v>
      </c>
      <c r="AD327" s="114"/>
    </row>
    <row r="328" spans="1:30" x14ac:dyDescent="0.2">
      <c r="A328" s="20" t="s">
        <v>234</v>
      </c>
      <c r="B328" s="20" t="s">
        <v>167</v>
      </c>
      <c r="C328" s="20" t="s">
        <v>16</v>
      </c>
      <c r="D328" s="20" t="str">
        <f t="shared" si="5"/>
        <v>B2-P5-C1</v>
      </c>
      <c r="E328" s="20" t="s">
        <v>19</v>
      </c>
      <c r="F328" s="20" t="s">
        <v>20</v>
      </c>
      <c r="G328" s="50" t="s">
        <v>1078</v>
      </c>
      <c r="H328" s="50">
        <v>327</v>
      </c>
      <c r="I328" s="52">
        <v>1</v>
      </c>
      <c r="J328" s="52"/>
      <c r="K328" s="52">
        <v>1</v>
      </c>
      <c r="L328" s="52"/>
      <c r="M328" s="52">
        <v>1</v>
      </c>
      <c r="N328" s="52"/>
      <c r="O328" s="52">
        <v>1</v>
      </c>
      <c r="P328" s="52"/>
      <c r="Q328" s="52">
        <v>1</v>
      </c>
      <c r="R328" s="52"/>
      <c r="S328" s="52">
        <v>1</v>
      </c>
      <c r="T328" s="52"/>
      <c r="U328" s="52">
        <v>1</v>
      </c>
      <c r="V328" s="52"/>
      <c r="W328" s="52">
        <v>1</v>
      </c>
      <c r="X328" s="52"/>
      <c r="Y328" s="52">
        <v>1</v>
      </c>
      <c r="Z328" s="52"/>
      <c r="AA328" s="52">
        <v>1</v>
      </c>
      <c r="AB328" s="114"/>
      <c r="AC328" s="52">
        <v>4</v>
      </c>
      <c r="AD328" s="114"/>
    </row>
    <row r="329" spans="1:30" x14ac:dyDescent="0.2">
      <c r="A329" s="20" t="s">
        <v>234</v>
      </c>
      <c r="B329" s="20" t="s">
        <v>167</v>
      </c>
      <c r="C329" s="20" t="s">
        <v>16</v>
      </c>
      <c r="D329" s="20" t="str">
        <f t="shared" si="5"/>
        <v>B2-P5-C1</v>
      </c>
      <c r="E329" s="20" t="s">
        <v>19</v>
      </c>
      <c r="F329" s="20" t="s">
        <v>20</v>
      </c>
      <c r="G329" s="50" t="s">
        <v>1079</v>
      </c>
      <c r="H329" s="50">
        <v>328</v>
      </c>
      <c r="I329" s="52">
        <v>1</v>
      </c>
      <c r="J329" s="52"/>
      <c r="K329" s="52">
        <v>1</v>
      </c>
      <c r="L329" s="52"/>
      <c r="M329" s="52">
        <v>1</v>
      </c>
      <c r="N329" s="52"/>
      <c r="O329" s="52">
        <v>1</v>
      </c>
      <c r="P329" s="52"/>
      <c r="Q329" s="52">
        <v>1</v>
      </c>
      <c r="R329" s="52"/>
      <c r="S329" s="52">
        <v>1</v>
      </c>
      <c r="T329" s="52"/>
      <c r="U329" s="52">
        <v>1</v>
      </c>
      <c r="V329" s="52"/>
      <c r="W329" s="52">
        <v>1</v>
      </c>
      <c r="X329" s="52"/>
      <c r="Y329" s="52">
        <v>1</v>
      </c>
      <c r="Z329" s="52"/>
      <c r="AA329" s="52">
        <v>1</v>
      </c>
      <c r="AB329" s="114"/>
      <c r="AC329" s="52">
        <v>4</v>
      </c>
      <c r="AD329" s="114"/>
    </row>
    <row r="330" spans="1:30" x14ac:dyDescent="0.2">
      <c r="A330" s="14" t="s">
        <v>234</v>
      </c>
      <c r="B330" s="14" t="s">
        <v>167</v>
      </c>
      <c r="C330" s="14" t="s">
        <v>32</v>
      </c>
      <c r="D330" s="14" t="str">
        <f t="shared" si="5"/>
        <v>B2-P5-C2</v>
      </c>
      <c r="E330" s="14" t="s">
        <v>35</v>
      </c>
      <c r="F330" s="14" t="s">
        <v>20</v>
      </c>
      <c r="G330" s="51" t="s">
        <v>1081</v>
      </c>
      <c r="H330" s="51">
        <v>329</v>
      </c>
      <c r="I330" s="53">
        <v>1</v>
      </c>
      <c r="J330" s="54"/>
      <c r="K330" s="53">
        <v>1</v>
      </c>
      <c r="L330" s="54"/>
      <c r="M330" s="54">
        <v>1</v>
      </c>
      <c r="N330" s="54"/>
      <c r="O330" s="54">
        <v>1</v>
      </c>
      <c r="P330" s="54"/>
      <c r="Q330" s="54">
        <v>1</v>
      </c>
      <c r="R330" s="54"/>
      <c r="S330" s="54">
        <v>1</v>
      </c>
      <c r="T330" s="54"/>
      <c r="U330" s="54">
        <v>1</v>
      </c>
      <c r="V330" s="54"/>
      <c r="W330" s="54">
        <v>1</v>
      </c>
      <c r="X330" s="54"/>
      <c r="Y330" s="54">
        <v>1</v>
      </c>
      <c r="Z330" s="54"/>
      <c r="AA330" s="54">
        <v>1</v>
      </c>
      <c r="AB330" s="115"/>
      <c r="AC330" s="54">
        <v>1</v>
      </c>
      <c r="AD330" s="115"/>
    </row>
    <row r="331" spans="1:30" x14ac:dyDescent="0.2">
      <c r="A331" s="14" t="s">
        <v>234</v>
      </c>
      <c r="B331" s="14" t="s">
        <v>167</v>
      </c>
      <c r="C331" s="14" t="s">
        <v>32</v>
      </c>
      <c r="D331" s="14" t="str">
        <f t="shared" si="5"/>
        <v>B2-P5-C2</v>
      </c>
      <c r="E331" s="14" t="s">
        <v>35</v>
      </c>
      <c r="F331" s="14" t="s">
        <v>20</v>
      </c>
      <c r="G331" s="51" t="s">
        <v>1082</v>
      </c>
      <c r="H331" s="51">
        <v>330</v>
      </c>
      <c r="I331" s="53">
        <v>1</v>
      </c>
      <c r="J331" s="54"/>
      <c r="K331" s="53">
        <v>1</v>
      </c>
      <c r="L331" s="54"/>
      <c r="M331" s="54">
        <v>1</v>
      </c>
      <c r="N331" s="54"/>
      <c r="O331" s="54">
        <v>1</v>
      </c>
      <c r="P331" s="54"/>
      <c r="Q331" s="54">
        <v>1</v>
      </c>
      <c r="R331" s="54"/>
      <c r="S331" s="54">
        <v>1</v>
      </c>
      <c r="T331" s="54"/>
      <c r="U331" s="54">
        <v>1</v>
      </c>
      <c r="V331" s="54"/>
      <c r="W331" s="54">
        <v>1</v>
      </c>
      <c r="X331" s="54"/>
      <c r="Y331" s="54">
        <v>1</v>
      </c>
      <c r="Z331" s="54"/>
      <c r="AA331" s="54">
        <v>1</v>
      </c>
      <c r="AB331" s="115"/>
      <c r="AC331" s="54">
        <v>1</v>
      </c>
      <c r="AD331" s="115"/>
    </row>
    <row r="332" spans="1:30" x14ac:dyDescent="0.2">
      <c r="A332" s="14" t="s">
        <v>234</v>
      </c>
      <c r="B332" s="14" t="s">
        <v>167</v>
      </c>
      <c r="C332" s="14" t="s">
        <v>32</v>
      </c>
      <c r="D332" s="14" t="str">
        <f t="shared" si="5"/>
        <v>B2-P5-C2</v>
      </c>
      <c r="E332" s="14" t="s">
        <v>35</v>
      </c>
      <c r="F332" s="14" t="s">
        <v>20</v>
      </c>
      <c r="G332" s="51" t="s">
        <v>1084</v>
      </c>
      <c r="H332" s="51">
        <v>331</v>
      </c>
      <c r="I332" s="53">
        <v>1</v>
      </c>
      <c r="J332" s="54"/>
      <c r="K332" s="53">
        <v>1</v>
      </c>
      <c r="L332" s="54"/>
      <c r="M332" s="54">
        <v>1</v>
      </c>
      <c r="N332" s="54"/>
      <c r="O332" s="54">
        <v>1</v>
      </c>
      <c r="P332" s="54"/>
      <c r="Q332" s="54">
        <v>1</v>
      </c>
      <c r="R332" s="54"/>
      <c r="S332" s="54">
        <v>1</v>
      </c>
      <c r="T332" s="54"/>
      <c r="U332" s="54">
        <v>1</v>
      </c>
      <c r="V332" s="54"/>
      <c r="W332" s="54">
        <v>1</v>
      </c>
      <c r="X332" s="54"/>
      <c r="Y332" s="54">
        <v>1</v>
      </c>
      <c r="Z332" s="54"/>
      <c r="AA332" s="54">
        <v>1</v>
      </c>
      <c r="AB332" s="115"/>
      <c r="AC332" s="54">
        <v>1</v>
      </c>
      <c r="AD332" s="115"/>
    </row>
    <row r="333" spans="1:30" x14ac:dyDescent="0.2">
      <c r="A333" s="14" t="s">
        <v>234</v>
      </c>
      <c r="B333" s="14" t="s">
        <v>167</v>
      </c>
      <c r="C333" s="14" t="s">
        <v>32</v>
      </c>
      <c r="D333" s="14" t="str">
        <f t="shared" si="5"/>
        <v>B2-P5-C2</v>
      </c>
      <c r="E333" s="14" t="s">
        <v>35</v>
      </c>
      <c r="F333" s="14" t="s">
        <v>20</v>
      </c>
      <c r="G333" s="51" t="s">
        <v>1085</v>
      </c>
      <c r="H333" s="51">
        <v>332</v>
      </c>
      <c r="I333" s="53">
        <v>1</v>
      </c>
      <c r="J333" s="54"/>
      <c r="K333" s="53">
        <v>1</v>
      </c>
      <c r="L333" s="54"/>
      <c r="M333" s="54">
        <v>1</v>
      </c>
      <c r="N333" s="54"/>
      <c r="O333" s="54">
        <v>1</v>
      </c>
      <c r="P333" s="54"/>
      <c r="Q333" s="54">
        <v>1</v>
      </c>
      <c r="R333" s="54"/>
      <c r="S333" s="54">
        <v>1</v>
      </c>
      <c r="T333" s="54"/>
      <c r="U333" s="54">
        <v>1</v>
      </c>
      <c r="V333" s="54"/>
      <c r="W333" s="54">
        <v>1</v>
      </c>
      <c r="X333" s="54"/>
      <c r="Y333" s="54">
        <v>1</v>
      </c>
      <c r="Z333" s="54"/>
      <c r="AA333" s="54">
        <v>1</v>
      </c>
      <c r="AB333" s="115"/>
      <c r="AC333" s="54">
        <v>1</v>
      </c>
      <c r="AD333" s="115"/>
    </row>
    <row r="334" spans="1:30" x14ac:dyDescent="0.2">
      <c r="A334" s="14" t="s">
        <v>234</v>
      </c>
      <c r="B334" s="14" t="s">
        <v>167</v>
      </c>
      <c r="C334" s="14" t="s">
        <v>32</v>
      </c>
      <c r="D334" s="14" t="str">
        <f t="shared" si="5"/>
        <v>B2-P5-C2</v>
      </c>
      <c r="E334" s="14" t="s">
        <v>35</v>
      </c>
      <c r="F334" s="14" t="s">
        <v>20</v>
      </c>
      <c r="G334" s="51" t="s">
        <v>1086</v>
      </c>
      <c r="H334" s="51">
        <v>333</v>
      </c>
      <c r="I334" s="53">
        <v>1</v>
      </c>
      <c r="J334" s="54"/>
      <c r="K334" s="53">
        <v>1</v>
      </c>
      <c r="L334" s="54"/>
      <c r="M334" s="54">
        <v>1</v>
      </c>
      <c r="N334" s="54"/>
      <c r="O334" s="54">
        <v>1</v>
      </c>
      <c r="P334" s="54"/>
      <c r="Q334" s="54">
        <v>1</v>
      </c>
      <c r="R334" s="54"/>
      <c r="S334" s="54">
        <v>1</v>
      </c>
      <c r="T334" s="54"/>
      <c r="U334" s="54">
        <v>1</v>
      </c>
      <c r="V334" s="54"/>
      <c r="W334" s="54">
        <v>1</v>
      </c>
      <c r="X334" s="54"/>
      <c r="Y334" s="54">
        <v>1</v>
      </c>
      <c r="Z334" s="54"/>
      <c r="AA334" s="54">
        <v>1</v>
      </c>
      <c r="AB334" s="115"/>
      <c r="AC334" s="54">
        <v>1</v>
      </c>
      <c r="AD334" s="115"/>
    </row>
    <row r="335" spans="1:30" x14ac:dyDescent="0.2">
      <c r="A335" s="14" t="s">
        <v>234</v>
      </c>
      <c r="B335" s="14" t="s">
        <v>167</v>
      </c>
      <c r="C335" s="14" t="s">
        <v>32</v>
      </c>
      <c r="D335" s="14" t="str">
        <f t="shared" si="5"/>
        <v>B2-P5-C2</v>
      </c>
      <c r="E335" s="14" t="s">
        <v>35</v>
      </c>
      <c r="F335" s="14" t="s">
        <v>20</v>
      </c>
      <c r="G335" s="51" t="s">
        <v>1087</v>
      </c>
      <c r="H335" s="51">
        <v>334</v>
      </c>
      <c r="I335" s="53">
        <v>1</v>
      </c>
      <c r="J335" s="54"/>
      <c r="K335" s="53">
        <v>1</v>
      </c>
      <c r="L335" s="54"/>
      <c r="M335" s="54">
        <v>1</v>
      </c>
      <c r="N335" s="54"/>
      <c r="O335" s="54">
        <v>1</v>
      </c>
      <c r="P335" s="54"/>
      <c r="Q335" s="54">
        <v>1</v>
      </c>
      <c r="R335" s="54"/>
      <c r="S335" s="54">
        <v>1</v>
      </c>
      <c r="T335" s="54"/>
      <c r="U335" s="54">
        <v>1</v>
      </c>
      <c r="V335" s="54"/>
      <c r="W335" s="54">
        <v>1</v>
      </c>
      <c r="X335" s="54"/>
      <c r="Y335" s="54">
        <v>1</v>
      </c>
      <c r="Z335" s="54"/>
      <c r="AA335" s="54">
        <v>1</v>
      </c>
      <c r="AB335" s="115"/>
      <c r="AC335" s="54">
        <v>1</v>
      </c>
      <c r="AD335" s="115"/>
    </row>
    <row r="336" spans="1:30" x14ac:dyDescent="0.2">
      <c r="A336" s="14" t="s">
        <v>234</v>
      </c>
      <c r="B336" s="14" t="s">
        <v>167</v>
      </c>
      <c r="C336" s="14" t="s">
        <v>32</v>
      </c>
      <c r="D336" s="14" t="str">
        <f t="shared" si="5"/>
        <v>B2-P5-C2</v>
      </c>
      <c r="E336" s="14" t="s">
        <v>35</v>
      </c>
      <c r="F336" s="14" t="s">
        <v>20</v>
      </c>
      <c r="G336" s="51" t="s">
        <v>1088</v>
      </c>
      <c r="H336" s="51">
        <v>335</v>
      </c>
      <c r="I336" s="53">
        <v>1</v>
      </c>
      <c r="J336" s="54"/>
      <c r="K336" s="53">
        <v>1</v>
      </c>
      <c r="L336" s="54"/>
      <c r="M336" s="54">
        <v>1</v>
      </c>
      <c r="N336" s="54"/>
      <c r="O336" s="54">
        <v>1</v>
      </c>
      <c r="P336" s="54"/>
      <c r="Q336" s="54">
        <v>1</v>
      </c>
      <c r="R336" s="54"/>
      <c r="S336" s="54">
        <v>1</v>
      </c>
      <c r="T336" s="54"/>
      <c r="U336" s="54">
        <v>1</v>
      </c>
      <c r="V336" s="54"/>
      <c r="W336" s="54">
        <v>1</v>
      </c>
      <c r="X336" s="54"/>
      <c r="Y336" s="54">
        <v>1</v>
      </c>
      <c r="Z336" s="54"/>
      <c r="AA336" s="54">
        <v>1</v>
      </c>
      <c r="AB336" s="115"/>
      <c r="AC336" s="54">
        <v>1</v>
      </c>
      <c r="AD336" s="115"/>
    </row>
    <row r="337" spans="1:30" x14ac:dyDescent="0.2">
      <c r="A337" s="14" t="s">
        <v>234</v>
      </c>
      <c r="B337" s="14" t="s">
        <v>167</v>
      </c>
      <c r="C337" s="14" t="s">
        <v>32</v>
      </c>
      <c r="D337" s="14" t="str">
        <f t="shared" si="5"/>
        <v>B2-P5-C2</v>
      </c>
      <c r="E337" s="14" t="s">
        <v>35</v>
      </c>
      <c r="F337" s="14" t="s">
        <v>20</v>
      </c>
      <c r="G337" s="51" t="s">
        <v>1089</v>
      </c>
      <c r="H337" s="51">
        <v>336</v>
      </c>
      <c r="I337" s="53">
        <v>1</v>
      </c>
      <c r="J337" s="54"/>
      <c r="K337" s="53">
        <v>1</v>
      </c>
      <c r="L337" s="54"/>
      <c r="M337" s="54">
        <v>1</v>
      </c>
      <c r="N337" s="54"/>
      <c r="O337" s="54">
        <v>1</v>
      </c>
      <c r="P337" s="54"/>
      <c r="Q337" s="54">
        <v>1</v>
      </c>
      <c r="R337" s="54"/>
      <c r="S337" s="54">
        <v>1</v>
      </c>
      <c r="T337" s="54"/>
      <c r="U337" s="54">
        <v>1</v>
      </c>
      <c r="V337" s="54"/>
      <c r="W337" s="54">
        <v>1</v>
      </c>
      <c r="X337" s="54"/>
      <c r="Y337" s="54">
        <v>1</v>
      </c>
      <c r="Z337" s="54"/>
      <c r="AA337" s="54">
        <v>1</v>
      </c>
      <c r="AB337" s="115"/>
      <c r="AC337" s="54">
        <v>1</v>
      </c>
      <c r="AD337" s="115"/>
    </row>
    <row r="338" spans="1:30" x14ac:dyDescent="0.2">
      <c r="A338" s="20" t="s">
        <v>234</v>
      </c>
      <c r="B338" s="20" t="s">
        <v>167</v>
      </c>
      <c r="C338" s="20" t="s">
        <v>42</v>
      </c>
      <c r="D338" s="20" t="str">
        <f t="shared" si="5"/>
        <v>B2-P5-C3</v>
      </c>
      <c r="E338" s="20" t="s">
        <v>19</v>
      </c>
      <c r="F338" s="20" t="s">
        <v>20</v>
      </c>
      <c r="G338" s="50" t="s">
        <v>1091</v>
      </c>
      <c r="H338" s="50">
        <v>337</v>
      </c>
      <c r="I338" s="52">
        <v>1</v>
      </c>
      <c r="J338" s="52"/>
      <c r="K338" s="52">
        <v>1</v>
      </c>
      <c r="L338" s="52"/>
      <c r="M338" s="52">
        <v>1</v>
      </c>
      <c r="N338" s="52"/>
      <c r="O338" s="52">
        <v>1</v>
      </c>
      <c r="P338" s="52"/>
      <c r="Q338" s="52">
        <v>1</v>
      </c>
      <c r="R338" s="52"/>
      <c r="S338" s="52">
        <v>1</v>
      </c>
      <c r="T338" s="52"/>
      <c r="U338" s="52">
        <v>1</v>
      </c>
      <c r="V338" s="52"/>
      <c r="W338" s="52">
        <v>1</v>
      </c>
      <c r="X338" s="52"/>
      <c r="Y338" s="52">
        <v>1</v>
      </c>
      <c r="Z338" s="52"/>
      <c r="AA338" s="52">
        <v>1</v>
      </c>
      <c r="AB338" s="114"/>
      <c r="AC338" s="52">
        <v>3</v>
      </c>
      <c r="AD338" s="114"/>
    </row>
    <row r="339" spans="1:30" x14ac:dyDescent="0.2">
      <c r="A339" s="20" t="s">
        <v>234</v>
      </c>
      <c r="B339" s="20" t="s">
        <v>167</v>
      </c>
      <c r="C339" s="20" t="s">
        <v>42</v>
      </c>
      <c r="D339" s="20" t="str">
        <f t="shared" si="5"/>
        <v>B2-P5-C3</v>
      </c>
      <c r="E339" s="20" t="s">
        <v>35</v>
      </c>
      <c r="F339" s="20" t="s">
        <v>20</v>
      </c>
      <c r="G339" s="50" t="s">
        <v>1092</v>
      </c>
      <c r="H339" s="50">
        <v>338</v>
      </c>
      <c r="I339" s="52">
        <v>1</v>
      </c>
      <c r="J339" s="52"/>
      <c r="K339" s="52">
        <v>1</v>
      </c>
      <c r="L339" s="52"/>
      <c r="M339" s="52">
        <v>1</v>
      </c>
      <c r="N339" s="52"/>
      <c r="O339" s="52">
        <v>1</v>
      </c>
      <c r="P339" s="52"/>
      <c r="Q339" s="52">
        <v>1</v>
      </c>
      <c r="R339" s="52"/>
      <c r="S339" s="52">
        <v>1</v>
      </c>
      <c r="T339" s="52"/>
      <c r="U339" s="52">
        <v>1</v>
      </c>
      <c r="V339" s="52"/>
      <c r="W339" s="52">
        <v>1</v>
      </c>
      <c r="X339" s="52"/>
      <c r="Y339" s="52">
        <v>1</v>
      </c>
      <c r="Z339" s="52"/>
      <c r="AA339" s="52">
        <v>1</v>
      </c>
      <c r="AB339" s="114"/>
      <c r="AC339" s="52">
        <v>1</v>
      </c>
      <c r="AD339" s="114"/>
    </row>
    <row r="340" spans="1:30" x14ac:dyDescent="0.2">
      <c r="A340" s="20" t="s">
        <v>234</v>
      </c>
      <c r="B340" s="20" t="s">
        <v>167</v>
      </c>
      <c r="C340" s="20" t="s">
        <v>42</v>
      </c>
      <c r="D340" s="20" t="str">
        <f t="shared" si="5"/>
        <v>B2-P5-C3</v>
      </c>
      <c r="E340" s="20" t="s">
        <v>35</v>
      </c>
      <c r="F340" s="20" t="s">
        <v>20</v>
      </c>
      <c r="G340" s="50" t="s">
        <v>1093</v>
      </c>
      <c r="H340" s="50">
        <v>339</v>
      </c>
      <c r="I340" s="52">
        <v>1</v>
      </c>
      <c r="J340" s="52"/>
      <c r="K340" s="52">
        <v>1</v>
      </c>
      <c r="L340" s="52"/>
      <c r="M340" s="52">
        <v>1</v>
      </c>
      <c r="N340" s="52"/>
      <c r="O340" s="52">
        <v>1</v>
      </c>
      <c r="P340" s="52"/>
      <c r="Q340" s="52">
        <v>1</v>
      </c>
      <c r="R340" s="52"/>
      <c r="S340" s="52">
        <v>1</v>
      </c>
      <c r="T340" s="52"/>
      <c r="U340" s="52">
        <v>1</v>
      </c>
      <c r="V340" s="52"/>
      <c r="W340" s="52">
        <v>1</v>
      </c>
      <c r="X340" s="52"/>
      <c r="Y340" s="52">
        <v>1</v>
      </c>
      <c r="Z340" s="52"/>
      <c r="AA340" s="52">
        <v>1</v>
      </c>
      <c r="AB340" s="114"/>
      <c r="AC340" s="52">
        <v>1</v>
      </c>
      <c r="AD340" s="114"/>
    </row>
    <row r="341" spans="1:30" x14ac:dyDescent="0.2">
      <c r="A341" s="20" t="s">
        <v>234</v>
      </c>
      <c r="B341" s="20" t="s">
        <v>167</v>
      </c>
      <c r="C341" s="20" t="s">
        <v>42</v>
      </c>
      <c r="D341" s="20" t="str">
        <f t="shared" si="5"/>
        <v>B2-P5-C3</v>
      </c>
      <c r="E341" s="20" t="s">
        <v>19</v>
      </c>
      <c r="F341" s="20" t="s">
        <v>20</v>
      </c>
      <c r="G341" s="50" t="s">
        <v>1094</v>
      </c>
      <c r="H341" s="50">
        <v>340</v>
      </c>
      <c r="I341" s="52">
        <v>1</v>
      </c>
      <c r="J341" s="52"/>
      <c r="K341" s="52">
        <v>1</v>
      </c>
      <c r="L341" s="52"/>
      <c r="M341" s="52">
        <v>1</v>
      </c>
      <c r="N341" s="52"/>
      <c r="O341" s="52">
        <v>1</v>
      </c>
      <c r="P341" s="52"/>
      <c r="Q341" s="52">
        <v>1</v>
      </c>
      <c r="R341" s="52"/>
      <c r="S341" s="52">
        <v>1</v>
      </c>
      <c r="T341" s="52"/>
      <c r="U341" s="52">
        <v>1</v>
      </c>
      <c r="V341" s="52"/>
      <c r="W341" s="52">
        <v>1</v>
      </c>
      <c r="X341" s="52"/>
      <c r="Y341" s="52">
        <v>1</v>
      </c>
      <c r="Z341" s="52"/>
      <c r="AA341" s="52">
        <v>1</v>
      </c>
      <c r="AB341" s="114"/>
      <c r="AC341" s="52">
        <v>3</v>
      </c>
      <c r="AD341" s="114"/>
    </row>
    <row r="342" spans="1:30" x14ac:dyDescent="0.2">
      <c r="A342" s="20" t="s">
        <v>234</v>
      </c>
      <c r="B342" s="20" t="s">
        <v>167</v>
      </c>
      <c r="C342" s="20" t="s">
        <v>42</v>
      </c>
      <c r="D342" s="20" t="str">
        <f t="shared" si="5"/>
        <v>B2-P5-C3</v>
      </c>
      <c r="E342" s="20" t="s">
        <v>19</v>
      </c>
      <c r="F342" s="20" t="s">
        <v>20</v>
      </c>
      <c r="G342" s="50" t="s">
        <v>1095</v>
      </c>
      <c r="H342" s="50">
        <v>341</v>
      </c>
      <c r="I342" s="52">
        <v>1</v>
      </c>
      <c r="J342" s="52"/>
      <c r="K342" s="52">
        <v>1</v>
      </c>
      <c r="L342" s="52"/>
      <c r="M342" s="52">
        <v>1</v>
      </c>
      <c r="N342" s="52"/>
      <c r="O342" s="52">
        <v>1</v>
      </c>
      <c r="P342" s="52"/>
      <c r="Q342" s="52">
        <v>1</v>
      </c>
      <c r="R342" s="52"/>
      <c r="S342" s="52">
        <v>1</v>
      </c>
      <c r="T342" s="52"/>
      <c r="U342" s="52">
        <v>1</v>
      </c>
      <c r="V342" s="52"/>
      <c r="W342" s="52">
        <v>1</v>
      </c>
      <c r="X342" s="52"/>
      <c r="Y342" s="52">
        <v>1</v>
      </c>
      <c r="Z342" s="52"/>
      <c r="AA342" s="52">
        <v>1</v>
      </c>
      <c r="AB342" s="114"/>
      <c r="AC342" s="52">
        <v>4</v>
      </c>
      <c r="AD342" s="114"/>
    </row>
    <row r="343" spans="1:30" x14ac:dyDescent="0.2">
      <c r="A343" s="20" t="s">
        <v>234</v>
      </c>
      <c r="B343" s="20" t="s">
        <v>167</v>
      </c>
      <c r="C343" s="20" t="s">
        <v>42</v>
      </c>
      <c r="D343" s="20" t="str">
        <f t="shared" si="5"/>
        <v>B2-P5-C3</v>
      </c>
      <c r="E343" s="20" t="s">
        <v>35</v>
      </c>
      <c r="F343" s="20" t="s">
        <v>20</v>
      </c>
      <c r="G343" s="50" t="s">
        <v>1096</v>
      </c>
      <c r="H343" s="50">
        <v>342</v>
      </c>
      <c r="I343" s="52">
        <v>1</v>
      </c>
      <c r="J343" s="52"/>
      <c r="K343" s="52">
        <v>1</v>
      </c>
      <c r="L343" s="52"/>
      <c r="M343" s="52">
        <v>1</v>
      </c>
      <c r="N343" s="52"/>
      <c r="O343" s="52">
        <v>1</v>
      </c>
      <c r="P343" s="52"/>
      <c r="Q343" s="52">
        <v>1</v>
      </c>
      <c r="R343" s="52"/>
      <c r="S343" s="52">
        <v>1</v>
      </c>
      <c r="T343" s="52"/>
      <c r="U343" s="52">
        <v>1</v>
      </c>
      <c r="V343" s="52"/>
      <c r="W343" s="52">
        <v>1</v>
      </c>
      <c r="X343" s="52"/>
      <c r="Y343" s="52">
        <v>1</v>
      </c>
      <c r="Z343" s="52"/>
      <c r="AA343" s="52">
        <v>1</v>
      </c>
      <c r="AB343" s="114"/>
      <c r="AC343" s="52">
        <v>1</v>
      </c>
      <c r="AD343" s="114"/>
    </row>
    <row r="344" spans="1:30" x14ac:dyDescent="0.2">
      <c r="A344" s="20" t="s">
        <v>234</v>
      </c>
      <c r="B344" s="20" t="s">
        <v>167</v>
      </c>
      <c r="C344" s="20" t="s">
        <v>42</v>
      </c>
      <c r="D344" s="20" t="str">
        <f t="shared" si="5"/>
        <v>B2-P5-C3</v>
      </c>
      <c r="E344" s="20" t="s">
        <v>35</v>
      </c>
      <c r="F344" s="20" t="s">
        <v>20</v>
      </c>
      <c r="G344" s="50" t="s">
        <v>1097</v>
      </c>
      <c r="H344" s="50">
        <v>343</v>
      </c>
      <c r="I344" s="52">
        <v>1</v>
      </c>
      <c r="J344" s="52"/>
      <c r="K344" s="52">
        <v>1</v>
      </c>
      <c r="L344" s="52"/>
      <c r="M344" s="52">
        <v>1</v>
      </c>
      <c r="N344" s="52"/>
      <c r="O344" s="52">
        <v>1</v>
      </c>
      <c r="P344" s="52"/>
      <c r="Q344" s="52">
        <v>1</v>
      </c>
      <c r="R344" s="52"/>
      <c r="S344" s="52">
        <v>1</v>
      </c>
      <c r="T344" s="52"/>
      <c r="U344" s="52">
        <v>1</v>
      </c>
      <c r="V344" s="52"/>
      <c r="W344" s="52">
        <v>1</v>
      </c>
      <c r="X344" s="52"/>
      <c r="Y344" s="52">
        <v>1</v>
      </c>
      <c r="Z344" s="52" t="s">
        <v>1870</v>
      </c>
      <c r="AA344" s="52">
        <v>1</v>
      </c>
      <c r="AB344" s="114"/>
      <c r="AC344" s="52">
        <v>1</v>
      </c>
      <c r="AD344" s="114"/>
    </row>
    <row r="345" spans="1:30" x14ac:dyDescent="0.2">
      <c r="A345" s="20" t="s">
        <v>234</v>
      </c>
      <c r="B345" s="20" t="s">
        <v>167</v>
      </c>
      <c r="C345" s="20" t="s">
        <v>42</v>
      </c>
      <c r="D345" s="20" t="str">
        <f t="shared" si="5"/>
        <v>B2-P5-C3</v>
      </c>
      <c r="E345" s="20" t="s">
        <v>19</v>
      </c>
      <c r="F345" s="20" t="s">
        <v>20</v>
      </c>
      <c r="G345" s="50" t="s">
        <v>1098</v>
      </c>
      <c r="H345" s="50">
        <v>344</v>
      </c>
      <c r="I345" s="52">
        <v>1</v>
      </c>
      <c r="J345" s="52"/>
      <c r="K345" s="52">
        <v>1</v>
      </c>
      <c r="L345" s="52"/>
      <c r="M345" s="52">
        <v>1</v>
      </c>
      <c r="N345" s="52"/>
      <c r="O345" s="52">
        <v>1</v>
      </c>
      <c r="P345" s="52"/>
      <c r="Q345" s="52">
        <v>1</v>
      </c>
      <c r="R345" s="52"/>
      <c r="S345" s="52">
        <v>1</v>
      </c>
      <c r="T345" s="52"/>
      <c r="U345" s="52">
        <v>1</v>
      </c>
      <c r="V345" s="52"/>
      <c r="W345" s="52">
        <v>1</v>
      </c>
      <c r="X345" s="52"/>
      <c r="Y345" s="52">
        <v>1</v>
      </c>
      <c r="Z345" s="52"/>
      <c r="AA345" s="52">
        <v>2</v>
      </c>
      <c r="AB345" s="114"/>
      <c r="AC345" s="52">
        <v>4</v>
      </c>
      <c r="AD345" s="114"/>
    </row>
    <row r="346" spans="1:30" x14ac:dyDescent="0.2">
      <c r="A346" s="14" t="s">
        <v>234</v>
      </c>
      <c r="B346" s="14" t="s">
        <v>167</v>
      </c>
      <c r="C346" s="14" t="s">
        <v>53</v>
      </c>
      <c r="D346" s="14" t="str">
        <f t="shared" si="5"/>
        <v>B2-P5-C4</v>
      </c>
      <c r="E346" s="14" t="s">
        <v>19</v>
      </c>
      <c r="F346" s="14" t="s">
        <v>20</v>
      </c>
      <c r="G346" s="51" t="s">
        <v>1100</v>
      </c>
      <c r="H346" s="51">
        <v>345</v>
      </c>
      <c r="I346" s="53">
        <v>1</v>
      </c>
      <c r="J346" s="54"/>
      <c r="K346" s="53">
        <v>3</v>
      </c>
      <c r="L346" s="54"/>
      <c r="M346" s="54">
        <v>3</v>
      </c>
      <c r="N346" s="54"/>
      <c r="O346" s="54">
        <v>3</v>
      </c>
      <c r="P346" s="54"/>
      <c r="Q346" s="54">
        <v>3</v>
      </c>
      <c r="R346" s="54"/>
      <c r="S346" s="54">
        <v>3</v>
      </c>
      <c r="T346" s="54"/>
      <c r="U346" s="54">
        <v>3</v>
      </c>
      <c r="V346" s="54"/>
      <c r="W346" s="54">
        <v>3</v>
      </c>
      <c r="X346" s="54"/>
      <c r="Y346" s="54">
        <v>3.5</v>
      </c>
      <c r="Z346" s="54"/>
      <c r="AA346" s="115">
        <v>3.5</v>
      </c>
      <c r="AB346" s="115"/>
      <c r="AC346" s="115">
        <v>4</v>
      </c>
      <c r="AD346" s="115"/>
    </row>
    <row r="347" spans="1:30" x14ac:dyDescent="0.2">
      <c r="A347" s="14" t="s">
        <v>234</v>
      </c>
      <c r="B347" s="14" t="s">
        <v>167</v>
      </c>
      <c r="C347" s="14" t="s">
        <v>53</v>
      </c>
      <c r="D347" s="14" t="str">
        <f t="shared" si="5"/>
        <v>B2-P5-C4</v>
      </c>
      <c r="E347" s="14" t="s">
        <v>19</v>
      </c>
      <c r="F347" s="14" t="s">
        <v>20</v>
      </c>
      <c r="G347" s="51" t="s">
        <v>1101</v>
      </c>
      <c r="H347" s="51">
        <v>346</v>
      </c>
      <c r="I347" s="53">
        <v>1</v>
      </c>
      <c r="J347" s="54"/>
      <c r="K347" s="53">
        <v>3</v>
      </c>
      <c r="L347" s="54"/>
      <c r="M347" s="54">
        <v>3</v>
      </c>
      <c r="N347" s="54"/>
      <c r="O347" s="54">
        <v>3</v>
      </c>
      <c r="P347" s="54"/>
      <c r="Q347" s="54">
        <v>3</v>
      </c>
      <c r="R347" s="54"/>
      <c r="S347" s="54">
        <v>3</v>
      </c>
      <c r="T347" s="54"/>
      <c r="U347" s="54">
        <v>3</v>
      </c>
      <c r="V347" s="54"/>
      <c r="W347" s="54">
        <v>3.5</v>
      </c>
      <c r="X347" s="54"/>
      <c r="Y347" s="54">
        <v>3.5</v>
      </c>
      <c r="Z347" s="54"/>
      <c r="AA347" s="115">
        <v>4</v>
      </c>
      <c r="AB347" s="115"/>
      <c r="AC347" s="115">
        <v>4</v>
      </c>
      <c r="AD347" s="115"/>
    </row>
    <row r="348" spans="1:30" x14ac:dyDescent="0.2">
      <c r="A348" s="14" t="s">
        <v>234</v>
      </c>
      <c r="B348" s="14" t="s">
        <v>167</v>
      </c>
      <c r="C348" s="14" t="s">
        <v>53</v>
      </c>
      <c r="D348" s="14" t="str">
        <f t="shared" si="5"/>
        <v>B2-P5-C4</v>
      </c>
      <c r="E348" s="14" t="s">
        <v>19</v>
      </c>
      <c r="F348" s="14" t="s">
        <v>20</v>
      </c>
      <c r="G348" s="51" t="s">
        <v>1102</v>
      </c>
      <c r="H348" s="51">
        <v>347</v>
      </c>
      <c r="I348" s="53">
        <v>1</v>
      </c>
      <c r="J348" s="54"/>
      <c r="K348" s="53">
        <v>3</v>
      </c>
      <c r="L348" s="54"/>
      <c r="M348" s="54">
        <v>3</v>
      </c>
      <c r="N348" s="54"/>
      <c r="O348" s="54">
        <v>3</v>
      </c>
      <c r="P348" s="54"/>
      <c r="Q348" s="54">
        <v>3</v>
      </c>
      <c r="R348" s="54"/>
      <c r="S348" s="54">
        <v>3</v>
      </c>
      <c r="T348" s="54"/>
      <c r="U348" s="54">
        <v>3.5</v>
      </c>
      <c r="V348" s="54"/>
      <c r="W348" s="54">
        <v>3.5</v>
      </c>
      <c r="X348" s="54"/>
      <c r="Y348" s="54">
        <v>3.5</v>
      </c>
      <c r="Z348" s="54"/>
      <c r="AA348" s="115">
        <v>4</v>
      </c>
      <c r="AB348" s="115"/>
      <c r="AC348" s="115">
        <v>4</v>
      </c>
      <c r="AD348" s="115"/>
    </row>
    <row r="349" spans="1:30" x14ac:dyDescent="0.2">
      <c r="A349" s="14" t="s">
        <v>234</v>
      </c>
      <c r="B349" s="14" t="s">
        <v>167</v>
      </c>
      <c r="C349" s="14" t="s">
        <v>53</v>
      </c>
      <c r="D349" s="14" t="str">
        <f t="shared" si="5"/>
        <v>B2-P5-C4</v>
      </c>
      <c r="E349" s="14" t="s">
        <v>19</v>
      </c>
      <c r="F349" s="14" t="s">
        <v>20</v>
      </c>
      <c r="G349" s="51" t="s">
        <v>1103</v>
      </c>
      <c r="H349" s="51">
        <v>348</v>
      </c>
      <c r="I349" s="53">
        <v>1</v>
      </c>
      <c r="J349" s="54"/>
      <c r="K349" s="53">
        <v>3</v>
      </c>
      <c r="L349" s="54"/>
      <c r="M349" s="54">
        <v>3</v>
      </c>
      <c r="N349" s="54"/>
      <c r="O349" s="54">
        <v>3</v>
      </c>
      <c r="P349" s="54"/>
      <c r="Q349" s="54">
        <v>3</v>
      </c>
      <c r="R349" s="54"/>
      <c r="S349" s="54">
        <v>3</v>
      </c>
      <c r="T349" s="54"/>
      <c r="U349" s="54">
        <v>3.5</v>
      </c>
      <c r="V349" s="54"/>
      <c r="W349" s="54">
        <v>4</v>
      </c>
      <c r="X349" s="54"/>
      <c r="Y349" s="54">
        <v>4</v>
      </c>
      <c r="Z349" s="54"/>
      <c r="AA349" s="115">
        <v>4</v>
      </c>
      <c r="AB349" s="115"/>
      <c r="AC349" s="115">
        <v>4</v>
      </c>
      <c r="AD349" s="115"/>
    </row>
    <row r="350" spans="1:30" x14ac:dyDescent="0.2">
      <c r="A350" s="14" t="s">
        <v>234</v>
      </c>
      <c r="B350" s="14" t="s">
        <v>167</v>
      </c>
      <c r="C350" s="14" t="s">
        <v>53</v>
      </c>
      <c r="D350" s="14" t="str">
        <f t="shared" si="5"/>
        <v>B2-P5-C4</v>
      </c>
      <c r="E350" s="14" t="s">
        <v>19</v>
      </c>
      <c r="F350" s="14" t="s">
        <v>20</v>
      </c>
      <c r="G350" s="51" t="s">
        <v>1104</v>
      </c>
      <c r="H350" s="51">
        <v>349</v>
      </c>
      <c r="I350" s="53">
        <v>1</v>
      </c>
      <c r="J350" s="54"/>
      <c r="K350" s="53">
        <v>3</v>
      </c>
      <c r="L350" s="54"/>
      <c r="M350" s="54">
        <v>3</v>
      </c>
      <c r="N350" s="54"/>
      <c r="O350" s="54">
        <v>3</v>
      </c>
      <c r="P350" s="54"/>
      <c r="Q350" s="54">
        <v>2.5</v>
      </c>
      <c r="R350" s="54"/>
      <c r="S350" s="54">
        <v>3</v>
      </c>
      <c r="T350" s="54"/>
      <c r="U350" s="54">
        <v>3.5</v>
      </c>
      <c r="V350" s="54"/>
      <c r="W350" s="54">
        <v>4</v>
      </c>
      <c r="X350" s="54"/>
      <c r="Y350" s="54">
        <v>4</v>
      </c>
      <c r="Z350" s="54"/>
      <c r="AA350" s="115">
        <v>4</v>
      </c>
      <c r="AB350" s="115"/>
      <c r="AC350" s="115">
        <v>4</v>
      </c>
      <c r="AD350" s="115"/>
    </row>
    <row r="351" spans="1:30" x14ac:dyDescent="0.2">
      <c r="A351" s="14" t="s">
        <v>234</v>
      </c>
      <c r="B351" s="14" t="s">
        <v>167</v>
      </c>
      <c r="C351" s="14" t="s">
        <v>53</v>
      </c>
      <c r="D351" s="14" t="str">
        <f t="shared" si="5"/>
        <v>B2-P5-C4</v>
      </c>
      <c r="E351" s="14" t="s">
        <v>19</v>
      </c>
      <c r="F351" s="14" t="s">
        <v>20</v>
      </c>
      <c r="G351" s="51" t="s">
        <v>1105</v>
      </c>
      <c r="H351" s="51">
        <v>350</v>
      </c>
      <c r="I351" s="53">
        <v>1</v>
      </c>
      <c r="J351" s="54"/>
      <c r="K351" s="53">
        <v>3</v>
      </c>
      <c r="L351" s="54"/>
      <c r="M351" s="54">
        <v>3</v>
      </c>
      <c r="N351" s="54"/>
      <c r="O351" s="54">
        <v>3</v>
      </c>
      <c r="P351" s="54"/>
      <c r="Q351" s="54">
        <v>3</v>
      </c>
      <c r="R351" s="54"/>
      <c r="S351" s="54">
        <v>3</v>
      </c>
      <c r="T351" s="54"/>
      <c r="U351" s="54">
        <v>4</v>
      </c>
      <c r="V351" s="54"/>
      <c r="W351" s="54">
        <v>4</v>
      </c>
      <c r="X351" s="54"/>
      <c r="Y351" s="54">
        <v>4</v>
      </c>
      <c r="Z351" s="54"/>
      <c r="AA351" s="115">
        <v>4</v>
      </c>
      <c r="AB351" s="115"/>
      <c r="AC351" s="115">
        <v>4</v>
      </c>
      <c r="AD351" s="115"/>
    </row>
    <row r="352" spans="1:30" x14ac:dyDescent="0.2">
      <c r="A352" s="14" t="s">
        <v>234</v>
      </c>
      <c r="B352" s="14" t="s">
        <v>167</v>
      </c>
      <c r="C352" s="14" t="s">
        <v>53</v>
      </c>
      <c r="D352" s="14" t="str">
        <f t="shared" si="5"/>
        <v>B2-P5-C4</v>
      </c>
      <c r="E352" s="14" t="s">
        <v>19</v>
      </c>
      <c r="F352" s="14" t="s">
        <v>20</v>
      </c>
      <c r="G352" s="51" t="s">
        <v>1106</v>
      </c>
      <c r="H352" s="51">
        <v>351</v>
      </c>
      <c r="I352" s="53">
        <v>1</v>
      </c>
      <c r="J352" s="54"/>
      <c r="K352" s="53">
        <v>3</v>
      </c>
      <c r="L352" s="54"/>
      <c r="M352" s="54">
        <v>3</v>
      </c>
      <c r="N352" s="54"/>
      <c r="O352" s="54">
        <v>3</v>
      </c>
      <c r="P352" s="54"/>
      <c r="Q352" s="54">
        <v>3</v>
      </c>
      <c r="R352" s="54"/>
      <c r="S352" s="54">
        <v>3</v>
      </c>
      <c r="T352" s="54"/>
      <c r="U352" s="54">
        <v>3.5</v>
      </c>
      <c r="V352" s="54"/>
      <c r="W352" s="54">
        <v>4</v>
      </c>
      <c r="X352" s="54"/>
      <c r="Y352" s="54">
        <v>4</v>
      </c>
      <c r="Z352" s="54"/>
      <c r="AA352" s="115">
        <v>4</v>
      </c>
      <c r="AB352" s="115"/>
      <c r="AC352" s="115">
        <v>4</v>
      </c>
      <c r="AD352" s="115"/>
    </row>
    <row r="353" spans="1:30" x14ac:dyDescent="0.2">
      <c r="A353" s="14" t="s">
        <v>234</v>
      </c>
      <c r="B353" s="14" t="s">
        <v>167</v>
      </c>
      <c r="C353" s="14" t="s">
        <v>53</v>
      </c>
      <c r="D353" s="14" t="str">
        <f t="shared" si="5"/>
        <v>B2-P5-C4</v>
      </c>
      <c r="E353" s="14" t="s">
        <v>19</v>
      </c>
      <c r="F353" s="14" t="s">
        <v>20</v>
      </c>
      <c r="G353" s="51" t="s">
        <v>1107</v>
      </c>
      <c r="H353" s="51">
        <v>352</v>
      </c>
      <c r="I353" s="53">
        <v>1</v>
      </c>
      <c r="J353" s="54"/>
      <c r="K353" s="53">
        <v>3</v>
      </c>
      <c r="L353" s="54"/>
      <c r="M353" s="54">
        <v>3</v>
      </c>
      <c r="N353" s="54"/>
      <c r="O353" s="54">
        <v>3</v>
      </c>
      <c r="P353" s="54"/>
      <c r="Q353" s="54">
        <v>3</v>
      </c>
      <c r="R353" s="54"/>
      <c r="S353" s="54">
        <v>3</v>
      </c>
      <c r="T353" s="54"/>
      <c r="U353" s="54">
        <v>4</v>
      </c>
      <c r="V353" s="54"/>
      <c r="W353" s="54">
        <v>4</v>
      </c>
      <c r="X353" s="54"/>
      <c r="Y353" s="54">
        <v>4</v>
      </c>
      <c r="Z353" s="54"/>
      <c r="AA353" s="115">
        <v>4</v>
      </c>
      <c r="AB353" s="115"/>
      <c r="AC353" s="115">
        <v>4</v>
      </c>
      <c r="AD353" s="115"/>
    </row>
    <row r="354" spans="1:30" x14ac:dyDescent="0.2">
      <c r="A354" s="20" t="s">
        <v>234</v>
      </c>
      <c r="B354" s="20" t="s">
        <v>200</v>
      </c>
      <c r="C354" s="20" t="s">
        <v>16</v>
      </c>
      <c r="D354" s="20" t="str">
        <f t="shared" si="5"/>
        <v>B2-P6-C1</v>
      </c>
      <c r="E354" s="20" t="s">
        <v>19</v>
      </c>
      <c r="F354" s="20" t="s">
        <v>20</v>
      </c>
      <c r="G354" s="50" t="s">
        <v>1109</v>
      </c>
      <c r="H354" s="50">
        <v>353</v>
      </c>
      <c r="I354" s="52">
        <v>1</v>
      </c>
      <c r="J354" s="52"/>
      <c r="K354" s="52">
        <v>1</v>
      </c>
      <c r="L354" s="52"/>
      <c r="M354" s="52">
        <v>3</v>
      </c>
      <c r="N354" s="52"/>
      <c r="O354" s="52">
        <v>3</v>
      </c>
      <c r="P354" s="52"/>
      <c r="Q354" s="52">
        <v>3</v>
      </c>
      <c r="R354" s="52"/>
      <c r="S354" s="52">
        <v>3</v>
      </c>
      <c r="T354" s="52"/>
      <c r="U354" s="52">
        <v>4</v>
      </c>
      <c r="V354" s="52"/>
      <c r="W354" s="52">
        <v>4</v>
      </c>
      <c r="X354" s="52"/>
      <c r="Y354" s="52">
        <v>4</v>
      </c>
      <c r="Z354" s="52"/>
      <c r="AA354" s="114">
        <v>4</v>
      </c>
      <c r="AB354" s="114"/>
      <c r="AC354" s="114">
        <v>4</v>
      </c>
      <c r="AD354" s="114"/>
    </row>
    <row r="355" spans="1:30" x14ac:dyDescent="0.2">
      <c r="A355" s="20" t="s">
        <v>234</v>
      </c>
      <c r="B355" s="20" t="s">
        <v>200</v>
      </c>
      <c r="C355" s="20" t="s">
        <v>16</v>
      </c>
      <c r="D355" s="20" t="str">
        <f t="shared" si="5"/>
        <v>B2-P6-C1</v>
      </c>
      <c r="E355" s="20" t="s">
        <v>19</v>
      </c>
      <c r="F355" s="20" t="s">
        <v>20</v>
      </c>
      <c r="G355" s="50" t="s">
        <v>1110</v>
      </c>
      <c r="H355" s="50">
        <v>354</v>
      </c>
      <c r="I355" s="52">
        <v>1</v>
      </c>
      <c r="J355" s="52"/>
      <c r="K355" s="52">
        <v>1</v>
      </c>
      <c r="L355" s="52"/>
      <c r="M355" s="52">
        <v>1</v>
      </c>
      <c r="N355" s="52"/>
      <c r="O355" s="52">
        <v>1</v>
      </c>
      <c r="P355" s="52"/>
      <c r="Q355" s="52">
        <v>1</v>
      </c>
      <c r="R355" s="52"/>
      <c r="S355" s="52">
        <v>1</v>
      </c>
      <c r="T355" s="52"/>
      <c r="U355" s="52">
        <v>1</v>
      </c>
      <c r="V355" s="52"/>
      <c r="W355" s="52">
        <v>1</v>
      </c>
      <c r="X355" s="52"/>
      <c r="Y355" s="52">
        <v>1</v>
      </c>
      <c r="Z355" s="52"/>
      <c r="AA355" s="114">
        <v>1</v>
      </c>
      <c r="AB355" s="114"/>
      <c r="AC355" s="114">
        <v>4</v>
      </c>
      <c r="AD355" s="114"/>
    </row>
    <row r="356" spans="1:30" x14ac:dyDescent="0.2">
      <c r="A356" s="20" t="s">
        <v>234</v>
      </c>
      <c r="B356" s="20" t="s">
        <v>200</v>
      </c>
      <c r="C356" s="20" t="s">
        <v>16</v>
      </c>
      <c r="D356" s="20" t="str">
        <f t="shared" si="5"/>
        <v>B2-P6-C1</v>
      </c>
      <c r="E356" s="20" t="s">
        <v>19</v>
      </c>
      <c r="F356" s="20" t="s">
        <v>20</v>
      </c>
      <c r="G356" s="50" t="s">
        <v>1111</v>
      </c>
      <c r="H356" s="50">
        <v>355</v>
      </c>
      <c r="I356" s="52">
        <v>1</v>
      </c>
      <c r="J356" s="52"/>
      <c r="K356" s="52">
        <v>1</v>
      </c>
      <c r="L356" s="52"/>
      <c r="M356" s="52">
        <v>2</v>
      </c>
      <c r="N356" s="52"/>
      <c r="O356" s="52">
        <v>2</v>
      </c>
      <c r="P356" s="52"/>
      <c r="Q356" s="52">
        <v>2</v>
      </c>
      <c r="R356" s="52"/>
      <c r="S356" s="52">
        <v>2</v>
      </c>
      <c r="T356" s="52"/>
      <c r="U356" s="52">
        <v>2</v>
      </c>
      <c r="V356" s="52"/>
      <c r="W356" s="52">
        <v>2</v>
      </c>
      <c r="X356" s="52"/>
      <c r="Y356" s="52">
        <v>3</v>
      </c>
      <c r="Z356" s="52"/>
      <c r="AA356" s="114">
        <v>3.5</v>
      </c>
      <c r="AB356" s="114"/>
      <c r="AC356" s="114">
        <v>4</v>
      </c>
      <c r="AD356" s="114"/>
    </row>
    <row r="357" spans="1:30" x14ac:dyDescent="0.2">
      <c r="A357" s="20" t="s">
        <v>234</v>
      </c>
      <c r="B357" s="20" t="s">
        <v>200</v>
      </c>
      <c r="C357" s="20" t="s">
        <v>16</v>
      </c>
      <c r="D357" s="20" t="str">
        <f t="shared" si="5"/>
        <v>B2-P6-C1</v>
      </c>
      <c r="E357" s="20" t="s">
        <v>19</v>
      </c>
      <c r="F357" s="20" t="s">
        <v>20</v>
      </c>
      <c r="G357" s="50" t="s">
        <v>1112</v>
      </c>
      <c r="H357" s="50">
        <v>356</v>
      </c>
      <c r="I357" s="52">
        <v>1</v>
      </c>
      <c r="J357" s="52"/>
      <c r="K357" s="52">
        <v>1</v>
      </c>
      <c r="L357" s="52"/>
      <c r="M357" s="52">
        <v>2</v>
      </c>
      <c r="N357" s="52"/>
      <c r="O357" s="52">
        <v>2</v>
      </c>
      <c r="P357" s="52"/>
      <c r="Q357" s="52">
        <v>2</v>
      </c>
      <c r="R357" s="52"/>
      <c r="S357" s="52">
        <v>3</v>
      </c>
      <c r="T357" s="52"/>
      <c r="U357" s="52">
        <v>2</v>
      </c>
      <c r="V357" s="52"/>
      <c r="W357" s="52">
        <v>2</v>
      </c>
      <c r="X357" s="52"/>
      <c r="Y357" s="52">
        <v>3</v>
      </c>
      <c r="Z357" s="52"/>
      <c r="AA357" s="114">
        <v>3</v>
      </c>
      <c r="AB357" s="114"/>
      <c r="AC357" s="114">
        <v>4</v>
      </c>
      <c r="AD357" s="114"/>
    </row>
    <row r="358" spans="1:30" x14ac:dyDescent="0.2">
      <c r="A358" s="20" t="s">
        <v>234</v>
      </c>
      <c r="B358" s="20" t="s">
        <v>200</v>
      </c>
      <c r="C358" s="20" t="s">
        <v>16</v>
      </c>
      <c r="D358" s="20" t="str">
        <f t="shared" si="5"/>
        <v>B2-P6-C1</v>
      </c>
      <c r="E358" s="20" t="s">
        <v>19</v>
      </c>
      <c r="F358" s="20" t="s">
        <v>20</v>
      </c>
      <c r="G358" s="50" t="s">
        <v>1113</v>
      </c>
      <c r="H358" s="50">
        <v>357</v>
      </c>
      <c r="I358" s="52">
        <v>1</v>
      </c>
      <c r="J358" s="52"/>
      <c r="K358" s="52">
        <v>1</v>
      </c>
      <c r="L358" s="52"/>
      <c r="M358" s="52">
        <v>3</v>
      </c>
      <c r="N358" s="52"/>
      <c r="O358" s="52">
        <v>3</v>
      </c>
      <c r="P358" s="52"/>
      <c r="Q358" s="52">
        <v>3.5</v>
      </c>
      <c r="R358" s="52"/>
      <c r="S358" s="52">
        <v>3.5</v>
      </c>
      <c r="T358" s="52"/>
      <c r="U358" s="52">
        <v>3</v>
      </c>
      <c r="V358" s="52"/>
      <c r="W358" s="52">
        <v>3</v>
      </c>
      <c r="X358" s="52"/>
      <c r="Y358" s="52">
        <v>3.5</v>
      </c>
      <c r="Z358" s="52"/>
      <c r="AA358" s="114">
        <v>4</v>
      </c>
      <c r="AB358" s="114"/>
      <c r="AC358" s="114">
        <v>4</v>
      </c>
      <c r="AD358" s="114"/>
    </row>
    <row r="359" spans="1:30" x14ac:dyDescent="0.2">
      <c r="A359" s="20" t="s">
        <v>234</v>
      </c>
      <c r="B359" s="20" t="s">
        <v>200</v>
      </c>
      <c r="C359" s="20" t="s">
        <v>16</v>
      </c>
      <c r="D359" s="20" t="str">
        <f t="shared" si="5"/>
        <v>B2-P6-C1</v>
      </c>
      <c r="E359" s="20" t="s">
        <v>19</v>
      </c>
      <c r="F359" s="20" t="s">
        <v>20</v>
      </c>
      <c r="G359" s="50" t="s">
        <v>1114</v>
      </c>
      <c r="H359" s="50">
        <v>358</v>
      </c>
      <c r="I359" s="52">
        <v>1</v>
      </c>
      <c r="J359" s="52"/>
      <c r="K359" s="52">
        <v>1</v>
      </c>
      <c r="L359" s="52"/>
      <c r="M359" s="52">
        <v>3</v>
      </c>
      <c r="N359" s="52"/>
      <c r="O359" s="52">
        <v>3</v>
      </c>
      <c r="P359" s="52"/>
      <c r="Q359" s="52">
        <v>3</v>
      </c>
      <c r="R359" s="52"/>
      <c r="S359" s="52">
        <v>3</v>
      </c>
      <c r="T359" s="52"/>
      <c r="U359" s="52">
        <v>3</v>
      </c>
      <c r="V359" s="52"/>
      <c r="W359" s="52">
        <v>3.5</v>
      </c>
      <c r="X359" s="52"/>
      <c r="Y359" s="52">
        <v>3.5</v>
      </c>
      <c r="Z359" s="52"/>
      <c r="AA359" s="114">
        <v>4</v>
      </c>
      <c r="AB359" s="114"/>
      <c r="AC359" s="114">
        <v>4</v>
      </c>
      <c r="AD359" s="114"/>
    </row>
    <row r="360" spans="1:30" x14ac:dyDescent="0.2">
      <c r="A360" s="20" t="s">
        <v>234</v>
      </c>
      <c r="B360" s="20" t="s">
        <v>200</v>
      </c>
      <c r="C360" s="20" t="s">
        <v>16</v>
      </c>
      <c r="D360" s="20" t="str">
        <f t="shared" si="5"/>
        <v>B2-P6-C1</v>
      </c>
      <c r="E360" s="20" t="s">
        <v>19</v>
      </c>
      <c r="F360" s="20" t="s">
        <v>20</v>
      </c>
      <c r="G360" s="50" t="s">
        <v>1115</v>
      </c>
      <c r="H360" s="50">
        <v>359</v>
      </c>
      <c r="I360" s="52">
        <v>1</v>
      </c>
      <c r="J360" s="52"/>
      <c r="K360" s="52">
        <v>1</v>
      </c>
      <c r="L360" s="52"/>
      <c r="M360" s="52">
        <v>3</v>
      </c>
      <c r="N360" s="52"/>
      <c r="O360" s="52">
        <v>3</v>
      </c>
      <c r="P360" s="52"/>
      <c r="Q360" s="52">
        <v>3</v>
      </c>
      <c r="R360" s="52"/>
      <c r="S360" s="52">
        <v>3</v>
      </c>
      <c r="T360" s="52"/>
      <c r="U360" s="52">
        <v>4</v>
      </c>
      <c r="V360" s="52"/>
      <c r="W360" s="52">
        <v>4</v>
      </c>
      <c r="X360" s="52"/>
      <c r="Y360" s="52">
        <v>4</v>
      </c>
      <c r="Z360" s="52"/>
      <c r="AA360" s="114">
        <v>4</v>
      </c>
      <c r="AB360" s="114"/>
      <c r="AC360" s="114">
        <v>4</v>
      </c>
      <c r="AD360" s="114"/>
    </row>
    <row r="361" spans="1:30" x14ac:dyDescent="0.2">
      <c r="A361" s="20" t="s">
        <v>234</v>
      </c>
      <c r="B361" s="20" t="s">
        <v>200</v>
      </c>
      <c r="C361" s="20" t="s">
        <v>16</v>
      </c>
      <c r="D361" s="20" t="str">
        <f t="shared" si="5"/>
        <v>B2-P6-C1</v>
      </c>
      <c r="E361" s="20" t="s">
        <v>19</v>
      </c>
      <c r="F361" s="20" t="s">
        <v>20</v>
      </c>
      <c r="G361" s="50" t="s">
        <v>1116</v>
      </c>
      <c r="H361" s="50">
        <v>360</v>
      </c>
      <c r="I361" s="52">
        <v>1</v>
      </c>
      <c r="J361" s="52"/>
      <c r="K361" s="52">
        <v>1</v>
      </c>
      <c r="L361" s="52"/>
      <c r="M361" s="52">
        <v>3</v>
      </c>
      <c r="N361" s="52"/>
      <c r="O361" s="52">
        <v>3</v>
      </c>
      <c r="P361" s="52"/>
      <c r="Q361" s="52">
        <v>3</v>
      </c>
      <c r="R361" s="52"/>
      <c r="S361" s="52">
        <v>3</v>
      </c>
      <c r="T361" s="52"/>
      <c r="U361" s="52">
        <v>3</v>
      </c>
      <c r="V361" s="52"/>
      <c r="W361" s="52">
        <v>3</v>
      </c>
      <c r="X361" s="52"/>
      <c r="Y361" s="52">
        <v>3</v>
      </c>
      <c r="Z361" s="52"/>
      <c r="AA361" s="114">
        <v>3.5</v>
      </c>
      <c r="AB361" s="114"/>
      <c r="AC361" s="114">
        <v>4</v>
      </c>
      <c r="AD361" s="114"/>
    </row>
    <row r="362" spans="1:30" x14ac:dyDescent="0.2">
      <c r="A362" s="14" t="s">
        <v>234</v>
      </c>
      <c r="B362" s="14" t="s">
        <v>200</v>
      </c>
      <c r="C362" s="14" t="s">
        <v>32</v>
      </c>
      <c r="D362" s="14" t="str">
        <f t="shared" si="5"/>
        <v>B2-P6-C2</v>
      </c>
      <c r="E362" s="14" t="s">
        <v>19</v>
      </c>
      <c r="F362" s="14" t="s">
        <v>20</v>
      </c>
      <c r="G362" s="51" t="s">
        <v>1118</v>
      </c>
      <c r="H362" s="51">
        <v>361</v>
      </c>
      <c r="I362" s="53">
        <v>1</v>
      </c>
      <c r="J362" s="54"/>
      <c r="K362" s="53">
        <v>1</v>
      </c>
      <c r="L362" s="54"/>
      <c r="M362" s="54">
        <v>1</v>
      </c>
      <c r="N362" s="54"/>
      <c r="O362" s="54">
        <v>1</v>
      </c>
      <c r="P362" s="54"/>
      <c r="Q362" s="54">
        <v>1</v>
      </c>
      <c r="R362" s="54"/>
      <c r="S362" s="54">
        <v>1</v>
      </c>
      <c r="T362" s="54"/>
      <c r="U362" s="54">
        <v>1</v>
      </c>
      <c r="V362" s="54"/>
      <c r="W362" s="54">
        <v>1</v>
      </c>
      <c r="X362" s="54"/>
      <c r="Y362" s="54">
        <v>1</v>
      </c>
      <c r="Z362" s="54"/>
      <c r="AA362" s="115">
        <v>1</v>
      </c>
      <c r="AB362" s="115"/>
      <c r="AC362" s="115">
        <v>2</v>
      </c>
      <c r="AD362" s="115"/>
    </row>
    <row r="363" spans="1:30" x14ac:dyDescent="0.2">
      <c r="A363" s="14" t="s">
        <v>234</v>
      </c>
      <c r="B363" s="14" t="s">
        <v>200</v>
      </c>
      <c r="C363" s="14" t="s">
        <v>32</v>
      </c>
      <c r="D363" s="14" t="str">
        <f t="shared" si="5"/>
        <v>B2-P6-C2</v>
      </c>
      <c r="E363" s="14" t="s">
        <v>35</v>
      </c>
      <c r="F363" s="14" t="s">
        <v>20</v>
      </c>
      <c r="G363" s="51" t="s">
        <v>1119</v>
      </c>
      <c r="H363" s="51">
        <v>362</v>
      </c>
      <c r="I363" s="53">
        <v>1</v>
      </c>
      <c r="J363" s="54"/>
      <c r="K363" s="53">
        <v>1</v>
      </c>
      <c r="L363" s="54"/>
      <c r="M363" s="54">
        <v>1</v>
      </c>
      <c r="N363" s="54"/>
      <c r="O363" s="54">
        <v>1</v>
      </c>
      <c r="P363" s="54"/>
      <c r="Q363" s="54">
        <v>1</v>
      </c>
      <c r="R363" s="54"/>
      <c r="S363" s="54">
        <v>1</v>
      </c>
      <c r="T363" s="54"/>
      <c r="U363" s="54">
        <v>1</v>
      </c>
      <c r="V363" s="54"/>
      <c r="W363" s="54">
        <v>1</v>
      </c>
      <c r="X363" s="54"/>
      <c r="Y363" s="54">
        <v>1</v>
      </c>
      <c r="Z363" s="54"/>
      <c r="AA363" s="115">
        <v>1</v>
      </c>
      <c r="AB363" s="115"/>
      <c r="AC363" s="115">
        <v>1</v>
      </c>
      <c r="AD363" s="115"/>
    </row>
    <row r="364" spans="1:30" x14ac:dyDescent="0.2">
      <c r="A364" s="14" t="s">
        <v>234</v>
      </c>
      <c r="B364" s="14" t="s">
        <v>200</v>
      </c>
      <c r="C364" s="14" t="s">
        <v>32</v>
      </c>
      <c r="D364" s="14" t="str">
        <f t="shared" si="5"/>
        <v>B2-P6-C2</v>
      </c>
      <c r="E364" s="14" t="s">
        <v>35</v>
      </c>
      <c r="F364" s="14" t="s">
        <v>20</v>
      </c>
      <c r="G364" s="51" t="s">
        <v>1120</v>
      </c>
      <c r="H364" s="51">
        <v>363</v>
      </c>
      <c r="I364" s="53">
        <v>1</v>
      </c>
      <c r="J364" s="54"/>
      <c r="K364" s="53">
        <v>1</v>
      </c>
      <c r="L364" s="54"/>
      <c r="M364" s="54">
        <v>1</v>
      </c>
      <c r="N364" s="54"/>
      <c r="O364" s="54">
        <v>1</v>
      </c>
      <c r="P364" s="54"/>
      <c r="Q364" s="54">
        <v>1</v>
      </c>
      <c r="R364" s="54"/>
      <c r="S364" s="54">
        <v>1</v>
      </c>
      <c r="T364" s="54"/>
      <c r="U364" s="54">
        <v>1</v>
      </c>
      <c r="V364" s="54"/>
      <c r="W364" s="54">
        <v>1</v>
      </c>
      <c r="X364" s="54"/>
      <c r="Y364" s="54">
        <v>1</v>
      </c>
      <c r="Z364" s="54"/>
      <c r="AA364" s="115">
        <v>1</v>
      </c>
      <c r="AB364" s="115"/>
      <c r="AC364" s="115">
        <v>1</v>
      </c>
      <c r="AD364" s="115"/>
    </row>
    <row r="365" spans="1:30" x14ac:dyDescent="0.2">
      <c r="A365" s="14" t="s">
        <v>234</v>
      </c>
      <c r="B365" s="14" t="s">
        <v>200</v>
      </c>
      <c r="C365" s="14" t="s">
        <v>32</v>
      </c>
      <c r="D365" s="14" t="str">
        <f t="shared" si="5"/>
        <v>B2-P6-C2</v>
      </c>
      <c r="E365" s="14" t="s">
        <v>19</v>
      </c>
      <c r="F365" s="14" t="s">
        <v>20</v>
      </c>
      <c r="G365" s="51" t="s">
        <v>1121</v>
      </c>
      <c r="H365" s="51">
        <v>364</v>
      </c>
      <c r="I365" s="53">
        <v>1</v>
      </c>
      <c r="J365" s="54"/>
      <c r="K365" s="53">
        <v>1</v>
      </c>
      <c r="L365" s="54"/>
      <c r="M365" s="54">
        <v>1</v>
      </c>
      <c r="N365" s="54"/>
      <c r="O365" s="54">
        <v>1</v>
      </c>
      <c r="P365" s="54"/>
      <c r="Q365" s="54">
        <v>1</v>
      </c>
      <c r="R365" s="54"/>
      <c r="S365" s="54">
        <v>1</v>
      </c>
      <c r="T365" s="54"/>
      <c r="U365" s="54">
        <v>1</v>
      </c>
      <c r="V365" s="54"/>
      <c r="W365" s="54">
        <v>1</v>
      </c>
      <c r="X365" s="54"/>
      <c r="Y365" s="54">
        <v>1</v>
      </c>
      <c r="Z365" s="54"/>
      <c r="AA365" s="115">
        <v>1</v>
      </c>
      <c r="AB365" s="115"/>
      <c r="AC365" s="115">
        <v>2</v>
      </c>
      <c r="AD365" s="115"/>
    </row>
    <row r="366" spans="1:30" x14ac:dyDescent="0.2">
      <c r="A366" s="14" t="s">
        <v>234</v>
      </c>
      <c r="B366" s="14" t="s">
        <v>200</v>
      </c>
      <c r="C366" s="14" t="s">
        <v>32</v>
      </c>
      <c r="D366" s="14" t="str">
        <f t="shared" si="5"/>
        <v>B2-P6-C2</v>
      </c>
      <c r="E366" s="14" t="s">
        <v>19</v>
      </c>
      <c r="F366" s="14" t="s">
        <v>20</v>
      </c>
      <c r="G366" s="51" t="s">
        <v>1122</v>
      </c>
      <c r="H366" s="51">
        <v>365</v>
      </c>
      <c r="I366" s="53">
        <v>1</v>
      </c>
      <c r="J366" s="54"/>
      <c r="K366" s="53">
        <v>1</v>
      </c>
      <c r="L366" s="54"/>
      <c r="M366" s="54">
        <v>1</v>
      </c>
      <c r="N366" s="54"/>
      <c r="O366" s="54">
        <v>1</v>
      </c>
      <c r="P366" s="54"/>
      <c r="Q366" s="54">
        <v>1</v>
      </c>
      <c r="R366" s="54"/>
      <c r="S366" s="54">
        <v>1</v>
      </c>
      <c r="T366" s="54"/>
      <c r="U366" s="54">
        <v>1</v>
      </c>
      <c r="V366" s="54"/>
      <c r="W366" s="54">
        <v>1</v>
      </c>
      <c r="X366" s="54"/>
      <c r="Y366" s="54">
        <v>1</v>
      </c>
      <c r="Z366" s="54"/>
      <c r="AA366" s="115">
        <v>1</v>
      </c>
      <c r="AB366" s="115"/>
      <c r="AC366" s="115">
        <v>4</v>
      </c>
      <c r="AD366" s="115"/>
    </row>
    <row r="367" spans="1:30" x14ac:dyDescent="0.2">
      <c r="A367" s="14" t="s">
        <v>234</v>
      </c>
      <c r="B367" s="14" t="s">
        <v>200</v>
      </c>
      <c r="C367" s="14" t="s">
        <v>32</v>
      </c>
      <c r="D367" s="14" t="str">
        <f t="shared" si="5"/>
        <v>B2-P6-C2</v>
      </c>
      <c r="E367" s="14" t="s">
        <v>35</v>
      </c>
      <c r="F367" s="14" t="s">
        <v>20</v>
      </c>
      <c r="G367" s="51" t="s">
        <v>1123</v>
      </c>
      <c r="H367" s="51">
        <v>366</v>
      </c>
      <c r="I367" s="53">
        <v>1</v>
      </c>
      <c r="J367" s="54"/>
      <c r="K367" s="53">
        <v>1</v>
      </c>
      <c r="L367" s="54"/>
      <c r="M367" s="54">
        <v>1</v>
      </c>
      <c r="N367" s="54"/>
      <c r="O367" s="54">
        <v>1</v>
      </c>
      <c r="P367" s="54"/>
      <c r="Q367" s="54">
        <v>1</v>
      </c>
      <c r="R367" s="54"/>
      <c r="S367" s="54">
        <v>1</v>
      </c>
      <c r="T367" s="54"/>
      <c r="U367" s="54">
        <v>1</v>
      </c>
      <c r="V367" s="54"/>
      <c r="W367" s="54">
        <v>1</v>
      </c>
      <c r="X367" s="54"/>
      <c r="Y367" s="54">
        <v>1</v>
      </c>
      <c r="Z367" s="54"/>
      <c r="AA367" s="115">
        <v>1</v>
      </c>
      <c r="AB367" s="115"/>
      <c r="AC367" s="115">
        <v>1</v>
      </c>
      <c r="AD367" s="115"/>
    </row>
    <row r="368" spans="1:30" x14ac:dyDescent="0.2">
      <c r="A368" s="14" t="s">
        <v>234</v>
      </c>
      <c r="B368" s="14" t="s">
        <v>200</v>
      </c>
      <c r="C368" s="14" t="s">
        <v>32</v>
      </c>
      <c r="D368" s="14" t="str">
        <f t="shared" si="5"/>
        <v>B2-P6-C2</v>
      </c>
      <c r="E368" s="14" t="s">
        <v>35</v>
      </c>
      <c r="F368" s="14" t="s">
        <v>20</v>
      </c>
      <c r="G368" s="51" t="s">
        <v>1124</v>
      </c>
      <c r="H368" s="51">
        <v>367</v>
      </c>
      <c r="I368" s="53">
        <v>1</v>
      </c>
      <c r="J368" s="54"/>
      <c r="K368" s="53">
        <v>1</v>
      </c>
      <c r="L368" s="54"/>
      <c r="M368" s="54">
        <v>1</v>
      </c>
      <c r="N368" s="54"/>
      <c r="O368" s="54">
        <v>1</v>
      </c>
      <c r="P368" s="54"/>
      <c r="Q368" s="54">
        <v>1</v>
      </c>
      <c r="R368" s="54"/>
      <c r="S368" s="54">
        <v>1</v>
      </c>
      <c r="T368" s="54"/>
      <c r="U368" s="54">
        <v>1</v>
      </c>
      <c r="V368" s="54"/>
      <c r="W368" s="54">
        <v>1</v>
      </c>
      <c r="X368" s="54"/>
      <c r="Y368" s="54">
        <v>1</v>
      </c>
      <c r="Z368" s="54"/>
      <c r="AA368" s="115">
        <v>1</v>
      </c>
      <c r="AB368" s="115"/>
      <c r="AC368" s="115">
        <v>1</v>
      </c>
      <c r="AD368" s="115"/>
    </row>
    <row r="369" spans="1:30" x14ac:dyDescent="0.2">
      <c r="A369" s="14" t="s">
        <v>234</v>
      </c>
      <c r="B369" s="14" t="s">
        <v>200</v>
      </c>
      <c r="C369" s="14" t="s">
        <v>32</v>
      </c>
      <c r="D369" s="14" t="str">
        <f t="shared" si="5"/>
        <v>B2-P6-C2</v>
      </c>
      <c r="E369" s="14" t="s">
        <v>19</v>
      </c>
      <c r="F369" s="14" t="s">
        <v>20</v>
      </c>
      <c r="G369" s="51" t="s">
        <v>1125</v>
      </c>
      <c r="H369" s="51">
        <v>368</v>
      </c>
      <c r="I369" s="53">
        <v>1</v>
      </c>
      <c r="J369" s="54"/>
      <c r="K369" s="53">
        <v>1</v>
      </c>
      <c r="L369" s="54"/>
      <c r="M369" s="54">
        <v>1</v>
      </c>
      <c r="N369" s="54"/>
      <c r="O369" s="54">
        <v>1</v>
      </c>
      <c r="P369" s="54"/>
      <c r="Q369" s="54">
        <v>1</v>
      </c>
      <c r="R369" s="54"/>
      <c r="S369" s="54">
        <v>1</v>
      </c>
      <c r="T369" s="54"/>
      <c r="U369" s="54">
        <v>1</v>
      </c>
      <c r="V369" s="54"/>
      <c r="W369" s="54">
        <v>1</v>
      </c>
      <c r="X369" s="54"/>
      <c r="Y369" s="54">
        <v>1</v>
      </c>
      <c r="Z369" s="54"/>
      <c r="AA369" s="115">
        <v>1</v>
      </c>
      <c r="AB369" s="115"/>
      <c r="AC369" s="115">
        <v>4</v>
      </c>
      <c r="AD369" s="115"/>
    </row>
    <row r="370" spans="1:30" x14ac:dyDescent="0.2">
      <c r="A370" s="20" t="s">
        <v>234</v>
      </c>
      <c r="B370" s="20" t="s">
        <v>200</v>
      </c>
      <c r="C370" s="20" t="s">
        <v>42</v>
      </c>
      <c r="D370" s="20" t="str">
        <f t="shared" si="5"/>
        <v>B2-P6-C3</v>
      </c>
      <c r="E370" s="20" t="s">
        <v>19</v>
      </c>
      <c r="F370" s="20" t="s">
        <v>20</v>
      </c>
      <c r="G370" s="50" t="s">
        <v>1127</v>
      </c>
      <c r="H370" s="50">
        <v>369</v>
      </c>
      <c r="I370" s="52">
        <v>1</v>
      </c>
      <c r="J370" s="52"/>
      <c r="K370" s="52">
        <v>2</v>
      </c>
      <c r="L370" s="52"/>
      <c r="M370" s="52">
        <v>2</v>
      </c>
      <c r="N370" s="52"/>
      <c r="O370" s="52">
        <v>2</v>
      </c>
      <c r="P370" s="52"/>
      <c r="Q370" s="52">
        <v>2</v>
      </c>
      <c r="R370" s="52"/>
      <c r="S370" s="52">
        <v>2</v>
      </c>
      <c r="T370" s="52"/>
      <c r="U370" s="52">
        <v>3</v>
      </c>
      <c r="V370" s="52"/>
      <c r="W370" s="52">
        <v>3</v>
      </c>
      <c r="X370" s="52"/>
      <c r="Y370" s="52">
        <v>3</v>
      </c>
      <c r="Z370" s="52"/>
      <c r="AA370" s="114">
        <v>3</v>
      </c>
      <c r="AB370" s="114"/>
      <c r="AC370" s="114">
        <v>4</v>
      </c>
      <c r="AD370" s="114"/>
    </row>
    <row r="371" spans="1:30" x14ac:dyDescent="0.2">
      <c r="A371" s="20" t="s">
        <v>234</v>
      </c>
      <c r="B371" s="20" t="s">
        <v>200</v>
      </c>
      <c r="C371" s="20" t="s">
        <v>42</v>
      </c>
      <c r="D371" s="20" t="str">
        <f t="shared" si="5"/>
        <v>B2-P6-C3</v>
      </c>
      <c r="E371" s="20" t="s">
        <v>35</v>
      </c>
      <c r="F371" s="20" t="s">
        <v>20</v>
      </c>
      <c r="G371" s="50" t="s">
        <v>1128</v>
      </c>
      <c r="H371" s="50">
        <v>370</v>
      </c>
      <c r="I371" s="52">
        <v>1</v>
      </c>
      <c r="J371" s="52"/>
      <c r="K371" s="52">
        <v>1</v>
      </c>
      <c r="L371" s="52"/>
      <c r="M371" s="52">
        <v>1</v>
      </c>
      <c r="N371" s="52"/>
      <c r="O371" s="52">
        <v>1</v>
      </c>
      <c r="P371" s="52"/>
      <c r="Q371" s="52">
        <v>1</v>
      </c>
      <c r="R371" s="52"/>
      <c r="S371" s="52">
        <v>1</v>
      </c>
      <c r="T371" s="52"/>
      <c r="U371" s="52">
        <v>1</v>
      </c>
      <c r="V371" s="52"/>
      <c r="W371" s="52">
        <v>1</v>
      </c>
      <c r="X371" s="52"/>
      <c r="Y371" s="52">
        <v>1</v>
      </c>
      <c r="Z371" s="52"/>
      <c r="AA371" s="114">
        <v>1</v>
      </c>
      <c r="AB371" s="114"/>
      <c r="AC371" s="114">
        <v>1</v>
      </c>
      <c r="AD371" s="114"/>
    </row>
    <row r="372" spans="1:30" x14ac:dyDescent="0.2">
      <c r="A372" s="20" t="s">
        <v>234</v>
      </c>
      <c r="B372" s="20" t="s">
        <v>200</v>
      </c>
      <c r="C372" s="20" t="s">
        <v>42</v>
      </c>
      <c r="D372" s="20" t="str">
        <f t="shared" si="5"/>
        <v>B2-P6-C3</v>
      </c>
      <c r="E372" s="20" t="s">
        <v>35</v>
      </c>
      <c r="F372" s="20" t="s">
        <v>20</v>
      </c>
      <c r="G372" s="50" t="s">
        <v>1129</v>
      </c>
      <c r="H372" s="50">
        <v>371</v>
      </c>
      <c r="I372" s="52">
        <v>1</v>
      </c>
      <c r="J372" s="52"/>
      <c r="K372" s="52">
        <v>1</v>
      </c>
      <c r="L372" s="52"/>
      <c r="M372" s="52">
        <v>1</v>
      </c>
      <c r="N372" s="52"/>
      <c r="O372" s="52">
        <v>1</v>
      </c>
      <c r="P372" s="52"/>
      <c r="Q372" s="52">
        <v>1</v>
      </c>
      <c r="R372" s="52"/>
      <c r="S372" s="52">
        <v>1</v>
      </c>
      <c r="T372" s="52"/>
      <c r="U372" s="52">
        <v>1</v>
      </c>
      <c r="V372" s="52"/>
      <c r="W372" s="52">
        <v>1</v>
      </c>
      <c r="X372" s="52"/>
      <c r="Y372" s="52">
        <v>1</v>
      </c>
      <c r="Z372" s="52"/>
      <c r="AA372" s="114">
        <v>1</v>
      </c>
      <c r="AB372" s="114"/>
      <c r="AC372" s="114">
        <v>1</v>
      </c>
      <c r="AD372" s="114"/>
    </row>
    <row r="373" spans="1:30" x14ac:dyDescent="0.2">
      <c r="A373" s="20" t="s">
        <v>234</v>
      </c>
      <c r="B373" s="20" t="s">
        <v>200</v>
      </c>
      <c r="C373" s="20" t="s">
        <v>42</v>
      </c>
      <c r="D373" s="20" t="str">
        <f t="shared" si="5"/>
        <v>B2-P6-C3</v>
      </c>
      <c r="E373" s="20" t="s">
        <v>19</v>
      </c>
      <c r="F373" s="20" t="s">
        <v>20</v>
      </c>
      <c r="G373" s="50" t="s">
        <v>1130</v>
      </c>
      <c r="H373" s="50">
        <v>372</v>
      </c>
      <c r="I373" s="52">
        <v>1</v>
      </c>
      <c r="J373" s="52"/>
      <c r="K373" s="52">
        <v>1.5</v>
      </c>
      <c r="L373" s="52"/>
      <c r="M373" s="52">
        <v>1.5</v>
      </c>
      <c r="N373" s="52"/>
      <c r="O373" s="52">
        <v>1.5</v>
      </c>
      <c r="P373" s="52"/>
      <c r="Q373" s="52">
        <v>1.5</v>
      </c>
      <c r="R373" s="52"/>
      <c r="S373" s="52">
        <v>1.5</v>
      </c>
      <c r="T373" s="52"/>
      <c r="U373" s="52">
        <v>3</v>
      </c>
      <c r="V373" s="52"/>
      <c r="W373" s="52">
        <v>3</v>
      </c>
      <c r="X373" s="52"/>
      <c r="Y373" s="52">
        <v>3</v>
      </c>
      <c r="Z373" s="52"/>
      <c r="AA373" s="114">
        <v>3</v>
      </c>
      <c r="AB373" s="114"/>
      <c r="AC373" s="114">
        <v>4</v>
      </c>
      <c r="AD373" s="114"/>
    </row>
    <row r="374" spans="1:30" x14ac:dyDescent="0.2">
      <c r="A374" s="20" t="s">
        <v>234</v>
      </c>
      <c r="B374" s="20" t="s">
        <v>200</v>
      </c>
      <c r="C374" s="20" t="s">
        <v>42</v>
      </c>
      <c r="D374" s="20" t="str">
        <f t="shared" si="5"/>
        <v>B2-P6-C3</v>
      </c>
      <c r="E374" s="20" t="s">
        <v>19</v>
      </c>
      <c r="F374" s="20" t="s">
        <v>20</v>
      </c>
      <c r="G374" s="50" t="s">
        <v>1131</v>
      </c>
      <c r="H374" s="50">
        <v>373</v>
      </c>
      <c r="I374" s="52">
        <v>1</v>
      </c>
      <c r="J374" s="52"/>
      <c r="K374" s="52">
        <v>1</v>
      </c>
      <c r="L374" s="52"/>
      <c r="M374" s="52">
        <v>2</v>
      </c>
      <c r="N374" s="52"/>
      <c r="O374" s="52">
        <v>2</v>
      </c>
      <c r="P374" s="52"/>
      <c r="Q374" s="52">
        <v>2</v>
      </c>
      <c r="R374" s="52"/>
      <c r="S374" s="52">
        <v>2</v>
      </c>
      <c r="T374" s="52"/>
      <c r="U374" s="52">
        <v>3</v>
      </c>
      <c r="V374" s="52"/>
      <c r="W374" s="52">
        <v>3</v>
      </c>
      <c r="X374" s="52"/>
      <c r="Y374" s="52">
        <v>3</v>
      </c>
      <c r="Z374" s="52"/>
      <c r="AA374" s="114">
        <v>3.5</v>
      </c>
      <c r="AB374" s="114"/>
      <c r="AC374" s="114">
        <v>4</v>
      </c>
      <c r="AD374" s="114"/>
    </row>
    <row r="375" spans="1:30" x14ac:dyDescent="0.2">
      <c r="A375" s="20" t="s">
        <v>234</v>
      </c>
      <c r="B375" s="20" t="s">
        <v>200</v>
      </c>
      <c r="C375" s="20" t="s">
        <v>42</v>
      </c>
      <c r="D375" s="20" t="str">
        <f t="shared" si="5"/>
        <v>B2-P6-C3</v>
      </c>
      <c r="E375" s="20" t="s">
        <v>35</v>
      </c>
      <c r="F375" s="20" t="s">
        <v>20</v>
      </c>
      <c r="G375" s="50" t="s">
        <v>1132</v>
      </c>
      <c r="H375" s="50">
        <v>374</v>
      </c>
      <c r="I375" s="52">
        <v>1</v>
      </c>
      <c r="J375" s="52"/>
      <c r="K375" s="52">
        <v>1</v>
      </c>
      <c r="L375" s="52"/>
      <c r="M375" s="52">
        <v>1</v>
      </c>
      <c r="N375" s="52"/>
      <c r="O375" s="52">
        <v>1</v>
      </c>
      <c r="P375" s="52"/>
      <c r="Q375" s="52">
        <v>1</v>
      </c>
      <c r="R375" s="52"/>
      <c r="S375" s="52">
        <v>1</v>
      </c>
      <c r="T375" s="52"/>
      <c r="U375" s="52">
        <v>1</v>
      </c>
      <c r="V375" s="52"/>
      <c r="W375" s="52">
        <v>1</v>
      </c>
      <c r="X375" s="52"/>
      <c r="Y375" s="52">
        <v>1</v>
      </c>
      <c r="Z375" s="52"/>
      <c r="AA375" s="114">
        <v>1</v>
      </c>
      <c r="AB375" s="114"/>
      <c r="AC375" s="114">
        <v>1</v>
      </c>
      <c r="AD375" s="114"/>
    </row>
    <row r="376" spans="1:30" x14ac:dyDescent="0.2">
      <c r="A376" s="20" t="s">
        <v>234</v>
      </c>
      <c r="B376" s="20" t="s">
        <v>200</v>
      </c>
      <c r="C376" s="20" t="s">
        <v>42</v>
      </c>
      <c r="D376" s="20" t="str">
        <f t="shared" si="5"/>
        <v>B2-P6-C3</v>
      </c>
      <c r="E376" s="20" t="s">
        <v>35</v>
      </c>
      <c r="F376" s="20" t="s">
        <v>20</v>
      </c>
      <c r="G376" s="50" t="s">
        <v>1133</v>
      </c>
      <c r="H376" s="50">
        <v>375</v>
      </c>
      <c r="I376" s="52">
        <v>1</v>
      </c>
      <c r="J376" s="52"/>
      <c r="K376" s="52">
        <v>1</v>
      </c>
      <c r="L376" s="52"/>
      <c r="M376" s="52">
        <v>1</v>
      </c>
      <c r="N376" s="52"/>
      <c r="O376" s="52">
        <v>1</v>
      </c>
      <c r="P376" s="52"/>
      <c r="Q376" s="52">
        <v>1</v>
      </c>
      <c r="R376" s="52"/>
      <c r="S376" s="52">
        <v>1</v>
      </c>
      <c r="T376" s="52"/>
      <c r="U376" s="52">
        <v>1</v>
      </c>
      <c r="V376" s="52"/>
      <c r="W376" s="52">
        <v>1</v>
      </c>
      <c r="X376" s="52"/>
      <c r="Y376" s="52">
        <v>1</v>
      </c>
      <c r="Z376" s="52"/>
      <c r="AA376" s="114">
        <v>1</v>
      </c>
      <c r="AB376" s="114"/>
      <c r="AC376" s="114">
        <v>1</v>
      </c>
      <c r="AD376" s="114"/>
    </row>
    <row r="377" spans="1:30" x14ac:dyDescent="0.2">
      <c r="A377" s="20" t="s">
        <v>234</v>
      </c>
      <c r="B377" s="20" t="s">
        <v>200</v>
      </c>
      <c r="C377" s="20" t="s">
        <v>42</v>
      </c>
      <c r="D377" s="20" t="str">
        <f t="shared" si="5"/>
        <v>B2-P6-C3</v>
      </c>
      <c r="E377" s="20" t="s">
        <v>19</v>
      </c>
      <c r="F377" s="20" t="s">
        <v>20</v>
      </c>
      <c r="G377" s="50" t="s">
        <v>1134</v>
      </c>
      <c r="H377" s="50">
        <v>376</v>
      </c>
      <c r="I377" s="52">
        <v>1</v>
      </c>
      <c r="J377" s="52"/>
      <c r="K377" s="52">
        <v>2</v>
      </c>
      <c r="L377" s="52"/>
      <c r="M377" s="52">
        <v>2</v>
      </c>
      <c r="N377" s="52"/>
      <c r="O377" s="52">
        <v>2.5</v>
      </c>
      <c r="P377" s="52"/>
      <c r="Q377" s="52">
        <v>2</v>
      </c>
      <c r="R377" s="52"/>
      <c r="S377" s="52">
        <v>2</v>
      </c>
      <c r="T377" s="52"/>
      <c r="U377" s="52">
        <v>3</v>
      </c>
      <c r="V377" s="52"/>
      <c r="W377" s="52">
        <v>3</v>
      </c>
      <c r="X377" s="52"/>
      <c r="Y377" s="52">
        <v>3</v>
      </c>
      <c r="Z377" s="52"/>
      <c r="AA377" s="114">
        <v>3.5</v>
      </c>
      <c r="AB377" s="114"/>
      <c r="AC377" s="114">
        <v>4</v>
      </c>
      <c r="AD377" s="114"/>
    </row>
    <row r="378" spans="1:30" x14ac:dyDescent="0.2">
      <c r="A378" s="14" t="s">
        <v>234</v>
      </c>
      <c r="B378" s="14" t="s">
        <v>200</v>
      </c>
      <c r="C378" s="14" t="s">
        <v>53</v>
      </c>
      <c r="D378" s="14" t="str">
        <f t="shared" si="5"/>
        <v>B2-P6-C4</v>
      </c>
      <c r="E378" s="14" t="s">
        <v>35</v>
      </c>
      <c r="F378" s="14" t="s">
        <v>20</v>
      </c>
      <c r="G378" s="51" t="s">
        <v>1136</v>
      </c>
      <c r="H378" s="51">
        <v>377</v>
      </c>
      <c r="I378" s="53">
        <v>1</v>
      </c>
      <c r="J378" s="54"/>
      <c r="K378" s="53">
        <v>1</v>
      </c>
      <c r="L378" s="54"/>
      <c r="M378" s="54">
        <v>1</v>
      </c>
      <c r="N378" s="54"/>
      <c r="O378" s="54">
        <v>1</v>
      </c>
      <c r="P378" s="54"/>
      <c r="Q378" s="54">
        <v>1</v>
      </c>
      <c r="R378" s="54"/>
      <c r="S378" s="54">
        <v>1</v>
      </c>
      <c r="T378" s="54"/>
      <c r="U378" s="54">
        <v>1</v>
      </c>
      <c r="V378" s="54"/>
      <c r="W378" s="54">
        <v>1</v>
      </c>
      <c r="X378" s="54"/>
      <c r="Y378" s="54">
        <v>1</v>
      </c>
      <c r="Z378" s="54"/>
      <c r="AA378" s="115">
        <v>1</v>
      </c>
      <c r="AB378" s="115"/>
      <c r="AC378" s="115">
        <v>1</v>
      </c>
      <c r="AD378" s="115"/>
    </row>
    <row r="379" spans="1:30" x14ac:dyDescent="0.2">
      <c r="A379" s="14" t="s">
        <v>234</v>
      </c>
      <c r="B379" s="14" t="s">
        <v>200</v>
      </c>
      <c r="C379" s="14" t="s">
        <v>53</v>
      </c>
      <c r="D379" s="14" t="str">
        <f t="shared" si="5"/>
        <v>B2-P6-C4</v>
      </c>
      <c r="E379" s="14" t="s">
        <v>35</v>
      </c>
      <c r="F379" s="14" t="s">
        <v>20</v>
      </c>
      <c r="G379" s="51" t="s">
        <v>1137</v>
      </c>
      <c r="H379" s="51">
        <v>378</v>
      </c>
      <c r="I379" s="53">
        <v>1</v>
      </c>
      <c r="J379" s="54"/>
      <c r="K379" s="53">
        <v>1</v>
      </c>
      <c r="L379" s="54"/>
      <c r="M379" s="54">
        <v>1</v>
      </c>
      <c r="N379" s="54"/>
      <c r="O379" s="54">
        <v>1</v>
      </c>
      <c r="P379" s="54"/>
      <c r="Q379" s="54">
        <v>1</v>
      </c>
      <c r="R379" s="54"/>
      <c r="S379" s="54">
        <v>1</v>
      </c>
      <c r="T379" s="54"/>
      <c r="U379" s="54">
        <v>1</v>
      </c>
      <c r="V379" s="54"/>
      <c r="W379" s="54">
        <v>1</v>
      </c>
      <c r="X379" s="54"/>
      <c r="Y379" s="54">
        <v>1</v>
      </c>
      <c r="Z379" s="54"/>
      <c r="AA379" s="115">
        <v>1</v>
      </c>
      <c r="AB379" s="115"/>
      <c r="AC379" s="115">
        <v>1</v>
      </c>
      <c r="AD379" s="115"/>
    </row>
    <row r="380" spans="1:30" x14ac:dyDescent="0.2">
      <c r="A380" s="14" t="s">
        <v>234</v>
      </c>
      <c r="B380" s="14" t="s">
        <v>200</v>
      </c>
      <c r="C380" s="14" t="s">
        <v>53</v>
      </c>
      <c r="D380" s="14" t="str">
        <f t="shared" si="5"/>
        <v>B2-P6-C4</v>
      </c>
      <c r="E380" s="14" t="s">
        <v>35</v>
      </c>
      <c r="F380" s="14" t="s">
        <v>20</v>
      </c>
      <c r="G380" s="51" t="s">
        <v>1138</v>
      </c>
      <c r="H380" s="51">
        <v>379</v>
      </c>
      <c r="I380" s="53">
        <v>1</v>
      </c>
      <c r="J380" s="54"/>
      <c r="K380" s="53">
        <v>1</v>
      </c>
      <c r="L380" s="54"/>
      <c r="M380" s="54">
        <v>1</v>
      </c>
      <c r="N380" s="54"/>
      <c r="O380" s="54">
        <v>1</v>
      </c>
      <c r="P380" s="54"/>
      <c r="Q380" s="54">
        <v>1</v>
      </c>
      <c r="R380" s="54"/>
      <c r="S380" s="54">
        <v>1</v>
      </c>
      <c r="T380" s="54"/>
      <c r="U380" s="54">
        <v>1</v>
      </c>
      <c r="V380" s="54"/>
      <c r="W380" s="54">
        <v>1</v>
      </c>
      <c r="X380" s="54"/>
      <c r="Y380" s="54">
        <v>1</v>
      </c>
      <c r="Z380" s="54"/>
      <c r="AA380" s="115">
        <v>1</v>
      </c>
      <c r="AB380" s="115"/>
      <c r="AC380" s="115">
        <v>1</v>
      </c>
      <c r="AD380" s="115"/>
    </row>
    <row r="381" spans="1:30" x14ac:dyDescent="0.2">
      <c r="A381" s="14" t="s">
        <v>234</v>
      </c>
      <c r="B381" s="14" t="s">
        <v>200</v>
      </c>
      <c r="C381" s="14" t="s">
        <v>53</v>
      </c>
      <c r="D381" s="14" t="str">
        <f t="shared" si="5"/>
        <v>B2-P6-C4</v>
      </c>
      <c r="E381" s="14" t="s">
        <v>35</v>
      </c>
      <c r="F381" s="14" t="s">
        <v>20</v>
      </c>
      <c r="G381" s="51" t="s">
        <v>1139</v>
      </c>
      <c r="H381" s="51">
        <v>380</v>
      </c>
      <c r="I381" s="53">
        <v>1</v>
      </c>
      <c r="J381" s="54"/>
      <c r="K381" s="53">
        <v>1</v>
      </c>
      <c r="L381" s="54"/>
      <c r="M381" s="54">
        <v>1</v>
      </c>
      <c r="N381" s="54"/>
      <c r="O381" s="54">
        <v>1</v>
      </c>
      <c r="P381" s="54"/>
      <c r="Q381" s="54">
        <v>1</v>
      </c>
      <c r="R381" s="54"/>
      <c r="S381" s="54">
        <v>1</v>
      </c>
      <c r="T381" s="54"/>
      <c r="U381" s="54">
        <v>1</v>
      </c>
      <c r="V381" s="54"/>
      <c r="W381" s="54">
        <v>1</v>
      </c>
      <c r="X381" s="54"/>
      <c r="Y381" s="54">
        <v>1</v>
      </c>
      <c r="Z381" s="54"/>
      <c r="AA381" s="115">
        <v>1</v>
      </c>
      <c r="AB381" s="115"/>
      <c r="AC381" s="115">
        <v>1</v>
      </c>
      <c r="AD381" s="115"/>
    </row>
    <row r="382" spans="1:30" x14ac:dyDescent="0.2">
      <c r="A382" s="14" t="s">
        <v>234</v>
      </c>
      <c r="B382" s="14" t="s">
        <v>200</v>
      </c>
      <c r="C382" s="14" t="s">
        <v>53</v>
      </c>
      <c r="D382" s="14" t="str">
        <f t="shared" si="5"/>
        <v>B2-P6-C4</v>
      </c>
      <c r="E382" s="14" t="s">
        <v>35</v>
      </c>
      <c r="F382" s="14" t="s">
        <v>20</v>
      </c>
      <c r="G382" s="51" t="s">
        <v>1140</v>
      </c>
      <c r="H382" s="51">
        <v>381</v>
      </c>
      <c r="I382" s="53">
        <v>1</v>
      </c>
      <c r="J382" s="54"/>
      <c r="K382" s="53">
        <v>1</v>
      </c>
      <c r="L382" s="54"/>
      <c r="M382" s="54">
        <v>1</v>
      </c>
      <c r="N382" s="54"/>
      <c r="O382" s="54">
        <v>1</v>
      </c>
      <c r="P382" s="54"/>
      <c r="Q382" s="54">
        <v>1</v>
      </c>
      <c r="R382" s="54"/>
      <c r="S382" s="54">
        <v>1</v>
      </c>
      <c r="T382" s="54"/>
      <c r="U382" s="54">
        <v>1</v>
      </c>
      <c r="V382" s="54"/>
      <c r="W382" s="54">
        <v>1</v>
      </c>
      <c r="X382" s="54"/>
      <c r="Y382" s="54">
        <v>1</v>
      </c>
      <c r="Z382" s="54"/>
      <c r="AA382" s="115">
        <v>1</v>
      </c>
      <c r="AB382" s="115"/>
      <c r="AC382" s="115">
        <v>1</v>
      </c>
      <c r="AD382" s="115"/>
    </row>
    <row r="383" spans="1:30" x14ac:dyDescent="0.2">
      <c r="A383" s="14" t="s">
        <v>234</v>
      </c>
      <c r="B383" s="14" t="s">
        <v>200</v>
      </c>
      <c r="C383" s="14" t="s">
        <v>53</v>
      </c>
      <c r="D383" s="14" t="str">
        <f t="shared" si="5"/>
        <v>B2-P6-C4</v>
      </c>
      <c r="E383" s="14" t="s">
        <v>35</v>
      </c>
      <c r="F383" s="14" t="s">
        <v>20</v>
      </c>
      <c r="G383" s="51" t="s">
        <v>1141</v>
      </c>
      <c r="H383" s="51">
        <v>382</v>
      </c>
      <c r="I383" s="53">
        <v>1</v>
      </c>
      <c r="J383" s="54"/>
      <c r="K383" s="53">
        <v>1</v>
      </c>
      <c r="L383" s="54"/>
      <c r="M383" s="54">
        <v>1</v>
      </c>
      <c r="N383" s="54"/>
      <c r="O383" s="54">
        <v>1</v>
      </c>
      <c r="P383" s="54"/>
      <c r="Q383" s="54">
        <v>1</v>
      </c>
      <c r="R383" s="54"/>
      <c r="S383" s="54">
        <v>1</v>
      </c>
      <c r="T383" s="54"/>
      <c r="U383" s="54">
        <v>1</v>
      </c>
      <c r="V383" s="54"/>
      <c r="W383" s="54">
        <v>1</v>
      </c>
      <c r="X383" s="54"/>
      <c r="Y383" s="54">
        <v>1</v>
      </c>
      <c r="Z383" s="54"/>
      <c r="AA383" s="115">
        <v>1</v>
      </c>
      <c r="AB383" s="115"/>
      <c r="AC383" s="115">
        <v>1</v>
      </c>
      <c r="AD383" s="115"/>
    </row>
    <row r="384" spans="1:30" x14ac:dyDescent="0.2">
      <c r="A384" s="14" t="s">
        <v>234</v>
      </c>
      <c r="B384" s="14" t="s">
        <v>200</v>
      </c>
      <c r="C384" s="14" t="s">
        <v>53</v>
      </c>
      <c r="D384" s="14" t="str">
        <f t="shared" si="5"/>
        <v>B2-P6-C4</v>
      </c>
      <c r="E384" s="14" t="s">
        <v>35</v>
      </c>
      <c r="F384" s="14" t="s">
        <v>20</v>
      </c>
      <c r="G384" s="51" t="s">
        <v>1142</v>
      </c>
      <c r="H384" s="51">
        <v>383</v>
      </c>
      <c r="I384" s="53">
        <v>1</v>
      </c>
      <c r="J384" s="54"/>
      <c r="K384" s="53">
        <v>1</v>
      </c>
      <c r="L384" s="54"/>
      <c r="M384" s="54">
        <v>1</v>
      </c>
      <c r="N384" s="54"/>
      <c r="O384" s="54">
        <v>1</v>
      </c>
      <c r="P384" s="54"/>
      <c r="Q384" s="54">
        <v>1</v>
      </c>
      <c r="R384" s="54"/>
      <c r="S384" s="54">
        <v>1</v>
      </c>
      <c r="T384" s="54"/>
      <c r="U384" s="54">
        <v>1</v>
      </c>
      <c r="V384" s="54"/>
      <c r="W384" s="54">
        <v>1</v>
      </c>
      <c r="X384" s="54"/>
      <c r="Y384" s="54">
        <v>1</v>
      </c>
      <c r="Z384" s="54"/>
      <c r="AA384" s="115">
        <v>1</v>
      </c>
      <c r="AB384" s="115"/>
      <c r="AC384" s="115">
        <v>1</v>
      </c>
      <c r="AD384" s="115"/>
    </row>
    <row r="385" spans="1:30" x14ac:dyDescent="0.2">
      <c r="A385" s="14" t="s">
        <v>234</v>
      </c>
      <c r="B385" s="14" t="s">
        <v>200</v>
      </c>
      <c r="C385" s="14" t="s">
        <v>53</v>
      </c>
      <c r="D385" s="14" t="str">
        <f t="shared" si="5"/>
        <v>B2-P6-C4</v>
      </c>
      <c r="E385" s="14" t="s">
        <v>35</v>
      </c>
      <c r="F385" s="14" t="s">
        <v>20</v>
      </c>
      <c r="G385" s="51" t="s">
        <v>1143</v>
      </c>
      <c r="H385" s="51">
        <v>384</v>
      </c>
      <c r="I385" s="53">
        <v>1</v>
      </c>
      <c r="J385" s="54"/>
      <c r="K385" s="53">
        <v>1</v>
      </c>
      <c r="L385" s="54"/>
      <c r="M385" s="54">
        <v>1</v>
      </c>
      <c r="N385" s="54"/>
      <c r="O385" s="54">
        <v>1</v>
      </c>
      <c r="P385" s="54"/>
      <c r="Q385" s="54">
        <v>1</v>
      </c>
      <c r="R385" s="54"/>
      <c r="S385" s="54">
        <v>1</v>
      </c>
      <c r="T385" s="54"/>
      <c r="U385" s="54">
        <v>1</v>
      </c>
      <c r="V385" s="54"/>
      <c r="W385" s="54">
        <v>1</v>
      </c>
      <c r="X385" s="54"/>
      <c r="Y385" s="54">
        <v>1</v>
      </c>
      <c r="Z385" s="54"/>
      <c r="AA385" s="115">
        <v>1</v>
      </c>
      <c r="AB385" s="115"/>
      <c r="AC385" s="115">
        <v>1</v>
      </c>
      <c r="AD385" s="115"/>
    </row>
    <row r="386" spans="1:30" x14ac:dyDescent="0.2">
      <c r="A386" s="20" t="s">
        <v>426</v>
      </c>
      <c r="B386" s="20" t="s">
        <v>15</v>
      </c>
      <c r="C386" s="20" t="s">
        <v>16</v>
      </c>
      <c r="D386" s="20" t="str">
        <f t="shared" si="5"/>
        <v>B3-P1-C1</v>
      </c>
      <c r="E386" s="20" t="s">
        <v>19</v>
      </c>
      <c r="F386" s="20" t="s">
        <v>20</v>
      </c>
      <c r="G386" s="50" t="s">
        <v>1145</v>
      </c>
      <c r="H386" s="50">
        <v>385</v>
      </c>
      <c r="I386" s="52">
        <v>1</v>
      </c>
      <c r="J386" s="52"/>
      <c r="K386" s="52">
        <v>3</v>
      </c>
      <c r="L386" s="52"/>
      <c r="M386" s="52">
        <v>3</v>
      </c>
      <c r="N386" s="52"/>
      <c r="O386" s="52">
        <v>3</v>
      </c>
      <c r="P386" s="52"/>
      <c r="Q386" s="52">
        <v>2.5</v>
      </c>
      <c r="R386" s="52"/>
      <c r="S386" s="52">
        <v>2.5</v>
      </c>
      <c r="T386" s="52"/>
      <c r="U386" s="52">
        <v>3</v>
      </c>
      <c r="V386" s="52"/>
      <c r="W386" s="52">
        <v>3</v>
      </c>
      <c r="X386" s="52"/>
      <c r="Y386" s="52">
        <v>2</v>
      </c>
      <c r="Z386" s="52"/>
      <c r="AA386" s="114">
        <v>2</v>
      </c>
      <c r="AB386" s="114"/>
      <c r="AC386" s="114">
        <v>4</v>
      </c>
      <c r="AD386" s="114"/>
    </row>
    <row r="387" spans="1:30" x14ac:dyDescent="0.2">
      <c r="A387" s="20" t="s">
        <v>426</v>
      </c>
      <c r="B387" s="20" t="s">
        <v>15</v>
      </c>
      <c r="C387" s="20" t="s">
        <v>16</v>
      </c>
      <c r="D387" s="20" t="str">
        <f t="shared" ref="D387:D450" si="6">A387&amp;"-"&amp;B387&amp;"-"&amp;C387</f>
        <v>B3-P1-C1</v>
      </c>
      <c r="E387" s="20" t="s">
        <v>19</v>
      </c>
      <c r="F387" s="20" t="s">
        <v>20</v>
      </c>
      <c r="G387" s="50" t="s">
        <v>1146</v>
      </c>
      <c r="H387" s="50">
        <v>386</v>
      </c>
      <c r="I387" s="52">
        <v>1</v>
      </c>
      <c r="J387" s="52"/>
      <c r="K387" s="52">
        <v>2.5</v>
      </c>
      <c r="L387" s="52"/>
      <c r="M387" s="52">
        <v>3</v>
      </c>
      <c r="N387" s="52"/>
      <c r="O387" s="52">
        <v>3</v>
      </c>
      <c r="P387" s="52"/>
      <c r="Q387" s="52">
        <v>3</v>
      </c>
      <c r="R387" s="52"/>
      <c r="S387" s="52">
        <v>3</v>
      </c>
      <c r="T387" s="52"/>
      <c r="U387" s="52">
        <v>3</v>
      </c>
      <c r="V387" s="52"/>
      <c r="W387" s="52">
        <v>3</v>
      </c>
      <c r="X387" s="52"/>
      <c r="Y387" s="52">
        <v>3</v>
      </c>
      <c r="Z387" s="52"/>
      <c r="AA387" s="114">
        <v>3</v>
      </c>
      <c r="AB387" s="114"/>
      <c r="AC387" s="114">
        <v>4</v>
      </c>
      <c r="AD387" s="114"/>
    </row>
    <row r="388" spans="1:30" x14ac:dyDescent="0.2">
      <c r="A388" s="20" t="s">
        <v>426</v>
      </c>
      <c r="B388" s="20" t="s">
        <v>15</v>
      </c>
      <c r="C388" s="20" t="s">
        <v>16</v>
      </c>
      <c r="D388" s="20" t="str">
        <f t="shared" si="6"/>
        <v>B3-P1-C1</v>
      </c>
      <c r="E388" s="20" t="s">
        <v>19</v>
      </c>
      <c r="F388" s="20" t="s">
        <v>20</v>
      </c>
      <c r="G388" s="50" t="s">
        <v>1147</v>
      </c>
      <c r="H388" s="50">
        <v>387</v>
      </c>
      <c r="I388" s="52">
        <v>1</v>
      </c>
      <c r="J388" s="52"/>
      <c r="K388" s="52">
        <v>3</v>
      </c>
      <c r="L388" s="52"/>
      <c r="M388" s="52">
        <v>3</v>
      </c>
      <c r="N388" s="52"/>
      <c r="O388" s="52">
        <v>3</v>
      </c>
      <c r="P388" s="52"/>
      <c r="Q388" s="52">
        <v>2.5</v>
      </c>
      <c r="R388" s="52"/>
      <c r="S388" s="52">
        <v>2.5</v>
      </c>
      <c r="T388" s="52"/>
      <c r="U388" s="52">
        <v>3</v>
      </c>
      <c r="V388" s="52"/>
      <c r="W388" s="52">
        <v>3</v>
      </c>
      <c r="X388" s="52"/>
      <c r="Y388" s="52">
        <v>2</v>
      </c>
      <c r="Z388" s="52"/>
      <c r="AA388" s="114">
        <v>3</v>
      </c>
      <c r="AB388" s="114"/>
      <c r="AC388" s="114">
        <v>4</v>
      </c>
      <c r="AD388" s="114"/>
    </row>
    <row r="389" spans="1:30" x14ac:dyDescent="0.2">
      <c r="A389" s="20" t="s">
        <v>426</v>
      </c>
      <c r="B389" s="20" t="s">
        <v>15</v>
      </c>
      <c r="C389" s="20" t="s">
        <v>16</v>
      </c>
      <c r="D389" s="20" t="str">
        <f t="shared" si="6"/>
        <v>B3-P1-C1</v>
      </c>
      <c r="E389" s="20" t="s">
        <v>19</v>
      </c>
      <c r="F389" s="20" t="s">
        <v>20</v>
      </c>
      <c r="G389" s="50" t="s">
        <v>1148</v>
      </c>
      <c r="H389" s="50">
        <v>388</v>
      </c>
      <c r="I389" s="52">
        <v>1</v>
      </c>
      <c r="J389" s="52"/>
      <c r="K389" s="52">
        <v>3</v>
      </c>
      <c r="L389" s="52"/>
      <c r="M389" s="52">
        <v>3</v>
      </c>
      <c r="N389" s="52"/>
      <c r="O389" s="52">
        <v>3</v>
      </c>
      <c r="P389" s="52"/>
      <c r="Q389" s="52">
        <v>2.5</v>
      </c>
      <c r="R389" s="52"/>
      <c r="S389" s="52">
        <v>2.5</v>
      </c>
      <c r="T389" s="52"/>
      <c r="U389" s="52">
        <v>3</v>
      </c>
      <c r="V389" s="52"/>
      <c r="W389" s="52">
        <v>3</v>
      </c>
      <c r="X389" s="52"/>
      <c r="Y389" s="52">
        <v>3</v>
      </c>
      <c r="Z389" s="52"/>
      <c r="AA389" s="114">
        <v>3</v>
      </c>
      <c r="AB389" s="114"/>
      <c r="AC389" s="114">
        <v>3</v>
      </c>
      <c r="AD389" s="114"/>
    </row>
    <row r="390" spans="1:30" x14ac:dyDescent="0.2">
      <c r="A390" s="20" t="s">
        <v>426</v>
      </c>
      <c r="B390" s="20" t="s">
        <v>15</v>
      </c>
      <c r="C390" s="20" t="s">
        <v>16</v>
      </c>
      <c r="D390" s="20" t="str">
        <f t="shared" si="6"/>
        <v>B3-P1-C1</v>
      </c>
      <c r="E390" s="20" t="s">
        <v>19</v>
      </c>
      <c r="F390" s="20" t="s">
        <v>20</v>
      </c>
      <c r="G390" s="50" t="s">
        <v>1149</v>
      </c>
      <c r="H390" s="50">
        <v>389</v>
      </c>
      <c r="I390" s="52">
        <v>1</v>
      </c>
      <c r="J390" s="52"/>
      <c r="K390" s="52">
        <v>3</v>
      </c>
      <c r="L390" s="52"/>
      <c r="M390" s="52">
        <v>3</v>
      </c>
      <c r="N390" s="52"/>
      <c r="O390" s="52">
        <v>3</v>
      </c>
      <c r="P390" s="52"/>
      <c r="Q390" s="52">
        <v>3</v>
      </c>
      <c r="R390" s="52"/>
      <c r="S390" s="52">
        <v>2.5</v>
      </c>
      <c r="T390" s="52"/>
      <c r="U390" s="52">
        <v>3</v>
      </c>
      <c r="V390" s="52"/>
      <c r="W390" s="52">
        <v>3</v>
      </c>
      <c r="X390" s="52"/>
      <c r="Y390" s="52">
        <v>3</v>
      </c>
      <c r="Z390" s="52"/>
      <c r="AA390" s="114">
        <v>3.5</v>
      </c>
      <c r="AB390" s="114"/>
      <c r="AC390" s="114">
        <v>4</v>
      </c>
      <c r="AD390" s="114"/>
    </row>
    <row r="391" spans="1:30" x14ac:dyDescent="0.2">
      <c r="A391" s="20" t="s">
        <v>426</v>
      </c>
      <c r="B391" s="20" t="s">
        <v>15</v>
      </c>
      <c r="C391" s="20" t="s">
        <v>16</v>
      </c>
      <c r="D391" s="20" t="str">
        <f t="shared" si="6"/>
        <v>B3-P1-C1</v>
      </c>
      <c r="E391" s="20" t="s">
        <v>19</v>
      </c>
      <c r="F391" s="20" t="s">
        <v>20</v>
      </c>
      <c r="G391" s="50" t="s">
        <v>1150</v>
      </c>
      <c r="H391" s="50">
        <v>390</v>
      </c>
      <c r="I391" s="52">
        <v>1</v>
      </c>
      <c r="J391" s="52"/>
      <c r="K391" s="52">
        <v>3</v>
      </c>
      <c r="L391" s="52"/>
      <c r="M391" s="52">
        <v>3</v>
      </c>
      <c r="N391" s="52"/>
      <c r="O391" s="52">
        <v>3</v>
      </c>
      <c r="P391" s="52"/>
      <c r="Q391" s="52">
        <v>3</v>
      </c>
      <c r="R391" s="52"/>
      <c r="S391" s="52">
        <v>3</v>
      </c>
      <c r="T391" s="52"/>
      <c r="U391" s="52">
        <v>3</v>
      </c>
      <c r="V391" s="52"/>
      <c r="W391" s="52">
        <v>3.5</v>
      </c>
      <c r="X391" s="52"/>
      <c r="Y391" s="52">
        <v>3.5</v>
      </c>
      <c r="Z391" s="52"/>
      <c r="AA391" s="114">
        <v>3.5</v>
      </c>
      <c r="AB391" s="114"/>
      <c r="AC391" s="114">
        <v>4</v>
      </c>
      <c r="AD391" s="114"/>
    </row>
    <row r="392" spans="1:30" x14ac:dyDescent="0.2">
      <c r="A392" s="20" t="s">
        <v>426</v>
      </c>
      <c r="B392" s="20" t="s">
        <v>15</v>
      </c>
      <c r="C392" s="20" t="s">
        <v>16</v>
      </c>
      <c r="D392" s="20" t="str">
        <f t="shared" si="6"/>
        <v>B3-P1-C1</v>
      </c>
      <c r="E392" s="20" t="s">
        <v>19</v>
      </c>
      <c r="F392" s="20" t="s">
        <v>20</v>
      </c>
      <c r="G392" s="50" t="s">
        <v>1151</v>
      </c>
      <c r="H392" s="50">
        <v>391</v>
      </c>
      <c r="I392" s="52">
        <v>1</v>
      </c>
      <c r="J392" s="52"/>
      <c r="K392" s="52">
        <v>3</v>
      </c>
      <c r="L392" s="52"/>
      <c r="M392" s="52">
        <v>3</v>
      </c>
      <c r="N392" s="52"/>
      <c r="O392" s="52">
        <v>3</v>
      </c>
      <c r="P392" s="52"/>
      <c r="Q392" s="52">
        <v>3</v>
      </c>
      <c r="R392" s="52"/>
      <c r="S392" s="52">
        <v>3</v>
      </c>
      <c r="T392" s="52"/>
      <c r="U392" s="52">
        <v>4</v>
      </c>
      <c r="V392" s="52"/>
      <c r="W392" s="52">
        <v>4</v>
      </c>
      <c r="X392" s="52"/>
      <c r="Y392" s="52">
        <v>4</v>
      </c>
      <c r="Z392" s="52"/>
      <c r="AA392" s="114">
        <v>4</v>
      </c>
      <c r="AB392" s="114"/>
      <c r="AC392" s="114">
        <v>4</v>
      </c>
      <c r="AD392" s="114"/>
    </row>
    <row r="393" spans="1:30" x14ac:dyDescent="0.2">
      <c r="A393" s="20" t="s">
        <v>426</v>
      </c>
      <c r="B393" s="20" t="s">
        <v>15</v>
      </c>
      <c r="C393" s="20" t="s">
        <v>16</v>
      </c>
      <c r="D393" s="20" t="str">
        <f t="shared" si="6"/>
        <v>B3-P1-C1</v>
      </c>
      <c r="E393" s="20" t="s">
        <v>19</v>
      </c>
      <c r="F393" s="20" t="s">
        <v>20</v>
      </c>
      <c r="G393" s="50" t="s">
        <v>1152</v>
      </c>
      <c r="H393" s="50">
        <v>392</v>
      </c>
      <c r="I393" s="52">
        <v>1</v>
      </c>
      <c r="J393" s="52"/>
      <c r="K393" s="52">
        <v>3</v>
      </c>
      <c r="L393" s="52"/>
      <c r="M393" s="52">
        <v>3</v>
      </c>
      <c r="N393" s="52"/>
      <c r="O393" s="52">
        <v>3</v>
      </c>
      <c r="P393" s="52"/>
      <c r="Q393" s="52">
        <v>3</v>
      </c>
      <c r="R393" s="52"/>
      <c r="S393" s="52">
        <v>3</v>
      </c>
      <c r="T393" s="52"/>
      <c r="U393" s="52">
        <v>4</v>
      </c>
      <c r="V393" s="52"/>
      <c r="W393" s="52">
        <v>4</v>
      </c>
      <c r="X393" s="52"/>
      <c r="Y393" s="52">
        <v>4</v>
      </c>
      <c r="Z393" s="52"/>
      <c r="AA393" s="114">
        <v>4</v>
      </c>
      <c r="AB393" s="114"/>
      <c r="AC393" s="114">
        <v>4</v>
      </c>
      <c r="AD393" s="114"/>
    </row>
    <row r="394" spans="1:30" x14ac:dyDescent="0.2">
      <c r="A394" s="14" t="s">
        <v>426</v>
      </c>
      <c r="B394" s="14" t="s">
        <v>15</v>
      </c>
      <c r="C394" s="14" t="s">
        <v>32</v>
      </c>
      <c r="D394" s="14" t="str">
        <f t="shared" si="6"/>
        <v>B3-P1-C2</v>
      </c>
      <c r="E394" s="14" t="s">
        <v>35</v>
      </c>
      <c r="F394" s="14" t="s">
        <v>20</v>
      </c>
      <c r="G394" s="51" t="s">
        <v>1154</v>
      </c>
      <c r="H394" s="51">
        <v>393</v>
      </c>
      <c r="I394" s="53">
        <v>1</v>
      </c>
      <c r="J394" s="54"/>
      <c r="K394" s="53">
        <v>1</v>
      </c>
      <c r="L394" s="54"/>
      <c r="M394" s="54">
        <v>1</v>
      </c>
      <c r="N394" s="54"/>
      <c r="O394" s="54">
        <v>1</v>
      </c>
      <c r="P394" s="54"/>
      <c r="Q394" s="54">
        <v>1</v>
      </c>
      <c r="R394" s="54"/>
      <c r="S394" s="54">
        <v>1</v>
      </c>
      <c r="T394" s="54"/>
      <c r="U394" s="54">
        <v>1</v>
      </c>
      <c r="V394" s="54"/>
      <c r="W394" s="54">
        <v>1</v>
      </c>
      <c r="X394" s="54"/>
      <c r="Y394" s="54">
        <v>1</v>
      </c>
      <c r="Z394" s="54"/>
      <c r="AA394" s="115">
        <v>1</v>
      </c>
      <c r="AB394" s="115"/>
      <c r="AC394" s="115">
        <v>1</v>
      </c>
      <c r="AD394" s="115"/>
    </row>
    <row r="395" spans="1:30" x14ac:dyDescent="0.2">
      <c r="A395" s="14" t="s">
        <v>426</v>
      </c>
      <c r="B395" s="14" t="s">
        <v>15</v>
      </c>
      <c r="C395" s="14" t="s">
        <v>32</v>
      </c>
      <c r="D395" s="14" t="str">
        <f t="shared" si="6"/>
        <v>B3-P1-C2</v>
      </c>
      <c r="E395" s="14" t="s">
        <v>35</v>
      </c>
      <c r="F395" s="14" t="s">
        <v>20</v>
      </c>
      <c r="G395" s="51" t="s">
        <v>1155</v>
      </c>
      <c r="H395" s="51">
        <v>394</v>
      </c>
      <c r="I395" s="53">
        <v>1</v>
      </c>
      <c r="J395" s="54"/>
      <c r="K395" s="53">
        <v>1</v>
      </c>
      <c r="L395" s="54"/>
      <c r="M395" s="54">
        <v>1</v>
      </c>
      <c r="N395" s="54"/>
      <c r="O395" s="54">
        <v>1</v>
      </c>
      <c r="P395" s="54"/>
      <c r="Q395" s="54">
        <v>1</v>
      </c>
      <c r="R395" s="54"/>
      <c r="S395" s="54">
        <v>1</v>
      </c>
      <c r="T395" s="54"/>
      <c r="U395" s="54">
        <v>1</v>
      </c>
      <c r="V395" s="54"/>
      <c r="W395" s="54">
        <v>1</v>
      </c>
      <c r="X395" s="54"/>
      <c r="Y395" s="54">
        <v>1</v>
      </c>
      <c r="Z395" s="54"/>
      <c r="AA395" s="115">
        <v>1</v>
      </c>
      <c r="AB395" s="115"/>
      <c r="AC395" s="115">
        <v>1</v>
      </c>
      <c r="AD395" s="115"/>
    </row>
    <row r="396" spans="1:30" x14ac:dyDescent="0.2">
      <c r="A396" s="14" t="s">
        <v>426</v>
      </c>
      <c r="B396" s="14" t="s">
        <v>15</v>
      </c>
      <c r="C396" s="14" t="s">
        <v>32</v>
      </c>
      <c r="D396" s="14" t="str">
        <f t="shared" si="6"/>
        <v>B3-P1-C2</v>
      </c>
      <c r="E396" s="14" t="s">
        <v>35</v>
      </c>
      <c r="F396" s="14" t="s">
        <v>20</v>
      </c>
      <c r="G396" s="51" t="s">
        <v>1156</v>
      </c>
      <c r="H396" s="51">
        <v>395</v>
      </c>
      <c r="I396" s="53">
        <v>1</v>
      </c>
      <c r="J396" s="54"/>
      <c r="K396" s="53">
        <v>1</v>
      </c>
      <c r="L396" s="54"/>
      <c r="M396" s="54">
        <v>1</v>
      </c>
      <c r="N396" s="54"/>
      <c r="O396" s="54">
        <v>1</v>
      </c>
      <c r="P396" s="54"/>
      <c r="Q396" s="54">
        <v>1</v>
      </c>
      <c r="R396" s="54"/>
      <c r="S396" s="54">
        <v>1</v>
      </c>
      <c r="T396" s="54"/>
      <c r="U396" s="54">
        <v>1</v>
      </c>
      <c r="V396" s="54"/>
      <c r="W396" s="54">
        <v>1</v>
      </c>
      <c r="X396" s="54"/>
      <c r="Y396" s="54">
        <v>1</v>
      </c>
      <c r="Z396" s="54"/>
      <c r="AA396" s="115">
        <v>1</v>
      </c>
      <c r="AB396" s="115"/>
      <c r="AC396" s="115">
        <v>1</v>
      </c>
      <c r="AD396" s="115"/>
    </row>
    <row r="397" spans="1:30" x14ac:dyDescent="0.2">
      <c r="A397" s="14" t="s">
        <v>426</v>
      </c>
      <c r="B397" s="14" t="s">
        <v>15</v>
      </c>
      <c r="C397" s="14" t="s">
        <v>32</v>
      </c>
      <c r="D397" s="14" t="str">
        <f t="shared" si="6"/>
        <v>B3-P1-C2</v>
      </c>
      <c r="E397" s="14" t="s">
        <v>35</v>
      </c>
      <c r="F397" s="14" t="s">
        <v>20</v>
      </c>
      <c r="G397" s="51" t="s">
        <v>1157</v>
      </c>
      <c r="H397" s="51">
        <v>396</v>
      </c>
      <c r="I397" s="53">
        <v>1</v>
      </c>
      <c r="J397" s="54"/>
      <c r="K397" s="53">
        <v>1</v>
      </c>
      <c r="L397" s="54"/>
      <c r="M397" s="54">
        <v>1</v>
      </c>
      <c r="N397" s="54"/>
      <c r="O397" s="54">
        <v>1</v>
      </c>
      <c r="P397" s="54"/>
      <c r="Q397" s="54">
        <v>1</v>
      </c>
      <c r="R397" s="54"/>
      <c r="S397" s="54">
        <v>1</v>
      </c>
      <c r="T397" s="54"/>
      <c r="U397" s="54">
        <v>1</v>
      </c>
      <c r="V397" s="54"/>
      <c r="W397" s="54">
        <v>1</v>
      </c>
      <c r="X397" s="54"/>
      <c r="Y397" s="54">
        <v>1</v>
      </c>
      <c r="Z397" s="54"/>
      <c r="AA397" s="115">
        <v>1</v>
      </c>
      <c r="AB397" s="115"/>
      <c r="AC397" s="115">
        <v>1</v>
      </c>
      <c r="AD397" s="115"/>
    </row>
    <row r="398" spans="1:30" x14ac:dyDescent="0.2">
      <c r="A398" s="14" t="s">
        <v>426</v>
      </c>
      <c r="B398" s="14" t="s">
        <v>15</v>
      </c>
      <c r="C398" s="14" t="s">
        <v>32</v>
      </c>
      <c r="D398" s="14" t="str">
        <f t="shared" si="6"/>
        <v>B3-P1-C2</v>
      </c>
      <c r="E398" s="14" t="s">
        <v>35</v>
      </c>
      <c r="F398" s="14" t="s">
        <v>20</v>
      </c>
      <c r="G398" s="51" t="s">
        <v>1158</v>
      </c>
      <c r="H398" s="51">
        <v>397</v>
      </c>
      <c r="I398" s="53">
        <v>1</v>
      </c>
      <c r="J398" s="54"/>
      <c r="K398" s="53">
        <v>1</v>
      </c>
      <c r="L398" s="54"/>
      <c r="M398" s="54">
        <v>1</v>
      </c>
      <c r="N398" s="54"/>
      <c r="O398" s="54">
        <v>1</v>
      </c>
      <c r="P398" s="54"/>
      <c r="Q398" s="54">
        <v>1</v>
      </c>
      <c r="R398" s="54"/>
      <c r="S398" s="54">
        <v>1</v>
      </c>
      <c r="T398" s="54"/>
      <c r="U398" s="54">
        <v>1</v>
      </c>
      <c r="V398" s="54"/>
      <c r="W398" s="54">
        <v>1</v>
      </c>
      <c r="X398" s="54"/>
      <c r="Y398" s="54">
        <v>1</v>
      </c>
      <c r="Z398" s="54"/>
      <c r="AA398" s="115">
        <v>1</v>
      </c>
      <c r="AB398" s="115"/>
      <c r="AC398" s="115">
        <v>1</v>
      </c>
      <c r="AD398" s="115"/>
    </row>
    <row r="399" spans="1:30" x14ac:dyDescent="0.2">
      <c r="A399" s="14" t="s">
        <v>426</v>
      </c>
      <c r="B399" s="14" t="s">
        <v>15</v>
      </c>
      <c r="C399" s="14" t="s">
        <v>32</v>
      </c>
      <c r="D399" s="14" t="str">
        <f t="shared" si="6"/>
        <v>B3-P1-C2</v>
      </c>
      <c r="E399" s="14" t="s">
        <v>35</v>
      </c>
      <c r="F399" s="14" t="s">
        <v>20</v>
      </c>
      <c r="G399" s="51" t="s">
        <v>1159</v>
      </c>
      <c r="H399" s="51">
        <v>398</v>
      </c>
      <c r="I399" s="53">
        <v>1</v>
      </c>
      <c r="J399" s="54"/>
      <c r="K399" s="53">
        <v>1</v>
      </c>
      <c r="L399" s="54"/>
      <c r="M399" s="54">
        <v>1</v>
      </c>
      <c r="N399" s="54"/>
      <c r="O399" s="54">
        <v>1</v>
      </c>
      <c r="P399" s="54"/>
      <c r="Q399" s="54">
        <v>1</v>
      </c>
      <c r="R399" s="54"/>
      <c r="S399" s="54">
        <v>1</v>
      </c>
      <c r="T399" s="54"/>
      <c r="U399" s="54">
        <v>1</v>
      </c>
      <c r="V399" s="54"/>
      <c r="W399" s="54">
        <v>1</v>
      </c>
      <c r="X399" s="54"/>
      <c r="Y399" s="54">
        <v>1</v>
      </c>
      <c r="Z399" s="54"/>
      <c r="AA399" s="115">
        <v>1</v>
      </c>
      <c r="AB399" s="115"/>
      <c r="AC399" s="115">
        <v>1</v>
      </c>
      <c r="AD399" s="115"/>
    </row>
    <row r="400" spans="1:30" x14ac:dyDescent="0.2">
      <c r="A400" s="14" t="s">
        <v>426</v>
      </c>
      <c r="B400" s="14" t="s">
        <v>15</v>
      </c>
      <c r="C400" s="14" t="s">
        <v>32</v>
      </c>
      <c r="D400" s="14" t="str">
        <f t="shared" si="6"/>
        <v>B3-P1-C2</v>
      </c>
      <c r="E400" s="14" t="s">
        <v>35</v>
      </c>
      <c r="F400" s="14" t="s">
        <v>20</v>
      </c>
      <c r="G400" s="51" t="s">
        <v>1160</v>
      </c>
      <c r="H400" s="51">
        <v>399</v>
      </c>
      <c r="I400" s="53">
        <v>1</v>
      </c>
      <c r="J400" s="54"/>
      <c r="K400" s="53">
        <v>1</v>
      </c>
      <c r="L400" s="54"/>
      <c r="M400" s="54">
        <v>1</v>
      </c>
      <c r="N400" s="54"/>
      <c r="O400" s="54">
        <v>1</v>
      </c>
      <c r="P400" s="54"/>
      <c r="Q400" s="54">
        <v>1</v>
      </c>
      <c r="R400" s="54"/>
      <c r="S400" s="54">
        <v>1</v>
      </c>
      <c r="T400" s="54"/>
      <c r="U400" s="54">
        <v>1</v>
      </c>
      <c r="V400" s="54"/>
      <c r="W400" s="54">
        <v>1</v>
      </c>
      <c r="X400" s="54"/>
      <c r="Y400" s="54">
        <v>1</v>
      </c>
      <c r="Z400" s="54"/>
      <c r="AA400" s="115">
        <v>1</v>
      </c>
      <c r="AB400" s="115"/>
      <c r="AC400" s="115">
        <v>1</v>
      </c>
      <c r="AD400" s="115"/>
    </row>
    <row r="401" spans="1:30" x14ac:dyDescent="0.2">
      <c r="A401" s="14" t="s">
        <v>426</v>
      </c>
      <c r="B401" s="14" t="s">
        <v>15</v>
      </c>
      <c r="C401" s="14" t="s">
        <v>32</v>
      </c>
      <c r="D401" s="14" t="str">
        <f t="shared" si="6"/>
        <v>B3-P1-C2</v>
      </c>
      <c r="E401" s="14" t="s">
        <v>35</v>
      </c>
      <c r="F401" s="14" t="s">
        <v>20</v>
      </c>
      <c r="G401" s="51" t="s">
        <v>1161</v>
      </c>
      <c r="H401" s="51">
        <v>400</v>
      </c>
      <c r="I401" s="53">
        <v>1</v>
      </c>
      <c r="J401" s="54"/>
      <c r="K401" s="53">
        <v>1</v>
      </c>
      <c r="L401" s="54"/>
      <c r="M401" s="54">
        <v>1</v>
      </c>
      <c r="N401" s="54"/>
      <c r="O401" s="54">
        <v>1</v>
      </c>
      <c r="P401" s="54"/>
      <c r="Q401" s="54">
        <v>1</v>
      </c>
      <c r="R401" s="54"/>
      <c r="S401" s="54">
        <v>1</v>
      </c>
      <c r="T401" s="54"/>
      <c r="U401" s="54">
        <v>1</v>
      </c>
      <c r="V401" s="54"/>
      <c r="W401" s="54">
        <v>1</v>
      </c>
      <c r="X401" s="54"/>
      <c r="Y401" s="54">
        <v>1</v>
      </c>
      <c r="Z401" s="54"/>
      <c r="AA401" s="115">
        <v>1</v>
      </c>
      <c r="AB401" s="115"/>
      <c r="AC401" s="115">
        <v>1</v>
      </c>
      <c r="AD401" s="115"/>
    </row>
    <row r="402" spans="1:30" x14ac:dyDescent="0.2">
      <c r="A402" s="20" t="s">
        <v>426</v>
      </c>
      <c r="B402" s="20" t="s">
        <v>15</v>
      </c>
      <c r="C402" s="20" t="s">
        <v>42</v>
      </c>
      <c r="D402" s="20" t="str">
        <f t="shared" si="6"/>
        <v>B3-P1-C3</v>
      </c>
      <c r="E402" s="20" t="s">
        <v>19</v>
      </c>
      <c r="F402" s="20" t="s">
        <v>20</v>
      </c>
      <c r="G402" s="50" t="s">
        <v>1163</v>
      </c>
      <c r="H402" s="50">
        <v>401</v>
      </c>
      <c r="I402" s="52">
        <v>1</v>
      </c>
      <c r="J402" s="52"/>
      <c r="K402" s="52">
        <v>1</v>
      </c>
      <c r="L402" s="52"/>
      <c r="M402" s="52">
        <v>1</v>
      </c>
      <c r="N402" s="52"/>
      <c r="O402" s="52">
        <v>1</v>
      </c>
      <c r="P402" s="52"/>
      <c r="Q402" s="52">
        <v>1</v>
      </c>
      <c r="R402" s="52"/>
      <c r="S402" s="52">
        <v>1</v>
      </c>
      <c r="T402" s="52"/>
      <c r="U402" s="52">
        <v>1</v>
      </c>
      <c r="V402" s="52"/>
      <c r="W402" s="52">
        <v>1</v>
      </c>
      <c r="X402" s="52"/>
      <c r="Y402" s="52">
        <v>1</v>
      </c>
      <c r="Z402" s="52"/>
      <c r="AA402" s="114">
        <v>1</v>
      </c>
      <c r="AB402" s="114"/>
      <c r="AC402" s="114">
        <v>3</v>
      </c>
      <c r="AD402" s="114"/>
    </row>
    <row r="403" spans="1:30" x14ac:dyDescent="0.2">
      <c r="A403" s="20" t="s">
        <v>426</v>
      </c>
      <c r="B403" s="20" t="s">
        <v>15</v>
      </c>
      <c r="C403" s="20" t="s">
        <v>42</v>
      </c>
      <c r="D403" s="20" t="str">
        <f t="shared" si="6"/>
        <v>B3-P1-C3</v>
      </c>
      <c r="E403" s="20" t="s">
        <v>35</v>
      </c>
      <c r="F403" s="20" t="s">
        <v>20</v>
      </c>
      <c r="G403" s="50" t="s">
        <v>1164</v>
      </c>
      <c r="H403" s="50">
        <v>402</v>
      </c>
      <c r="I403" s="52">
        <v>1</v>
      </c>
      <c r="J403" s="52"/>
      <c r="K403" s="52">
        <v>1</v>
      </c>
      <c r="L403" s="52"/>
      <c r="M403" s="52">
        <v>1</v>
      </c>
      <c r="N403" s="52"/>
      <c r="O403" s="52">
        <v>1</v>
      </c>
      <c r="P403" s="52"/>
      <c r="Q403" s="52">
        <v>1</v>
      </c>
      <c r="R403" s="52"/>
      <c r="S403" s="52">
        <v>1</v>
      </c>
      <c r="T403" s="52"/>
      <c r="U403" s="52">
        <v>1</v>
      </c>
      <c r="V403" s="52"/>
      <c r="W403" s="52">
        <v>1</v>
      </c>
      <c r="X403" s="52"/>
      <c r="Y403" s="52">
        <v>1</v>
      </c>
      <c r="Z403" s="52"/>
      <c r="AA403" s="114">
        <v>1</v>
      </c>
      <c r="AB403" s="114"/>
      <c r="AC403" s="114">
        <v>1</v>
      </c>
      <c r="AD403" s="114"/>
    </row>
    <row r="404" spans="1:30" x14ac:dyDescent="0.2">
      <c r="A404" s="20" t="s">
        <v>426</v>
      </c>
      <c r="B404" s="20" t="s">
        <v>15</v>
      </c>
      <c r="C404" s="20" t="s">
        <v>42</v>
      </c>
      <c r="D404" s="20" t="str">
        <f t="shared" si="6"/>
        <v>B3-P1-C3</v>
      </c>
      <c r="E404" s="20" t="s">
        <v>35</v>
      </c>
      <c r="F404" s="20" t="s">
        <v>20</v>
      </c>
      <c r="G404" s="50" t="s">
        <v>1165</v>
      </c>
      <c r="H404" s="50">
        <v>403</v>
      </c>
      <c r="I404" s="52">
        <v>1</v>
      </c>
      <c r="J404" s="52"/>
      <c r="K404" s="52">
        <v>1</v>
      </c>
      <c r="L404" s="52"/>
      <c r="M404" s="52">
        <v>1</v>
      </c>
      <c r="N404" s="52"/>
      <c r="O404" s="52">
        <v>1</v>
      </c>
      <c r="P404" s="52"/>
      <c r="Q404" s="52">
        <v>1</v>
      </c>
      <c r="R404" s="52"/>
      <c r="S404" s="52">
        <v>1</v>
      </c>
      <c r="T404" s="52"/>
      <c r="U404" s="52">
        <v>1</v>
      </c>
      <c r="V404" s="52"/>
      <c r="W404" s="52">
        <v>1</v>
      </c>
      <c r="X404" s="52"/>
      <c r="Y404" s="52">
        <v>1</v>
      </c>
      <c r="Z404" s="52"/>
      <c r="AA404" s="114">
        <v>1</v>
      </c>
      <c r="AB404" s="114"/>
      <c r="AC404" s="114">
        <v>1</v>
      </c>
      <c r="AD404" s="114"/>
    </row>
    <row r="405" spans="1:30" x14ac:dyDescent="0.2">
      <c r="A405" s="20" t="s">
        <v>426</v>
      </c>
      <c r="B405" s="20" t="s">
        <v>15</v>
      </c>
      <c r="C405" s="20" t="s">
        <v>42</v>
      </c>
      <c r="D405" s="20" t="str">
        <f t="shared" si="6"/>
        <v>B3-P1-C3</v>
      </c>
      <c r="E405" s="20" t="s">
        <v>19</v>
      </c>
      <c r="F405" s="20" t="s">
        <v>20</v>
      </c>
      <c r="G405" s="50" t="s">
        <v>1166</v>
      </c>
      <c r="H405" s="50">
        <v>404</v>
      </c>
      <c r="I405" s="52">
        <v>1</v>
      </c>
      <c r="J405" s="52"/>
      <c r="K405" s="52">
        <v>1</v>
      </c>
      <c r="L405" s="52"/>
      <c r="M405" s="52">
        <v>1</v>
      </c>
      <c r="N405" s="52"/>
      <c r="O405" s="52">
        <v>1</v>
      </c>
      <c r="P405" s="52"/>
      <c r="Q405" s="52">
        <v>1</v>
      </c>
      <c r="R405" s="52"/>
      <c r="S405" s="52">
        <v>1</v>
      </c>
      <c r="T405" s="52"/>
      <c r="U405" s="52">
        <v>1</v>
      </c>
      <c r="V405" s="52"/>
      <c r="W405" s="52">
        <v>1</v>
      </c>
      <c r="X405" s="52"/>
      <c r="Y405" s="52">
        <v>1</v>
      </c>
      <c r="Z405" s="52"/>
      <c r="AA405" s="114">
        <v>1</v>
      </c>
      <c r="AB405" s="114"/>
      <c r="AC405" s="114">
        <v>4</v>
      </c>
      <c r="AD405" s="114"/>
    </row>
    <row r="406" spans="1:30" x14ac:dyDescent="0.2">
      <c r="A406" s="20" t="s">
        <v>426</v>
      </c>
      <c r="B406" s="20" t="s">
        <v>15</v>
      </c>
      <c r="C406" s="20" t="s">
        <v>42</v>
      </c>
      <c r="D406" s="20" t="str">
        <f t="shared" si="6"/>
        <v>B3-P1-C3</v>
      </c>
      <c r="E406" s="20" t="s">
        <v>19</v>
      </c>
      <c r="F406" s="20" t="s">
        <v>20</v>
      </c>
      <c r="G406" s="50" t="s">
        <v>1167</v>
      </c>
      <c r="H406" s="50">
        <v>405</v>
      </c>
      <c r="I406" s="52">
        <v>1</v>
      </c>
      <c r="J406" s="52"/>
      <c r="K406" s="52">
        <v>1</v>
      </c>
      <c r="L406" s="52"/>
      <c r="M406" s="52">
        <v>1</v>
      </c>
      <c r="N406" s="52"/>
      <c r="O406" s="52">
        <v>1</v>
      </c>
      <c r="P406" s="52"/>
      <c r="Q406" s="52">
        <v>1</v>
      </c>
      <c r="R406" s="52"/>
      <c r="S406" s="52">
        <v>1</v>
      </c>
      <c r="T406" s="52"/>
      <c r="U406" s="52">
        <v>1</v>
      </c>
      <c r="V406" s="52"/>
      <c r="W406" s="52">
        <v>1</v>
      </c>
      <c r="X406" s="52"/>
      <c r="Y406" s="52">
        <v>1</v>
      </c>
      <c r="Z406" s="52"/>
      <c r="AA406" s="114">
        <v>1</v>
      </c>
      <c r="AB406" s="114"/>
      <c r="AC406" s="114">
        <v>4</v>
      </c>
      <c r="AD406" s="114"/>
    </row>
    <row r="407" spans="1:30" x14ac:dyDescent="0.2">
      <c r="A407" s="20" t="s">
        <v>426</v>
      </c>
      <c r="B407" s="20" t="s">
        <v>15</v>
      </c>
      <c r="C407" s="20" t="s">
        <v>42</v>
      </c>
      <c r="D407" s="20" t="str">
        <f t="shared" si="6"/>
        <v>B3-P1-C3</v>
      </c>
      <c r="E407" s="20" t="s">
        <v>35</v>
      </c>
      <c r="F407" s="20" t="s">
        <v>20</v>
      </c>
      <c r="G407" s="50" t="s">
        <v>1168</v>
      </c>
      <c r="H407" s="50">
        <v>406</v>
      </c>
      <c r="I407" s="52">
        <v>1</v>
      </c>
      <c r="J407" s="52"/>
      <c r="K407" s="52">
        <v>1</v>
      </c>
      <c r="L407" s="52"/>
      <c r="M407" s="52">
        <v>1</v>
      </c>
      <c r="N407" s="52"/>
      <c r="O407" s="52">
        <v>1</v>
      </c>
      <c r="P407" s="52"/>
      <c r="Q407" s="52">
        <v>1</v>
      </c>
      <c r="R407" s="52"/>
      <c r="S407" s="52">
        <v>1</v>
      </c>
      <c r="T407" s="52"/>
      <c r="U407" s="52">
        <v>1</v>
      </c>
      <c r="V407" s="52"/>
      <c r="W407" s="52">
        <v>1</v>
      </c>
      <c r="X407" s="52"/>
      <c r="Y407" s="52">
        <v>1</v>
      </c>
      <c r="Z407" s="52"/>
      <c r="AA407" s="114">
        <v>1</v>
      </c>
      <c r="AB407" s="114"/>
      <c r="AC407" s="114">
        <v>1</v>
      </c>
      <c r="AD407" s="114"/>
    </row>
    <row r="408" spans="1:30" x14ac:dyDescent="0.2">
      <c r="A408" s="20" t="s">
        <v>426</v>
      </c>
      <c r="B408" s="20" t="s">
        <v>15</v>
      </c>
      <c r="C408" s="20" t="s">
        <v>42</v>
      </c>
      <c r="D408" s="20" t="str">
        <f t="shared" si="6"/>
        <v>B3-P1-C3</v>
      </c>
      <c r="E408" s="20" t="s">
        <v>35</v>
      </c>
      <c r="F408" s="20" t="s">
        <v>20</v>
      </c>
      <c r="G408" s="50" t="s">
        <v>1169</v>
      </c>
      <c r="H408" s="50">
        <v>407</v>
      </c>
      <c r="I408" s="52">
        <v>1</v>
      </c>
      <c r="J408" s="52"/>
      <c r="K408" s="52">
        <v>1</v>
      </c>
      <c r="L408" s="52"/>
      <c r="M408" s="52">
        <v>1</v>
      </c>
      <c r="N408" s="52"/>
      <c r="O408" s="52">
        <v>1</v>
      </c>
      <c r="P408" s="52"/>
      <c r="Q408" s="52">
        <v>1</v>
      </c>
      <c r="R408" s="52"/>
      <c r="S408" s="52">
        <v>1</v>
      </c>
      <c r="T408" s="52"/>
      <c r="U408" s="52">
        <v>1</v>
      </c>
      <c r="V408" s="52"/>
      <c r="W408" s="52">
        <v>1</v>
      </c>
      <c r="X408" s="52"/>
      <c r="Y408" s="52">
        <v>1</v>
      </c>
      <c r="Z408" s="52"/>
      <c r="AA408" s="114">
        <v>1</v>
      </c>
      <c r="AB408" s="114"/>
      <c r="AC408" s="114">
        <v>1</v>
      </c>
      <c r="AD408" s="114"/>
    </row>
    <row r="409" spans="1:30" x14ac:dyDescent="0.2">
      <c r="A409" s="20" t="s">
        <v>426</v>
      </c>
      <c r="B409" s="20" t="s">
        <v>15</v>
      </c>
      <c r="C409" s="20" t="s">
        <v>42</v>
      </c>
      <c r="D409" s="20" t="str">
        <f t="shared" si="6"/>
        <v>B3-P1-C3</v>
      </c>
      <c r="E409" s="20" t="s">
        <v>19</v>
      </c>
      <c r="F409" s="20" t="s">
        <v>20</v>
      </c>
      <c r="G409" s="50" t="s">
        <v>1170</v>
      </c>
      <c r="H409" s="50">
        <v>408</v>
      </c>
      <c r="I409" s="52">
        <v>1</v>
      </c>
      <c r="J409" s="52"/>
      <c r="K409" s="52">
        <v>1</v>
      </c>
      <c r="L409" s="52"/>
      <c r="M409" s="52">
        <v>1</v>
      </c>
      <c r="N409" s="52"/>
      <c r="O409" s="52">
        <v>1</v>
      </c>
      <c r="P409" s="52"/>
      <c r="Q409" s="52">
        <v>1</v>
      </c>
      <c r="R409" s="52"/>
      <c r="S409" s="52">
        <v>1</v>
      </c>
      <c r="T409" s="52"/>
      <c r="U409" s="52">
        <v>1</v>
      </c>
      <c r="V409" s="52"/>
      <c r="W409" s="52">
        <v>1</v>
      </c>
      <c r="X409" s="52"/>
      <c r="Y409" s="52">
        <v>1</v>
      </c>
      <c r="Z409" s="52"/>
      <c r="AA409" s="114">
        <v>1</v>
      </c>
      <c r="AB409" s="114"/>
      <c r="AC409" s="114">
        <v>4</v>
      </c>
      <c r="AD409" s="114"/>
    </row>
    <row r="410" spans="1:30" x14ac:dyDescent="0.2">
      <c r="A410" s="14" t="s">
        <v>426</v>
      </c>
      <c r="B410" s="14" t="s">
        <v>15</v>
      </c>
      <c r="C410" s="14" t="s">
        <v>53</v>
      </c>
      <c r="D410" s="14" t="str">
        <f t="shared" si="6"/>
        <v>B3-P1-C4</v>
      </c>
      <c r="E410" s="14" t="s">
        <v>19</v>
      </c>
      <c r="F410" s="14" t="s">
        <v>20</v>
      </c>
      <c r="G410" s="51" t="s">
        <v>1172</v>
      </c>
      <c r="H410" s="51">
        <v>409</v>
      </c>
      <c r="I410" s="53">
        <v>1</v>
      </c>
      <c r="J410" s="54"/>
      <c r="K410" s="53">
        <v>2</v>
      </c>
      <c r="L410" s="54"/>
      <c r="M410" s="54">
        <v>3</v>
      </c>
      <c r="N410" s="54"/>
      <c r="O410" s="54">
        <v>3</v>
      </c>
      <c r="P410" s="54"/>
      <c r="Q410" s="54">
        <v>3</v>
      </c>
      <c r="R410" s="54"/>
      <c r="S410" s="54">
        <v>3</v>
      </c>
      <c r="T410" s="54"/>
      <c r="U410" s="54">
        <v>4</v>
      </c>
      <c r="V410" s="54"/>
      <c r="W410" s="54">
        <v>4</v>
      </c>
      <c r="X410" s="54"/>
      <c r="Y410" s="54">
        <v>4</v>
      </c>
      <c r="Z410" s="54"/>
      <c r="AA410" s="115">
        <v>4</v>
      </c>
      <c r="AB410" s="115"/>
      <c r="AC410" s="115">
        <v>4</v>
      </c>
      <c r="AD410" s="115"/>
    </row>
    <row r="411" spans="1:30" x14ac:dyDescent="0.2">
      <c r="A411" s="14" t="s">
        <v>426</v>
      </c>
      <c r="B411" s="14" t="s">
        <v>15</v>
      </c>
      <c r="C411" s="14" t="s">
        <v>53</v>
      </c>
      <c r="D411" s="14" t="str">
        <f t="shared" si="6"/>
        <v>B3-P1-C4</v>
      </c>
      <c r="E411" s="14" t="s">
        <v>35</v>
      </c>
      <c r="F411" s="14" t="s">
        <v>20</v>
      </c>
      <c r="G411" s="51" t="s">
        <v>1173</v>
      </c>
      <c r="H411" s="51">
        <v>410</v>
      </c>
      <c r="I411" s="53">
        <v>1</v>
      </c>
      <c r="J411" s="54"/>
      <c r="K411" s="53">
        <v>1</v>
      </c>
      <c r="L411" s="54"/>
      <c r="M411" s="54">
        <v>1</v>
      </c>
      <c r="N411" s="54"/>
      <c r="O411" s="54">
        <v>1</v>
      </c>
      <c r="P411" s="54"/>
      <c r="Q411" s="54">
        <v>1</v>
      </c>
      <c r="R411" s="54"/>
      <c r="S411" s="54">
        <v>1</v>
      </c>
      <c r="T411" s="54"/>
      <c r="U411" s="54">
        <v>1</v>
      </c>
      <c r="V411" s="54"/>
      <c r="W411" s="54">
        <v>1</v>
      </c>
      <c r="X411" s="54"/>
      <c r="Y411" s="54">
        <v>1</v>
      </c>
      <c r="Z411" s="54"/>
      <c r="AA411" s="115">
        <v>1</v>
      </c>
      <c r="AB411" s="115"/>
      <c r="AC411" s="115">
        <v>1</v>
      </c>
      <c r="AD411" s="115"/>
    </row>
    <row r="412" spans="1:30" x14ac:dyDescent="0.2">
      <c r="A412" s="14" t="s">
        <v>426</v>
      </c>
      <c r="B412" s="14" t="s">
        <v>15</v>
      </c>
      <c r="C412" s="14" t="s">
        <v>53</v>
      </c>
      <c r="D412" s="14" t="str">
        <f t="shared" si="6"/>
        <v>B3-P1-C4</v>
      </c>
      <c r="E412" s="14" t="s">
        <v>35</v>
      </c>
      <c r="F412" s="14" t="s">
        <v>20</v>
      </c>
      <c r="G412" s="51" t="s">
        <v>1174</v>
      </c>
      <c r="H412" s="51">
        <v>411</v>
      </c>
      <c r="I412" s="53">
        <v>1</v>
      </c>
      <c r="J412" s="54"/>
      <c r="K412" s="53">
        <v>1</v>
      </c>
      <c r="L412" s="54"/>
      <c r="M412" s="54">
        <v>1</v>
      </c>
      <c r="N412" s="54"/>
      <c r="O412" s="54">
        <v>1</v>
      </c>
      <c r="P412" s="54"/>
      <c r="Q412" s="54">
        <v>1</v>
      </c>
      <c r="R412" s="54"/>
      <c r="S412" s="54">
        <v>1</v>
      </c>
      <c r="T412" s="54"/>
      <c r="U412" s="54">
        <v>1</v>
      </c>
      <c r="V412" s="54"/>
      <c r="W412" s="54">
        <v>1</v>
      </c>
      <c r="X412" s="54"/>
      <c r="Y412" s="54">
        <v>1</v>
      </c>
      <c r="Z412" s="54"/>
      <c r="AA412" s="115">
        <v>1</v>
      </c>
      <c r="AB412" s="115"/>
      <c r="AC412" s="115">
        <v>1</v>
      </c>
      <c r="AD412" s="115"/>
    </row>
    <row r="413" spans="1:30" x14ac:dyDescent="0.2">
      <c r="A413" s="14" t="s">
        <v>426</v>
      </c>
      <c r="B413" s="14" t="s">
        <v>15</v>
      </c>
      <c r="C413" s="14" t="s">
        <v>53</v>
      </c>
      <c r="D413" s="14" t="str">
        <f t="shared" si="6"/>
        <v>B3-P1-C4</v>
      </c>
      <c r="E413" s="14" t="s">
        <v>19</v>
      </c>
      <c r="F413" s="14" t="s">
        <v>20</v>
      </c>
      <c r="G413" s="51" t="s">
        <v>1175</v>
      </c>
      <c r="H413" s="51">
        <v>412</v>
      </c>
      <c r="I413" s="53">
        <v>1</v>
      </c>
      <c r="J413" s="54"/>
      <c r="K413" s="53">
        <v>3</v>
      </c>
      <c r="L413" s="54"/>
      <c r="M413" s="54">
        <v>3</v>
      </c>
      <c r="N413" s="54"/>
      <c r="O413" s="54">
        <v>3</v>
      </c>
      <c r="P413" s="54"/>
      <c r="Q413" s="54">
        <v>3</v>
      </c>
      <c r="R413" s="54"/>
      <c r="S413" s="54">
        <v>3</v>
      </c>
      <c r="T413" s="54"/>
      <c r="U413" s="54">
        <v>4</v>
      </c>
      <c r="V413" s="54"/>
      <c r="W413" s="54">
        <v>4</v>
      </c>
      <c r="X413" s="54"/>
      <c r="Y413" s="54">
        <v>4</v>
      </c>
      <c r="Z413" s="54"/>
      <c r="AA413" s="115">
        <v>4</v>
      </c>
      <c r="AB413" s="115"/>
      <c r="AC413" s="115">
        <v>4</v>
      </c>
      <c r="AD413" s="115"/>
    </row>
    <row r="414" spans="1:30" x14ac:dyDescent="0.2">
      <c r="A414" s="14" t="s">
        <v>426</v>
      </c>
      <c r="B414" s="14" t="s">
        <v>15</v>
      </c>
      <c r="C414" s="14" t="s">
        <v>53</v>
      </c>
      <c r="D414" s="14" t="str">
        <f t="shared" si="6"/>
        <v>B3-P1-C4</v>
      </c>
      <c r="E414" s="14" t="s">
        <v>19</v>
      </c>
      <c r="F414" s="14" t="s">
        <v>20</v>
      </c>
      <c r="G414" s="51" t="s">
        <v>1176</v>
      </c>
      <c r="H414" s="51">
        <v>413</v>
      </c>
      <c r="I414" s="53">
        <v>1</v>
      </c>
      <c r="J414" s="54"/>
      <c r="K414" s="53">
        <v>3</v>
      </c>
      <c r="L414" s="54"/>
      <c r="M414" s="54">
        <v>3</v>
      </c>
      <c r="N414" s="54"/>
      <c r="O414" s="54">
        <v>3</v>
      </c>
      <c r="P414" s="54"/>
      <c r="Q414" s="54">
        <v>3</v>
      </c>
      <c r="R414" s="54"/>
      <c r="S414" s="54">
        <v>3</v>
      </c>
      <c r="T414" s="54"/>
      <c r="U414" s="54">
        <v>3</v>
      </c>
      <c r="V414" s="54"/>
      <c r="W414" s="54">
        <v>4</v>
      </c>
      <c r="X414" s="54"/>
      <c r="Y414" s="54">
        <v>4</v>
      </c>
      <c r="Z414" s="54"/>
      <c r="AA414" s="115">
        <v>4</v>
      </c>
      <c r="AB414" s="115"/>
      <c r="AC414" s="115">
        <v>4</v>
      </c>
      <c r="AD414" s="115"/>
    </row>
    <row r="415" spans="1:30" x14ac:dyDescent="0.2">
      <c r="A415" s="14" t="s">
        <v>426</v>
      </c>
      <c r="B415" s="14" t="s">
        <v>15</v>
      </c>
      <c r="C415" s="14" t="s">
        <v>53</v>
      </c>
      <c r="D415" s="14" t="str">
        <f t="shared" si="6"/>
        <v>B3-P1-C4</v>
      </c>
      <c r="E415" s="14" t="s">
        <v>35</v>
      </c>
      <c r="F415" s="14" t="s">
        <v>20</v>
      </c>
      <c r="G415" s="51" t="s">
        <v>1177</v>
      </c>
      <c r="H415" s="51">
        <v>414</v>
      </c>
      <c r="I415" s="53">
        <v>1</v>
      </c>
      <c r="J415" s="54"/>
      <c r="K415" s="53">
        <v>1</v>
      </c>
      <c r="L415" s="54"/>
      <c r="M415" s="54">
        <v>1</v>
      </c>
      <c r="N415" s="54"/>
      <c r="O415" s="54">
        <v>1</v>
      </c>
      <c r="P415" s="54"/>
      <c r="Q415" s="54">
        <v>1</v>
      </c>
      <c r="R415" s="54"/>
      <c r="S415" s="54">
        <v>1</v>
      </c>
      <c r="T415" s="54"/>
      <c r="U415" s="54">
        <v>1</v>
      </c>
      <c r="V415" s="54"/>
      <c r="W415" s="54">
        <v>1</v>
      </c>
      <c r="X415" s="54"/>
      <c r="Y415" s="54">
        <v>1</v>
      </c>
      <c r="Z415" s="54"/>
      <c r="AA415" s="115">
        <v>1</v>
      </c>
      <c r="AB415" s="115"/>
      <c r="AC415" s="115">
        <v>1</v>
      </c>
      <c r="AD415" s="115"/>
    </row>
    <row r="416" spans="1:30" x14ac:dyDescent="0.2">
      <c r="A416" s="14" t="s">
        <v>426</v>
      </c>
      <c r="B416" s="14" t="s">
        <v>15</v>
      </c>
      <c r="C416" s="14" t="s">
        <v>53</v>
      </c>
      <c r="D416" s="14" t="str">
        <f t="shared" si="6"/>
        <v>B3-P1-C4</v>
      </c>
      <c r="E416" s="14" t="s">
        <v>35</v>
      </c>
      <c r="F416" s="14" t="s">
        <v>20</v>
      </c>
      <c r="G416" s="51" t="s">
        <v>1178</v>
      </c>
      <c r="H416" s="51">
        <v>415</v>
      </c>
      <c r="I416" s="53">
        <v>1</v>
      </c>
      <c r="J416" s="54"/>
      <c r="K416" s="53">
        <v>1</v>
      </c>
      <c r="L416" s="54"/>
      <c r="M416" s="54">
        <v>1</v>
      </c>
      <c r="N416" s="54"/>
      <c r="O416" s="54">
        <v>1</v>
      </c>
      <c r="P416" s="54"/>
      <c r="Q416" s="54">
        <v>1</v>
      </c>
      <c r="R416" s="54"/>
      <c r="S416" s="54">
        <v>1</v>
      </c>
      <c r="T416" s="54"/>
      <c r="U416" s="54">
        <v>1</v>
      </c>
      <c r="V416" s="54"/>
      <c r="W416" s="54">
        <v>1</v>
      </c>
      <c r="X416" s="54"/>
      <c r="Y416" s="54">
        <v>1</v>
      </c>
      <c r="Z416" s="54"/>
      <c r="AA416" s="115">
        <v>1</v>
      </c>
      <c r="AB416" s="115"/>
      <c r="AC416" s="115">
        <v>1</v>
      </c>
      <c r="AD416" s="115"/>
    </row>
    <row r="417" spans="1:30" x14ac:dyDescent="0.2">
      <c r="A417" s="14" t="s">
        <v>426</v>
      </c>
      <c r="B417" s="14" t="s">
        <v>15</v>
      </c>
      <c r="C417" s="14" t="s">
        <v>53</v>
      </c>
      <c r="D417" s="14" t="str">
        <f t="shared" si="6"/>
        <v>B3-P1-C4</v>
      </c>
      <c r="E417" s="14" t="s">
        <v>19</v>
      </c>
      <c r="F417" s="14" t="s">
        <v>20</v>
      </c>
      <c r="G417" s="51" t="s">
        <v>1179</v>
      </c>
      <c r="H417" s="51">
        <v>416</v>
      </c>
      <c r="I417" s="53">
        <v>1</v>
      </c>
      <c r="J417" s="54"/>
      <c r="K417" s="53">
        <v>2</v>
      </c>
      <c r="L417" s="54"/>
      <c r="M417" s="54">
        <v>3</v>
      </c>
      <c r="N417" s="54"/>
      <c r="O417" s="54">
        <v>3</v>
      </c>
      <c r="P417" s="54"/>
      <c r="Q417" s="54">
        <v>3</v>
      </c>
      <c r="R417" s="54"/>
      <c r="S417" s="54">
        <v>3</v>
      </c>
      <c r="T417" s="54"/>
      <c r="U417" s="54">
        <v>4</v>
      </c>
      <c r="V417" s="54"/>
      <c r="W417" s="54">
        <v>4</v>
      </c>
      <c r="X417" s="54"/>
      <c r="Y417" s="54">
        <v>4</v>
      </c>
      <c r="Z417" s="54"/>
      <c r="AA417" s="115">
        <v>4</v>
      </c>
      <c r="AB417" s="115"/>
      <c r="AC417" s="115">
        <v>4</v>
      </c>
      <c r="AD417" s="115"/>
    </row>
    <row r="418" spans="1:30" x14ac:dyDescent="0.2">
      <c r="A418" s="20" t="s">
        <v>426</v>
      </c>
      <c r="B418" s="20" t="s">
        <v>62</v>
      </c>
      <c r="C418" s="20" t="s">
        <v>16</v>
      </c>
      <c r="D418" s="20" t="str">
        <f t="shared" si="6"/>
        <v>B3-P2-C1</v>
      </c>
      <c r="E418" s="20" t="s">
        <v>19</v>
      </c>
      <c r="F418" s="20" t="s">
        <v>20</v>
      </c>
      <c r="G418" s="50" t="s">
        <v>1181</v>
      </c>
      <c r="H418" s="50">
        <v>417</v>
      </c>
      <c r="I418" s="52">
        <v>1</v>
      </c>
      <c r="J418" s="52"/>
      <c r="K418" s="52">
        <v>1</v>
      </c>
      <c r="L418" s="52"/>
      <c r="M418" s="52">
        <v>1</v>
      </c>
      <c r="N418" s="52"/>
      <c r="O418" s="52">
        <v>1</v>
      </c>
      <c r="P418" s="52"/>
      <c r="Q418" s="52">
        <v>1</v>
      </c>
      <c r="R418" s="52"/>
      <c r="S418" s="52">
        <v>1</v>
      </c>
      <c r="T418" s="52"/>
      <c r="U418" s="52">
        <v>1</v>
      </c>
      <c r="V418" s="52"/>
      <c r="W418" s="52">
        <v>1</v>
      </c>
      <c r="X418" s="52"/>
      <c r="Y418" s="52">
        <v>1</v>
      </c>
      <c r="Z418" s="52"/>
      <c r="AA418" s="114">
        <v>1</v>
      </c>
      <c r="AB418" s="114"/>
      <c r="AC418" s="114">
        <v>4</v>
      </c>
      <c r="AD418" s="114"/>
    </row>
    <row r="419" spans="1:30" x14ac:dyDescent="0.2">
      <c r="A419" s="20" t="s">
        <v>426</v>
      </c>
      <c r="B419" s="20" t="s">
        <v>62</v>
      </c>
      <c r="C419" s="20" t="s">
        <v>16</v>
      </c>
      <c r="D419" s="20" t="str">
        <f t="shared" si="6"/>
        <v>B3-P2-C1</v>
      </c>
      <c r="E419" s="20" t="s">
        <v>19</v>
      </c>
      <c r="F419" s="20" t="s">
        <v>20</v>
      </c>
      <c r="G419" s="50" t="s">
        <v>1182</v>
      </c>
      <c r="H419" s="50">
        <v>418</v>
      </c>
      <c r="I419" s="52">
        <v>1</v>
      </c>
      <c r="J419" s="52"/>
      <c r="K419" s="52">
        <v>1</v>
      </c>
      <c r="L419" s="52"/>
      <c r="M419" s="52">
        <v>1</v>
      </c>
      <c r="N419" s="52"/>
      <c r="O419" s="52">
        <v>1</v>
      </c>
      <c r="P419" s="52"/>
      <c r="Q419" s="52">
        <v>1</v>
      </c>
      <c r="R419" s="52"/>
      <c r="S419" s="52">
        <v>1</v>
      </c>
      <c r="T419" s="52"/>
      <c r="U419" s="52">
        <v>1</v>
      </c>
      <c r="V419" s="52"/>
      <c r="W419" s="52">
        <v>1</v>
      </c>
      <c r="X419" s="52"/>
      <c r="Y419" s="52">
        <v>1</v>
      </c>
      <c r="Z419" s="52"/>
      <c r="AA419" s="114">
        <v>1</v>
      </c>
      <c r="AB419" s="114"/>
      <c r="AC419" s="114">
        <v>4</v>
      </c>
      <c r="AD419" s="114"/>
    </row>
    <row r="420" spans="1:30" x14ac:dyDescent="0.2">
      <c r="A420" s="20" t="s">
        <v>426</v>
      </c>
      <c r="B420" s="20" t="s">
        <v>62</v>
      </c>
      <c r="C420" s="20" t="s">
        <v>16</v>
      </c>
      <c r="D420" s="20" t="str">
        <f t="shared" si="6"/>
        <v>B3-P2-C1</v>
      </c>
      <c r="E420" s="20" t="s">
        <v>19</v>
      </c>
      <c r="F420" s="20" t="s">
        <v>20</v>
      </c>
      <c r="G420" s="50" t="s">
        <v>1183</v>
      </c>
      <c r="H420" s="50">
        <v>419</v>
      </c>
      <c r="I420" s="52">
        <v>1</v>
      </c>
      <c r="J420" s="52"/>
      <c r="K420" s="52">
        <v>1</v>
      </c>
      <c r="L420" s="52"/>
      <c r="M420" s="52">
        <v>1</v>
      </c>
      <c r="N420" s="52"/>
      <c r="O420" s="52">
        <v>1</v>
      </c>
      <c r="P420" s="52"/>
      <c r="Q420" s="52">
        <v>1</v>
      </c>
      <c r="R420" s="52"/>
      <c r="S420" s="52">
        <v>1</v>
      </c>
      <c r="T420" s="52"/>
      <c r="U420" s="52">
        <v>1</v>
      </c>
      <c r="V420" s="52"/>
      <c r="W420" s="52">
        <v>1</v>
      </c>
      <c r="X420" s="52"/>
      <c r="Y420" s="52">
        <v>1</v>
      </c>
      <c r="Z420" s="52"/>
      <c r="AA420" s="114">
        <v>1</v>
      </c>
      <c r="AB420" s="114"/>
      <c r="AC420" s="114">
        <v>4</v>
      </c>
      <c r="AD420" s="114"/>
    </row>
    <row r="421" spans="1:30" x14ac:dyDescent="0.2">
      <c r="A421" s="20" t="s">
        <v>426</v>
      </c>
      <c r="B421" s="20" t="s">
        <v>62</v>
      </c>
      <c r="C421" s="20" t="s">
        <v>16</v>
      </c>
      <c r="D421" s="20" t="str">
        <f t="shared" si="6"/>
        <v>B3-P2-C1</v>
      </c>
      <c r="E421" s="20" t="s">
        <v>19</v>
      </c>
      <c r="F421" s="20" t="s">
        <v>20</v>
      </c>
      <c r="G421" s="50" t="s">
        <v>1184</v>
      </c>
      <c r="H421" s="50">
        <v>420</v>
      </c>
      <c r="I421" s="52">
        <v>1</v>
      </c>
      <c r="J421" s="52"/>
      <c r="K421" s="52">
        <v>1</v>
      </c>
      <c r="L421" s="52"/>
      <c r="M421" s="52">
        <v>1</v>
      </c>
      <c r="N421" s="52"/>
      <c r="O421" s="52">
        <v>1</v>
      </c>
      <c r="P421" s="52"/>
      <c r="Q421" s="52">
        <v>1</v>
      </c>
      <c r="R421" s="52"/>
      <c r="S421" s="52">
        <v>1</v>
      </c>
      <c r="T421" s="52"/>
      <c r="U421" s="52">
        <v>1</v>
      </c>
      <c r="V421" s="52"/>
      <c r="W421" s="52">
        <v>1</v>
      </c>
      <c r="X421" s="52"/>
      <c r="Y421" s="52">
        <v>1</v>
      </c>
      <c r="Z421" s="52"/>
      <c r="AA421" s="114">
        <v>1</v>
      </c>
      <c r="AB421" s="114"/>
      <c r="AC421" s="114">
        <v>4</v>
      </c>
      <c r="AD421" s="114"/>
    </row>
    <row r="422" spans="1:30" x14ac:dyDescent="0.2">
      <c r="A422" s="20" t="s">
        <v>426</v>
      </c>
      <c r="B422" s="20" t="s">
        <v>62</v>
      </c>
      <c r="C422" s="20" t="s">
        <v>16</v>
      </c>
      <c r="D422" s="20" t="str">
        <f t="shared" si="6"/>
        <v>B3-P2-C1</v>
      </c>
      <c r="E422" s="20" t="s">
        <v>19</v>
      </c>
      <c r="F422" s="20" t="s">
        <v>20</v>
      </c>
      <c r="G422" s="50" t="s">
        <v>1185</v>
      </c>
      <c r="H422" s="50">
        <v>421</v>
      </c>
      <c r="I422" s="52">
        <v>1</v>
      </c>
      <c r="J422" s="52"/>
      <c r="K422" s="52">
        <v>1</v>
      </c>
      <c r="L422" s="52"/>
      <c r="M422" s="52">
        <v>1</v>
      </c>
      <c r="N422" s="52"/>
      <c r="O422" s="52">
        <v>1</v>
      </c>
      <c r="P422" s="52"/>
      <c r="Q422" s="52">
        <v>1</v>
      </c>
      <c r="R422" s="52"/>
      <c r="S422" s="52">
        <v>1</v>
      </c>
      <c r="T422" s="52"/>
      <c r="U422" s="52">
        <v>1</v>
      </c>
      <c r="V422" s="52"/>
      <c r="W422" s="52">
        <v>1</v>
      </c>
      <c r="X422" s="52"/>
      <c r="Y422" s="52">
        <v>1</v>
      </c>
      <c r="Z422" s="52"/>
      <c r="AA422" s="114">
        <v>2</v>
      </c>
      <c r="AB422" s="114"/>
      <c r="AC422" s="114">
        <v>4</v>
      </c>
      <c r="AD422" s="114"/>
    </row>
    <row r="423" spans="1:30" x14ac:dyDescent="0.2">
      <c r="A423" s="20" t="s">
        <v>426</v>
      </c>
      <c r="B423" s="20" t="s">
        <v>62</v>
      </c>
      <c r="C423" s="20" t="s">
        <v>16</v>
      </c>
      <c r="D423" s="20" t="str">
        <f t="shared" si="6"/>
        <v>B3-P2-C1</v>
      </c>
      <c r="E423" s="20" t="s">
        <v>19</v>
      </c>
      <c r="F423" s="20" t="s">
        <v>20</v>
      </c>
      <c r="G423" s="50" t="s">
        <v>1186</v>
      </c>
      <c r="H423" s="50">
        <v>422</v>
      </c>
      <c r="I423" s="52">
        <v>1</v>
      </c>
      <c r="J423" s="52"/>
      <c r="K423" s="52">
        <v>1</v>
      </c>
      <c r="L423" s="52"/>
      <c r="M423" s="52">
        <v>1</v>
      </c>
      <c r="N423" s="52"/>
      <c r="O423" s="52">
        <v>1</v>
      </c>
      <c r="P423" s="52"/>
      <c r="Q423" s="52">
        <v>1</v>
      </c>
      <c r="R423" s="52"/>
      <c r="S423" s="52">
        <v>1</v>
      </c>
      <c r="T423" s="52"/>
      <c r="U423" s="52">
        <v>1</v>
      </c>
      <c r="V423" s="52"/>
      <c r="W423" s="52">
        <v>1</v>
      </c>
      <c r="X423" s="52"/>
      <c r="Y423" s="52">
        <v>1</v>
      </c>
      <c r="Z423" s="52"/>
      <c r="AA423" s="114">
        <v>1</v>
      </c>
      <c r="AB423" s="114"/>
      <c r="AC423" s="114">
        <v>3</v>
      </c>
      <c r="AD423" s="114"/>
    </row>
    <row r="424" spans="1:30" x14ac:dyDescent="0.2">
      <c r="A424" s="20" t="s">
        <v>426</v>
      </c>
      <c r="B424" s="20" t="s">
        <v>62</v>
      </c>
      <c r="C424" s="20" t="s">
        <v>16</v>
      </c>
      <c r="D424" s="20" t="str">
        <f t="shared" si="6"/>
        <v>B3-P2-C1</v>
      </c>
      <c r="E424" s="20" t="s">
        <v>19</v>
      </c>
      <c r="F424" s="20" t="s">
        <v>20</v>
      </c>
      <c r="G424" s="50" t="s">
        <v>1187</v>
      </c>
      <c r="H424" s="50">
        <v>423</v>
      </c>
      <c r="I424" s="52">
        <v>1</v>
      </c>
      <c r="J424" s="52"/>
      <c r="K424" s="52">
        <v>1</v>
      </c>
      <c r="L424" s="52"/>
      <c r="M424" s="52">
        <v>1</v>
      </c>
      <c r="N424" s="52"/>
      <c r="O424" s="52">
        <v>1</v>
      </c>
      <c r="P424" s="52"/>
      <c r="Q424" s="52">
        <v>1</v>
      </c>
      <c r="R424" s="52"/>
      <c r="S424" s="52">
        <v>1</v>
      </c>
      <c r="T424" s="52"/>
      <c r="U424" s="52">
        <v>1</v>
      </c>
      <c r="V424" s="52"/>
      <c r="W424" s="52">
        <v>1</v>
      </c>
      <c r="X424" s="52"/>
      <c r="Y424" s="52">
        <v>1</v>
      </c>
      <c r="Z424" s="52"/>
      <c r="AA424" s="114">
        <v>1</v>
      </c>
      <c r="AB424" s="114"/>
      <c r="AC424" s="114">
        <v>4</v>
      </c>
      <c r="AD424" s="114"/>
    </row>
    <row r="425" spans="1:30" x14ac:dyDescent="0.2">
      <c r="A425" s="20" t="s">
        <v>426</v>
      </c>
      <c r="B425" s="20" t="s">
        <v>62</v>
      </c>
      <c r="C425" s="20" t="s">
        <v>16</v>
      </c>
      <c r="D425" s="20" t="str">
        <f t="shared" si="6"/>
        <v>B3-P2-C1</v>
      </c>
      <c r="E425" s="20" t="s">
        <v>19</v>
      </c>
      <c r="F425" s="20" t="s">
        <v>20</v>
      </c>
      <c r="G425" s="50" t="s">
        <v>1188</v>
      </c>
      <c r="H425" s="50">
        <v>424</v>
      </c>
      <c r="I425" s="52">
        <v>1</v>
      </c>
      <c r="J425" s="52"/>
      <c r="K425" s="52">
        <v>1</v>
      </c>
      <c r="L425" s="52"/>
      <c r="M425" s="52">
        <v>1</v>
      </c>
      <c r="N425" s="52"/>
      <c r="O425" s="52">
        <v>1</v>
      </c>
      <c r="P425" s="52"/>
      <c r="Q425" s="52">
        <v>1</v>
      </c>
      <c r="R425" s="52"/>
      <c r="S425" s="52">
        <v>1</v>
      </c>
      <c r="T425" s="52"/>
      <c r="U425" s="52">
        <v>1</v>
      </c>
      <c r="V425" s="52"/>
      <c r="W425" s="52">
        <v>1</v>
      </c>
      <c r="X425" s="52"/>
      <c r="Y425" s="52">
        <v>1</v>
      </c>
      <c r="Z425" s="52"/>
      <c r="AA425" s="114">
        <v>1</v>
      </c>
      <c r="AB425" s="114"/>
      <c r="AC425" s="114">
        <v>4</v>
      </c>
      <c r="AD425" s="114"/>
    </row>
    <row r="426" spans="1:30" x14ac:dyDescent="0.2">
      <c r="A426" s="14" t="s">
        <v>426</v>
      </c>
      <c r="B426" s="14" t="s">
        <v>62</v>
      </c>
      <c r="C426" s="14" t="s">
        <v>32</v>
      </c>
      <c r="D426" s="14" t="str">
        <f t="shared" si="6"/>
        <v>B3-P2-C2</v>
      </c>
      <c r="E426" s="14" t="s">
        <v>19</v>
      </c>
      <c r="F426" s="14" t="s">
        <v>20</v>
      </c>
      <c r="G426" s="51" t="s">
        <v>1190</v>
      </c>
      <c r="H426" s="51">
        <v>425</v>
      </c>
      <c r="I426" s="53">
        <v>1</v>
      </c>
      <c r="J426" s="54"/>
      <c r="K426" s="53">
        <v>1</v>
      </c>
      <c r="L426" s="54"/>
      <c r="M426" s="54">
        <v>1</v>
      </c>
      <c r="N426" s="54"/>
      <c r="O426" s="54">
        <v>1</v>
      </c>
      <c r="P426" s="54"/>
      <c r="Q426" s="54">
        <v>1</v>
      </c>
      <c r="R426" s="54"/>
      <c r="S426" s="54">
        <v>3</v>
      </c>
      <c r="T426" s="54"/>
      <c r="U426" s="54">
        <v>4</v>
      </c>
      <c r="V426" s="54"/>
      <c r="W426" s="54">
        <v>4</v>
      </c>
      <c r="X426" s="54"/>
      <c r="Y426" s="54">
        <v>4</v>
      </c>
      <c r="Z426" s="54"/>
      <c r="AA426" s="115">
        <v>4</v>
      </c>
      <c r="AB426" s="115"/>
      <c r="AC426" s="115">
        <v>4</v>
      </c>
      <c r="AD426" s="115"/>
    </row>
    <row r="427" spans="1:30" x14ac:dyDescent="0.2">
      <c r="A427" s="14" t="s">
        <v>426</v>
      </c>
      <c r="B427" s="14" t="s">
        <v>62</v>
      </c>
      <c r="C427" s="14" t="s">
        <v>32</v>
      </c>
      <c r="D427" s="14" t="str">
        <f t="shared" si="6"/>
        <v>B3-P2-C2</v>
      </c>
      <c r="E427" s="14" t="s">
        <v>35</v>
      </c>
      <c r="F427" s="14" t="s">
        <v>20</v>
      </c>
      <c r="G427" s="51" t="s">
        <v>1191</v>
      </c>
      <c r="H427" s="51">
        <v>426</v>
      </c>
      <c r="I427" s="53">
        <v>1</v>
      </c>
      <c r="J427" s="54"/>
      <c r="K427" s="53">
        <v>1</v>
      </c>
      <c r="L427" s="54"/>
      <c r="M427" s="54">
        <v>1</v>
      </c>
      <c r="N427" s="54"/>
      <c r="O427" s="54">
        <v>1</v>
      </c>
      <c r="P427" s="54"/>
      <c r="Q427" s="54">
        <v>1</v>
      </c>
      <c r="R427" s="54"/>
      <c r="S427" s="54">
        <v>1</v>
      </c>
      <c r="T427" s="54"/>
      <c r="U427" s="54">
        <v>1</v>
      </c>
      <c r="V427" s="54"/>
      <c r="W427" s="54">
        <v>1</v>
      </c>
      <c r="X427" s="54"/>
      <c r="Y427" s="54">
        <v>1</v>
      </c>
      <c r="Z427" s="54"/>
      <c r="AA427" s="115">
        <v>1</v>
      </c>
      <c r="AB427" s="115"/>
      <c r="AC427" s="115">
        <v>1</v>
      </c>
      <c r="AD427" s="115"/>
    </row>
    <row r="428" spans="1:30" x14ac:dyDescent="0.2">
      <c r="A428" s="14" t="s">
        <v>426</v>
      </c>
      <c r="B428" s="14" t="s">
        <v>62</v>
      </c>
      <c r="C428" s="14" t="s">
        <v>32</v>
      </c>
      <c r="D428" s="14" t="str">
        <f t="shared" si="6"/>
        <v>B3-P2-C2</v>
      </c>
      <c r="E428" s="14" t="s">
        <v>35</v>
      </c>
      <c r="F428" s="14" t="s">
        <v>20</v>
      </c>
      <c r="G428" s="51" t="s">
        <v>1192</v>
      </c>
      <c r="H428" s="51">
        <v>427</v>
      </c>
      <c r="I428" s="53">
        <v>1</v>
      </c>
      <c r="J428" s="54"/>
      <c r="K428" s="53">
        <v>1</v>
      </c>
      <c r="L428" s="54"/>
      <c r="M428" s="54">
        <v>1</v>
      </c>
      <c r="N428" s="54"/>
      <c r="O428" s="54">
        <v>1</v>
      </c>
      <c r="P428" s="54"/>
      <c r="Q428" s="54">
        <v>1</v>
      </c>
      <c r="R428" s="54"/>
      <c r="S428" s="54">
        <v>1</v>
      </c>
      <c r="T428" s="54"/>
      <c r="U428" s="54">
        <v>1</v>
      </c>
      <c r="V428" s="54"/>
      <c r="W428" s="54">
        <v>1</v>
      </c>
      <c r="X428" s="54"/>
      <c r="Y428" s="54">
        <v>1</v>
      </c>
      <c r="Z428" s="54"/>
      <c r="AA428" s="115">
        <v>1</v>
      </c>
      <c r="AB428" s="115"/>
      <c r="AC428" s="115">
        <v>1</v>
      </c>
      <c r="AD428" s="115"/>
    </row>
    <row r="429" spans="1:30" x14ac:dyDescent="0.2">
      <c r="A429" s="14" t="s">
        <v>426</v>
      </c>
      <c r="B429" s="14" t="s">
        <v>62</v>
      </c>
      <c r="C429" s="14" t="s">
        <v>32</v>
      </c>
      <c r="D429" s="14" t="str">
        <f t="shared" si="6"/>
        <v>B3-P2-C2</v>
      </c>
      <c r="E429" s="14" t="s">
        <v>19</v>
      </c>
      <c r="F429" s="14" t="s">
        <v>20</v>
      </c>
      <c r="G429" s="51" t="s">
        <v>1193</v>
      </c>
      <c r="H429" s="51">
        <v>428</v>
      </c>
      <c r="I429" s="53">
        <v>1</v>
      </c>
      <c r="J429" s="54"/>
      <c r="K429" s="53">
        <v>1</v>
      </c>
      <c r="L429" s="54"/>
      <c r="M429" s="54">
        <v>3</v>
      </c>
      <c r="N429" s="54"/>
      <c r="O429" s="54">
        <v>3</v>
      </c>
      <c r="P429" s="54"/>
      <c r="Q429" s="54">
        <v>3</v>
      </c>
      <c r="R429" s="54"/>
      <c r="S429" s="54">
        <v>3</v>
      </c>
      <c r="T429" s="54"/>
      <c r="U429" s="54">
        <v>4</v>
      </c>
      <c r="V429" s="54"/>
      <c r="W429" s="54">
        <v>4</v>
      </c>
      <c r="X429" s="54"/>
      <c r="Y429" s="54">
        <v>4</v>
      </c>
      <c r="Z429" s="54"/>
      <c r="AA429" s="115">
        <v>4</v>
      </c>
      <c r="AB429" s="115"/>
      <c r="AC429" s="115">
        <v>4</v>
      </c>
      <c r="AD429" s="115"/>
    </row>
    <row r="430" spans="1:30" x14ac:dyDescent="0.2">
      <c r="A430" s="14" t="s">
        <v>426</v>
      </c>
      <c r="B430" s="14" t="s">
        <v>62</v>
      </c>
      <c r="C430" s="14" t="s">
        <v>32</v>
      </c>
      <c r="D430" s="14" t="str">
        <f t="shared" si="6"/>
        <v>B3-P2-C2</v>
      </c>
      <c r="E430" s="14" t="s">
        <v>19</v>
      </c>
      <c r="F430" s="14" t="s">
        <v>20</v>
      </c>
      <c r="G430" s="51" t="s">
        <v>1194</v>
      </c>
      <c r="H430" s="51">
        <v>429</v>
      </c>
      <c r="I430" s="53">
        <v>1</v>
      </c>
      <c r="J430" s="54"/>
      <c r="K430" s="53">
        <v>1</v>
      </c>
      <c r="L430" s="54"/>
      <c r="M430" s="54">
        <v>2</v>
      </c>
      <c r="N430" s="54"/>
      <c r="O430" s="54">
        <v>1.5</v>
      </c>
      <c r="P430" s="54"/>
      <c r="Q430" s="54">
        <v>1.5</v>
      </c>
      <c r="R430" s="54"/>
      <c r="S430" s="54">
        <v>1.5</v>
      </c>
      <c r="T430" s="54"/>
      <c r="U430" s="54">
        <v>2</v>
      </c>
      <c r="V430" s="54"/>
      <c r="W430" s="54">
        <v>2</v>
      </c>
      <c r="X430" s="54"/>
      <c r="Y430" s="54">
        <v>2</v>
      </c>
      <c r="Z430" s="54"/>
      <c r="AA430" s="115">
        <v>3</v>
      </c>
      <c r="AB430" s="115"/>
      <c r="AC430" s="115">
        <v>4</v>
      </c>
      <c r="AD430" s="115"/>
    </row>
    <row r="431" spans="1:30" x14ac:dyDescent="0.2">
      <c r="A431" s="14" t="s">
        <v>426</v>
      </c>
      <c r="B431" s="14" t="s">
        <v>62</v>
      </c>
      <c r="C431" s="14" t="s">
        <v>32</v>
      </c>
      <c r="D431" s="14" t="str">
        <f t="shared" si="6"/>
        <v>B3-P2-C2</v>
      </c>
      <c r="E431" s="14" t="s">
        <v>35</v>
      </c>
      <c r="F431" s="14" t="s">
        <v>20</v>
      </c>
      <c r="G431" s="51" t="s">
        <v>1195</v>
      </c>
      <c r="H431" s="51">
        <v>430</v>
      </c>
      <c r="I431" s="53">
        <v>1</v>
      </c>
      <c r="J431" s="54"/>
      <c r="K431" s="53">
        <v>1</v>
      </c>
      <c r="L431" s="54"/>
      <c r="M431" s="54">
        <v>1</v>
      </c>
      <c r="N431" s="54"/>
      <c r="O431" s="54">
        <v>1</v>
      </c>
      <c r="P431" s="54"/>
      <c r="Q431" s="54">
        <v>1</v>
      </c>
      <c r="R431" s="54"/>
      <c r="S431" s="54">
        <v>1</v>
      </c>
      <c r="T431" s="54"/>
      <c r="U431" s="54">
        <v>1</v>
      </c>
      <c r="V431" s="54"/>
      <c r="W431" s="54">
        <v>1</v>
      </c>
      <c r="X431" s="54"/>
      <c r="Y431" s="54">
        <v>1</v>
      </c>
      <c r="Z431" s="54"/>
      <c r="AA431" s="115">
        <v>1</v>
      </c>
      <c r="AB431" s="115"/>
      <c r="AC431" s="115">
        <v>1</v>
      </c>
      <c r="AD431" s="115"/>
    </row>
    <row r="432" spans="1:30" x14ac:dyDescent="0.2">
      <c r="A432" s="14" t="s">
        <v>426</v>
      </c>
      <c r="B432" s="14" t="s">
        <v>62</v>
      </c>
      <c r="C432" s="14" t="s">
        <v>32</v>
      </c>
      <c r="D432" s="14" t="str">
        <f t="shared" si="6"/>
        <v>B3-P2-C2</v>
      </c>
      <c r="E432" s="14" t="s">
        <v>35</v>
      </c>
      <c r="F432" s="14" t="s">
        <v>20</v>
      </c>
      <c r="G432" s="51" t="s">
        <v>1196</v>
      </c>
      <c r="H432" s="51">
        <v>431</v>
      </c>
      <c r="I432" s="53">
        <v>1</v>
      </c>
      <c r="J432" s="54"/>
      <c r="K432" s="53">
        <v>1</v>
      </c>
      <c r="L432" s="54"/>
      <c r="M432" s="54">
        <v>1</v>
      </c>
      <c r="N432" s="54"/>
      <c r="O432" s="54">
        <v>1</v>
      </c>
      <c r="P432" s="54"/>
      <c r="Q432" s="54">
        <v>1</v>
      </c>
      <c r="R432" s="54"/>
      <c r="S432" s="54">
        <v>1</v>
      </c>
      <c r="T432" s="54"/>
      <c r="U432" s="54">
        <v>1</v>
      </c>
      <c r="V432" s="54"/>
      <c r="W432" s="54">
        <v>1</v>
      </c>
      <c r="X432" s="54"/>
      <c r="Y432" s="54">
        <v>1</v>
      </c>
      <c r="Z432" s="54"/>
      <c r="AA432" s="115">
        <v>1</v>
      </c>
      <c r="AB432" s="115"/>
      <c r="AC432" s="115">
        <v>1</v>
      </c>
      <c r="AD432" s="115"/>
    </row>
    <row r="433" spans="1:30" x14ac:dyDescent="0.2">
      <c r="A433" s="14" t="s">
        <v>426</v>
      </c>
      <c r="B433" s="14" t="s">
        <v>62</v>
      </c>
      <c r="C433" s="14" t="s">
        <v>32</v>
      </c>
      <c r="D433" s="14" t="str">
        <f t="shared" si="6"/>
        <v>B3-P2-C2</v>
      </c>
      <c r="E433" s="14" t="s">
        <v>19</v>
      </c>
      <c r="F433" s="14" t="s">
        <v>20</v>
      </c>
      <c r="G433" s="51" t="s">
        <v>1197</v>
      </c>
      <c r="H433" s="51">
        <v>432</v>
      </c>
      <c r="I433" s="53">
        <v>1</v>
      </c>
      <c r="J433" s="54"/>
      <c r="K433" s="53">
        <v>1</v>
      </c>
      <c r="L433" s="54"/>
      <c r="M433" s="54">
        <v>3</v>
      </c>
      <c r="N433" s="54"/>
      <c r="O433" s="54">
        <v>3</v>
      </c>
      <c r="P433" s="54"/>
      <c r="Q433" s="54">
        <v>3</v>
      </c>
      <c r="R433" s="54"/>
      <c r="S433" s="54">
        <v>2.5</v>
      </c>
      <c r="T433" s="54"/>
      <c r="U433" s="54">
        <v>3</v>
      </c>
      <c r="V433" s="54"/>
      <c r="W433" s="54">
        <v>3</v>
      </c>
      <c r="X433" s="54"/>
      <c r="Y433" s="54">
        <v>3</v>
      </c>
      <c r="Z433" s="54"/>
      <c r="AA433" s="115">
        <v>3.5</v>
      </c>
      <c r="AB433" s="115"/>
      <c r="AC433" s="115">
        <v>4</v>
      </c>
      <c r="AD433" s="115"/>
    </row>
    <row r="434" spans="1:30" x14ac:dyDescent="0.2">
      <c r="A434" s="20" t="s">
        <v>426</v>
      </c>
      <c r="B434" s="20" t="s">
        <v>62</v>
      </c>
      <c r="C434" s="20" t="s">
        <v>42</v>
      </c>
      <c r="D434" s="20" t="str">
        <f t="shared" si="6"/>
        <v>B3-P2-C3</v>
      </c>
      <c r="E434" s="20" t="s">
        <v>19</v>
      </c>
      <c r="F434" s="20" t="s">
        <v>20</v>
      </c>
      <c r="G434" s="50" t="s">
        <v>1199</v>
      </c>
      <c r="H434" s="50">
        <v>433</v>
      </c>
      <c r="I434" s="52">
        <v>1</v>
      </c>
      <c r="J434" s="52"/>
      <c r="K434" s="52">
        <v>1</v>
      </c>
      <c r="L434" s="52"/>
      <c r="M434" s="52">
        <v>1</v>
      </c>
      <c r="N434" s="52"/>
      <c r="O434" s="52">
        <v>1</v>
      </c>
      <c r="P434" s="52"/>
      <c r="Q434" s="52">
        <v>1</v>
      </c>
      <c r="R434" s="52"/>
      <c r="S434" s="52">
        <v>1</v>
      </c>
      <c r="T434" s="52"/>
      <c r="U434" s="52">
        <v>1</v>
      </c>
      <c r="V434" s="52"/>
      <c r="W434" s="52">
        <v>1</v>
      </c>
      <c r="X434" s="52"/>
      <c r="Y434" s="52">
        <v>1</v>
      </c>
      <c r="Z434" s="52"/>
      <c r="AA434" s="114">
        <v>1</v>
      </c>
      <c r="AB434" s="114"/>
      <c r="AC434" s="114">
        <v>4</v>
      </c>
      <c r="AD434" s="114"/>
    </row>
    <row r="435" spans="1:30" x14ac:dyDescent="0.2">
      <c r="A435" s="20" t="s">
        <v>426</v>
      </c>
      <c r="B435" s="20" t="s">
        <v>62</v>
      </c>
      <c r="C435" s="20" t="s">
        <v>42</v>
      </c>
      <c r="D435" s="20" t="str">
        <f t="shared" si="6"/>
        <v>B3-P2-C3</v>
      </c>
      <c r="E435" s="20" t="s">
        <v>35</v>
      </c>
      <c r="F435" s="20" t="s">
        <v>20</v>
      </c>
      <c r="G435" s="50" t="s">
        <v>1200</v>
      </c>
      <c r="H435" s="50">
        <v>434</v>
      </c>
      <c r="I435" s="52">
        <v>1</v>
      </c>
      <c r="J435" s="52"/>
      <c r="K435" s="52">
        <v>1</v>
      </c>
      <c r="L435" s="52"/>
      <c r="M435" s="52">
        <v>1</v>
      </c>
      <c r="N435" s="52"/>
      <c r="O435" s="52">
        <v>1</v>
      </c>
      <c r="P435" s="52"/>
      <c r="Q435" s="52">
        <v>1</v>
      </c>
      <c r="R435" s="52"/>
      <c r="S435" s="52">
        <v>1</v>
      </c>
      <c r="T435" s="52"/>
      <c r="U435" s="52">
        <v>1</v>
      </c>
      <c r="V435" s="52"/>
      <c r="W435" s="52">
        <v>1</v>
      </c>
      <c r="X435" s="52"/>
      <c r="Y435" s="52">
        <v>1</v>
      </c>
      <c r="Z435" s="52"/>
      <c r="AA435" s="114">
        <v>1</v>
      </c>
      <c r="AB435" s="114"/>
      <c r="AC435" s="114">
        <v>1</v>
      </c>
      <c r="AD435" s="114"/>
    </row>
    <row r="436" spans="1:30" x14ac:dyDescent="0.2">
      <c r="A436" s="20" t="s">
        <v>426</v>
      </c>
      <c r="B436" s="20" t="s">
        <v>62</v>
      </c>
      <c r="C436" s="20" t="s">
        <v>42</v>
      </c>
      <c r="D436" s="20" t="str">
        <f t="shared" si="6"/>
        <v>B3-P2-C3</v>
      </c>
      <c r="E436" s="20" t="s">
        <v>35</v>
      </c>
      <c r="F436" s="20" t="s">
        <v>20</v>
      </c>
      <c r="G436" s="50" t="s">
        <v>1201</v>
      </c>
      <c r="H436" s="50">
        <v>435</v>
      </c>
      <c r="I436" s="52">
        <v>1</v>
      </c>
      <c r="J436" s="52"/>
      <c r="K436" s="52">
        <v>1</v>
      </c>
      <c r="L436" s="52"/>
      <c r="M436" s="52">
        <v>1</v>
      </c>
      <c r="N436" s="52"/>
      <c r="O436" s="52">
        <v>1</v>
      </c>
      <c r="P436" s="52"/>
      <c r="Q436" s="52">
        <v>1</v>
      </c>
      <c r="R436" s="52"/>
      <c r="S436" s="52">
        <v>1</v>
      </c>
      <c r="T436" s="52"/>
      <c r="U436" s="52">
        <v>1</v>
      </c>
      <c r="V436" s="52"/>
      <c r="W436" s="52">
        <v>1</v>
      </c>
      <c r="X436" s="52"/>
      <c r="Y436" s="52">
        <v>1</v>
      </c>
      <c r="Z436" s="52"/>
      <c r="AA436" s="114">
        <v>1</v>
      </c>
      <c r="AB436" s="114"/>
      <c r="AC436" s="114">
        <v>1</v>
      </c>
      <c r="AD436" s="114"/>
    </row>
    <row r="437" spans="1:30" x14ac:dyDescent="0.2">
      <c r="A437" s="20" t="s">
        <v>426</v>
      </c>
      <c r="B437" s="20" t="s">
        <v>62</v>
      </c>
      <c r="C437" s="20" t="s">
        <v>42</v>
      </c>
      <c r="D437" s="20" t="str">
        <f t="shared" si="6"/>
        <v>B3-P2-C3</v>
      </c>
      <c r="E437" s="20" t="s">
        <v>19</v>
      </c>
      <c r="F437" s="20" t="s">
        <v>20</v>
      </c>
      <c r="G437" s="50" t="s">
        <v>1202</v>
      </c>
      <c r="H437" s="50">
        <v>436</v>
      </c>
      <c r="I437" s="52">
        <v>1</v>
      </c>
      <c r="J437" s="52"/>
      <c r="K437" s="52">
        <v>1</v>
      </c>
      <c r="L437" s="52"/>
      <c r="M437" s="52">
        <v>1</v>
      </c>
      <c r="N437" s="52"/>
      <c r="O437" s="52">
        <v>1</v>
      </c>
      <c r="P437" s="52"/>
      <c r="Q437" s="52">
        <v>1</v>
      </c>
      <c r="R437" s="52"/>
      <c r="S437" s="52">
        <v>1</v>
      </c>
      <c r="T437" s="52"/>
      <c r="U437" s="52">
        <v>1</v>
      </c>
      <c r="V437" s="52"/>
      <c r="W437" s="52">
        <v>1</v>
      </c>
      <c r="X437" s="52"/>
      <c r="Y437" s="52">
        <v>1</v>
      </c>
      <c r="Z437" s="52"/>
      <c r="AA437" s="114">
        <v>1</v>
      </c>
      <c r="AB437" s="114"/>
      <c r="AC437" s="114">
        <v>4</v>
      </c>
      <c r="AD437" s="114"/>
    </row>
    <row r="438" spans="1:30" x14ac:dyDescent="0.2">
      <c r="A438" s="20" t="s">
        <v>426</v>
      </c>
      <c r="B438" s="20" t="s">
        <v>62</v>
      </c>
      <c r="C438" s="20" t="s">
        <v>42</v>
      </c>
      <c r="D438" s="20" t="str">
        <f t="shared" si="6"/>
        <v>B3-P2-C3</v>
      </c>
      <c r="E438" s="20" t="s">
        <v>19</v>
      </c>
      <c r="F438" s="20" t="s">
        <v>20</v>
      </c>
      <c r="G438" s="50" t="s">
        <v>1203</v>
      </c>
      <c r="H438" s="50">
        <v>437</v>
      </c>
      <c r="I438" s="52">
        <v>1</v>
      </c>
      <c r="J438" s="52"/>
      <c r="K438" s="52">
        <v>1</v>
      </c>
      <c r="L438" s="52"/>
      <c r="M438" s="52">
        <v>1</v>
      </c>
      <c r="N438" s="52"/>
      <c r="O438" s="52">
        <v>1</v>
      </c>
      <c r="P438" s="52"/>
      <c r="Q438" s="52">
        <v>1</v>
      </c>
      <c r="R438" s="52"/>
      <c r="S438" s="52">
        <v>1</v>
      </c>
      <c r="T438" s="52"/>
      <c r="U438" s="52">
        <v>1</v>
      </c>
      <c r="V438" s="52"/>
      <c r="W438" s="52">
        <v>1</v>
      </c>
      <c r="X438" s="52"/>
      <c r="Y438" s="52">
        <v>1</v>
      </c>
      <c r="Z438" s="52"/>
      <c r="AA438" s="114">
        <v>1</v>
      </c>
      <c r="AB438" s="114"/>
      <c r="AC438" s="114">
        <v>4</v>
      </c>
      <c r="AD438" s="114"/>
    </row>
    <row r="439" spans="1:30" x14ac:dyDescent="0.2">
      <c r="A439" s="20" t="s">
        <v>426</v>
      </c>
      <c r="B439" s="20" t="s">
        <v>62</v>
      </c>
      <c r="C439" s="20" t="s">
        <v>42</v>
      </c>
      <c r="D439" s="20" t="str">
        <f t="shared" si="6"/>
        <v>B3-P2-C3</v>
      </c>
      <c r="E439" s="20" t="s">
        <v>35</v>
      </c>
      <c r="F439" s="20" t="s">
        <v>20</v>
      </c>
      <c r="G439" s="50" t="s">
        <v>1204</v>
      </c>
      <c r="H439" s="50">
        <v>438</v>
      </c>
      <c r="I439" s="52">
        <v>1</v>
      </c>
      <c r="J439" s="52"/>
      <c r="K439" s="52">
        <v>1</v>
      </c>
      <c r="L439" s="52"/>
      <c r="M439" s="52">
        <v>1</v>
      </c>
      <c r="N439" s="52"/>
      <c r="O439" s="52">
        <v>1</v>
      </c>
      <c r="P439" s="52"/>
      <c r="Q439" s="52">
        <v>1</v>
      </c>
      <c r="R439" s="52"/>
      <c r="S439" s="52">
        <v>1</v>
      </c>
      <c r="T439" s="52"/>
      <c r="U439" s="52">
        <v>1</v>
      </c>
      <c r="V439" s="52"/>
      <c r="W439" s="52">
        <v>1</v>
      </c>
      <c r="X439" s="52"/>
      <c r="Y439" s="52">
        <v>1</v>
      </c>
      <c r="Z439" s="52"/>
      <c r="AA439" s="114">
        <v>1</v>
      </c>
      <c r="AB439" s="114"/>
      <c r="AC439" s="114">
        <v>1</v>
      </c>
      <c r="AD439" s="114"/>
    </row>
    <row r="440" spans="1:30" x14ac:dyDescent="0.2">
      <c r="A440" s="20" t="s">
        <v>426</v>
      </c>
      <c r="B440" s="20" t="s">
        <v>62</v>
      </c>
      <c r="C440" s="20" t="s">
        <v>42</v>
      </c>
      <c r="D440" s="20" t="str">
        <f t="shared" si="6"/>
        <v>B3-P2-C3</v>
      </c>
      <c r="E440" s="20" t="s">
        <v>35</v>
      </c>
      <c r="F440" s="20" t="s">
        <v>20</v>
      </c>
      <c r="G440" s="50" t="s">
        <v>1205</v>
      </c>
      <c r="H440" s="50">
        <v>439</v>
      </c>
      <c r="I440" s="52">
        <v>1</v>
      </c>
      <c r="J440" s="52"/>
      <c r="K440" s="52">
        <v>1</v>
      </c>
      <c r="L440" s="52"/>
      <c r="M440" s="52">
        <v>1</v>
      </c>
      <c r="N440" s="52"/>
      <c r="O440" s="52">
        <v>1</v>
      </c>
      <c r="P440" s="52"/>
      <c r="Q440" s="52">
        <v>1</v>
      </c>
      <c r="R440" s="52"/>
      <c r="S440" s="52">
        <v>1</v>
      </c>
      <c r="T440" s="52"/>
      <c r="U440" s="52">
        <v>1</v>
      </c>
      <c r="V440" s="52"/>
      <c r="W440" s="52">
        <v>1</v>
      </c>
      <c r="X440" s="52"/>
      <c r="Y440" s="52">
        <v>1</v>
      </c>
      <c r="Z440" s="52"/>
      <c r="AA440" s="114">
        <v>1</v>
      </c>
      <c r="AB440" s="114"/>
      <c r="AC440" s="114">
        <v>1</v>
      </c>
      <c r="AD440" s="114"/>
    </row>
    <row r="441" spans="1:30" x14ac:dyDescent="0.2">
      <c r="A441" s="20" t="s">
        <v>426</v>
      </c>
      <c r="B441" s="20" t="s">
        <v>62</v>
      </c>
      <c r="C441" s="20" t="s">
        <v>42</v>
      </c>
      <c r="D441" s="20" t="str">
        <f t="shared" si="6"/>
        <v>B3-P2-C3</v>
      </c>
      <c r="E441" s="20" t="s">
        <v>19</v>
      </c>
      <c r="F441" s="20" t="s">
        <v>20</v>
      </c>
      <c r="G441" s="50" t="s">
        <v>1206</v>
      </c>
      <c r="H441" s="50">
        <v>440</v>
      </c>
      <c r="I441" s="52">
        <v>1</v>
      </c>
      <c r="J441" s="52"/>
      <c r="K441" s="52">
        <v>1</v>
      </c>
      <c r="L441" s="52"/>
      <c r="M441" s="52">
        <v>1</v>
      </c>
      <c r="N441" s="52"/>
      <c r="O441" s="52">
        <v>1</v>
      </c>
      <c r="P441" s="52"/>
      <c r="Q441" s="52">
        <v>1</v>
      </c>
      <c r="R441" s="52"/>
      <c r="S441" s="52">
        <v>1</v>
      </c>
      <c r="T441" s="52"/>
      <c r="U441" s="52">
        <v>1</v>
      </c>
      <c r="V441" s="52"/>
      <c r="W441" s="52">
        <v>1</v>
      </c>
      <c r="X441" s="52"/>
      <c r="Y441" s="52">
        <v>1</v>
      </c>
      <c r="Z441" s="52"/>
      <c r="AA441" s="114">
        <v>1</v>
      </c>
      <c r="AB441" s="114"/>
      <c r="AC441" s="114">
        <v>3</v>
      </c>
      <c r="AD441" s="114"/>
    </row>
    <row r="442" spans="1:30" x14ac:dyDescent="0.2">
      <c r="A442" s="14" t="s">
        <v>426</v>
      </c>
      <c r="B442" s="14" t="s">
        <v>62</v>
      </c>
      <c r="C442" s="14" t="s">
        <v>53</v>
      </c>
      <c r="D442" s="14" t="str">
        <f t="shared" si="6"/>
        <v>B3-P2-C4</v>
      </c>
      <c r="E442" s="14" t="s">
        <v>35</v>
      </c>
      <c r="F442" s="14" t="s">
        <v>20</v>
      </c>
      <c r="G442" s="51" t="s">
        <v>1208</v>
      </c>
      <c r="H442" s="51">
        <v>441</v>
      </c>
      <c r="I442" s="53">
        <v>1</v>
      </c>
      <c r="J442" s="54"/>
      <c r="K442" s="53">
        <v>1</v>
      </c>
      <c r="L442" s="54"/>
      <c r="M442" s="54">
        <v>1</v>
      </c>
      <c r="N442" s="54"/>
      <c r="O442" s="54">
        <v>1</v>
      </c>
      <c r="P442" s="54"/>
      <c r="Q442" s="54">
        <v>1</v>
      </c>
      <c r="R442" s="54"/>
      <c r="S442" s="54">
        <v>1</v>
      </c>
      <c r="T442" s="54"/>
      <c r="U442" s="54">
        <v>1</v>
      </c>
      <c r="V442" s="54"/>
      <c r="W442" s="54">
        <v>1</v>
      </c>
      <c r="X442" s="54"/>
      <c r="Y442" s="54">
        <v>1</v>
      </c>
      <c r="Z442" s="54"/>
      <c r="AA442" s="54">
        <v>1</v>
      </c>
      <c r="AB442" s="115"/>
      <c r="AC442" s="54">
        <v>1</v>
      </c>
      <c r="AD442" s="115"/>
    </row>
    <row r="443" spans="1:30" x14ac:dyDescent="0.2">
      <c r="A443" s="14" t="s">
        <v>426</v>
      </c>
      <c r="B443" s="14" t="s">
        <v>62</v>
      </c>
      <c r="C443" s="14" t="s">
        <v>53</v>
      </c>
      <c r="D443" s="14" t="str">
        <f t="shared" si="6"/>
        <v>B3-P2-C4</v>
      </c>
      <c r="E443" s="14" t="s">
        <v>35</v>
      </c>
      <c r="F443" s="14" t="s">
        <v>20</v>
      </c>
      <c r="G443" s="51" t="s">
        <v>1209</v>
      </c>
      <c r="H443" s="51">
        <v>442</v>
      </c>
      <c r="I443" s="53">
        <v>1</v>
      </c>
      <c r="J443" s="54"/>
      <c r="K443" s="53">
        <v>1</v>
      </c>
      <c r="L443" s="54"/>
      <c r="M443" s="54">
        <v>1</v>
      </c>
      <c r="N443" s="54"/>
      <c r="O443" s="54">
        <v>1</v>
      </c>
      <c r="P443" s="54"/>
      <c r="Q443" s="54">
        <v>1</v>
      </c>
      <c r="R443" s="54"/>
      <c r="S443" s="54">
        <v>1</v>
      </c>
      <c r="T443" s="54"/>
      <c r="U443" s="54">
        <v>1</v>
      </c>
      <c r="V443" s="54"/>
      <c r="W443" s="54">
        <v>1</v>
      </c>
      <c r="X443" s="54"/>
      <c r="Y443" s="54">
        <v>1</v>
      </c>
      <c r="Z443" s="54"/>
      <c r="AA443" s="54">
        <v>1</v>
      </c>
      <c r="AB443" s="115"/>
      <c r="AC443" s="54">
        <v>1</v>
      </c>
      <c r="AD443" s="115"/>
    </row>
    <row r="444" spans="1:30" x14ac:dyDescent="0.2">
      <c r="A444" s="14" t="s">
        <v>426</v>
      </c>
      <c r="B444" s="14" t="s">
        <v>62</v>
      </c>
      <c r="C444" s="14" t="s">
        <v>53</v>
      </c>
      <c r="D444" s="14" t="str">
        <f t="shared" si="6"/>
        <v>B3-P2-C4</v>
      </c>
      <c r="E444" s="14" t="s">
        <v>35</v>
      </c>
      <c r="F444" s="14" t="s">
        <v>20</v>
      </c>
      <c r="G444" s="51" t="s">
        <v>1210</v>
      </c>
      <c r="H444" s="51">
        <v>443</v>
      </c>
      <c r="I444" s="53">
        <v>1</v>
      </c>
      <c r="J444" s="54"/>
      <c r="K444" s="53">
        <v>1</v>
      </c>
      <c r="L444" s="54"/>
      <c r="M444" s="54">
        <v>1</v>
      </c>
      <c r="N444" s="54"/>
      <c r="O444" s="54">
        <v>1</v>
      </c>
      <c r="P444" s="54"/>
      <c r="Q444" s="54">
        <v>1</v>
      </c>
      <c r="R444" s="54"/>
      <c r="S444" s="54">
        <v>1</v>
      </c>
      <c r="T444" s="54"/>
      <c r="U444" s="54">
        <v>1</v>
      </c>
      <c r="V444" s="54"/>
      <c r="W444" s="54">
        <v>1</v>
      </c>
      <c r="X444" s="54"/>
      <c r="Y444" s="54">
        <v>1</v>
      </c>
      <c r="Z444" s="54"/>
      <c r="AA444" s="54">
        <v>1</v>
      </c>
      <c r="AB444" s="115"/>
      <c r="AC444" s="54">
        <v>1</v>
      </c>
      <c r="AD444" s="115"/>
    </row>
    <row r="445" spans="1:30" x14ac:dyDescent="0.2">
      <c r="A445" s="14" t="s">
        <v>426</v>
      </c>
      <c r="B445" s="14" t="s">
        <v>62</v>
      </c>
      <c r="C445" s="14" t="s">
        <v>53</v>
      </c>
      <c r="D445" s="14" t="str">
        <f t="shared" si="6"/>
        <v>B3-P2-C4</v>
      </c>
      <c r="E445" s="14" t="s">
        <v>35</v>
      </c>
      <c r="F445" s="14" t="s">
        <v>20</v>
      </c>
      <c r="G445" s="51" t="s">
        <v>1211</v>
      </c>
      <c r="H445" s="51">
        <v>444</v>
      </c>
      <c r="I445" s="53">
        <v>1</v>
      </c>
      <c r="J445" s="54"/>
      <c r="K445" s="53">
        <v>1</v>
      </c>
      <c r="L445" s="54"/>
      <c r="M445" s="54">
        <v>1</v>
      </c>
      <c r="N445" s="54"/>
      <c r="O445" s="54">
        <v>1</v>
      </c>
      <c r="P445" s="54"/>
      <c r="Q445" s="54">
        <v>1</v>
      </c>
      <c r="R445" s="54"/>
      <c r="S445" s="54">
        <v>1</v>
      </c>
      <c r="T445" s="54"/>
      <c r="U445" s="54">
        <v>1</v>
      </c>
      <c r="V445" s="54"/>
      <c r="W445" s="54">
        <v>1</v>
      </c>
      <c r="X445" s="54"/>
      <c r="Y445" s="54">
        <v>1</v>
      </c>
      <c r="Z445" s="54"/>
      <c r="AA445" s="54">
        <v>1</v>
      </c>
      <c r="AB445" s="115"/>
      <c r="AC445" s="54">
        <v>1</v>
      </c>
      <c r="AD445" s="115"/>
    </row>
    <row r="446" spans="1:30" x14ac:dyDescent="0.2">
      <c r="A446" s="14" t="s">
        <v>426</v>
      </c>
      <c r="B446" s="14" t="s">
        <v>62</v>
      </c>
      <c r="C446" s="14" t="s">
        <v>53</v>
      </c>
      <c r="D446" s="14" t="str">
        <f t="shared" si="6"/>
        <v>B3-P2-C4</v>
      </c>
      <c r="E446" s="14" t="s">
        <v>35</v>
      </c>
      <c r="F446" s="14" t="s">
        <v>20</v>
      </c>
      <c r="G446" s="51" t="s">
        <v>1212</v>
      </c>
      <c r="H446" s="51">
        <v>445</v>
      </c>
      <c r="I446" s="53">
        <v>1</v>
      </c>
      <c r="J446" s="54"/>
      <c r="K446" s="53">
        <v>1</v>
      </c>
      <c r="L446" s="54"/>
      <c r="M446" s="54">
        <v>1</v>
      </c>
      <c r="N446" s="54"/>
      <c r="O446" s="54">
        <v>1</v>
      </c>
      <c r="P446" s="54"/>
      <c r="Q446" s="54">
        <v>1</v>
      </c>
      <c r="R446" s="54"/>
      <c r="S446" s="54">
        <v>1</v>
      </c>
      <c r="T446" s="54"/>
      <c r="U446" s="54">
        <v>1</v>
      </c>
      <c r="V446" s="54"/>
      <c r="W446" s="54">
        <v>1</v>
      </c>
      <c r="X446" s="54"/>
      <c r="Y446" s="54">
        <v>1</v>
      </c>
      <c r="Z446" s="54"/>
      <c r="AA446" s="54">
        <v>1</v>
      </c>
      <c r="AB446" s="115"/>
      <c r="AC446" s="54">
        <v>1</v>
      </c>
      <c r="AD446" s="115"/>
    </row>
    <row r="447" spans="1:30" x14ac:dyDescent="0.2">
      <c r="A447" s="14" t="s">
        <v>426</v>
      </c>
      <c r="B447" s="14" t="s">
        <v>62</v>
      </c>
      <c r="C447" s="14" t="s">
        <v>53</v>
      </c>
      <c r="D447" s="14" t="str">
        <f t="shared" si="6"/>
        <v>B3-P2-C4</v>
      </c>
      <c r="E447" s="14" t="s">
        <v>35</v>
      </c>
      <c r="F447" s="14" t="s">
        <v>20</v>
      </c>
      <c r="G447" s="51" t="s">
        <v>1213</v>
      </c>
      <c r="H447" s="51">
        <v>446</v>
      </c>
      <c r="I447" s="53">
        <v>1</v>
      </c>
      <c r="J447" s="54"/>
      <c r="K447" s="53">
        <v>1</v>
      </c>
      <c r="L447" s="54"/>
      <c r="M447" s="54">
        <v>1</v>
      </c>
      <c r="N447" s="54"/>
      <c r="O447" s="54">
        <v>1</v>
      </c>
      <c r="P447" s="54"/>
      <c r="Q447" s="54">
        <v>1</v>
      </c>
      <c r="R447" s="54"/>
      <c r="S447" s="54">
        <v>1</v>
      </c>
      <c r="T447" s="54"/>
      <c r="U447" s="54">
        <v>1</v>
      </c>
      <c r="V447" s="54"/>
      <c r="W447" s="54">
        <v>1</v>
      </c>
      <c r="X447" s="54"/>
      <c r="Y447" s="54">
        <v>1</v>
      </c>
      <c r="Z447" s="54"/>
      <c r="AA447" s="54">
        <v>1</v>
      </c>
      <c r="AB447" s="115"/>
      <c r="AC447" s="54">
        <v>1</v>
      </c>
      <c r="AD447" s="115"/>
    </row>
    <row r="448" spans="1:30" x14ac:dyDescent="0.2">
      <c r="A448" s="14" t="s">
        <v>426</v>
      </c>
      <c r="B448" s="14" t="s">
        <v>62</v>
      </c>
      <c r="C448" s="14" t="s">
        <v>53</v>
      </c>
      <c r="D448" s="14" t="str">
        <f t="shared" si="6"/>
        <v>B3-P2-C4</v>
      </c>
      <c r="E448" s="14" t="s">
        <v>35</v>
      </c>
      <c r="F448" s="14" t="s">
        <v>20</v>
      </c>
      <c r="G448" s="51" t="s">
        <v>1214</v>
      </c>
      <c r="H448" s="51">
        <v>447</v>
      </c>
      <c r="I448" s="53">
        <v>1</v>
      </c>
      <c r="J448" s="54"/>
      <c r="K448" s="53">
        <v>1</v>
      </c>
      <c r="L448" s="54"/>
      <c r="M448" s="54">
        <v>1</v>
      </c>
      <c r="N448" s="54"/>
      <c r="O448" s="54">
        <v>1</v>
      </c>
      <c r="P448" s="54"/>
      <c r="Q448" s="54">
        <v>1</v>
      </c>
      <c r="R448" s="54"/>
      <c r="S448" s="54">
        <v>1</v>
      </c>
      <c r="T448" s="54"/>
      <c r="U448" s="54">
        <v>1</v>
      </c>
      <c r="V448" s="54"/>
      <c r="W448" s="54">
        <v>1</v>
      </c>
      <c r="X448" s="54"/>
      <c r="Y448" s="54">
        <v>1</v>
      </c>
      <c r="Z448" s="54"/>
      <c r="AA448" s="54">
        <v>1</v>
      </c>
      <c r="AB448" s="115"/>
      <c r="AC448" s="54">
        <v>1</v>
      </c>
      <c r="AD448" s="115"/>
    </row>
    <row r="449" spans="1:30" x14ac:dyDescent="0.2">
      <c r="A449" s="14" t="s">
        <v>426</v>
      </c>
      <c r="B449" s="14" t="s">
        <v>62</v>
      </c>
      <c r="C449" s="14" t="s">
        <v>53</v>
      </c>
      <c r="D449" s="14" t="str">
        <f t="shared" si="6"/>
        <v>B3-P2-C4</v>
      </c>
      <c r="E449" s="14" t="s">
        <v>35</v>
      </c>
      <c r="F449" s="14" t="s">
        <v>20</v>
      </c>
      <c r="G449" s="51" t="s">
        <v>1215</v>
      </c>
      <c r="H449" s="51">
        <v>448</v>
      </c>
      <c r="I449" s="53">
        <v>1</v>
      </c>
      <c r="J449" s="54"/>
      <c r="K449" s="53">
        <v>1</v>
      </c>
      <c r="L449" s="54"/>
      <c r="M449" s="54">
        <v>1</v>
      </c>
      <c r="N449" s="54"/>
      <c r="O449" s="54">
        <v>1</v>
      </c>
      <c r="P449" s="54"/>
      <c r="Q449" s="54">
        <v>1</v>
      </c>
      <c r="R449" s="54"/>
      <c r="S449" s="54">
        <v>1</v>
      </c>
      <c r="T449" s="54"/>
      <c r="U449" s="54">
        <v>1</v>
      </c>
      <c r="V449" s="54"/>
      <c r="W449" s="54">
        <v>1</v>
      </c>
      <c r="X449" s="54"/>
      <c r="Y449" s="54">
        <v>1</v>
      </c>
      <c r="Z449" s="54"/>
      <c r="AA449" s="54">
        <v>1</v>
      </c>
      <c r="AB449" s="115"/>
      <c r="AC449" s="54">
        <v>1</v>
      </c>
      <c r="AD449" s="115"/>
    </row>
    <row r="450" spans="1:30" x14ac:dyDescent="0.2">
      <c r="A450" s="20" t="s">
        <v>426</v>
      </c>
      <c r="B450" s="20" t="s">
        <v>98</v>
      </c>
      <c r="C450" s="20" t="s">
        <v>16</v>
      </c>
      <c r="D450" s="20" t="str">
        <f t="shared" si="6"/>
        <v>B3-P3-C1</v>
      </c>
      <c r="E450" s="20" t="s">
        <v>35</v>
      </c>
      <c r="F450" s="20" t="s">
        <v>20</v>
      </c>
      <c r="G450" s="50" t="s">
        <v>1217</v>
      </c>
      <c r="H450" s="50">
        <v>449</v>
      </c>
      <c r="I450" s="52">
        <v>1</v>
      </c>
      <c r="J450" s="52"/>
      <c r="K450" s="52">
        <v>1</v>
      </c>
      <c r="L450" s="52"/>
      <c r="M450" s="52">
        <v>1</v>
      </c>
      <c r="N450" s="52"/>
      <c r="O450" s="52">
        <v>1</v>
      </c>
      <c r="P450" s="52"/>
      <c r="Q450" s="52">
        <v>1</v>
      </c>
      <c r="R450" s="52"/>
      <c r="S450" s="52">
        <v>1</v>
      </c>
      <c r="T450" s="52"/>
      <c r="U450" s="52">
        <v>1.5</v>
      </c>
      <c r="V450" s="52"/>
      <c r="W450" s="52">
        <v>1.5</v>
      </c>
      <c r="X450" s="52"/>
      <c r="Y450" s="52">
        <v>1.5</v>
      </c>
      <c r="Z450" s="52" t="s">
        <v>1870</v>
      </c>
      <c r="AA450" s="52">
        <v>1.5</v>
      </c>
      <c r="AB450" s="114"/>
      <c r="AC450" s="52">
        <v>1</v>
      </c>
      <c r="AD450" s="114"/>
    </row>
    <row r="451" spans="1:30" x14ac:dyDescent="0.2">
      <c r="A451" s="20" t="s">
        <v>426</v>
      </c>
      <c r="B451" s="20" t="s">
        <v>98</v>
      </c>
      <c r="C451" s="20" t="s">
        <v>16</v>
      </c>
      <c r="D451" s="20" t="str">
        <f t="shared" ref="D451:D514" si="7">A451&amp;"-"&amp;B451&amp;"-"&amp;C451</f>
        <v>B3-P3-C1</v>
      </c>
      <c r="E451" s="20" t="s">
        <v>35</v>
      </c>
      <c r="F451" s="20" t="s">
        <v>20</v>
      </c>
      <c r="G451" s="50" t="s">
        <v>1218</v>
      </c>
      <c r="H451" s="50">
        <v>450</v>
      </c>
      <c r="I451" s="52">
        <v>1</v>
      </c>
      <c r="J451" s="52"/>
      <c r="K451" s="52">
        <v>1</v>
      </c>
      <c r="L451" s="52"/>
      <c r="M451" s="52">
        <v>1</v>
      </c>
      <c r="N451" s="52"/>
      <c r="O451" s="52">
        <v>1</v>
      </c>
      <c r="P451" s="52"/>
      <c r="Q451" s="52">
        <v>1</v>
      </c>
      <c r="R451" s="52"/>
      <c r="S451" s="52">
        <v>1</v>
      </c>
      <c r="T451" s="52"/>
      <c r="U451" s="52">
        <v>1</v>
      </c>
      <c r="V451" s="52"/>
      <c r="W451" s="52">
        <v>1</v>
      </c>
      <c r="X451" s="52"/>
      <c r="Y451" s="52">
        <v>1</v>
      </c>
      <c r="Z451" s="52"/>
      <c r="AA451" s="52">
        <v>1</v>
      </c>
      <c r="AB451" s="114"/>
      <c r="AC451" s="52">
        <v>1</v>
      </c>
      <c r="AD451" s="114"/>
    </row>
    <row r="452" spans="1:30" x14ac:dyDescent="0.2">
      <c r="A452" s="20" t="s">
        <v>426</v>
      </c>
      <c r="B452" s="20" t="s">
        <v>98</v>
      </c>
      <c r="C452" s="20" t="s">
        <v>16</v>
      </c>
      <c r="D452" s="20" t="str">
        <f t="shared" si="7"/>
        <v>B3-P3-C1</v>
      </c>
      <c r="E452" s="20" t="s">
        <v>35</v>
      </c>
      <c r="F452" s="20" t="s">
        <v>20</v>
      </c>
      <c r="G452" s="50" t="s">
        <v>1219</v>
      </c>
      <c r="H452" s="50">
        <v>451</v>
      </c>
      <c r="I452" s="52">
        <v>1</v>
      </c>
      <c r="J452" s="52"/>
      <c r="K452" s="52">
        <v>1</v>
      </c>
      <c r="L452" s="52"/>
      <c r="M452" s="52">
        <v>1</v>
      </c>
      <c r="N452" s="52"/>
      <c r="O452" s="52">
        <v>1</v>
      </c>
      <c r="P452" s="52"/>
      <c r="Q452" s="52">
        <v>1</v>
      </c>
      <c r="R452" s="52"/>
      <c r="S452" s="52">
        <v>1</v>
      </c>
      <c r="T452" s="52"/>
      <c r="U452" s="52">
        <v>1</v>
      </c>
      <c r="V452" s="52"/>
      <c r="W452" s="52">
        <v>1</v>
      </c>
      <c r="X452" s="52"/>
      <c r="Y452" s="52">
        <v>1</v>
      </c>
      <c r="Z452" s="52"/>
      <c r="AA452" s="52">
        <v>1</v>
      </c>
      <c r="AB452" s="114"/>
      <c r="AC452" s="52">
        <v>1</v>
      </c>
      <c r="AD452" s="114"/>
    </row>
    <row r="453" spans="1:30" x14ac:dyDescent="0.2">
      <c r="A453" s="20" t="s">
        <v>426</v>
      </c>
      <c r="B453" s="20" t="s">
        <v>98</v>
      </c>
      <c r="C453" s="20" t="s">
        <v>16</v>
      </c>
      <c r="D453" s="20" t="str">
        <f t="shared" si="7"/>
        <v>B3-P3-C1</v>
      </c>
      <c r="E453" s="20" t="s">
        <v>35</v>
      </c>
      <c r="F453" s="20" t="s">
        <v>20</v>
      </c>
      <c r="G453" s="50" t="s">
        <v>1220</v>
      </c>
      <c r="H453" s="50">
        <v>452</v>
      </c>
      <c r="I453" s="52">
        <v>1</v>
      </c>
      <c r="J453" s="52"/>
      <c r="K453" s="52">
        <v>1</v>
      </c>
      <c r="L453" s="52"/>
      <c r="M453" s="52">
        <v>1</v>
      </c>
      <c r="N453" s="52"/>
      <c r="O453" s="52">
        <v>1</v>
      </c>
      <c r="P453" s="52"/>
      <c r="Q453" s="52">
        <v>1</v>
      </c>
      <c r="R453" s="52"/>
      <c r="S453" s="52">
        <v>1</v>
      </c>
      <c r="T453" s="52"/>
      <c r="U453" s="52">
        <v>1</v>
      </c>
      <c r="V453" s="52"/>
      <c r="W453" s="52">
        <v>1</v>
      </c>
      <c r="X453" s="52"/>
      <c r="Y453" s="52">
        <v>1</v>
      </c>
      <c r="Z453" s="52"/>
      <c r="AA453" s="52">
        <v>1</v>
      </c>
      <c r="AB453" s="114"/>
      <c r="AC453" s="52">
        <v>1</v>
      </c>
      <c r="AD453" s="114"/>
    </row>
    <row r="454" spans="1:30" x14ac:dyDescent="0.2">
      <c r="A454" s="20" t="s">
        <v>426</v>
      </c>
      <c r="B454" s="20" t="s">
        <v>98</v>
      </c>
      <c r="C454" s="20" t="s">
        <v>16</v>
      </c>
      <c r="D454" s="20" t="str">
        <f t="shared" si="7"/>
        <v>B3-P3-C1</v>
      </c>
      <c r="E454" s="20" t="s">
        <v>35</v>
      </c>
      <c r="F454" s="20" t="s">
        <v>20</v>
      </c>
      <c r="G454" s="50" t="s">
        <v>1221</v>
      </c>
      <c r="H454" s="50">
        <v>453</v>
      </c>
      <c r="I454" s="52">
        <v>1</v>
      </c>
      <c r="J454" s="52"/>
      <c r="K454" s="52">
        <v>1</v>
      </c>
      <c r="L454" s="52"/>
      <c r="M454" s="52">
        <v>1</v>
      </c>
      <c r="N454" s="52"/>
      <c r="O454" s="52">
        <v>1</v>
      </c>
      <c r="P454" s="52"/>
      <c r="Q454" s="52">
        <v>1</v>
      </c>
      <c r="R454" s="52"/>
      <c r="S454" s="52">
        <v>1</v>
      </c>
      <c r="T454" s="52"/>
      <c r="U454" s="52">
        <v>1</v>
      </c>
      <c r="V454" s="52"/>
      <c r="W454" s="52">
        <v>1</v>
      </c>
      <c r="X454" s="52"/>
      <c r="Y454" s="52">
        <v>1</v>
      </c>
      <c r="Z454" s="52"/>
      <c r="AA454" s="52">
        <v>1</v>
      </c>
      <c r="AB454" s="114"/>
      <c r="AC454" s="52">
        <v>1</v>
      </c>
      <c r="AD454" s="114"/>
    </row>
    <row r="455" spans="1:30" x14ac:dyDescent="0.2">
      <c r="A455" s="20" t="s">
        <v>426</v>
      </c>
      <c r="B455" s="20" t="s">
        <v>98</v>
      </c>
      <c r="C455" s="20" t="s">
        <v>16</v>
      </c>
      <c r="D455" s="20" t="str">
        <f t="shared" si="7"/>
        <v>B3-P3-C1</v>
      </c>
      <c r="E455" s="20" t="s">
        <v>35</v>
      </c>
      <c r="F455" s="20" t="s">
        <v>20</v>
      </c>
      <c r="G455" s="50" t="s">
        <v>1222</v>
      </c>
      <c r="H455" s="50">
        <v>454</v>
      </c>
      <c r="I455" s="52">
        <v>1</v>
      </c>
      <c r="J455" s="52"/>
      <c r="K455" s="52">
        <v>1</v>
      </c>
      <c r="L455" s="52"/>
      <c r="M455" s="52">
        <v>1</v>
      </c>
      <c r="N455" s="52"/>
      <c r="O455" s="52">
        <v>1</v>
      </c>
      <c r="P455" s="52"/>
      <c r="Q455" s="52">
        <v>1</v>
      </c>
      <c r="R455" s="52"/>
      <c r="S455" s="52">
        <v>1</v>
      </c>
      <c r="T455" s="52"/>
      <c r="U455" s="52">
        <v>1</v>
      </c>
      <c r="V455" s="52"/>
      <c r="W455" s="52">
        <v>1</v>
      </c>
      <c r="X455" s="52"/>
      <c r="Y455" s="52">
        <v>1</v>
      </c>
      <c r="Z455" s="52"/>
      <c r="AA455" s="52">
        <v>1</v>
      </c>
      <c r="AB455" s="114"/>
      <c r="AC455" s="52">
        <v>1</v>
      </c>
      <c r="AD455" s="114"/>
    </row>
    <row r="456" spans="1:30" x14ac:dyDescent="0.2">
      <c r="A456" s="20" t="s">
        <v>426</v>
      </c>
      <c r="B456" s="20" t="s">
        <v>98</v>
      </c>
      <c r="C456" s="20" t="s">
        <v>16</v>
      </c>
      <c r="D456" s="20" t="str">
        <f t="shared" si="7"/>
        <v>B3-P3-C1</v>
      </c>
      <c r="E456" s="20" t="s">
        <v>35</v>
      </c>
      <c r="F456" s="20" t="s">
        <v>20</v>
      </c>
      <c r="G456" s="50" t="s">
        <v>1223</v>
      </c>
      <c r="H456" s="50">
        <v>455</v>
      </c>
      <c r="I456" s="52">
        <v>1</v>
      </c>
      <c r="J456" s="52"/>
      <c r="K456" s="52">
        <v>1</v>
      </c>
      <c r="L456" s="52"/>
      <c r="M456" s="52">
        <v>1</v>
      </c>
      <c r="N456" s="52"/>
      <c r="O456" s="52">
        <v>1</v>
      </c>
      <c r="P456" s="52"/>
      <c r="Q456" s="52">
        <v>1</v>
      </c>
      <c r="R456" s="52"/>
      <c r="S456" s="52">
        <v>1</v>
      </c>
      <c r="T456" s="52"/>
      <c r="U456" s="52">
        <v>1</v>
      </c>
      <c r="V456" s="52"/>
      <c r="W456" s="52">
        <v>1</v>
      </c>
      <c r="X456" s="52"/>
      <c r="Y456" s="52">
        <v>1</v>
      </c>
      <c r="Z456" s="52"/>
      <c r="AA456" s="52">
        <v>1</v>
      </c>
      <c r="AB456" s="114"/>
      <c r="AC456" s="52">
        <v>1</v>
      </c>
      <c r="AD456" s="114"/>
    </row>
    <row r="457" spans="1:30" x14ac:dyDescent="0.2">
      <c r="A457" s="20" t="s">
        <v>426</v>
      </c>
      <c r="B457" s="20" t="s">
        <v>98</v>
      </c>
      <c r="C457" s="20" t="s">
        <v>16</v>
      </c>
      <c r="D457" s="20" t="str">
        <f t="shared" si="7"/>
        <v>B3-P3-C1</v>
      </c>
      <c r="E457" s="20" t="s">
        <v>35</v>
      </c>
      <c r="F457" s="20" t="s">
        <v>20</v>
      </c>
      <c r="G457" s="50" t="s">
        <v>1224</v>
      </c>
      <c r="H457" s="50">
        <v>456</v>
      </c>
      <c r="I457" s="52">
        <v>1</v>
      </c>
      <c r="J457" s="52"/>
      <c r="K457" s="52">
        <v>1</v>
      </c>
      <c r="L457" s="52"/>
      <c r="M457" s="52">
        <v>1</v>
      </c>
      <c r="N457" s="52"/>
      <c r="O457" s="52">
        <v>1</v>
      </c>
      <c r="P457" s="52"/>
      <c r="Q457" s="52">
        <v>1</v>
      </c>
      <c r="R457" s="52"/>
      <c r="S457" s="52">
        <v>1</v>
      </c>
      <c r="T457" s="52"/>
      <c r="U457" s="52">
        <v>1</v>
      </c>
      <c r="V457" s="52"/>
      <c r="W457" s="52">
        <v>1</v>
      </c>
      <c r="X457" s="52"/>
      <c r="Y457" s="52">
        <v>1</v>
      </c>
      <c r="Z457" s="52"/>
      <c r="AA457" s="52">
        <v>1</v>
      </c>
      <c r="AB457" s="114"/>
      <c r="AC457" s="52">
        <v>1</v>
      </c>
      <c r="AD457" s="114"/>
    </row>
    <row r="458" spans="1:30" x14ac:dyDescent="0.2">
      <c r="A458" s="14" t="s">
        <v>426</v>
      </c>
      <c r="B458" s="14" t="s">
        <v>98</v>
      </c>
      <c r="C458" s="14" t="s">
        <v>32</v>
      </c>
      <c r="D458" s="14" t="str">
        <f t="shared" si="7"/>
        <v>B3-P3-C2</v>
      </c>
      <c r="E458" s="14" t="s">
        <v>19</v>
      </c>
      <c r="F458" s="14" t="s">
        <v>20</v>
      </c>
      <c r="G458" s="51" t="s">
        <v>1226</v>
      </c>
      <c r="H458" s="51">
        <v>457</v>
      </c>
      <c r="I458" s="53">
        <v>1</v>
      </c>
      <c r="J458" s="54"/>
      <c r="K458" s="53">
        <v>1</v>
      </c>
      <c r="L458" s="54"/>
      <c r="M458" s="54">
        <v>1</v>
      </c>
      <c r="N458" s="54"/>
      <c r="O458" s="54">
        <v>1</v>
      </c>
      <c r="P458" s="54"/>
      <c r="Q458" s="54">
        <v>1</v>
      </c>
      <c r="R458" s="54"/>
      <c r="S458" s="54">
        <v>1</v>
      </c>
      <c r="T458" s="54"/>
      <c r="U458" s="54">
        <v>1</v>
      </c>
      <c r="V458" s="54"/>
      <c r="W458" s="54">
        <v>1</v>
      </c>
      <c r="X458" s="54"/>
      <c r="Y458" s="54">
        <v>1</v>
      </c>
      <c r="Z458" s="54"/>
      <c r="AA458" s="54">
        <v>1</v>
      </c>
      <c r="AB458" s="115"/>
      <c r="AC458" s="54">
        <v>4</v>
      </c>
      <c r="AD458" s="115"/>
    </row>
    <row r="459" spans="1:30" x14ac:dyDescent="0.2">
      <c r="A459" s="14" t="s">
        <v>426</v>
      </c>
      <c r="B459" s="14" t="s">
        <v>98</v>
      </c>
      <c r="C459" s="14" t="s">
        <v>32</v>
      </c>
      <c r="D459" s="14" t="str">
        <f t="shared" si="7"/>
        <v>B3-P3-C2</v>
      </c>
      <c r="E459" s="14" t="s">
        <v>19</v>
      </c>
      <c r="F459" s="14" t="s">
        <v>20</v>
      </c>
      <c r="G459" s="51" t="s">
        <v>1227</v>
      </c>
      <c r="H459" s="51">
        <v>458</v>
      </c>
      <c r="I459" s="53">
        <v>1</v>
      </c>
      <c r="J459" s="54"/>
      <c r="K459" s="53">
        <v>1</v>
      </c>
      <c r="L459" s="54"/>
      <c r="M459" s="54">
        <v>1</v>
      </c>
      <c r="N459" s="54"/>
      <c r="O459" s="54">
        <v>1</v>
      </c>
      <c r="P459" s="54"/>
      <c r="Q459" s="54">
        <v>1</v>
      </c>
      <c r="R459" s="54"/>
      <c r="S459" s="54">
        <v>1</v>
      </c>
      <c r="T459" s="54"/>
      <c r="U459" s="54">
        <v>1</v>
      </c>
      <c r="V459" s="54"/>
      <c r="W459" s="54">
        <v>1</v>
      </c>
      <c r="X459" s="54"/>
      <c r="Y459" s="54">
        <v>1</v>
      </c>
      <c r="Z459" s="54"/>
      <c r="AA459" s="54">
        <v>1</v>
      </c>
      <c r="AB459" s="115"/>
      <c r="AC459" s="54">
        <v>4</v>
      </c>
      <c r="AD459" s="115"/>
    </row>
    <row r="460" spans="1:30" x14ac:dyDescent="0.2">
      <c r="A460" s="14" t="s">
        <v>426</v>
      </c>
      <c r="B460" s="14" t="s">
        <v>98</v>
      </c>
      <c r="C460" s="14" t="s">
        <v>32</v>
      </c>
      <c r="D460" s="14" t="str">
        <f t="shared" si="7"/>
        <v>B3-P3-C2</v>
      </c>
      <c r="E460" s="14" t="s">
        <v>19</v>
      </c>
      <c r="F460" s="14" t="s">
        <v>20</v>
      </c>
      <c r="G460" s="51" t="s">
        <v>1228</v>
      </c>
      <c r="H460" s="51">
        <v>459</v>
      </c>
      <c r="I460" s="53">
        <v>1</v>
      </c>
      <c r="J460" s="54"/>
      <c r="K460" s="53">
        <v>1</v>
      </c>
      <c r="L460" s="54"/>
      <c r="M460" s="54">
        <v>1</v>
      </c>
      <c r="N460" s="54"/>
      <c r="O460" s="54">
        <v>1</v>
      </c>
      <c r="P460" s="54"/>
      <c r="Q460" s="54">
        <v>1</v>
      </c>
      <c r="R460" s="54"/>
      <c r="S460" s="54">
        <v>1</v>
      </c>
      <c r="T460" s="54"/>
      <c r="U460" s="54">
        <v>1</v>
      </c>
      <c r="V460" s="54"/>
      <c r="W460" s="54">
        <v>1</v>
      </c>
      <c r="X460" s="54"/>
      <c r="Y460" s="54">
        <v>1</v>
      </c>
      <c r="Z460" s="54"/>
      <c r="AA460" s="54">
        <v>1</v>
      </c>
      <c r="AB460" s="115"/>
      <c r="AC460" s="54">
        <v>3</v>
      </c>
      <c r="AD460" s="115"/>
    </row>
    <row r="461" spans="1:30" x14ac:dyDescent="0.2">
      <c r="A461" s="14" t="s">
        <v>426</v>
      </c>
      <c r="B461" s="14" t="s">
        <v>98</v>
      </c>
      <c r="C461" s="14" t="s">
        <v>32</v>
      </c>
      <c r="D461" s="14" t="str">
        <f t="shared" si="7"/>
        <v>B3-P3-C2</v>
      </c>
      <c r="E461" s="14" t="s">
        <v>19</v>
      </c>
      <c r="F461" s="14" t="s">
        <v>20</v>
      </c>
      <c r="G461" s="51" t="s">
        <v>1229</v>
      </c>
      <c r="H461" s="51">
        <v>460</v>
      </c>
      <c r="I461" s="53">
        <v>1</v>
      </c>
      <c r="J461" s="54"/>
      <c r="K461" s="53">
        <v>1</v>
      </c>
      <c r="L461" s="54"/>
      <c r="M461" s="54">
        <v>1</v>
      </c>
      <c r="N461" s="54"/>
      <c r="O461" s="54">
        <v>1</v>
      </c>
      <c r="P461" s="54"/>
      <c r="Q461" s="54">
        <v>1</v>
      </c>
      <c r="R461" s="54"/>
      <c r="S461" s="54">
        <v>1</v>
      </c>
      <c r="T461" s="54"/>
      <c r="U461" s="54">
        <v>1</v>
      </c>
      <c r="V461" s="54"/>
      <c r="W461" s="54">
        <v>1</v>
      </c>
      <c r="X461" s="54"/>
      <c r="Y461" s="54">
        <v>1</v>
      </c>
      <c r="Z461" s="54"/>
      <c r="AA461" s="54">
        <v>1</v>
      </c>
      <c r="AB461" s="115"/>
      <c r="AC461" s="54">
        <v>4</v>
      </c>
      <c r="AD461" s="115"/>
    </row>
    <row r="462" spans="1:30" x14ac:dyDescent="0.2">
      <c r="A462" s="14" t="s">
        <v>426</v>
      </c>
      <c r="B462" s="14" t="s">
        <v>98</v>
      </c>
      <c r="C462" s="14" t="s">
        <v>32</v>
      </c>
      <c r="D462" s="14" t="str">
        <f t="shared" si="7"/>
        <v>B3-P3-C2</v>
      </c>
      <c r="E462" s="14" t="s">
        <v>19</v>
      </c>
      <c r="F462" s="14" t="s">
        <v>20</v>
      </c>
      <c r="G462" s="51" t="s">
        <v>1230</v>
      </c>
      <c r="H462" s="51">
        <v>461</v>
      </c>
      <c r="I462" s="53">
        <v>1</v>
      </c>
      <c r="J462" s="54"/>
      <c r="K462" s="53">
        <v>1</v>
      </c>
      <c r="L462" s="54"/>
      <c r="M462" s="54">
        <v>1</v>
      </c>
      <c r="N462" s="54"/>
      <c r="O462" s="54">
        <v>1</v>
      </c>
      <c r="P462" s="54"/>
      <c r="Q462" s="54">
        <v>1</v>
      </c>
      <c r="R462" s="54"/>
      <c r="S462" s="54">
        <v>1</v>
      </c>
      <c r="T462" s="54"/>
      <c r="U462" s="54">
        <v>1</v>
      </c>
      <c r="V462" s="54"/>
      <c r="W462" s="54">
        <v>1</v>
      </c>
      <c r="X462" s="54"/>
      <c r="Y462" s="54">
        <v>1</v>
      </c>
      <c r="Z462" s="54"/>
      <c r="AA462" s="54">
        <v>1</v>
      </c>
      <c r="AB462" s="115"/>
      <c r="AC462" s="54">
        <v>3</v>
      </c>
      <c r="AD462" s="115"/>
    </row>
    <row r="463" spans="1:30" x14ac:dyDescent="0.2">
      <c r="A463" s="14" t="s">
        <v>426</v>
      </c>
      <c r="B463" s="14" t="s">
        <v>98</v>
      </c>
      <c r="C463" s="14" t="s">
        <v>32</v>
      </c>
      <c r="D463" s="14" t="str">
        <f t="shared" si="7"/>
        <v>B3-P3-C2</v>
      </c>
      <c r="E463" s="14" t="s">
        <v>19</v>
      </c>
      <c r="F463" s="14" t="s">
        <v>20</v>
      </c>
      <c r="G463" s="51" t="s">
        <v>1231</v>
      </c>
      <c r="H463" s="51">
        <v>462</v>
      </c>
      <c r="I463" s="53">
        <v>1</v>
      </c>
      <c r="J463" s="54"/>
      <c r="K463" s="53">
        <v>1</v>
      </c>
      <c r="L463" s="54"/>
      <c r="M463" s="54">
        <v>1</v>
      </c>
      <c r="N463" s="54"/>
      <c r="O463" s="54">
        <v>1</v>
      </c>
      <c r="P463" s="54"/>
      <c r="Q463" s="54">
        <v>1</v>
      </c>
      <c r="R463" s="54"/>
      <c r="S463" s="54">
        <v>1</v>
      </c>
      <c r="T463" s="54"/>
      <c r="U463" s="54">
        <v>1</v>
      </c>
      <c r="V463" s="54"/>
      <c r="W463" s="54">
        <v>1</v>
      </c>
      <c r="X463" s="54"/>
      <c r="Y463" s="54">
        <v>1</v>
      </c>
      <c r="Z463" s="54"/>
      <c r="AA463" s="54">
        <v>1</v>
      </c>
      <c r="AB463" s="115"/>
      <c r="AC463" s="54">
        <v>4</v>
      </c>
      <c r="AD463" s="115"/>
    </row>
    <row r="464" spans="1:30" x14ac:dyDescent="0.2">
      <c r="A464" s="14" t="s">
        <v>426</v>
      </c>
      <c r="B464" s="14" t="s">
        <v>98</v>
      </c>
      <c r="C464" s="14" t="s">
        <v>32</v>
      </c>
      <c r="D464" s="14" t="str">
        <f t="shared" si="7"/>
        <v>B3-P3-C2</v>
      </c>
      <c r="E464" s="14" t="s">
        <v>19</v>
      </c>
      <c r="F464" s="14" t="s">
        <v>20</v>
      </c>
      <c r="G464" s="51" t="s">
        <v>1232</v>
      </c>
      <c r="H464" s="51">
        <v>463</v>
      </c>
      <c r="I464" s="53">
        <v>1</v>
      </c>
      <c r="J464" s="54"/>
      <c r="K464" s="53">
        <v>1</v>
      </c>
      <c r="L464" s="54"/>
      <c r="M464" s="54">
        <v>1</v>
      </c>
      <c r="N464" s="54"/>
      <c r="O464" s="54">
        <v>1</v>
      </c>
      <c r="P464" s="54"/>
      <c r="Q464" s="54">
        <v>1</v>
      </c>
      <c r="R464" s="54"/>
      <c r="S464" s="54">
        <v>1</v>
      </c>
      <c r="T464" s="54"/>
      <c r="U464" s="54">
        <v>1</v>
      </c>
      <c r="V464" s="54"/>
      <c r="W464" s="54">
        <v>1</v>
      </c>
      <c r="X464" s="54"/>
      <c r="Y464" s="54">
        <v>1</v>
      </c>
      <c r="Z464" s="54"/>
      <c r="AA464" s="54">
        <v>2</v>
      </c>
      <c r="AB464" s="115"/>
      <c r="AC464" s="54">
        <v>4</v>
      </c>
      <c r="AD464" s="115"/>
    </row>
    <row r="465" spans="1:30" x14ac:dyDescent="0.2">
      <c r="A465" s="14" t="s">
        <v>426</v>
      </c>
      <c r="B465" s="14" t="s">
        <v>98</v>
      </c>
      <c r="C465" s="14" t="s">
        <v>32</v>
      </c>
      <c r="D465" s="14" t="str">
        <f t="shared" si="7"/>
        <v>B3-P3-C2</v>
      </c>
      <c r="E465" s="14" t="s">
        <v>19</v>
      </c>
      <c r="F465" s="14" t="s">
        <v>20</v>
      </c>
      <c r="G465" s="51" t="s">
        <v>1233</v>
      </c>
      <c r="H465" s="51">
        <v>464</v>
      </c>
      <c r="I465" s="53">
        <v>1</v>
      </c>
      <c r="J465" s="54"/>
      <c r="K465" s="53">
        <v>1</v>
      </c>
      <c r="L465" s="54"/>
      <c r="M465" s="54">
        <v>1</v>
      </c>
      <c r="N465" s="54"/>
      <c r="O465" s="54">
        <v>1</v>
      </c>
      <c r="P465" s="54"/>
      <c r="Q465" s="54">
        <v>1</v>
      </c>
      <c r="R465" s="54"/>
      <c r="S465" s="54">
        <v>1</v>
      </c>
      <c r="T465" s="54"/>
      <c r="U465" s="54">
        <v>1</v>
      </c>
      <c r="V465" s="54"/>
      <c r="W465" s="54">
        <v>1</v>
      </c>
      <c r="X465" s="54"/>
      <c r="Y465" s="54">
        <v>1</v>
      </c>
      <c r="Z465" s="54"/>
      <c r="AA465" s="54">
        <v>1</v>
      </c>
      <c r="AB465" s="115"/>
      <c r="AC465" s="54">
        <v>4</v>
      </c>
      <c r="AD465" s="115"/>
    </row>
    <row r="466" spans="1:30" x14ac:dyDescent="0.2">
      <c r="A466" s="20" t="s">
        <v>426</v>
      </c>
      <c r="B466" s="20" t="s">
        <v>98</v>
      </c>
      <c r="C466" s="20" t="s">
        <v>42</v>
      </c>
      <c r="D466" s="20" t="str">
        <f t="shared" si="7"/>
        <v>B3-P3-C3</v>
      </c>
      <c r="E466" s="20" t="s">
        <v>35</v>
      </c>
      <c r="F466" s="20" t="s">
        <v>20</v>
      </c>
      <c r="G466" s="50" t="s">
        <v>1235</v>
      </c>
      <c r="H466" s="50">
        <v>465</v>
      </c>
      <c r="I466" s="52">
        <v>1</v>
      </c>
      <c r="J466" s="52"/>
      <c r="K466" s="52">
        <v>1</v>
      </c>
      <c r="L466" s="52"/>
      <c r="M466" s="52">
        <v>1</v>
      </c>
      <c r="N466" s="52"/>
      <c r="O466" s="52">
        <v>1</v>
      </c>
      <c r="P466" s="52"/>
      <c r="Q466" s="52">
        <v>1</v>
      </c>
      <c r="R466" s="52"/>
      <c r="S466" s="52">
        <v>1</v>
      </c>
      <c r="T466" s="52"/>
      <c r="U466" s="52">
        <v>1</v>
      </c>
      <c r="V466" s="52"/>
      <c r="W466" s="52">
        <v>1</v>
      </c>
      <c r="X466" s="52"/>
      <c r="Y466" s="52">
        <v>1</v>
      </c>
      <c r="Z466" s="52"/>
      <c r="AA466" s="52">
        <v>1</v>
      </c>
      <c r="AB466" s="114"/>
      <c r="AC466" s="52">
        <v>1</v>
      </c>
      <c r="AD466" s="114"/>
    </row>
    <row r="467" spans="1:30" x14ac:dyDescent="0.2">
      <c r="A467" s="20" t="s">
        <v>426</v>
      </c>
      <c r="B467" s="20" t="s">
        <v>98</v>
      </c>
      <c r="C467" s="20" t="s">
        <v>42</v>
      </c>
      <c r="D467" s="20" t="str">
        <f t="shared" si="7"/>
        <v>B3-P3-C3</v>
      </c>
      <c r="E467" s="20" t="s">
        <v>35</v>
      </c>
      <c r="F467" s="20" t="s">
        <v>20</v>
      </c>
      <c r="G467" s="50" t="s">
        <v>1236</v>
      </c>
      <c r="H467" s="50">
        <v>466</v>
      </c>
      <c r="I467" s="52">
        <v>1</v>
      </c>
      <c r="J467" s="52"/>
      <c r="K467" s="52">
        <v>1</v>
      </c>
      <c r="L467" s="52"/>
      <c r="M467" s="52">
        <v>1</v>
      </c>
      <c r="N467" s="52"/>
      <c r="O467" s="52">
        <v>1</v>
      </c>
      <c r="P467" s="52"/>
      <c r="Q467" s="52">
        <v>1</v>
      </c>
      <c r="R467" s="52"/>
      <c r="S467" s="52">
        <v>1</v>
      </c>
      <c r="T467" s="52"/>
      <c r="U467" s="52">
        <v>1</v>
      </c>
      <c r="V467" s="52"/>
      <c r="W467" s="52">
        <v>1</v>
      </c>
      <c r="X467" s="52"/>
      <c r="Y467" s="52">
        <v>1</v>
      </c>
      <c r="Z467" s="52"/>
      <c r="AA467" s="52">
        <v>1</v>
      </c>
      <c r="AB467" s="114"/>
      <c r="AC467" s="52">
        <v>1</v>
      </c>
      <c r="AD467" s="114"/>
    </row>
    <row r="468" spans="1:30" x14ac:dyDescent="0.2">
      <c r="A468" s="20" t="s">
        <v>426</v>
      </c>
      <c r="B468" s="20" t="s">
        <v>98</v>
      </c>
      <c r="C468" s="20" t="s">
        <v>42</v>
      </c>
      <c r="D468" s="20" t="str">
        <f t="shared" si="7"/>
        <v>B3-P3-C3</v>
      </c>
      <c r="E468" s="20" t="s">
        <v>35</v>
      </c>
      <c r="F468" s="20" t="s">
        <v>20</v>
      </c>
      <c r="G468" s="50" t="s">
        <v>1237</v>
      </c>
      <c r="H468" s="50">
        <v>467</v>
      </c>
      <c r="I468" s="52">
        <v>1</v>
      </c>
      <c r="J468" s="52"/>
      <c r="K468" s="52">
        <v>1</v>
      </c>
      <c r="L468" s="52"/>
      <c r="M468" s="52">
        <v>1</v>
      </c>
      <c r="N468" s="52"/>
      <c r="O468" s="52">
        <v>1</v>
      </c>
      <c r="P468" s="52"/>
      <c r="Q468" s="52">
        <v>1</v>
      </c>
      <c r="R468" s="52"/>
      <c r="S468" s="52">
        <v>1</v>
      </c>
      <c r="T468" s="52"/>
      <c r="U468" s="52">
        <v>1</v>
      </c>
      <c r="V468" s="52"/>
      <c r="W468" s="52">
        <v>1</v>
      </c>
      <c r="X468" s="52"/>
      <c r="Y468" s="52">
        <v>1</v>
      </c>
      <c r="Z468" s="52"/>
      <c r="AA468" s="52">
        <v>1</v>
      </c>
      <c r="AB468" s="114"/>
      <c r="AC468" s="52">
        <v>1</v>
      </c>
      <c r="AD468" s="114"/>
    </row>
    <row r="469" spans="1:30" x14ac:dyDescent="0.2">
      <c r="A469" s="20" t="s">
        <v>426</v>
      </c>
      <c r="B469" s="20" t="s">
        <v>98</v>
      </c>
      <c r="C469" s="20" t="s">
        <v>42</v>
      </c>
      <c r="D469" s="20" t="str">
        <f t="shared" si="7"/>
        <v>B3-P3-C3</v>
      </c>
      <c r="E469" s="20" t="s">
        <v>35</v>
      </c>
      <c r="F469" s="20" t="s">
        <v>20</v>
      </c>
      <c r="G469" s="50" t="s">
        <v>1238</v>
      </c>
      <c r="H469" s="50">
        <v>468</v>
      </c>
      <c r="I469" s="52">
        <v>1</v>
      </c>
      <c r="J469" s="52"/>
      <c r="K469" s="52">
        <v>1</v>
      </c>
      <c r="L469" s="52"/>
      <c r="M469" s="52">
        <v>1</v>
      </c>
      <c r="N469" s="52"/>
      <c r="O469" s="52">
        <v>1</v>
      </c>
      <c r="P469" s="52"/>
      <c r="Q469" s="52">
        <v>1</v>
      </c>
      <c r="R469" s="52"/>
      <c r="S469" s="52">
        <v>1</v>
      </c>
      <c r="T469" s="52"/>
      <c r="U469" s="52">
        <v>1</v>
      </c>
      <c r="V469" s="52"/>
      <c r="W469" s="52">
        <v>1</v>
      </c>
      <c r="X469" s="52"/>
      <c r="Y469" s="52">
        <v>1</v>
      </c>
      <c r="Z469" s="52"/>
      <c r="AA469" s="52">
        <v>1</v>
      </c>
      <c r="AB469" s="114"/>
      <c r="AC469" s="52">
        <v>1</v>
      </c>
      <c r="AD469" s="114"/>
    </row>
    <row r="470" spans="1:30" x14ac:dyDescent="0.2">
      <c r="A470" s="20" t="s">
        <v>426</v>
      </c>
      <c r="B470" s="20" t="s">
        <v>98</v>
      </c>
      <c r="C470" s="20" t="s">
        <v>42</v>
      </c>
      <c r="D470" s="20" t="str">
        <f t="shared" si="7"/>
        <v>B3-P3-C3</v>
      </c>
      <c r="E470" s="20" t="s">
        <v>35</v>
      </c>
      <c r="F470" s="20" t="s">
        <v>20</v>
      </c>
      <c r="G470" s="50" t="s">
        <v>1239</v>
      </c>
      <c r="H470" s="50">
        <v>469</v>
      </c>
      <c r="I470" s="52">
        <v>1</v>
      </c>
      <c r="J470" s="52"/>
      <c r="K470" s="52">
        <v>1</v>
      </c>
      <c r="L470" s="52"/>
      <c r="M470" s="52">
        <v>1</v>
      </c>
      <c r="N470" s="52"/>
      <c r="O470" s="52">
        <v>1</v>
      </c>
      <c r="P470" s="52"/>
      <c r="Q470" s="52">
        <v>1</v>
      </c>
      <c r="R470" s="52"/>
      <c r="S470" s="52">
        <v>1</v>
      </c>
      <c r="T470" s="52"/>
      <c r="U470" s="52">
        <v>1</v>
      </c>
      <c r="V470" s="52"/>
      <c r="W470" s="52">
        <v>1</v>
      </c>
      <c r="X470" s="52"/>
      <c r="Y470" s="52">
        <v>1</v>
      </c>
      <c r="Z470" s="52"/>
      <c r="AA470" s="52">
        <v>1</v>
      </c>
      <c r="AB470" s="114"/>
      <c r="AC470" s="52">
        <v>1</v>
      </c>
      <c r="AD470" s="114"/>
    </row>
    <row r="471" spans="1:30" x14ac:dyDescent="0.2">
      <c r="A471" s="20" t="s">
        <v>426</v>
      </c>
      <c r="B471" s="20" t="s">
        <v>98</v>
      </c>
      <c r="C471" s="20" t="s">
        <v>42</v>
      </c>
      <c r="D471" s="20" t="str">
        <f t="shared" si="7"/>
        <v>B3-P3-C3</v>
      </c>
      <c r="E471" s="20" t="s">
        <v>35</v>
      </c>
      <c r="F471" s="20" t="s">
        <v>20</v>
      </c>
      <c r="G471" s="50" t="s">
        <v>1240</v>
      </c>
      <c r="H471" s="50">
        <v>470</v>
      </c>
      <c r="I471" s="52">
        <v>1</v>
      </c>
      <c r="J471" s="52"/>
      <c r="K471" s="52">
        <v>1</v>
      </c>
      <c r="L471" s="52"/>
      <c r="M471" s="52">
        <v>1</v>
      </c>
      <c r="N471" s="52"/>
      <c r="O471" s="52">
        <v>1</v>
      </c>
      <c r="P471" s="52"/>
      <c r="Q471" s="52">
        <v>1</v>
      </c>
      <c r="R471" s="52"/>
      <c r="S471" s="52">
        <v>1</v>
      </c>
      <c r="T471" s="52"/>
      <c r="U471" s="52">
        <v>1</v>
      </c>
      <c r="V471" s="52"/>
      <c r="W471" s="52">
        <v>1</v>
      </c>
      <c r="X471" s="52"/>
      <c r="Y471" s="52">
        <v>1</v>
      </c>
      <c r="Z471" s="52"/>
      <c r="AA471" s="52">
        <v>1</v>
      </c>
      <c r="AB471" s="114"/>
      <c r="AC471" s="52">
        <v>1</v>
      </c>
      <c r="AD471" s="114"/>
    </row>
    <row r="472" spans="1:30" x14ac:dyDescent="0.2">
      <c r="A472" s="20" t="s">
        <v>426</v>
      </c>
      <c r="B472" s="20" t="s">
        <v>98</v>
      </c>
      <c r="C472" s="20" t="s">
        <v>42</v>
      </c>
      <c r="D472" s="20" t="str">
        <f t="shared" si="7"/>
        <v>B3-P3-C3</v>
      </c>
      <c r="E472" s="20" t="s">
        <v>35</v>
      </c>
      <c r="F472" s="20" t="s">
        <v>20</v>
      </c>
      <c r="G472" s="50" t="s">
        <v>1241</v>
      </c>
      <c r="H472" s="50">
        <v>471</v>
      </c>
      <c r="I472" s="52">
        <v>1</v>
      </c>
      <c r="J472" s="52"/>
      <c r="K472" s="52">
        <v>1</v>
      </c>
      <c r="L472" s="52"/>
      <c r="M472" s="52">
        <v>1</v>
      </c>
      <c r="N472" s="52"/>
      <c r="O472" s="52">
        <v>1</v>
      </c>
      <c r="P472" s="52"/>
      <c r="Q472" s="52">
        <v>1</v>
      </c>
      <c r="R472" s="52"/>
      <c r="S472" s="52">
        <v>1</v>
      </c>
      <c r="T472" s="52"/>
      <c r="U472" s="52">
        <v>1</v>
      </c>
      <c r="V472" s="52"/>
      <c r="W472" s="52">
        <v>1</v>
      </c>
      <c r="X472" s="52"/>
      <c r="Y472" s="52">
        <v>1</v>
      </c>
      <c r="Z472" s="52"/>
      <c r="AA472" s="52">
        <v>1</v>
      </c>
      <c r="AB472" s="114"/>
      <c r="AC472" s="52">
        <v>1</v>
      </c>
      <c r="AD472" s="114"/>
    </row>
    <row r="473" spans="1:30" x14ac:dyDescent="0.2">
      <c r="A473" s="20" t="s">
        <v>426</v>
      </c>
      <c r="B473" s="20" t="s">
        <v>98</v>
      </c>
      <c r="C473" s="20" t="s">
        <v>42</v>
      </c>
      <c r="D473" s="20" t="str">
        <f t="shared" si="7"/>
        <v>B3-P3-C3</v>
      </c>
      <c r="E473" s="20" t="s">
        <v>35</v>
      </c>
      <c r="F473" s="20" t="s">
        <v>20</v>
      </c>
      <c r="G473" s="50" t="s">
        <v>1242</v>
      </c>
      <c r="H473" s="50">
        <v>472</v>
      </c>
      <c r="I473" s="52">
        <v>1</v>
      </c>
      <c r="J473" s="52"/>
      <c r="K473" s="52">
        <v>1</v>
      </c>
      <c r="L473" s="52"/>
      <c r="M473" s="52">
        <v>1</v>
      </c>
      <c r="N473" s="52"/>
      <c r="O473" s="52">
        <v>1</v>
      </c>
      <c r="P473" s="52"/>
      <c r="Q473" s="52">
        <v>1</v>
      </c>
      <c r="R473" s="52"/>
      <c r="S473" s="52">
        <v>1</v>
      </c>
      <c r="T473" s="52"/>
      <c r="U473" s="52">
        <v>1</v>
      </c>
      <c r="V473" s="52"/>
      <c r="W473" s="52">
        <v>1</v>
      </c>
      <c r="X473" s="52"/>
      <c r="Y473" s="52">
        <v>1</v>
      </c>
      <c r="Z473" s="52"/>
      <c r="AA473" s="52">
        <v>1</v>
      </c>
      <c r="AB473" s="114"/>
      <c r="AC473" s="52">
        <v>1</v>
      </c>
      <c r="AD473" s="114"/>
    </row>
    <row r="474" spans="1:30" x14ac:dyDescent="0.2">
      <c r="A474" s="14" t="s">
        <v>426</v>
      </c>
      <c r="B474" s="14" t="s">
        <v>98</v>
      </c>
      <c r="C474" s="14" t="s">
        <v>53</v>
      </c>
      <c r="D474" s="14" t="str">
        <f t="shared" si="7"/>
        <v>B3-P3-C4</v>
      </c>
      <c r="E474" s="14" t="s">
        <v>19</v>
      </c>
      <c r="F474" s="14" t="s">
        <v>20</v>
      </c>
      <c r="G474" s="51" t="s">
        <v>1244</v>
      </c>
      <c r="H474" s="51">
        <v>473</v>
      </c>
      <c r="I474" s="53">
        <v>1</v>
      </c>
      <c r="J474" s="54"/>
      <c r="K474" s="53">
        <v>1</v>
      </c>
      <c r="L474" s="54"/>
      <c r="M474" s="54">
        <v>2</v>
      </c>
      <c r="N474" s="54"/>
      <c r="O474" s="54">
        <v>2</v>
      </c>
      <c r="P474" s="54"/>
      <c r="Q474" s="54">
        <v>2</v>
      </c>
      <c r="R474" s="54"/>
      <c r="S474" s="54">
        <v>2</v>
      </c>
      <c r="T474" s="54"/>
      <c r="U474" s="54">
        <v>2</v>
      </c>
      <c r="V474" s="54"/>
      <c r="W474" s="54">
        <v>2</v>
      </c>
      <c r="X474" s="54"/>
      <c r="Y474" s="54">
        <v>2</v>
      </c>
      <c r="Z474" s="54"/>
      <c r="AA474" s="115">
        <v>2</v>
      </c>
      <c r="AB474" s="115"/>
      <c r="AC474" s="115">
        <v>4</v>
      </c>
      <c r="AD474" s="115"/>
    </row>
    <row r="475" spans="1:30" x14ac:dyDescent="0.2">
      <c r="A475" s="14" t="s">
        <v>426</v>
      </c>
      <c r="B475" s="14" t="s">
        <v>98</v>
      </c>
      <c r="C475" s="14" t="s">
        <v>53</v>
      </c>
      <c r="D475" s="14" t="str">
        <f t="shared" si="7"/>
        <v>B3-P3-C4</v>
      </c>
      <c r="E475" s="14" t="s">
        <v>19</v>
      </c>
      <c r="F475" s="14" t="s">
        <v>20</v>
      </c>
      <c r="G475" s="51" t="s">
        <v>1245</v>
      </c>
      <c r="H475" s="51">
        <v>474</v>
      </c>
      <c r="I475" s="53">
        <v>1</v>
      </c>
      <c r="J475" s="54"/>
      <c r="K475" s="53">
        <v>2</v>
      </c>
      <c r="L475" s="54"/>
      <c r="M475" s="54">
        <v>3</v>
      </c>
      <c r="N475" s="54"/>
      <c r="O475" s="54">
        <v>3</v>
      </c>
      <c r="P475" s="54"/>
      <c r="Q475" s="54">
        <v>2.5</v>
      </c>
      <c r="R475" s="54"/>
      <c r="S475" s="54">
        <v>2</v>
      </c>
      <c r="T475" s="54"/>
      <c r="U475" s="54">
        <v>3</v>
      </c>
      <c r="V475" s="54"/>
      <c r="W475" s="54">
        <v>3</v>
      </c>
      <c r="X475" s="54"/>
      <c r="Y475" s="54">
        <v>3</v>
      </c>
      <c r="Z475" s="54"/>
      <c r="AA475" s="115">
        <v>3</v>
      </c>
      <c r="AB475" s="115"/>
      <c r="AC475" s="115">
        <v>4</v>
      </c>
      <c r="AD475" s="115"/>
    </row>
    <row r="476" spans="1:30" x14ac:dyDescent="0.2">
      <c r="A476" s="14" t="s">
        <v>426</v>
      </c>
      <c r="B476" s="14" t="s">
        <v>98</v>
      </c>
      <c r="C476" s="14" t="s">
        <v>53</v>
      </c>
      <c r="D476" s="14" t="str">
        <f t="shared" si="7"/>
        <v>B3-P3-C4</v>
      </c>
      <c r="E476" s="14" t="s">
        <v>19</v>
      </c>
      <c r="F476" s="14" t="s">
        <v>20</v>
      </c>
      <c r="G476" s="51" t="s">
        <v>1246</v>
      </c>
      <c r="H476" s="51">
        <v>475</v>
      </c>
      <c r="I476" s="53">
        <v>1</v>
      </c>
      <c r="J476" s="54"/>
      <c r="K476" s="53">
        <v>2</v>
      </c>
      <c r="L476" s="54"/>
      <c r="M476" s="54">
        <v>3</v>
      </c>
      <c r="N476" s="54"/>
      <c r="O476" s="54">
        <v>3</v>
      </c>
      <c r="P476" s="54"/>
      <c r="Q476" s="54">
        <v>3</v>
      </c>
      <c r="R476" s="54"/>
      <c r="S476" s="54">
        <v>3</v>
      </c>
      <c r="T476" s="54"/>
      <c r="U476" s="54">
        <v>3</v>
      </c>
      <c r="V476" s="54"/>
      <c r="W476" s="54">
        <v>3</v>
      </c>
      <c r="X476" s="54"/>
      <c r="Y476" s="54">
        <v>3</v>
      </c>
      <c r="Z476" s="54"/>
      <c r="AA476" s="115">
        <v>3.5</v>
      </c>
      <c r="AB476" s="115"/>
      <c r="AC476" s="115">
        <v>4</v>
      </c>
      <c r="AD476" s="115"/>
    </row>
    <row r="477" spans="1:30" x14ac:dyDescent="0.2">
      <c r="A477" s="14" t="s">
        <v>426</v>
      </c>
      <c r="B477" s="14" t="s">
        <v>98</v>
      </c>
      <c r="C477" s="14" t="s">
        <v>53</v>
      </c>
      <c r="D477" s="14" t="str">
        <f t="shared" si="7"/>
        <v>B3-P3-C4</v>
      </c>
      <c r="E477" s="14" t="s">
        <v>19</v>
      </c>
      <c r="F477" s="14" t="s">
        <v>20</v>
      </c>
      <c r="G477" s="51" t="s">
        <v>1247</v>
      </c>
      <c r="H477" s="51">
        <v>476</v>
      </c>
      <c r="I477" s="53">
        <v>1</v>
      </c>
      <c r="J477" s="54"/>
      <c r="K477" s="53">
        <v>2</v>
      </c>
      <c r="L477" s="54"/>
      <c r="M477" s="54">
        <v>3</v>
      </c>
      <c r="N477" s="54"/>
      <c r="O477" s="54">
        <v>3</v>
      </c>
      <c r="P477" s="54"/>
      <c r="Q477" s="54">
        <v>3</v>
      </c>
      <c r="R477" s="54"/>
      <c r="S477" s="54">
        <v>3</v>
      </c>
      <c r="T477" s="54"/>
      <c r="U477" s="54">
        <v>3</v>
      </c>
      <c r="V477" s="54"/>
      <c r="W477" s="54">
        <v>4</v>
      </c>
      <c r="X477" s="54"/>
      <c r="Y477" s="54">
        <v>4</v>
      </c>
      <c r="Z477" s="54"/>
      <c r="AA477" s="115">
        <v>4</v>
      </c>
      <c r="AB477" s="115"/>
      <c r="AC477" s="115">
        <v>4</v>
      </c>
      <c r="AD477" s="115"/>
    </row>
    <row r="478" spans="1:30" x14ac:dyDescent="0.2">
      <c r="A478" s="14" t="s">
        <v>426</v>
      </c>
      <c r="B478" s="14" t="s">
        <v>98</v>
      </c>
      <c r="C478" s="14" t="s">
        <v>53</v>
      </c>
      <c r="D478" s="14" t="str">
        <f t="shared" si="7"/>
        <v>B3-P3-C4</v>
      </c>
      <c r="E478" s="14" t="s">
        <v>19</v>
      </c>
      <c r="F478" s="14" t="s">
        <v>20</v>
      </c>
      <c r="G478" s="51" t="s">
        <v>1248</v>
      </c>
      <c r="H478" s="51">
        <v>477</v>
      </c>
      <c r="I478" s="53">
        <v>1</v>
      </c>
      <c r="J478" s="54"/>
      <c r="K478" s="53">
        <v>1</v>
      </c>
      <c r="L478" s="54"/>
      <c r="M478" s="54">
        <v>2</v>
      </c>
      <c r="N478" s="54"/>
      <c r="O478" s="54">
        <v>2</v>
      </c>
      <c r="P478" s="54"/>
      <c r="Q478" s="54">
        <v>2</v>
      </c>
      <c r="R478" s="54"/>
      <c r="S478" s="54">
        <v>2</v>
      </c>
      <c r="T478" s="54"/>
      <c r="U478" s="54">
        <v>2</v>
      </c>
      <c r="V478" s="54"/>
      <c r="W478" s="54">
        <v>3</v>
      </c>
      <c r="X478" s="54"/>
      <c r="Y478" s="54">
        <v>3</v>
      </c>
      <c r="Z478" s="54"/>
      <c r="AA478" s="115">
        <v>3</v>
      </c>
      <c r="AB478" s="115"/>
      <c r="AC478" s="115">
        <v>4</v>
      </c>
      <c r="AD478" s="115"/>
    </row>
    <row r="479" spans="1:30" x14ac:dyDescent="0.2">
      <c r="A479" s="14" t="s">
        <v>426</v>
      </c>
      <c r="B479" s="14" t="s">
        <v>98</v>
      </c>
      <c r="C479" s="14" t="s">
        <v>53</v>
      </c>
      <c r="D479" s="14" t="str">
        <f t="shared" si="7"/>
        <v>B3-P3-C4</v>
      </c>
      <c r="E479" s="14" t="s">
        <v>19</v>
      </c>
      <c r="F479" s="14" t="s">
        <v>20</v>
      </c>
      <c r="G479" s="51" t="s">
        <v>1249</v>
      </c>
      <c r="H479" s="51">
        <v>478</v>
      </c>
      <c r="I479" s="53">
        <v>1</v>
      </c>
      <c r="J479" s="54"/>
      <c r="K479" s="53">
        <v>2</v>
      </c>
      <c r="L479" s="54"/>
      <c r="M479" s="54">
        <v>3</v>
      </c>
      <c r="N479" s="54"/>
      <c r="O479" s="54">
        <v>3</v>
      </c>
      <c r="P479" s="54"/>
      <c r="Q479" s="54">
        <v>2.5</v>
      </c>
      <c r="R479" s="54"/>
      <c r="S479" s="54">
        <v>3</v>
      </c>
      <c r="T479" s="54"/>
      <c r="U479" s="54">
        <v>3</v>
      </c>
      <c r="V479" s="54"/>
      <c r="W479" s="54">
        <v>3</v>
      </c>
      <c r="X479" s="54"/>
      <c r="Y479" s="54">
        <v>3</v>
      </c>
      <c r="Z479" s="54"/>
      <c r="AA479" s="115">
        <v>3.5</v>
      </c>
      <c r="AB479" s="115"/>
      <c r="AC479" s="115">
        <v>4</v>
      </c>
      <c r="AD479" s="115"/>
    </row>
    <row r="480" spans="1:30" x14ac:dyDescent="0.2">
      <c r="A480" s="14" t="s">
        <v>426</v>
      </c>
      <c r="B480" s="14" t="s">
        <v>98</v>
      </c>
      <c r="C480" s="14" t="s">
        <v>53</v>
      </c>
      <c r="D480" s="14" t="str">
        <f t="shared" si="7"/>
        <v>B3-P3-C4</v>
      </c>
      <c r="E480" s="14" t="s">
        <v>19</v>
      </c>
      <c r="F480" s="14" t="s">
        <v>20</v>
      </c>
      <c r="G480" s="51" t="s">
        <v>1250</v>
      </c>
      <c r="H480" s="51">
        <v>479</v>
      </c>
      <c r="I480" s="53">
        <v>1</v>
      </c>
      <c r="J480" s="54"/>
      <c r="K480" s="53">
        <v>2</v>
      </c>
      <c r="L480" s="54"/>
      <c r="M480" s="54">
        <v>3</v>
      </c>
      <c r="N480" s="54"/>
      <c r="O480" s="54">
        <v>3</v>
      </c>
      <c r="P480" s="54"/>
      <c r="Q480" s="54">
        <v>3</v>
      </c>
      <c r="R480" s="54"/>
      <c r="S480" s="54">
        <v>3</v>
      </c>
      <c r="T480" s="54"/>
      <c r="U480" s="54">
        <v>4</v>
      </c>
      <c r="V480" s="54"/>
      <c r="W480" s="54">
        <v>4</v>
      </c>
      <c r="X480" s="54"/>
      <c r="Y480" s="54">
        <v>4</v>
      </c>
      <c r="Z480" s="54"/>
      <c r="AA480" s="115">
        <v>4</v>
      </c>
      <c r="AB480" s="115"/>
      <c r="AC480" s="115">
        <v>4</v>
      </c>
      <c r="AD480" s="115"/>
    </row>
    <row r="481" spans="1:30" x14ac:dyDescent="0.2">
      <c r="A481" s="14" t="s">
        <v>426</v>
      </c>
      <c r="B481" s="14" t="s">
        <v>98</v>
      </c>
      <c r="C481" s="14" t="s">
        <v>53</v>
      </c>
      <c r="D481" s="14" t="str">
        <f t="shared" si="7"/>
        <v>B3-P3-C4</v>
      </c>
      <c r="E481" s="14" t="s">
        <v>19</v>
      </c>
      <c r="F481" s="14" t="s">
        <v>20</v>
      </c>
      <c r="G481" s="51" t="s">
        <v>1251</v>
      </c>
      <c r="H481" s="51">
        <v>480</v>
      </c>
      <c r="I481" s="53">
        <v>1</v>
      </c>
      <c r="J481" s="54"/>
      <c r="K481" s="53">
        <v>2</v>
      </c>
      <c r="L481" s="54"/>
      <c r="M481" s="54">
        <v>3</v>
      </c>
      <c r="N481" s="54"/>
      <c r="O481" s="54">
        <v>3</v>
      </c>
      <c r="P481" s="54"/>
      <c r="Q481" s="54">
        <v>3</v>
      </c>
      <c r="R481" s="54"/>
      <c r="S481" s="54">
        <v>3</v>
      </c>
      <c r="T481" s="54"/>
      <c r="U481" s="54">
        <v>3</v>
      </c>
      <c r="V481" s="54"/>
      <c r="W481" s="54">
        <v>3</v>
      </c>
      <c r="X481" s="54"/>
      <c r="Y481" s="54">
        <v>3</v>
      </c>
      <c r="Z481" s="54"/>
      <c r="AA481" s="115">
        <v>3.5</v>
      </c>
      <c r="AB481" s="115"/>
      <c r="AC481" s="115">
        <v>4</v>
      </c>
      <c r="AD481" s="115"/>
    </row>
    <row r="482" spans="1:30" x14ac:dyDescent="0.2">
      <c r="A482" s="20" t="s">
        <v>426</v>
      </c>
      <c r="B482" s="20" t="s">
        <v>131</v>
      </c>
      <c r="C482" s="20" t="s">
        <v>16</v>
      </c>
      <c r="D482" s="20" t="str">
        <f t="shared" si="7"/>
        <v>B3-P4-C1</v>
      </c>
      <c r="E482" s="20" t="s">
        <v>19</v>
      </c>
      <c r="F482" s="20" t="s">
        <v>133</v>
      </c>
      <c r="G482" s="50" t="s">
        <v>1253</v>
      </c>
      <c r="H482" s="50">
        <v>481</v>
      </c>
      <c r="I482" s="52">
        <v>1</v>
      </c>
      <c r="J482" s="52"/>
      <c r="K482" s="52">
        <v>1</v>
      </c>
      <c r="L482" s="52"/>
      <c r="M482" s="52">
        <v>1</v>
      </c>
      <c r="N482" s="52"/>
      <c r="O482" s="52">
        <v>1</v>
      </c>
      <c r="P482" s="52"/>
      <c r="Q482" s="52">
        <v>1</v>
      </c>
      <c r="R482" s="52"/>
      <c r="S482" s="52">
        <v>1</v>
      </c>
      <c r="T482" s="52"/>
      <c r="U482" s="52">
        <v>1</v>
      </c>
      <c r="V482" s="52"/>
      <c r="W482" s="52">
        <v>1</v>
      </c>
      <c r="X482" s="52"/>
      <c r="Y482" s="52">
        <v>1</v>
      </c>
      <c r="Z482" s="52"/>
      <c r="AA482" s="114">
        <v>1</v>
      </c>
      <c r="AB482" s="114"/>
      <c r="AC482" s="114">
        <v>3</v>
      </c>
      <c r="AD482" s="114"/>
    </row>
    <row r="483" spans="1:30" x14ac:dyDescent="0.2">
      <c r="A483" s="20" t="s">
        <v>426</v>
      </c>
      <c r="B483" s="20" t="s">
        <v>131</v>
      </c>
      <c r="C483" s="20" t="s">
        <v>16</v>
      </c>
      <c r="D483" s="20" t="str">
        <f t="shared" si="7"/>
        <v>B3-P4-C1</v>
      </c>
      <c r="E483" s="20" t="s">
        <v>19</v>
      </c>
      <c r="F483" s="20" t="s">
        <v>133</v>
      </c>
      <c r="G483" s="50" t="s">
        <v>1254</v>
      </c>
      <c r="H483" s="50">
        <v>482</v>
      </c>
      <c r="I483" s="52">
        <v>1</v>
      </c>
      <c r="J483" s="52"/>
      <c r="K483" s="52">
        <v>1</v>
      </c>
      <c r="L483" s="52"/>
      <c r="M483" s="52">
        <v>1</v>
      </c>
      <c r="N483" s="52"/>
      <c r="O483" s="52">
        <v>1</v>
      </c>
      <c r="P483" s="52"/>
      <c r="Q483" s="52">
        <v>1</v>
      </c>
      <c r="R483" s="52"/>
      <c r="S483" s="52">
        <v>1</v>
      </c>
      <c r="T483" s="52"/>
      <c r="U483" s="52">
        <v>1</v>
      </c>
      <c r="V483" s="52"/>
      <c r="W483" s="52">
        <v>1</v>
      </c>
      <c r="X483" s="52"/>
      <c r="Y483" s="52">
        <v>1</v>
      </c>
      <c r="Z483" s="52"/>
      <c r="AA483" s="114">
        <v>1</v>
      </c>
      <c r="AB483" s="114"/>
      <c r="AC483" s="114">
        <v>2</v>
      </c>
      <c r="AD483" s="114"/>
    </row>
    <row r="484" spans="1:30" x14ac:dyDescent="0.2">
      <c r="A484" s="20" t="s">
        <v>426</v>
      </c>
      <c r="B484" s="20" t="s">
        <v>131</v>
      </c>
      <c r="C484" s="20" t="s">
        <v>16</v>
      </c>
      <c r="D484" s="20" t="str">
        <f t="shared" si="7"/>
        <v>B3-P4-C1</v>
      </c>
      <c r="E484" s="20" t="s">
        <v>19</v>
      </c>
      <c r="F484" s="20" t="s">
        <v>133</v>
      </c>
      <c r="G484" s="50" t="s">
        <v>1255</v>
      </c>
      <c r="H484" s="50">
        <v>483</v>
      </c>
      <c r="I484" s="52">
        <v>1</v>
      </c>
      <c r="J484" s="52"/>
      <c r="K484" s="52">
        <v>1</v>
      </c>
      <c r="L484" s="52"/>
      <c r="M484" s="52">
        <v>1</v>
      </c>
      <c r="N484" s="52"/>
      <c r="O484" s="52">
        <v>1</v>
      </c>
      <c r="P484" s="52"/>
      <c r="Q484" s="52">
        <v>1</v>
      </c>
      <c r="R484" s="52"/>
      <c r="S484" s="52">
        <v>1</v>
      </c>
      <c r="T484" s="52"/>
      <c r="U484" s="52">
        <v>1</v>
      </c>
      <c r="V484" s="52"/>
      <c r="W484" s="52">
        <v>1</v>
      </c>
      <c r="X484" s="52"/>
      <c r="Y484" s="52">
        <v>1</v>
      </c>
      <c r="Z484" s="52"/>
      <c r="AA484" s="114">
        <v>1</v>
      </c>
      <c r="AB484" s="114"/>
      <c r="AC484" s="114">
        <v>4</v>
      </c>
      <c r="AD484" s="114"/>
    </row>
    <row r="485" spans="1:30" x14ac:dyDescent="0.2">
      <c r="A485" s="20" t="s">
        <v>426</v>
      </c>
      <c r="B485" s="20" t="s">
        <v>131</v>
      </c>
      <c r="C485" s="20" t="s">
        <v>16</v>
      </c>
      <c r="D485" s="20" t="str">
        <f t="shared" si="7"/>
        <v>B3-P4-C1</v>
      </c>
      <c r="E485" s="20" t="s">
        <v>19</v>
      </c>
      <c r="F485" s="20" t="s">
        <v>133</v>
      </c>
      <c r="G485" s="50" t="s">
        <v>1256</v>
      </c>
      <c r="H485" s="50">
        <v>484</v>
      </c>
      <c r="I485" s="52">
        <v>1</v>
      </c>
      <c r="J485" s="52"/>
      <c r="K485" s="52">
        <v>1</v>
      </c>
      <c r="L485" s="52"/>
      <c r="M485" s="52">
        <v>1</v>
      </c>
      <c r="N485" s="52"/>
      <c r="O485" s="52">
        <v>1</v>
      </c>
      <c r="P485" s="52"/>
      <c r="Q485" s="52">
        <v>1</v>
      </c>
      <c r="R485" s="52"/>
      <c r="S485" s="52">
        <v>1</v>
      </c>
      <c r="T485" s="52"/>
      <c r="U485" s="52">
        <v>1</v>
      </c>
      <c r="V485" s="52"/>
      <c r="W485" s="52">
        <v>1</v>
      </c>
      <c r="X485" s="52"/>
      <c r="Y485" s="52">
        <v>1</v>
      </c>
      <c r="Z485" s="52"/>
      <c r="AA485" s="114">
        <v>1</v>
      </c>
      <c r="AB485" s="114"/>
      <c r="AC485" s="114">
        <v>3</v>
      </c>
      <c r="AD485" s="114"/>
    </row>
    <row r="486" spans="1:30" x14ac:dyDescent="0.2">
      <c r="A486" s="20" t="s">
        <v>426</v>
      </c>
      <c r="B486" s="20" t="s">
        <v>131</v>
      </c>
      <c r="C486" s="20" t="s">
        <v>16</v>
      </c>
      <c r="D486" s="20" t="str">
        <f t="shared" si="7"/>
        <v>B3-P4-C1</v>
      </c>
      <c r="E486" s="20" t="s">
        <v>19</v>
      </c>
      <c r="F486" s="20" t="s">
        <v>133</v>
      </c>
      <c r="G486" s="50" t="s">
        <v>1257</v>
      </c>
      <c r="H486" s="50">
        <v>485</v>
      </c>
      <c r="I486" s="52">
        <v>1</v>
      </c>
      <c r="J486" s="52"/>
      <c r="K486" s="52">
        <v>1</v>
      </c>
      <c r="L486" s="52"/>
      <c r="M486" s="52">
        <v>1</v>
      </c>
      <c r="N486" s="52"/>
      <c r="O486" s="52">
        <v>1</v>
      </c>
      <c r="P486" s="52"/>
      <c r="Q486" s="52">
        <v>1</v>
      </c>
      <c r="R486" s="52"/>
      <c r="S486" s="52">
        <v>1</v>
      </c>
      <c r="T486" s="52"/>
      <c r="U486" s="52">
        <v>1</v>
      </c>
      <c r="V486" s="52"/>
      <c r="W486" s="52">
        <v>1</v>
      </c>
      <c r="X486" s="52"/>
      <c r="Y486" s="52">
        <v>1</v>
      </c>
      <c r="Z486" s="52"/>
      <c r="AA486" s="114">
        <v>1</v>
      </c>
      <c r="AB486" s="114"/>
      <c r="AC486" s="114">
        <v>4</v>
      </c>
      <c r="AD486" s="114"/>
    </row>
    <row r="487" spans="1:30" x14ac:dyDescent="0.2">
      <c r="A487" s="20" t="s">
        <v>426</v>
      </c>
      <c r="B487" s="20" t="s">
        <v>131</v>
      </c>
      <c r="C487" s="20" t="s">
        <v>16</v>
      </c>
      <c r="D487" s="20" t="str">
        <f t="shared" si="7"/>
        <v>B3-P4-C1</v>
      </c>
      <c r="E487" s="20" t="s">
        <v>19</v>
      </c>
      <c r="F487" s="20" t="s">
        <v>133</v>
      </c>
      <c r="G487" s="50" t="s">
        <v>1258</v>
      </c>
      <c r="H487" s="50">
        <v>486</v>
      </c>
      <c r="I487" s="52">
        <v>1</v>
      </c>
      <c r="J487" s="52"/>
      <c r="K487" s="52">
        <v>1</v>
      </c>
      <c r="L487" s="52"/>
      <c r="M487" s="52">
        <v>1</v>
      </c>
      <c r="N487" s="52"/>
      <c r="O487" s="52">
        <v>1</v>
      </c>
      <c r="P487" s="52"/>
      <c r="Q487" s="52">
        <v>1</v>
      </c>
      <c r="R487" s="52"/>
      <c r="S487" s="52">
        <v>1</v>
      </c>
      <c r="T487" s="52"/>
      <c r="U487" s="52">
        <v>1</v>
      </c>
      <c r="V487" s="52"/>
      <c r="W487" s="52">
        <v>1</v>
      </c>
      <c r="X487" s="52"/>
      <c r="Y487" s="52">
        <v>1</v>
      </c>
      <c r="Z487" s="52"/>
      <c r="AA487" s="114">
        <v>1</v>
      </c>
      <c r="AB487" s="114"/>
      <c r="AC487" s="114">
        <v>3</v>
      </c>
      <c r="AD487" s="114"/>
    </row>
    <row r="488" spans="1:30" x14ac:dyDescent="0.2">
      <c r="A488" s="20" t="s">
        <v>426</v>
      </c>
      <c r="B488" s="20" t="s">
        <v>131</v>
      </c>
      <c r="C488" s="20" t="s">
        <v>16</v>
      </c>
      <c r="D488" s="20" t="str">
        <f t="shared" si="7"/>
        <v>B3-P4-C1</v>
      </c>
      <c r="E488" s="20" t="s">
        <v>19</v>
      </c>
      <c r="F488" s="20" t="s">
        <v>133</v>
      </c>
      <c r="G488" s="50" t="s">
        <v>1259</v>
      </c>
      <c r="H488" s="50">
        <v>487</v>
      </c>
      <c r="I488" s="52">
        <v>1</v>
      </c>
      <c r="J488" s="52"/>
      <c r="K488" s="52">
        <v>1</v>
      </c>
      <c r="L488" s="52"/>
      <c r="M488" s="52">
        <v>1</v>
      </c>
      <c r="N488" s="52"/>
      <c r="O488" s="52">
        <v>1</v>
      </c>
      <c r="P488" s="52"/>
      <c r="Q488" s="52">
        <v>1</v>
      </c>
      <c r="R488" s="52"/>
      <c r="S488" s="52">
        <v>1</v>
      </c>
      <c r="T488" s="52"/>
      <c r="U488" s="52">
        <v>1</v>
      </c>
      <c r="V488" s="52"/>
      <c r="W488" s="52">
        <v>1</v>
      </c>
      <c r="X488" s="52"/>
      <c r="Y488" s="52">
        <v>1</v>
      </c>
      <c r="Z488" s="52"/>
      <c r="AA488" s="114">
        <v>1</v>
      </c>
      <c r="AB488" s="114"/>
      <c r="AC488" s="114">
        <v>4</v>
      </c>
      <c r="AD488" s="114"/>
    </row>
    <row r="489" spans="1:30" x14ac:dyDescent="0.2">
      <c r="A489" s="20" t="s">
        <v>426</v>
      </c>
      <c r="B489" s="20" t="s">
        <v>131</v>
      </c>
      <c r="C489" s="20" t="s">
        <v>16</v>
      </c>
      <c r="D489" s="20" t="str">
        <f t="shared" si="7"/>
        <v>B3-P4-C1</v>
      </c>
      <c r="E489" s="20" t="s">
        <v>19</v>
      </c>
      <c r="F489" s="20" t="s">
        <v>133</v>
      </c>
      <c r="G489" s="50" t="s">
        <v>1260</v>
      </c>
      <c r="H489" s="50">
        <v>488</v>
      </c>
      <c r="I489" s="52">
        <v>1</v>
      </c>
      <c r="J489" s="52"/>
      <c r="K489" s="52">
        <v>1</v>
      </c>
      <c r="L489" s="52"/>
      <c r="M489" s="52">
        <v>1</v>
      </c>
      <c r="N489" s="52"/>
      <c r="O489" s="52">
        <v>1</v>
      </c>
      <c r="P489" s="52"/>
      <c r="Q489" s="52">
        <v>1</v>
      </c>
      <c r="R489" s="52"/>
      <c r="S489" s="52">
        <v>1</v>
      </c>
      <c r="T489" s="52"/>
      <c r="U489" s="52">
        <v>1</v>
      </c>
      <c r="V489" s="52"/>
      <c r="W489" s="52">
        <v>1</v>
      </c>
      <c r="X489" s="52"/>
      <c r="Y489" s="52">
        <v>1</v>
      </c>
      <c r="Z489" s="52"/>
      <c r="AA489" s="114">
        <v>1</v>
      </c>
      <c r="AB489" s="114"/>
      <c r="AC489" s="114">
        <v>4</v>
      </c>
      <c r="AD489" s="114"/>
    </row>
    <row r="490" spans="1:30" x14ac:dyDescent="0.2">
      <c r="A490" s="14" t="s">
        <v>426</v>
      </c>
      <c r="B490" s="14" t="s">
        <v>131</v>
      </c>
      <c r="C490" s="14" t="s">
        <v>32</v>
      </c>
      <c r="D490" s="14" t="str">
        <f t="shared" si="7"/>
        <v>B3-P4-C2</v>
      </c>
      <c r="E490" s="14" t="s">
        <v>35</v>
      </c>
      <c r="F490" s="14" t="s">
        <v>133</v>
      </c>
      <c r="G490" s="51" t="s">
        <v>1262</v>
      </c>
      <c r="H490" s="51">
        <v>489</v>
      </c>
      <c r="I490" s="53">
        <v>1</v>
      </c>
      <c r="J490" s="54"/>
      <c r="K490" s="53">
        <v>1</v>
      </c>
      <c r="L490" s="54"/>
      <c r="M490" s="54">
        <v>1</v>
      </c>
      <c r="N490" s="54"/>
      <c r="O490" s="54">
        <v>1</v>
      </c>
      <c r="P490" s="54"/>
      <c r="Q490" s="54">
        <v>1</v>
      </c>
      <c r="R490" s="54"/>
      <c r="S490" s="54">
        <v>1</v>
      </c>
      <c r="T490" s="54"/>
      <c r="U490" s="54">
        <v>1</v>
      </c>
      <c r="V490" s="54"/>
      <c r="W490" s="54">
        <v>1</v>
      </c>
      <c r="X490" s="54"/>
      <c r="Y490" s="54">
        <v>1</v>
      </c>
      <c r="Z490" s="54" t="s">
        <v>1870</v>
      </c>
      <c r="AA490" s="115">
        <v>1</v>
      </c>
      <c r="AB490" s="115"/>
      <c r="AC490" s="115">
        <v>1</v>
      </c>
      <c r="AD490" s="115"/>
    </row>
    <row r="491" spans="1:30" x14ac:dyDescent="0.2">
      <c r="A491" s="14" t="s">
        <v>426</v>
      </c>
      <c r="B491" s="14" t="s">
        <v>131</v>
      </c>
      <c r="C491" s="14" t="s">
        <v>32</v>
      </c>
      <c r="D491" s="14" t="str">
        <f t="shared" si="7"/>
        <v>B3-P4-C2</v>
      </c>
      <c r="E491" s="14" t="s">
        <v>35</v>
      </c>
      <c r="F491" s="14" t="s">
        <v>133</v>
      </c>
      <c r="G491" s="51" t="s">
        <v>1263</v>
      </c>
      <c r="H491" s="51">
        <v>490</v>
      </c>
      <c r="I491" s="53">
        <v>1</v>
      </c>
      <c r="J491" s="54"/>
      <c r="K491" s="53">
        <v>1</v>
      </c>
      <c r="L491" s="54"/>
      <c r="M491" s="54">
        <v>1</v>
      </c>
      <c r="N491" s="54"/>
      <c r="O491" s="54">
        <v>1</v>
      </c>
      <c r="P491" s="54"/>
      <c r="Q491" s="54">
        <v>1</v>
      </c>
      <c r="R491" s="54"/>
      <c r="S491" s="54">
        <v>1</v>
      </c>
      <c r="T491" s="54"/>
      <c r="U491" s="54">
        <v>1</v>
      </c>
      <c r="V491" s="54"/>
      <c r="W491" s="54">
        <v>1</v>
      </c>
      <c r="X491" s="54"/>
      <c r="Y491" s="54">
        <v>1</v>
      </c>
      <c r="Z491" s="54"/>
      <c r="AA491" s="115">
        <v>1</v>
      </c>
      <c r="AB491" s="115"/>
      <c r="AC491" s="115">
        <v>1</v>
      </c>
      <c r="AD491" s="115"/>
    </row>
    <row r="492" spans="1:30" x14ac:dyDescent="0.2">
      <c r="A492" s="14" t="s">
        <v>426</v>
      </c>
      <c r="B492" s="14" t="s">
        <v>131</v>
      </c>
      <c r="C492" s="14" t="s">
        <v>32</v>
      </c>
      <c r="D492" s="14" t="str">
        <f t="shared" si="7"/>
        <v>B3-P4-C2</v>
      </c>
      <c r="E492" s="14" t="s">
        <v>35</v>
      </c>
      <c r="F492" s="14" t="s">
        <v>133</v>
      </c>
      <c r="G492" s="51" t="s">
        <v>1264</v>
      </c>
      <c r="H492" s="51">
        <v>491</v>
      </c>
      <c r="I492" s="53">
        <v>1</v>
      </c>
      <c r="J492" s="54"/>
      <c r="K492" s="53">
        <v>1</v>
      </c>
      <c r="L492" s="54"/>
      <c r="M492" s="54">
        <v>1</v>
      </c>
      <c r="N492" s="54"/>
      <c r="O492" s="54">
        <v>1</v>
      </c>
      <c r="P492" s="54"/>
      <c r="Q492" s="54">
        <v>1</v>
      </c>
      <c r="R492" s="54"/>
      <c r="S492" s="54">
        <v>1</v>
      </c>
      <c r="T492" s="54"/>
      <c r="U492" s="54">
        <v>1</v>
      </c>
      <c r="V492" s="54"/>
      <c r="W492" s="54">
        <v>1</v>
      </c>
      <c r="X492" s="54"/>
      <c r="Y492" s="54">
        <v>1</v>
      </c>
      <c r="Z492" s="54"/>
      <c r="AA492" s="115">
        <v>1</v>
      </c>
      <c r="AB492" s="115"/>
      <c r="AC492" s="115">
        <v>1</v>
      </c>
      <c r="AD492" s="115"/>
    </row>
    <row r="493" spans="1:30" x14ac:dyDescent="0.2">
      <c r="A493" s="14" t="s">
        <v>426</v>
      </c>
      <c r="B493" s="14" t="s">
        <v>131</v>
      </c>
      <c r="C493" s="14" t="s">
        <v>32</v>
      </c>
      <c r="D493" s="14" t="str">
        <f t="shared" si="7"/>
        <v>B3-P4-C2</v>
      </c>
      <c r="E493" s="14" t="s">
        <v>35</v>
      </c>
      <c r="F493" s="14" t="s">
        <v>133</v>
      </c>
      <c r="G493" s="51" t="s">
        <v>1265</v>
      </c>
      <c r="H493" s="51">
        <v>492</v>
      </c>
      <c r="I493" s="53">
        <v>1</v>
      </c>
      <c r="J493" s="54"/>
      <c r="K493" s="53">
        <v>1</v>
      </c>
      <c r="L493" s="54"/>
      <c r="M493" s="54">
        <v>1</v>
      </c>
      <c r="N493" s="54"/>
      <c r="O493" s="54">
        <v>1</v>
      </c>
      <c r="P493" s="54"/>
      <c r="Q493" s="54">
        <v>1</v>
      </c>
      <c r="R493" s="54"/>
      <c r="S493" s="54">
        <v>1</v>
      </c>
      <c r="T493" s="54"/>
      <c r="U493" s="54">
        <v>1</v>
      </c>
      <c r="V493" s="54"/>
      <c r="W493" s="54">
        <v>1</v>
      </c>
      <c r="X493" s="54"/>
      <c r="Y493" s="54">
        <v>1</v>
      </c>
      <c r="Z493" s="54"/>
      <c r="AA493" s="115">
        <v>1</v>
      </c>
      <c r="AB493" s="115"/>
      <c r="AC493" s="115">
        <v>1</v>
      </c>
      <c r="AD493" s="115"/>
    </row>
    <row r="494" spans="1:30" x14ac:dyDescent="0.2">
      <c r="A494" s="14" t="s">
        <v>426</v>
      </c>
      <c r="B494" s="14" t="s">
        <v>131</v>
      </c>
      <c r="C494" s="14" t="s">
        <v>32</v>
      </c>
      <c r="D494" s="14" t="str">
        <f t="shared" si="7"/>
        <v>B3-P4-C2</v>
      </c>
      <c r="E494" s="14" t="s">
        <v>35</v>
      </c>
      <c r="F494" s="14" t="s">
        <v>133</v>
      </c>
      <c r="G494" s="51" t="s">
        <v>1266</v>
      </c>
      <c r="H494" s="51">
        <v>493</v>
      </c>
      <c r="I494" s="53">
        <v>1</v>
      </c>
      <c r="J494" s="54"/>
      <c r="K494" s="53">
        <v>1</v>
      </c>
      <c r="L494" s="54"/>
      <c r="M494" s="54">
        <v>1</v>
      </c>
      <c r="N494" s="54"/>
      <c r="O494" s="54">
        <v>1</v>
      </c>
      <c r="P494" s="54"/>
      <c r="Q494" s="54">
        <v>1</v>
      </c>
      <c r="R494" s="54"/>
      <c r="S494" s="54">
        <v>1</v>
      </c>
      <c r="T494" s="54"/>
      <c r="U494" s="54">
        <v>1</v>
      </c>
      <c r="V494" s="54"/>
      <c r="W494" s="54">
        <v>1</v>
      </c>
      <c r="X494" s="54"/>
      <c r="Y494" s="54">
        <v>1</v>
      </c>
      <c r="Z494" s="54"/>
      <c r="AA494" s="115">
        <v>1</v>
      </c>
      <c r="AB494" s="115"/>
      <c r="AC494" s="115">
        <v>1</v>
      </c>
      <c r="AD494" s="115"/>
    </row>
    <row r="495" spans="1:30" x14ac:dyDescent="0.2">
      <c r="A495" s="14" t="s">
        <v>426</v>
      </c>
      <c r="B495" s="14" t="s">
        <v>131</v>
      </c>
      <c r="C495" s="14" t="s">
        <v>32</v>
      </c>
      <c r="D495" s="14" t="str">
        <f t="shared" si="7"/>
        <v>B3-P4-C2</v>
      </c>
      <c r="E495" s="14" t="s">
        <v>35</v>
      </c>
      <c r="F495" s="14" t="s">
        <v>133</v>
      </c>
      <c r="G495" s="51" t="s">
        <v>1267</v>
      </c>
      <c r="H495" s="51">
        <v>494</v>
      </c>
      <c r="I495" s="53">
        <v>1</v>
      </c>
      <c r="J495" s="54"/>
      <c r="K495" s="53">
        <v>1</v>
      </c>
      <c r="L495" s="54"/>
      <c r="M495" s="54">
        <v>1</v>
      </c>
      <c r="N495" s="54"/>
      <c r="O495" s="54">
        <v>1</v>
      </c>
      <c r="P495" s="54"/>
      <c r="Q495" s="54">
        <v>1</v>
      </c>
      <c r="R495" s="54"/>
      <c r="S495" s="54">
        <v>1</v>
      </c>
      <c r="T495" s="54"/>
      <c r="U495" s="54">
        <v>1</v>
      </c>
      <c r="V495" s="54"/>
      <c r="W495" s="54">
        <v>1</v>
      </c>
      <c r="X495" s="54"/>
      <c r="Y495" s="54">
        <v>1</v>
      </c>
      <c r="Z495" s="54"/>
      <c r="AA495" s="115">
        <v>1</v>
      </c>
      <c r="AB495" s="115"/>
      <c r="AC495" s="115">
        <v>1</v>
      </c>
      <c r="AD495" s="115"/>
    </row>
    <row r="496" spans="1:30" x14ac:dyDescent="0.2">
      <c r="A496" s="14" t="s">
        <v>426</v>
      </c>
      <c r="B496" s="14" t="s">
        <v>131</v>
      </c>
      <c r="C496" s="14" t="s">
        <v>32</v>
      </c>
      <c r="D496" s="14" t="str">
        <f t="shared" si="7"/>
        <v>B3-P4-C2</v>
      </c>
      <c r="E496" s="14" t="s">
        <v>35</v>
      </c>
      <c r="F496" s="14" t="s">
        <v>133</v>
      </c>
      <c r="G496" s="51" t="s">
        <v>1268</v>
      </c>
      <c r="H496" s="51">
        <v>495</v>
      </c>
      <c r="I496" s="53">
        <v>1</v>
      </c>
      <c r="J496" s="54"/>
      <c r="K496" s="53">
        <v>1</v>
      </c>
      <c r="L496" s="54"/>
      <c r="M496" s="54">
        <v>1</v>
      </c>
      <c r="N496" s="54"/>
      <c r="O496" s="54">
        <v>1</v>
      </c>
      <c r="P496" s="54"/>
      <c r="Q496" s="54">
        <v>1</v>
      </c>
      <c r="R496" s="54"/>
      <c r="S496" s="54">
        <v>1</v>
      </c>
      <c r="T496" s="54"/>
      <c r="U496" s="54">
        <v>1</v>
      </c>
      <c r="V496" s="54"/>
      <c r="W496" s="54">
        <v>1</v>
      </c>
      <c r="X496" s="54"/>
      <c r="Y496" s="54">
        <v>1</v>
      </c>
      <c r="Z496" s="54"/>
      <c r="AA496" s="115">
        <v>1</v>
      </c>
      <c r="AB496" s="115"/>
      <c r="AC496" s="115">
        <v>1</v>
      </c>
      <c r="AD496" s="115"/>
    </row>
    <row r="497" spans="1:30" x14ac:dyDescent="0.2">
      <c r="A497" s="14" t="s">
        <v>426</v>
      </c>
      <c r="B497" s="14" t="s">
        <v>131</v>
      </c>
      <c r="C497" s="14" t="s">
        <v>32</v>
      </c>
      <c r="D497" s="14" t="str">
        <f t="shared" si="7"/>
        <v>B3-P4-C2</v>
      </c>
      <c r="E497" s="14" t="s">
        <v>35</v>
      </c>
      <c r="F497" s="14" t="s">
        <v>133</v>
      </c>
      <c r="G497" s="51" t="s">
        <v>1269</v>
      </c>
      <c r="H497" s="51">
        <v>496</v>
      </c>
      <c r="I497" s="53">
        <v>1</v>
      </c>
      <c r="J497" s="54"/>
      <c r="K497" s="53">
        <v>1</v>
      </c>
      <c r="L497" s="54"/>
      <c r="M497" s="54">
        <v>1</v>
      </c>
      <c r="N497" s="54"/>
      <c r="O497" s="54">
        <v>1</v>
      </c>
      <c r="P497" s="54"/>
      <c r="Q497" s="54">
        <v>1</v>
      </c>
      <c r="R497" s="54"/>
      <c r="S497" s="54">
        <v>1</v>
      </c>
      <c r="T497" s="54"/>
      <c r="U497" s="54">
        <v>1</v>
      </c>
      <c r="V497" s="54"/>
      <c r="W497" s="54">
        <v>1</v>
      </c>
      <c r="X497" s="54"/>
      <c r="Y497" s="54">
        <v>1</v>
      </c>
      <c r="Z497" s="54"/>
      <c r="AA497" s="115">
        <v>1</v>
      </c>
      <c r="AB497" s="115"/>
      <c r="AC497" s="115">
        <v>1</v>
      </c>
      <c r="AD497" s="115"/>
    </row>
    <row r="498" spans="1:30" x14ac:dyDescent="0.2">
      <c r="A498" s="20" t="s">
        <v>426</v>
      </c>
      <c r="B498" s="20" t="s">
        <v>131</v>
      </c>
      <c r="C498" s="20" t="s">
        <v>42</v>
      </c>
      <c r="D498" s="20" t="str">
        <f t="shared" si="7"/>
        <v>B3-P4-C3</v>
      </c>
      <c r="E498" s="20" t="s">
        <v>19</v>
      </c>
      <c r="F498" s="20" t="s">
        <v>133</v>
      </c>
      <c r="G498" s="50" t="s">
        <v>1271</v>
      </c>
      <c r="H498" s="50">
        <v>497</v>
      </c>
      <c r="I498" s="52">
        <v>1</v>
      </c>
      <c r="J498" s="52"/>
      <c r="K498" s="52">
        <v>1</v>
      </c>
      <c r="L498" s="52"/>
      <c r="M498" s="52">
        <v>1</v>
      </c>
      <c r="N498" s="52"/>
      <c r="O498" s="52">
        <v>1</v>
      </c>
      <c r="P498" s="52"/>
      <c r="Q498" s="52">
        <v>1</v>
      </c>
      <c r="R498" s="52"/>
      <c r="S498" s="52">
        <v>1</v>
      </c>
      <c r="T498" s="52"/>
      <c r="U498" s="52">
        <v>1</v>
      </c>
      <c r="V498" s="52"/>
      <c r="W498" s="52">
        <v>1</v>
      </c>
      <c r="X498" s="52"/>
      <c r="Y498" s="52">
        <v>1</v>
      </c>
      <c r="Z498" s="52"/>
      <c r="AA498" s="114">
        <v>1</v>
      </c>
      <c r="AB498" s="114"/>
      <c r="AC498" s="114">
        <v>3</v>
      </c>
      <c r="AD498" s="114"/>
    </row>
    <row r="499" spans="1:30" x14ac:dyDescent="0.2">
      <c r="A499" s="20" t="s">
        <v>426</v>
      </c>
      <c r="B499" s="20" t="s">
        <v>131</v>
      </c>
      <c r="C499" s="20" t="s">
        <v>42</v>
      </c>
      <c r="D499" s="20" t="str">
        <f t="shared" si="7"/>
        <v>B3-P4-C3</v>
      </c>
      <c r="E499" s="20" t="s">
        <v>35</v>
      </c>
      <c r="F499" s="20" t="s">
        <v>133</v>
      </c>
      <c r="G499" s="50" t="s">
        <v>1272</v>
      </c>
      <c r="H499" s="50">
        <v>498</v>
      </c>
      <c r="I499" s="52">
        <v>1</v>
      </c>
      <c r="J499" s="52"/>
      <c r="K499" s="52">
        <v>1</v>
      </c>
      <c r="L499" s="52"/>
      <c r="M499" s="52">
        <v>1</v>
      </c>
      <c r="N499" s="52"/>
      <c r="O499" s="52">
        <v>1</v>
      </c>
      <c r="P499" s="52"/>
      <c r="Q499" s="52">
        <v>1</v>
      </c>
      <c r="R499" s="52"/>
      <c r="S499" s="52">
        <v>1</v>
      </c>
      <c r="T499" s="52"/>
      <c r="U499" s="52">
        <v>1</v>
      </c>
      <c r="V499" s="52"/>
      <c r="W499" s="52">
        <v>1</v>
      </c>
      <c r="X499" s="52"/>
      <c r="Y499" s="52">
        <v>1</v>
      </c>
      <c r="Z499" s="52"/>
      <c r="AA499" s="114">
        <v>1</v>
      </c>
      <c r="AB499" s="114"/>
      <c r="AC499" s="114">
        <v>1</v>
      </c>
      <c r="AD499" s="114"/>
    </row>
    <row r="500" spans="1:30" x14ac:dyDescent="0.2">
      <c r="A500" s="20" t="s">
        <v>426</v>
      </c>
      <c r="B500" s="20" t="s">
        <v>131</v>
      </c>
      <c r="C500" s="20" t="s">
        <v>42</v>
      </c>
      <c r="D500" s="20" t="str">
        <f t="shared" si="7"/>
        <v>B3-P4-C3</v>
      </c>
      <c r="E500" s="20" t="s">
        <v>35</v>
      </c>
      <c r="F500" s="20" t="s">
        <v>133</v>
      </c>
      <c r="G500" s="50" t="s">
        <v>1273</v>
      </c>
      <c r="H500" s="50">
        <v>499</v>
      </c>
      <c r="I500" s="52">
        <v>1</v>
      </c>
      <c r="J500" s="52"/>
      <c r="K500" s="52">
        <v>1</v>
      </c>
      <c r="L500" s="52"/>
      <c r="M500" s="52">
        <v>1</v>
      </c>
      <c r="N500" s="52"/>
      <c r="O500" s="52">
        <v>1</v>
      </c>
      <c r="P500" s="52"/>
      <c r="Q500" s="52">
        <v>1</v>
      </c>
      <c r="R500" s="52"/>
      <c r="S500" s="52">
        <v>1</v>
      </c>
      <c r="T500" s="52"/>
      <c r="U500" s="52">
        <v>1</v>
      </c>
      <c r="V500" s="52"/>
      <c r="W500" s="52">
        <v>1</v>
      </c>
      <c r="X500" s="52"/>
      <c r="Y500" s="52">
        <v>1</v>
      </c>
      <c r="Z500" s="52"/>
      <c r="AA500" s="114">
        <v>1</v>
      </c>
      <c r="AB500" s="114"/>
      <c r="AC500" s="114">
        <v>1</v>
      </c>
      <c r="AD500" s="114"/>
    </row>
    <row r="501" spans="1:30" x14ac:dyDescent="0.2">
      <c r="A501" s="20" t="s">
        <v>426</v>
      </c>
      <c r="B501" s="20" t="s">
        <v>131</v>
      </c>
      <c r="C501" s="20" t="s">
        <v>42</v>
      </c>
      <c r="D501" s="20" t="str">
        <f t="shared" si="7"/>
        <v>B3-P4-C3</v>
      </c>
      <c r="E501" s="20" t="s">
        <v>19</v>
      </c>
      <c r="F501" s="20" t="s">
        <v>133</v>
      </c>
      <c r="G501" s="50" t="s">
        <v>1275</v>
      </c>
      <c r="H501" s="50">
        <v>500</v>
      </c>
      <c r="I501" s="52">
        <v>1</v>
      </c>
      <c r="J501" s="52"/>
      <c r="K501" s="52">
        <v>1</v>
      </c>
      <c r="L501" s="52"/>
      <c r="M501" s="52">
        <v>1</v>
      </c>
      <c r="N501" s="52"/>
      <c r="O501" s="52">
        <v>1</v>
      </c>
      <c r="P501" s="52"/>
      <c r="Q501" s="52">
        <v>1</v>
      </c>
      <c r="R501" s="52"/>
      <c r="S501" s="52">
        <v>1</v>
      </c>
      <c r="T501" s="52"/>
      <c r="U501" s="52">
        <v>1</v>
      </c>
      <c r="V501" s="52"/>
      <c r="W501" s="52">
        <v>1</v>
      </c>
      <c r="X501" s="52"/>
      <c r="Y501" s="52">
        <v>1</v>
      </c>
      <c r="Z501" s="52"/>
      <c r="AA501" s="114">
        <v>1</v>
      </c>
      <c r="AB501" s="114"/>
      <c r="AC501" s="114">
        <v>3</v>
      </c>
      <c r="AD501" s="114"/>
    </row>
    <row r="502" spans="1:30" x14ac:dyDescent="0.2">
      <c r="A502" s="20" t="s">
        <v>426</v>
      </c>
      <c r="B502" s="20" t="s">
        <v>131</v>
      </c>
      <c r="C502" s="20" t="s">
        <v>42</v>
      </c>
      <c r="D502" s="20" t="str">
        <f t="shared" si="7"/>
        <v>B3-P4-C3</v>
      </c>
      <c r="E502" s="20" t="s">
        <v>19</v>
      </c>
      <c r="F502" s="20" t="s">
        <v>133</v>
      </c>
      <c r="G502" s="50" t="s">
        <v>1276</v>
      </c>
      <c r="H502" s="50">
        <v>501</v>
      </c>
      <c r="I502" s="52">
        <v>1</v>
      </c>
      <c r="J502" s="52"/>
      <c r="K502" s="52">
        <v>1</v>
      </c>
      <c r="L502" s="52"/>
      <c r="M502" s="52">
        <v>1</v>
      </c>
      <c r="N502" s="52"/>
      <c r="O502" s="52">
        <v>1</v>
      </c>
      <c r="P502" s="52"/>
      <c r="Q502" s="52">
        <v>1</v>
      </c>
      <c r="R502" s="52"/>
      <c r="S502" s="52">
        <v>1</v>
      </c>
      <c r="T502" s="52"/>
      <c r="U502" s="52">
        <v>1</v>
      </c>
      <c r="V502" s="52"/>
      <c r="W502" s="52">
        <v>1</v>
      </c>
      <c r="X502" s="52"/>
      <c r="Y502" s="52">
        <v>1</v>
      </c>
      <c r="Z502" s="52"/>
      <c r="AA502" s="114">
        <v>1</v>
      </c>
      <c r="AB502" s="114"/>
      <c r="AC502" s="114">
        <v>2</v>
      </c>
      <c r="AD502" s="114"/>
    </row>
    <row r="503" spans="1:30" x14ac:dyDescent="0.2">
      <c r="A503" s="20" t="s">
        <v>426</v>
      </c>
      <c r="B503" s="20" t="s">
        <v>131</v>
      </c>
      <c r="C503" s="20" t="s">
        <v>42</v>
      </c>
      <c r="D503" s="20" t="str">
        <f t="shared" si="7"/>
        <v>B3-P4-C3</v>
      </c>
      <c r="E503" s="20" t="s">
        <v>35</v>
      </c>
      <c r="F503" s="20" t="s">
        <v>133</v>
      </c>
      <c r="G503" s="50" t="s">
        <v>1277</v>
      </c>
      <c r="H503" s="50">
        <v>502</v>
      </c>
      <c r="I503" s="52">
        <v>1</v>
      </c>
      <c r="J503" s="52"/>
      <c r="K503" s="52">
        <v>1</v>
      </c>
      <c r="L503" s="52"/>
      <c r="M503" s="52">
        <v>1</v>
      </c>
      <c r="N503" s="52"/>
      <c r="O503" s="52">
        <v>1</v>
      </c>
      <c r="P503" s="52"/>
      <c r="Q503" s="52">
        <v>1</v>
      </c>
      <c r="R503" s="52"/>
      <c r="S503" s="52">
        <v>1</v>
      </c>
      <c r="T503" s="52"/>
      <c r="U503" s="52">
        <v>1</v>
      </c>
      <c r="V503" s="52"/>
      <c r="W503" s="52">
        <v>1</v>
      </c>
      <c r="X503" s="52"/>
      <c r="Y503" s="52">
        <v>1</v>
      </c>
      <c r="Z503" s="52"/>
      <c r="AA503" s="114">
        <v>1</v>
      </c>
      <c r="AB503" s="114"/>
      <c r="AC503" s="114">
        <v>1</v>
      </c>
      <c r="AD503" s="114"/>
    </row>
    <row r="504" spans="1:30" x14ac:dyDescent="0.2">
      <c r="A504" s="20" t="s">
        <v>426</v>
      </c>
      <c r="B504" s="20" t="s">
        <v>131</v>
      </c>
      <c r="C504" s="20" t="s">
        <v>42</v>
      </c>
      <c r="D504" s="20" t="str">
        <f t="shared" si="7"/>
        <v>B3-P4-C3</v>
      </c>
      <c r="E504" s="20" t="s">
        <v>35</v>
      </c>
      <c r="F504" s="20" t="s">
        <v>133</v>
      </c>
      <c r="G504" s="50" t="s">
        <v>1278</v>
      </c>
      <c r="H504" s="50">
        <v>503</v>
      </c>
      <c r="I504" s="52">
        <v>1</v>
      </c>
      <c r="J504" s="52"/>
      <c r="K504" s="52">
        <v>1</v>
      </c>
      <c r="L504" s="52"/>
      <c r="M504" s="52">
        <v>1</v>
      </c>
      <c r="N504" s="52"/>
      <c r="O504" s="52">
        <v>1</v>
      </c>
      <c r="P504" s="52"/>
      <c r="Q504" s="52">
        <v>1</v>
      </c>
      <c r="R504" s="52"/>
      <c r="S504" s="52">
        <v>1</v>
      </c>
      <c r="T504" s="52"/>
      <c r="U504" s="52">
        <v>1</v>
      </c>
      <c r="V504" s="52"/>
      <c r="W504" s="52">
        <v>1</v>
      </c>
      <c r="X504" s="52"/>
      <c r="Y504" s="52">
        <v>1</v>
      </c>
      <c r="Z504" s="52"/>
      <c r="AA504" s="114">
        <v>1</v>
      </c>
      <c r="AB504" s="114"/>
      <c r="AC504" s="114">
        <v>1</v>
      </c>
      <c r="AD504" s="114"/>
    </row>
    <row r="505" spans="1:30" x14ac:dyDescent="0.2">
      <c r="A505" s="20" t="s">
        <v>426</v>
      </c>
      <c r="B505" s="20" t="s">
        <v>131</v>
      </c>
      <c r="C505" s="20" t="s">
        <v>42</v>
      </c>
      <c r="D505" s="20" t="str">
        <f t="shared" si="7"/>
        <v>B3-P4-C3</v>
      </c>
      <c r="E505" s="20" t="s">
        <v>19</v>
      </c>
      <c r="F505" s="20" t="s">
        <v>133</v>
      </c>
      <c r="G505" s="50" t="s">
        <v>1279</v>
      </c>
      <c r="H505" s="50">
        <v>504</v>
      </c>
      <c r="I505" s="52">
        <v>1</v>
      </c>
      <c r="J505" s="52"/>
      <c r="K505" s="52">
        <v>1</v>
      </c>
      <c r="L505" s="52"/>
      <c r="M505" s="52">
        <v>1</v>
      </c>
      <c r="N505" s="52"/>
      <c r="O505" s="52">
        <v>1</v>
      </c>
      <c r="P505" s="52"/>
      <c r="Q505" s="52">
        <v>1</v>
      </c>
      <c r="R505" s="52"/>
      <c r="S505" s="52">
        <v>1</v>
      </c>
      <c r="T505" s="52"/>
      <c r="U505" s="52">
        <v>1</v>
      </c>
      <c r="V505" s="52"/>
      <c r="W505" s="52">
        <v>1</v>
      </c>
      <c r="X505" s="52"/>
      <c r="Y505" s="52">
        <v>1</v>
      </c>
      <c r="Z505" s="52"/>
      <c r="AA505" s="114">
        <v>1</v>
      </c>
      <c r="AB505" s="114"/>
      <c r="AC505" s="114">
        <v>2</v>
      </c>
      <c r="AD505" s="114"/>
    </row>
    <row r="506" spans="1:30" x14ac:dyDescent="0.2">
      <c r="A506" s="14" t="s">
        <v>426</v>
      </c>
      <c r="B506" s="14" t="s">
        <v>131</v>
      </c>
      <c r="C506" s="14" t="s">
        <v>53</v>
      </c>
      <c r="D506" s="14" t="str">
        <f t="shared" si="7"/>
        <v>B3-P4-C4</v>
      </c>
      <c r="E506" s="14" t="s">
        <v>35</v>
      </c>
      <c r="F506" s="14" t="s">
        <v>133</v>
      </c>
      <c r="G506" s="51" t="s">
        <v>1281</v>
      </c>
      <c r="H506" s="51">
        <v>505</v>
      </c>
      <c r="I506" s="53">
        <v>1</v>
      </c>
      <c r="J506" s="54"/>
      <c r="K506" s="53">
        <v>1</v>
      </c>
      <c r="L506" s="54"/>
      <c r="M506" s="54">
        <v>1</v>
      </c>
      <c r="N506" s="54"/>
      <c r="O506" s="54">
        <v>1</v>
      </c>
      <c r="P506" s="54"/>
      <c r="Q506" s="54">
        <v>1</v>
      </c>
      <c r="R506" s="54"/>
      <c r="S506" s="54">
        <v>1</v>
      </c>
      <c r="T506" s="54"/>
      <c r="U506" s="54">
        <v>1</v>
      </c>
      <c r="V506" s="54"/>
      <c r="W506" s="54">
        <v>1</v>
      </c>
      <c r="X506" s="54"/>
      <c r="Y506" s="54">
        <v>1</v>
      </c>
      <c r="Z506" s="54"/>
      <c r="AA506" s="115">
        <v>1</v>
      </c>
      <c r="AB506" s="115"/>
      <c r="AC506" s="115">
        <v>1</v>
      </c>
      <c r="AD506" s="115"/>
    </row>
    <row r="507" spans="1:30" x14ac:dyDescent="0.2">
      <c r="A507" s="14" t="s">
        <v>426</v>
      </c>
      <c r="B507" s="14" t="s">
        <v>131</v>
      </c>
      <c r="C507" s="14" t="s">
        <v>53</v>
      </c>
      <c r="D507" s="14" t="str">
        <f t="shared" si="7"/>
        <v>B3-P4-C4</v>
      </c>
      <c r="E507" s="14" t="s">
        <v>19</v>
      </c>
      <c r="F507" s="14" t="s">
        <v>133</v>
      </c>
      <c r="G507" s="51" t="s">
        <v>1282</v>
      </c>
      <c r="H507" s="51">
        <v>506</v>
      </c>
      <c r="I507" s="53">
        <v>1</v>
      </c>
      <c r="J507" s="54"/>
      <c r="K507" s="53">
        <v>3</v>
      </c>
      <c r="L507" s="54"/>
      <c r="M507" s="54">
        <v>3</v>
      </c>
      <c r="N507" s="54"/>
      <c r="O507" s="54">
        <v>3</v>
      </c>
      <c r="P507" s="54"/>
      <c r="Q507" s="54">
        <v>3</v>
      </c>
      <c r="R507" s="54"/>
      <c r="S507" s="54">
        <v>3</v>
      </c>
      <c r="T507" s="54"/>
      <c r="U507" s="54">
        <v>4</v>
      </c>
      <c r="V507" s="54"/>
      <c r="W507" s="54">
        <v>4</v>
      </c>
      <c r="X507" s="54"/>
      <c r="Y507" s="54">
        <v>4</v>
      </c>
      <c r="Z507" s="54"/>
      <c r="AA507" s="115">
        <v>4</v>
      </c>
      <c r="AB507" s="115"/>
      <c r="AC507" s="115">
        <v>4</v>
      </c>
      <c r="AD507" s="115"/>
    </row>
    <row r="508" spans="1:30" x14ac:dyDescent="0.2">
      <c r="A508" s="14" t="s">
        <v>426</v>
      </c>
      <c r="B508" s="14" t="s">
        <v>131</v>
      </c>
      <c r="C508" s="14" t="s">
        <v>53</v>
      </c>
      <c r="D508" s="14" t="str">
        <f t="shared" si="7"/>
        <v>B3-P4-C4</v>
      </c>
      <c r="E508" s="14" t="s">
        <v>19</v>
      </c>
      <c r="F508" s="14" t="s">
        <v>133</v>
      </c>
      <c r="G508" s="51" t="s">
        <v>1283</v>
      </c>
      <c r="H508" s="51">
        <v>507</v>
      </c>
      <c r="I508" s="53">
        <v>1</v>
      </c>
      <c r="J508" s="54"/>
      <c r="K508" s="53">
        <v>2.5</v>
      </c>
      <c r="L508" s="54"/>
      <c r="M508" s="54">
        <v>3</v>
      </c>
      <c r="N508" s="54"/>
      <c r="O508" s="54">
        <v>3</v>
      </c>
      <c r="P508" s="54"/>
      <c r="Q508" s="54">
        <v>2.5</v>
      </c>
      <c r="R508" s="54"/>
      <c r="S508" s="54">
        <v>3</v>
      </c>
      <c r="T508" s="54"/>
      <c r="U508" s="54">
        <v>4</v>
      </c>
      <c r="V508" s="54"/>
      <c r="W508" s="54">
        <v>4</v>
      </c>
      <c r="X508" s="54"/>
      <c r="Y508" s="54">
        <v>4</v>
      </c>
      <c r="Z508" s="54"/>
      <c r="AA508" s="115">
        <v>4</v>
      </c>
      <c r="AB508" s="115"/>
      <c r="AC508" s="115">
        <v>4</v>
      </c>
      <c r="AD508" s="115"/>
    </row>
    <row r="509" spans="1:30" x14ac:dyDescent="0.2">
      <c r="A509" s="14" t="s">
        <v>426</v>
      </c>
      <c r="B509" s="14" t="s">
        <v>131</v>
      </c>
      <c r="C509" s="14" t="s">
        <v>53</v>
      </c>
      <c r="D509" s="14" t="str">
        <f t="shared" si="7"/>
        <v>B3-P4-C4</v>
      </c>
      <c r="E509" s="14" t="s">
        <v>35</v>
      </c>
      <c r="F509" s="14" t="s">
        <v>133</v>
      </c>
      <c r="G509" s="51" t="s">
        <v>1284</v>
      </c>
      <c r="H509" s="51">
        <v>508</v>
      </c>
      <c r="I509" s="53">
        <v>1</v>
      </c>
      <c r="J509" s="54"/>
      <c r="K509" s="53">
        <v>1</v>
      </c>
      <c r="L509" s="54"/>
      <c r="M509" s="54">
        <v>1</v>
      </c>
      <c r="N509" s="54"/>
      <c r="O509" s="54">
        <v>1</v>
      </c>
      <c r="P509" s="54"/>
      <c r="Q509" s="54">
        <v>1</v>
      </c>
      <c r="R509" s="54"/>
      <c r="S509" s="54">
        <v>1</v>
      </c>
      <c r="T509" s="54"/>
      <c r="U509" s="54">
        <v>1</v>
      </c>
      <c r="V509" s="54"/>
      <c r="W509" s="54">
        <v>1</v>
      </c>
      <c r="X509" s="54"/>
      <c r="Y509" s="54">
        <v>1</v>
      </c>
      <c r="Z509" s="54"/>
      <c r="AA509" s="115">
        <v>1</v>
      </c>
      <c r="AB509" s="115"/>
      <c r="AC509" s="115">
        <v>1</v>
      </c>
      <c r="AD509" s="115"/>
    </row>
    <row r="510" spans="1:30" x14ac:dyDescent="0.2">
      <c r="A510" s="14" t="s">
        <v>426</v>
      </c>
      <c r="B510" s="14" t="s">
        <v>131</v>
      </c>
      <c r="C510" s="14" t="s">
        <v>53</v>
      </c>
      <c r="D510" s="14" t="str">
        <f t="shared" si="7"/>
        <v>B3-P4-C4</v>
      </c>
      <c r="E510" s="14" t="s">
        <v>35</v>
      </c>
      <c r="F510" s="14" t="s">
        <v>133</v>
      </c>
      <c r="G510" s="51" t="s">
        <v>1285</v>
      </c>
      <c r="H510" s="51">
        <v>509</v>
      </c>
      <c r="I510" s="53">
        <v>1</v>
      </c>
      <c r="J510" s="54"/>
      <c r="K510" s="53">
        <v>2</v>
      </c>
      <c r="L510" s="54"/>
      <c r="M510" s="54">
        <v>1</v>
      </c>
      <c r="N510" s="54"/>
      <c r="O510" s="54">
        <v>1</v>
      </c>
      <c r="P510" s="54"/>
      <c r="Q510" s="54">
        <v>1</v>
      </c>
      <c r="R510" s="54"/>
      <c r="S510" s="54">
        <v>1</v>
      </c>
      <c r="T510" s="54"/>
      <c r="U510" s="54">
        <v>1</v>
      </c>
      <c r="V510" s="54"/>
      <c r="W510" s="54">
        <v>1</v>
      </c>
      <c r="X510" s="54"/>
      <c r="Y510" s="54">
        <v>1</v>
      </c>
      <c r="Z510" s="54"/>
      <c r="AA510" s="115">
        <v>1</v>
      </c>
      <c r="AB510" s="115"/>
      <c r="AC510" s="115">
        <v>1</v>
      </c>
      <c r="AD510" s="115"/>
    </row>
    <row r="511" spans="1:30" x14ac:dyDescent="0.2">
      <c r="A511" s="14" t="s">
        <v>426</v>
      </c>
      <c r="B511" s="14" t="s">
        <v>131</v>
      </c>
      <c r="C511" s="14" t="s">
        <v>53</v>
      </c>
      <c r="D511" s="14" t="str">
        <f t="shared" si="7"/>
        <v>B3-P4-C4</v>
      </c>
      <c r="E511" s="14" t="s">
        <v>19</v>
      </c>
      <c r="F511" s="14" t="s">
        <v>133</v>
      </c>
      <c r="G511" s="51" t="s">
        <v>1286</v>
      </c>
      <c r="H511" s="51">
        <v>510</v>
      </c>
      <c r="I511" s="53">
        <v>1</v>
      </c>
      <c r="J511" s="54"/>
      <c r="K511" s="53">
        <v>3</v>
      </c>
      <c r="L511" s="54"/>
      <c r="M511" s="54">
        <v>3</v>
      </c>
      <c r="N511" s="54"/>
      <c r="O511" s="54">
        <v>3</v>
      </c>
      <c r="P511" s="54"/>
      <c r="Q511" s="54">
        <v>2.5</v>
      </c>
      <c r="R511" s="54"/>
      <c r="S511" s="54">
        <v>3</v>
      </c>
      <c r="T511" s="54"/>
      <c r="U511" s="54">
        <v>4</v>
      </c>
      <c r="V511" s="54"/>
      <c r="W511" s="54">
        <v>4</v>
      </c>
      <c r="X511" s="54"/>
      <c r="Y511" s="54">
        <v>4</v>
      </c>
      <c r="Z511" s="54"/>
      <c r="AA511" s="115">
        <v>4</v>
      </c>
      <c r="AB511" s="115"/>
      <c r="AC511" s="115">
        <v>4</v>
      </c>
      <c r="AD511" s="115"/>
    </row>
    <row r="512" spans="1:30" x14ac:dyDescent="0.2">
      <c r="A512" s="14" t="s">
        <v>426</v>
      </c>
      <c r="B512" s="14" t="s">
        <v>131</v>
      </c>
      <c r="C512" s="14" t="s">
        <v>53</v>
      </c>
      <c r="D512" s="14" t="str">
        <f t="shared" si="7"/>
        <v>B3-P4-C4</v>
      </c>
      <c r="E512" s="14" t="s">
        <v>19</v>
      </c>
      <c r="F512" s="14" t="s">
        <v>133</v>
      </c>
      <c r="G512" s="51" t="s">
        <v>1287</v>
      </c>
      <c r="H512" s="51">
        <v>511</v>
      </c>
      <c r="I512" s="53">
        <v>1</v>
      </c>
      <c r="J512" s="54"/>
      <c r="K512" s="53">
        <v>3</v>
      </c>
      <c r="L512" s="54"/>
      <c r="M512" s="54">
        <v>3</v>
      </c>
      <c r="N512" s="54"/>
      <c r="O512" s="54">
        <v>3</v>
      </c>
      <c r="P512" s="54"/>
      <c r="Q512" s="54">
        <v>3</v>
      </c>
      <c r="R512" s="54"/>
      <c r="S512" s="54">
        <v>3</v>
      </c>
      <c r="T512" s="54"/>
      <c r="U512" s="54">
        <v>4</v>
      </c>
      <c r="V512" s="54"/>
      <c r="W512" s="54">
        <v>4</v>
      </c>
      <c r="X512" s="54"/>
      <c r="Y512" s="54">
        <v>4</v>
      </c>
      <c r="Z512" s="54"/>
      <c r="AA512" s="115">
        <v>4</v>
      </c>
      <c r="AB512" s="115"/>
      <c r="AC512" s="115">
        <v>4</v>
      </c>
      <c r="AD512" s="115"/>
    </row>
    <row r="513" spans="1:30" x14ac:dyDescent="0.2">
      <c r="A513" s="14" t="s">
        <v>426</v>
      </c>
      <c r="B513" s="14" t="s">
        <v>131</v>
      </c>
      <c r="C513" s="14" t="s">
        <v>53</v>
      </c>
      <c r="D513" s="14" t="str">
        <f t="shared" si="7"/>
        <v>B3-P4-C4</v>
      </c>
      <c r="E513" s="14" t="s">
        <v>35</v>
      </c>
      <c r="F513" s="14" t="s">
        <v>133</v>
      </c>
      <c r="G513" s="51" t="s">
        <v>1288</v>
      </c>
      <c r="H513" s="51">
        <v>512</v>
      </c>
      <c r="I513" s="53">
        <v>1</v>
      </c>
      <c r="J513" s="54"/>
      <c r="K513" s="53">
        <v>1</v>
      </c>
      <c r="L513" s="54"/>
      <c r="M513" s="54">
        <v>1</v>
      </c>
      <c r="N513" s="54"/>
      <c r="O513" s="54">
        <v>1</v>
      </c>
      <c r="P513" s="54"/>
      <c r="Q513" s="54">
        <v>1</v>
      </c>
      <c r="R513" s="54"/>
      <c r="S513" s="54">
        <v>1</v>
      </c>
      <c r="T513" s="54"/>
      <c r="U513" s="54">
        <v>1</v>
      </c>
      <c r="V513" s="54"/>
      <c r="W513" s="54">
        <v>1</v>
      </c>
      <c r="X513" s="54"/>
      <c r="Y513" s="54">
        <v>1</v>
      </c>
      <c r="Z513" s="54"/>
      <c r="AA513" s="115">
        <v>1</v>
      </c>
      <c r="AB513" s="115"/>
      <c r="AC513" s="115">
        <v>1</v>
      </c>
      <c r="AD513" s="115"/>
    </row>
    <row r="514" spans="1:30" x14ac:dyDescent="0.2">
      <c r="A514" s="20" t="s">
        <v>426</v>
      </c>
      <c r="B514" s="20" t="s">
        <v>167</v>
      </c>
      <c r="C514" s="20" t="s">
        <v>16</v>
      </c>
      <c r="D514" s="20" t="str">
        <f t="shared" si="7"/>
        <v>B3-P5-C1</v>
      </c>
      <c r="E514" s="20" t="s">
        <v>35</v>
      </c>
      <c r="F514" s="20" t="s">
        <v>133</v>
      </c>
      <c r="G514" s="50" t="s">
        <v>1290</v>
      </c>
      <c r="H514" s="50">
        <v>513</v>
      </c>
      <c r="I514" s="52">
        <v>1</v>
      </c>
      <c r="J514" s="52"/>
      <c r="K514" s="52">
        <v>1</v>
      </c>
      <c r="L514" s="52"/>
      <c r="M514" s="52">
        <v>1</v>
      </c>
      <c r="N514" s="52"/>
      <c r="O514" s="52">
        <v>1</v>
      </c>
      <c r="P514" s="52"/>
      <c r="Q514" s="52">
        <v>1</v>
      </c>
      <c r="R514" s="52"/>
      <c r="S514" s="52">
        <v>1</v>
      </c>
      <c r="T514" s="52"/>
      <c r="U514" s="52">
        <v>1</v>
      </c>
      <c r="V514" s="52"/>
      <c r="W514" s="52">
        <v>1</v>
      </c>
      <c r="X514" s="52"/>
      <c r="Y514" s="52">
        <v>1</v>
      </c>
      <c r="Z514" s="52"/>
      <c r="AA514" s="114">
        <v>1</v>
      </c>
      <c r="AB514" s="114"/>
      <c r="AC514" s="114">
        <v>1</v>
      </c>
      <c r="AD514" s="114"/>
    </row>
    <row r="515" spans="1:30" x14ac:dyDescent="0.2">
      <c r="A515" s="20" t="s">
        <v>426</v>
      </c>
      <c r="B515" s="20" t="s">
        <v>167</v>
      </c>
      <c r="C515" s="20" t="s">
        <v>16</v>
      </c>
      <c r="D515" s="20" t="str">
        <f t="shared" ref="D515:D577" si="8">A515&amp;"-"&amp;B515&amp;"-"&amp;C515</f>
        <v>B3-P5-C1</v>
      </c>
      <c r="E515" s="20" t="s">
        <v>35</v>
      </c>
      <c r="F515" s="20" t="s">
        <v>133</v>
      </c>
      <c r="G515" s="50" t="s">
        <v>1291</v>
      </c>
      <c r="H515" s="50">
        <v>514</v>
      </c>
      <c r="I515" s="52">
        <v>1</v>
      </c>
      <c r="J515" s="52"/>
      <c r="K515" s="52">
        <v>1</v>
      </c>
      <c r="L515" s="52"/>
      <c r="M515" s="52">
        <v>1</v>
      </c>
      <c r="N515" s="52"/>
      <c r="O515" s="52">
        <v>1</v>
      </c>
      <c r="P515" s="52"/>
      <c r="Q515" s="52">
        <v>1</v>
      </c>
      <c r="R515" s="52"/>
      <c r="S515" s="52">
        <v>1</v>
      </c>
      <c r="T515" s="52"/>
      <c r="U515" s="52">
        <v>1</v>
      </c>
      <c r="V515" s="52"/>
      <c r="W515" s="52">
        <v>1</v>
      </c>
      <c r="X515" s="52"/>
      <c r="Y515" s="52">
        <v>1</v>
      </c>
      <c r="Z515" s="52"/>
      <c r="AA515" s="114">
        <v>1</v>
      </c>
      <c r="AB515" s="114"/>
      <c r="AC515" s="114">
        <v>1</v>
      </c>
      <c r="AD515" s="114"/>
    </row>
    <row r="516" spans="1:30" x14ac:dyDescent="0.2">
      <c r="A516" s="20" t="s">
        <v>426</v>
      </c>
      <c r="B516" s="20" t="s">
        <v>167</v>
      </c>
      <c r="C516" s="20" t="s">
        <v>16</v>
      </c>
      <c r="D516" s="20" t="str">
        <f t="shared" si="8"/>
        <v>B3-P5-C1</v>
      </c>
      <c r="E516" s="20" t="s">
        <v>35</v>
      </c>
      <c r="F516" s="20" t="s">
        <v>133</v>
      </c>
      <c r="G516" s="50" t="s">
        <v>1292</v>
      </c>
      <c r="H516" s="50">
        <v>515</v>
      </c>
      <c r="I516" s="52">
        <v>1</v>
      </c>
      <c r="J516" s="52"/>
      <c r="K516" s="52">
        <v>1</v>
      </c>
      <c r="L516" s="52"/>
      <c r="M516" s="52">
        <v>1</v>
      </c>
      <c r="N516" s="52"/>
      <c r="O516" s="52">
        <v>1</v>
      </c>
      <c r="P516" s="52"/>
      <c r="Q516" s="52">
        <v>1</v>
      </c>
      <c r="R516" s="52"/>
      <c r="S516" s="52">
        <v>1</v>
      </c>
      <c r="T516" s="52"/>
      <c r="U516" s="52">
        <v>1</v>
      </c>
      <c r="V516" s="52"/>
      <c r="W516" s="52">
        <v>1</v>
      </c>
      <c r="X516" s="52"/>
      <c r="Y516" s="52">
        <v>1</v>
      </c>
      <c r="Z516" s="52"/>
      <c r="AA516" s="114">
        <v>1</v>
      </c>
      <c r="AB516" s="114"/>
      <c r="AC516" s="114">
        <v>1</v>
      </c>
      <c r="AD516" s="114"/>
    </row>
    <row r="517" spans="1:30" x14ac:dyDescent="0.2">
      <c r="A517" s="20" t="s">
        <v>426</v>
      </c>
      <c r="B517" s="20" t="s">
        <v>167</v>
      </c>
      <c r="C517" s="20" t="s">
        <v>16</v>
      </c>
      <c r="D517" s="20" t="str">
        <f t="shared" si="8"/>
        <v>B3-P5-C1</v>
      </c>
      <c r="E517" s="20" t="s">
        <v>35</v>
      </c>
      <c r="F517" s="20" t="s">
        <v>133</v>
      </c>
      <c r="G517" s="50" t="s">
        <v>1293</v>
      </c>
      <c r="H517" s="50">
        <v>516</v>
      </c>
      <c r="I517" s="52">
        <v>1</v>
      </c>
      <c r="J517" s="52"/>
      <c r="K517" s="52">
        <v>1</v>
      </c>
      <c r="L517" s="52"/>
      <c r="M517" s="52">
        <v>1</v>
      </c>
      <c r="N517" s="52"/>
      <c r="O517" s="52">
        <v>1</v>
      </c>
      <c r="P517" s="52"/>
      <c r="Q517" s="52">
        <v>1</v>
      </c>
      <c r="R517" s="52"/>
      <c r="S517" s="52">
        <v>1</v>
      </c>
      <c r="T517" s="52"/>
      <c r="U517" s="52">
        <v>1</v>
      </c>
      <c r="V517" s="52"/>
      <c r="W517" s="52">
        <v>1</v>
      </c>
      <c r="X517" s="52"/>
      <c r="Y517" s="52">
        <v>1</v>
      </c>
      <c r="Z517" s="52"/>
      <c r="AA517" s="114">
        <v>1</v>
      </c>
      <c r="AB517" s="114"/>
      <c r="AC517" s="114">
        <v>1</v>
      </c>
      <c r="AD517" s="114"/>
    </row>
    <row r="518" spans="1:30" x14ac:dyDescent="0.2">
      <c r="A518" s="20" t="s">
        <v>426</v>
      </c>
      <c r="B518" s="20" t="s">
        <v>167</v>
      </c>
      <c r="C518" s="20" t="s">
        <v>16</v>
      </c>
      <c r="D518" s="20" t="str">
        <f t="shared" si="8"/>
        <v>B3-P5-C1</v>
      </c>
      <c r="E518" s="20" t="s">
        <v>35</v>
      </c>
      <c r="F518" s="20" t="s">
        <v>133</v>
      </c>
      <c r="G518" s="50" t="s">
        <v>1294</v>
      </c>
      <c r="H518" s="50">
        <v>517</v>
      </c>
      <c r="I518" s="52">
        <v>1</v>
      </c>
      <c r="J518" s="52"/>
      <c r="K518" s="52">
        <v>1</v>
      </c>
      <c r="L518" s="52"/>
      <c r="M518" s="52">
        <v>1</v>
      </c>
      <c r="N518" s="52"/>
      <c r="O518" s="52">
        <v>1</v>
      </c>
      <c r="P518" s="52"/>
      <c r="Q518" s="52">
        <v>1</v>
      </c>
      <c r="R518" s="52"/>
      <c r="S518" s="52">
        <v>1</v>
      </c>
      <c r="T518" s="52"/>
      <c r="U518" s="52">
        <v>1</v>
      </c>
      <c r="V518" s="52"/>
      <c r="W518" s="52">
        <v>1</v>
      </c>
      <c r="X518" s="52"/>
      <c r="Y518" s="52">
        <v>1</v>
      </c>
      <c r="Z518" s="52"/>
      <c r="AA518" s="114">
        <v>1</v>
      </c>
      <c r="AB518" s="114"/>
      <c r="AC518" s="114">
        <v>1</v>
      </c>
      <c r="AD518" s="114"/>
    </row>
    <row r="519" spans="1:30" x14ac:dyDescent="0.2">
      <c r="A519" s="20" t="s">
        <v>426</v>
      </c>
      <c r="B519" s="20" t="s">
        <v>167</v>
      </c>
      <c r="C519" s="20" t="s">
        <v>16</v>
      </c>
      <c r="D519" s="20" t="str">
        <f t="shared" si="8"/>
        <v>B3-P5-C1</v>
      </c>
      <c r="E519" s="20" t="s">
        <v>35</v>
      </c>
      <c r="F519" s="20" t="s">
        <v>133</v>
      </c>
      <c r="G519" s="50" t="s">
        <v>1295</v>
      </c>
      <c r="H519" s="50">
        <v>518</v>
      </c>
      <c r="I519" s="52">
        <v>1</v>
      </c>
      <c r="J519" s="52"/>
      <c r="K519" s="52">
        <v>1</v>
      </c>
      <c r="L519" s="52"/>
      <c r="M519" s="52">
        <v>2</v>
      </c>
      <c r="N519" s="52"/>
      <c r="O519" s="52">
        <v>3</v>
      </c>
      <c r="P519" s="52"/>
      <c r="Q519" s="52">
        <v>3.5</v>
      </c>
      <c r="R519" s="52"/>
      <c r="S519" s="52">
        <v>3.5</v>
      </c>
      <c r="T519" s="52"/>
      <c r="U519" s="52">
        <v>4</v>
      </c>
      <c r="V519" s="52"/>
      <c r="W519" s="52">
        <v>4</v>
      </c>
      <c r="X519" s="52"/>
      <c r="Y519" s="52">
        <v>4</v>
      </c>
      <c r="Z519" s="52"/>
      <c r="AA519" s="114">
        <v>4</v>
      </c>
      <c r="AB519" s="114"/>
      <c r="AC519" s="114">
        <v>4</v>
      </c>
      <c r="AD519" s="114"/>
    </row>
    <row r="520" spans="1:30" x14ac:dyDescent="0.2">
      <c r="A520" s="20" t="s">
        <v>426</v>
      </c>
      <c r="B520" s="20" t="s">
        <v>167</v>
      </c>
      <c r="C520" s="20" t="s">
        <v>16</v>
      </c>
      <c r="D520" s="20" t="str">
        <f t="shared" si="8"/>
        <v>B3-P5-C1</v>
      </c>
      <c r="E520" s="20" t="s">
        <v>35</v>
      </c>
      <c r="F520" s="20" t="s">
        <v>133</v>
      </c>
      <c r="G520" s="50" t="s">
        <v>1296</v>
      </c>
      <c r="H520" s="50">
        <v>519</v>
      </c>
      <c r="I520" s="52">
        <v>1</v>
      </c>
      <c r="J520" s="52"/>
      <c r="K520" s="52">
        <v>1</v>
      </c>
      <c r="L520" s="52"/>
      <c r="M520" s="52">
        <v>1</v>
      </c>
      <c r="N520" s="52"/>
      <c r="O520" s="52">
        <v>1</v>
      </c>
      <c r="P520" s="52"/>
      <c r="Q520" s="52">
        <v>1</v>
      </c>
      <c r="R520" s="52"/>
      <c r="S520" s="52">
        <v>1</v>
      </c>
      <c r="T520" s="52"/>
      <c r="U520" s="52">
        <v>1</v>
      </c>
      <c r="V520" s="52"/>
      <c r="W520" s="52">
        <v>1</v>
      </c>
      <c r="X520" s="52"/>
      <c r="Y520" s="52">
        <v>1</v>
      </c>
      <c r="Z520" s="52"/>
      <c r="AA520" s="114">
        <v>1</v>
      </c>
      <c r="AB520" s="114"/>
      <c r="AC520" s="114">
        <v>1</v>
      </c>
      <c r="AD520" s="114"/>
    </row>
    <row r="521" spans="1:30" x14ac:dyDescent="0.2">
      <c r="A521" s="20" t="s">
        <v>426</v>
      </c>
      <c r="B521" s="20" t="s">
        <v>167</v>
      </c>
      <c r="C521" s="20" t="s">
        <v>16</v>
      </c>
      <c r="D521" s="20" t="str">
        <f t="shared" si="8"/>
        <v>B3-P5-C1</v>
      </c>
      <c r="E521" s="20" t="s">
        <v>35</v>
      </c>
      <c r="F521" s="20" t="s">
        <v>133</v>
      </c>
      <c r="G521" s="50" t="s">
        <v>1297</v>
      </c>
      <c r="H521" s="50">
        <v>520</v>
      </c>
      <c r="I521" s="52">
        <v>3</v>
      </c>
      <c r="J521" s="52"/>
      <c r="K521" s="52">
        <v>3</v>
      </c>
      <c r="L521" s="52"/>
      <c r="M521" s="52">
        <v>3</v>
      </c>
      <c r="N521" s="52" t="s">
        <v>1816</v>
      </c>
      <c r="O521" s="52">
        <v>3</v>
      </c>
      <c r="P521" s="52"/>
      <c r="Q521" s="52">
        <v>1</v>
      </c>
      <c r="R521" s="52" t="s">
        <v>1817</v>
      </c>
      <c r="S521" s="52">
        <v>3</v>
      </c>
      <c r="T521" s="52"/>
      <c r="U521" s="52">
        <v>3</v>
      </c>
      <c r="V521" s="52"/>
      <c r="W521" s="52">
        <v>3</v>
      </c>
      <c r="X521" s="52"/>
      <c r="Y521" s="52">
        <v>3</v>
      </c>
      <c r="Z521" s="52"/>
      <c r="AA521" s="114">
        <v>3</v>
      </c>
      <c r="AB521" s="114"/>
      <c r="AC521" s="114">
        <v>3</v>
      </c>
      <c r="AD521" s="114"/>
    </row>
    <row r="522" spans="1:30" x14ac:dyDescent="0.2">
      <c r="A522" s="14" t="s">
        <v>426</v>
      </c>
      <c r="B522" s="14" t="s">
        <v>167</v>
      </c>
      <c r="C522" s="14" t="s">
        <v>32</v>
      </c>
      <c r="D522" s="14" t="str">
        <f t="shared" si="8"/>
        <v>B3-P5-C2</v>
      </c>
      <c r="E522" s="14" t="s">
        <v>19</v>
      </c>
      <c r="F522" s="14" t="s">
        <v>133</v>
      </c>
      <c r="G522" s="51" t="s">
        <v>1300</v>
      </c>
      <c r="H522" s="51">
        <v>521</v>
      </c>
      <c r="I522" s="53">
        <v>1</v>
      </c>
      <c r="J522" s="54"/>
      <c r="K522" s="53">
        <v>1</v>
      </c>
      <c r="L522" s="54"/>
      <c r="M522" s="54">
        <v>1</v>
      </c>
      <c r="N522" s="54"/>
      <c r="O522" s="54">
        <v>1</v>
      </c>
      <c r="P522" s="54"/>
      <c r="Q522" s="54">
        <v>1</v>
      </c>
      <c r="R522" s="54"/>
      <c r="S522" s="54">
        <v>2</v>
      </c>
      <c r="T522" s="54"/>
      <c r="U522" s="54">
        <v>4</v>
      </c>
      <c r="V522" s="54"/>
      <c r="W522" s="54">
        <v>4</v>
      </c>
      <c r="X522" s="54"/>
      <c r="Y522" s="54">
        <v>4</v>
      </c>
      <c r="Z522" s="54"/>
      <c r="AA522" s="115">
        <v>4</v>
      </c>
      <c r="AB522" s="115"/>
      <c r="AC522" s="115">
        <v>4</v>
      </c>
      <c r="AD522" s="115"/>
    </row>
    <row r="523" spans="1:30" x14ac:dyDescent="0.2">
      <c r="A523" s="14" t="s">
        <v>426</v>
      </c>
      <c r="B523" s="14" t="s">
        <v>167</v>
      </c>
      <c r="C523" s="14" t="s">
        <v>32</v>
      </c>
      <c r="D523" s="14" t="str">
        <f t="shared" si="8"/>
        <v>B3-P5-C2</v>
      </c>
      <c r="E523" s="14" t="s">
        <v>19</v>
      </c>
      <c r="F523" s="14" t="s">
        <v>133</v>
      </c>
      <c r="G523" s="51" t="s">
        <v>1301</v>
      </c>
      <c r="H523" s="51">
        <v>522</v>
      </c>
      <c r="I523" s="53">
        <v>1</v>
      </c>
      <c r="J523" s="54"/>
      <c r="K523" s="53">
        <v>1</v>
      </c>
      <c r="L523" s="54"/>
      <c r="M523" s="54">
        <v>1</v>
      </c>
      <c r="N523" s="54"/>
      <c r="O523" s="54">
        <v>1</v>
      </c>
      <c r="P523" s="54"/>
      <c r="Q523" s="54">
        <v>1</v>
      </c>
      <c r="R523" s="54"/>
      <c r="S523" s="54">
        <v>1</v>
      </c>
      <c r="T523" s="54"/>
      <c r="U523" s="54">
        <v>4</v>
      </c>
      <c r="V523" s="54"/>
      <c r="W523" s="54">
        <v>4</v>
      </c>
      <c r="X523" s="54"/>
      <c r="Y523" s="54">
        <v>4</v>
      </c>
      <c r="Z523" s="54"/>
      <c r="AA523" s="115">
        <v>4</v>
      </c>
      <c r="AB523" s="115"/>
      <c r="AC523" s="115">
        <v>4</v>
      </c>
      <c r="AD523" s="115"/>
    </row>
    <row r="524" spans="1:30" x14ac:dyDescent="0.2">
      <c r="A524" s="14" t="s">
        <v>426</v>
      </c>
      <c r="B524" s="14" t="s">
        <v>167</v>
      </c>
      <c r="C524" s="14" t="s">
        <v>32</v>
      </c>
      <c r="D524" s="14" t="str">
        <f t="shared" si="8"/>
        <v>B3-P5-C2</v>
      </c>
      <c r="E524" s="14" t="s">
        <v>19</v>
      </c>
      <c r="F524" s="14" t="s">
        <v>133</v>
      </c>
      <c r="G524" s="51" t="s">
        <v>1302</v>
      </c>
      <c r="H524" s="51">
        <v>523</v>
      </c>
      <c r="I524" s="53">
        <v>1</v>
      </c>
      <c r="J524" s="54"/>
      <c r="K524" s="53">
        <v>1</v>
      </c>
      <c r="L524" s="54"/>
      <c r="M524" s="54">
        <v>1</v>
      </c>
      <c r="N524" s="54"/>
      <c r="O524" s="54">
        <v>1</v>
      </c>
      <c r="P524" s="54"/>
      <c r="Q524" s="54">
        <v>1</v>
      </c>
      <c r="R524" s="54"/>
      <c r="S524" s="54">
        <v>1</v>
      </c>
      <c r="T524" s="54"/>
      <c r="U524" s="54">
        <v>4</v>
      </c>
      <c r="V524" s="54"/>
      <c r="W524" s="54">
        <v>4</v>
      </c>
      <c r="X524" s="54"/>
      <c r="Y524" s="54">
        <v>4</v>
      </c>
      <c r="Z524" s="54"/>
      <c r="AA524" s="115">
        <v>4</v>
      </c>
      <c r="AB524" s="115"/>
      <c r="AC524" s="115">
        <v>4</v>
      </c>
      <c r="AD524" s="115"/>
    </row>
    <row r="525" spans="1:30" x14ac:dyDescent="0.2">
      <c r="A525" s="14" t="s">
        <v>426</v>
      </c>
      <c r="B525" s="14" t="s">
        <v>167</v>
      </c>
      <c r="C525" s="14" t="s">
        <v>32</v>
      </c>
      <c r="D525" s="14" t="str">
        <f t="shared" si="8"/>
        <v>B3-P5-C2</v>
      </c>
      <c r="E525" s="14" t="s">
        <v>19</v>
      </c>
      <c r="F525" s="14" t="s">
        <v>133</v>
      </c>
      <c r="G525" s="51" t="s">
        <v>1303</v>
      </c>
      <c r="H525" s="51">
        <v>524</v>
      </c>
      <c r="I525" s="53">
        <v>1</v>
      </c>
      <c r="J525" s="54"/>
      <c r="K525" s="53">
        <v>1</v>
      </c>
      <c r="L525" s="54"/>
      <c r="M525" s="54">
        <v>1</v>
      </c>
      <c r="N525" s="54"/>
      <c r="O525" s="54">
        <v>1</v>
      </c>
      <c r="P525" s="54"/>
      <c r="Q525" s="54">
        <v>1</v>
      </c>
      <c r="R525" s="54"/>
      <c r="S525" s="54">
        <v>1</v>
      </c>
      <c r="T525" s="54"/>
      <c r="U525" s="54">
        <v>4</v>
      </c>
      <c r="V525" s="54"/>
      <c r="W525" s="54">
        <v>4</v>
      </c>
      <c r="X525" s="54"/>
      <c r="Y525" s="54">
        <v>4</v>
      </c>
      <c r="Z525" s="54"/>
      <c r="AA525" s="115">
        <v>4</v>
      </c>
      <c r="AB525" s="115"/>
      <c r="AC525" s="115">
        <v>4</v>
      </c>
      <c r="AD525" s="115"/>
    </row>
    <row r="526" spans="1:30" x14ac:dyDescent="0.2">
      <c r="A526" s="14" t="s">
        <v>426</v>
      </c>
      <c r="B526" s="14" t="s">
        <v>167</v>
      </c>
      <c r="C526" s="14" t="s">
        <v>32</v>
      </c>
      <c r="D526" s="14" t="str">
        <f t="shared" si="8"/>
        <v>B3-P5-C2</v>
      </c>
      <c r="E526" s="14" t="s">
        <v>19</v>
      </c>
      <c r="F526" s="14" t="s">
        <v>133</v>
      </c>
      <c r="G526" s="51" t="s">
        <v>1304</v>
      </c>
      <c r="H526" s="51">
        <v>525</v>
      </c>
      <c r="I526" s="53">
        <v>1</v>
      </c>
      <c r="J526" s="54"/>
      <c r="K526" s="53">
        <v>1</v>
      </c>
      <c r="L526" s="54"/>
      <c r="M526" s="54">
        <v>1</v>
      </c>
      <c r="N526" s="54"/>
      <c r="O526" s="54">
        <v>1</v>
      </c>
      <c r="P526" s="54"/>
      <c r="Q526" s="54">
        <v>1</v>
      </c>
      <c r="R526" s="54"/>
      <c r="S526" s="54">
        <v>1</v>
      </c>
      <c r="T526" s="54"/>
      <c r="U526" s="54">
        <v>4</v>
      </c>
      <c r="V526" s="54"/>
      <c r="W526" s="54">
        <v>4</v>
      </c>
      <c r="X526" s="54"/>
      <c r="Y526" s="54">
        <v>4</v>
      </c>
      <c r="Z526" s="54"/>
      <c r="AA526" s="115">
        <v>4</v>
      </c>
      <c r="AB526" s="115"/>
      <c r="AC526" s="115">
        <v>4</v>
      </c>
      <c r="AD526" s="115"/>
    </row>
    <row r="527" spans="1:30" x14ac:dyDescent="0.2">
      <c r="A527" s="14" t="s">
        <v>426</v>
      </c>
      <c r="B527" s="14" t="s">
        <v>167</v>
      </c>
      <c r="C527" s="14" t="s">
        <v>32</v>
      </c>
      <c r="D527" s="14" t="str">
        <f t="shared" si="8"/>
        <v>B3-P5-C2</v>
      </c>
      <c r="E527" s="14" t="s">
        <v>19</v>
      </c>
      <c r="F527" s="14" t="s">
        <v>133</v>
      </c>
      <c r="G527" s="51" t="s">
        <v>1305</v>
      </c>
      <c r="H527" s="51">
        <v>526</v>
      </c>
      <c r="I527" s="53">
        <v>1</v>
      </c>
      <c r="J527" s="54"/>
      <c r="K527" s="53">
        <v>1</v>
      </c>
      <c r="L527" s="54"/>
      <c r="M527" s="54">
        <v>1</v>
      </c>
      <c r="N527" s="54"/>
      <c r="O527" s="54">
        <v>1</v>
      </c>
      <c r="P527" s="54"/>
      <c r="Q527" s="54">
        <v>1</v>
      </c>
      <c r="R527" s="54"/>
      <c r="S527" s="54">
        <v>1</v>
      </c>
      <c r="T527" s="54"/>
      <c r="U527" s="54">
        <v>4</v>
      </c>
      <c r="V527" s="54"/>
      <c r="W527" s="54">
        <v>4</v>
      </c>
      <c r="X527" s="54"/>
      <c r="Y527" s="54">
        <v>4</v>
      </c>
      <c r="Z527" s="54"/>
      <c r="AA527" s="115">
        <v>4</v>
      </c>
      <c r="AB527" s="115"/>
      <c r="AC527" s="115">
        <v>4</v>
      </c>
      <c r="AD527" s="115"/>
    </row>
    <row r="528" spans="1:30" x14ac:dyDescent="0.2">
      <c r="A528" s="14" t="s">
        <v>426</v>
      </c>
      <c r="B528" s="14" t="s">
        <v>167</v>
      </c>
      <c r="C528" s="14" t="s">
        <v>32</v>
      </c>
      <c r="D528" s="14" t="str">
        <f t="shared" si="8"/>
        <v>B3-P5-C2</v>
      </c>
      <c r="E528" s="14" t="s">
        <v>19</v>
      </c>
      <c r="F528" s="14" t="s">
        <v>133</v>
      </c>
      <c r="G528" s="51" t="s">
        <v>1306</v>
      </c>
      <c r="H528" s="51">
        <v>527</v>
      </c>
      <c r="I528" s="53">
        <v>1</v>
      </c>
      <c r="J528" s="54"/>
      <c r="K528" s="53">
        <v>1</v>
      </c>
      <c r="L528" s="54"/>
      <c r="M528" s="54">
        <v>1</v>
      </c>
      <c r="N528" s="54"/>
      <c r="O528" s="54">
        <v>1</v>
      </c>
      <c r="P528" s="54"/>
      <c r="Q528" s="54">
        <v>1</v>
      </c>
      <c r="R528" s="54"/>
      <c r="S528" s="54">
        <v>1</v>
      </c>
      <c r="T528" s="54"/>
      <c r="U528" s="54">
        <v>4</v>
      </c>
      <c r="V528" s="54"/>
      <c r="W528" s="54">
        <v>4</v>
      </c>
      <c r="X528" s="54"/>
      <c r="Y528" s="54">
        <v>4</v>
      </c>
      <c r="Z528" s="54"/>
      <c r="AA528" s="115">
        <v>4</v>
      </c>
      <c r="AB528" s="115"/>
      <c r="AC528" s="115">
        <v>4</v>
      </c>
      <c r="AD528" s="115"/>
    </row>
    <row r="529" spans="1:30" x14ac:dyDescent="0.2">
      <c r="A529" s="14" t="s">
        <v>426</v>
      </c>
      <c r="B529" s="14" t="s">
        <v>167</v>
      </c>
      <c r="C529" s="14" t="s">
        <v>32</v>
      </c>
      <c r="D529" s="14" t="str">
        <f t="shared" si="8"/>
        <v>B3-P5-C2</v>
      </c>
      <c r="E529" s="14" t="s">
        <v>19</v>
      </c>
      <c r="F529" s="14" t="s">
        <v>133</v>
      </c>
      <c r="G529" s="51" t="s">
        <v>1307</v>
      </c>
      <c r="H529" s="51">
        <v>528</v>
      </c>
      <c r="I529" s="53">
        <v>1</v>
      </c>
      <c r="J529" s="54"/>
      <c r="K529" s="53">
        <v>1</v>
      </c>
      <c r="L529" s="54"/>
      <c r="M529" s="54">
        <v>1</v>
      </c>
      <c r="N529" s="54"/>
      <c r="O529" s="54">
        <v>1</v>
      </c>
      <c r="P529" s="54"/>
      <c r="Q529" s="54">
        <v>1</v>
      </c>
      <c r="R529" s="54"/>
      <c r="S529" s="54">
        <v>1.5</v>
      </c>
      <c r="T529" s="54"/>
      <c r="U529" s="54">
        <v>4</v>
      </c>
      <c r="V529" s="54"/>
      <c r="W529" s="54">
        <v>4</v>
      </c>
      <c r="X529" s="54"/>
      <c r="Y529" s="54">
        <v>4</v>
      </c>
      <c r="Z529" s="54"/>
      <c r="AA529" s="115">
        <v>4</v>
      </c>
      <c r="AB529" s="115"/>
      <c r="AC529" s="115">
        <v>4</v>
      </c>
      <c r="AD529" s="115"/>
    </row>
    <row r="530" spans="1:30" x14ac:dyDescent="0.2">
      <c r="A530" s="20" t="s">
        <v>426</v>
      </c>
      <c r="B530" s="20" t="s">
        <v>167</v>
      </c>
      <c r="C530" s="20" t="s">
        <v>42</v>
      </c>
      <c r="D530" s="20" t="str">
        <f t="shared" si="8"/>
        <v>B3-P5-C3</v>
      </c>
      <c r="E530" s="20" t="s">
        <v>19</v>
      </c>
      <c r="F530" s="20" t="s">
        <v>133</v>
      </c>
      <c r="G530" s="50" t="s">
        <v>1309</v>
      </c>
      <c r="H530" s="50">
        <v>529</v>
      </c>
      <c r="I530" s="52">
        <v>1</v>
      </c>
      <c r="J530" s="52"/>
      <c r="K530" s="52">
        <v>1</v>
      </c>
      <c r="L530" s="52"/>
      <c r="M530" s="52">
        <v>1</v>
      </c>
      <c r="N530" s="52"/>
      <c r="O530" s="52">
        <v>1</v>
      </c>
      <c r="P530" s="52"/>
      <c r="Q530" s="52">
        <v>1</v>
      </c>
      <c r="R530" s="52"/>
      <c r="S530" s="52">
        <v>1</v>
      </c>
      <c r="T530" s="52"/>
      <c r="U530" s="52">
        <v>4</v>
      </c>
      <c r="V530" s="52"/>
      <c r="W530" s="52">
        <v>4</v>
      </c>
      <c r="X530" s="52"/>
      <c r="Y530" s="52">
        <v>4</v>
      </c>
      <c r="Z530" s="52"/>
      <c r="AA530" s="114">
        <v>4</v>
      </c>
      <c r="AB530" s="114"/>
      <c r="AC530" s="114">
        <v>4</v>
      </c>
      <c r="AD530" s="114"/>
    </row>
    <row r="531" spans="1:30" x14ac:dyDescent="0.2">
      <c r="A531" s="20" t="s">
        <v>426</v>
      </c>
      <c r="B531" s="20" t="s">
        <v>167</v>
      </c>
      <c r="C531" s="20" t="s">
        <v>42</v>
      </c>
      <c r="D531" s="20" t="str">
        <f t="shared" si="8"/>
        <v>B3-P5-C3</v>
      </c>
      <c r="E531" s="20" t="s">
        <v>19</v>
      </c>
      <c r="F531" s="20" t="s">
        <v>133</v>
      </c>
      <c r="G531" s="50" t="s">
        <v>1310</v>
      </c>
      <c r="H531" s="50">
        <v>530</v>
      </c>
      <c r="I531" s="52">
        <v>1</v>
      </c>
      <c r="J531" s="52"/>
      <c r="K531" s="52">
        <v>1</v>
      </c>
      <c r="L531" s="52"/>
      <c r="M531" s="52">
        <v>1</v>
      </c>
      <c r="N531" s="52"/>
      <c r="O531" s="52">
        <v>1</v>
      </c>
      <c r="P531" s="52"/>
      <c r="Q531" s="52">
        <v>1</v>
      </c>
      <c r="R531" s="52"/>
      <c r="S531" s="52">
        <v>1</v>
      </c>
      <c r="T531" s="52"/>
      <c r="U531" s="52">
        <v>4</v>
      </c>
      <c r="V531" s="52"/>
      <c r="W531" s="52">
        <v>4</v>
      </c>
      <c r="X531" s="52"/>
      <c r="Y531" s="52">
        <v>4</v>
      </c>
      <c r="Z531" s="52"/>
      <c r="AA531" s="114">
        <v>4</v>
      </c>
      <c r="AB531" s="114"/>
      <c r="AC531" s="114">
        <v>4</v>
      </c>
      <c r="AD531" s="114"/>
    </row>
    <row r="532" spans="1:30" x14ac:dyDescent="0.2">
      <c r="A532" s="20" t="s">
        <v>426</v>
      </c>
      <c r="B532" s="20" t="s">
        <v>167</v>
      </c>
      <c r="C532" s="20" t="s">
        <v>42</v>
      </c>
      <c r="D532" s="20" t="str">
        <f t="shared" si="8"/>
        <v>B3-P5-C3</v>
      </c>
      <c r="E532" s="20" t="s">
        <v>19</v>
      </c>
      <c r="F532" s="20" t="s">
        <v>133</v>
      </c>
      <c r="G532" s="50" t="s">
        <v>1311</v>
      </c>
      <c r="H532" s="50">
        <v>531</v>
      </c>
      <c r="I532" s="52">
        <v>1</v>
      </c>
      <c r="J532" s="52"/>
      <c r="K532" s="52">
        <v>1</v>
      </c>
      <c r="L532" s="52"/>
      <c r="M532" s="52">
        <v>1</v>
      </c>
      <c r="N532" s="52"/>
      <c r="O532" s="52">
        <v>1</v>
      </c>
      <c r="P532" s="52"/>
      <c r="Q532" s="52">
        <v>1</v>
      </c>
      <c r="R532" s="52"/>
      <c r="S532" s="52">
        <v>1</v>
      </c>
      <c r="T532" s="52"/>
      <c r="U532" s="52">
        <v>4</v>
      </c>
      <c r="V532" s="52"/>
      <c r="W532" s="52">
        <v>4</v>
      </c>
      <c r="X532" s="52"/>
      <c r="Y532" s="52">
        <v>4</v>
      </c>
      <c r="Z532" s="52"/>
      <c r="AA532" s="114">
        <v>4</v>
      </c>
      <c r="AB532" s="114"/>
      <c r="AC532" s="114">
        <v>4</v>
      </c>
      <c r="AD532" s="114"/>
    </row>
    <row r="533" spans="1:30" x14ac:dyDescent="0.2">
      <c r="A533" s="20" t="s">
        <v>426</v>
      </c>
      <c r="B533" s="20" t="s">
        <v>167</v>
      </c>
      <c r="C533" s="20" t="s">
        <v>42</v>
      </c>
      <c r="D533" s="20" t="str">
        <f t="shared" si="8"/>
        <v>B3-P5-C3</v>
      </c>
      <c r="E533" s="20" t="s">
        <v>19</v>
      </c>
      <c r="F533" s="20" t="s">
        <v>133</v>
      </c>
      <c r="G533" s="50" t="s">
        <v>1312</v>
      </c>
      <c r="H533" s="50">
        <v>532</v>
      </c>
      <c r="I533" s="52">
        <v>1</v>
      </c>
      <c r="J533" s="52"/>
      <c r="K533" s="52">
        <v>1</v>
      </c>
      <c r="L533" s="52"/>
      <c r="M533" s="52">
        <v>1</v>
      </c>
      <c r="N533" s="52"/>
      <c r="O533" s="52">
        <v>1</v>
      </c>
      <c r="P533" s="52"/>
      <c r="Q533" s="52">
        <v>1</v>
      </c>
      <c r="R533" s="52"/>
      <c r="S533" s="52">
        <v>1</v>
      </c>
      <c r="T533" s="52"/>
      <c r="U533" s="52">
        <v>4</v>
      </c>
      <c r="V533" s="52"/>
      <c r="W533" s="52">
        <v>4</v>
      </c>
      <c r="X533" s="52"/>
      <c r="Y533" s="52">
        <v>4</v>
      </c>
      <c r="Z533" s="52"/>
      <c r="AA533" s="114">
        <v>4</v>
      </c>
      <c r="AB533" s="114"/>
      <c r="AC533" s="114">
        <v>4</v>
      </c>
      <c r="AD533" s="114"/>
    </row>
    <row r="534" spans="1:30" x14ac:dyDescent="0.2">
      <c r="A534" s="20" t="s">
        <v>426</v>
      </c>
      <c r="B534" s="20" t="s">
        <v>167</v>
      </c>
      <c r="C534" s="20" t="s">
        <v>42</v>
      </c>
      <c r="D534" s="20" t="str">
        <f t="shared" si="8"/>
        <v>B3-P5-C3</v>
      </c>
      <c r="E534" s="20" t="s">
        <v>19</v>
      </c>
      <c r="F534" s="20" t="s">
        <v>133</v>
      </c>
      <c r="G534" s="50" t="s">
        <v>1313</v>
      </c>
      <c r="H534" s="50">
        <v>533</v>
      </c>
      <c r="I534" s="52">
        <v>1</v>
      </c>
      <c r="J534" s="52"/>
      <c r="K534" s="52">
        <v>1</v>
      </c>
      <c r="L534" s="52"/>
      <c r="M534" s="52">
        <v>1</v>
      </c>
      <c r="N534" s="52"/>
      <c r="O534" s="52">
        <v>1</v>
      </c>
      <c r="P534" s="52"/>
      <c r="Q534" s="52">
        <v>1</v>
      </c>
      <c r="R534" s="52"/>
      <c r="S534" s="52">
        <v>1</v>
      </c>
      <c r="T534" s="52"/>
      <c r="U534" s="52">
        <v>3</v>
      </c>
      <c r="V534" s="52"/>
      <c r="W534" s="52">
        <v>3</v>
      </c>
      <c r="X534" s="52"/>
      <c r="Y534" s="52">
        <v>3.5</v>
      </c>
      <c r="Z534" s="52"/>
      <c r="AA534" s="114">
        <v>4</v>
      </c>
      <c r="AB534" s="114"/>
      <c r="AC534" s="114">
        <v>4</v>
      </c>
      <c r="AD534" s="114"/>
    </row>
    <row r="535" spans="1:30" x14ac:dyDescent="0.2">
      <c r="A535" s="20" t="s">
        <v>426</v>
      </c>
      <c r="B535" s="20" t="s">
        <v>167</v>
      </c>
      <c r="C535" s="20" t="s">
        <v>42</v>
      </c>
      <c r="D535" s="20" t="str">
        <f t="shared" si="8"/>
        <v>B3-P5-C3</v>
      </c>
      <c r="E535" s="20" t="s">
        <v>19</v>
      </c>
      <c r="F535" s="20" t="s">
        <v>133</v>
      </c>
      <c r="G535" s="50" t="s">
        <v>1314</v>
      </c>
      <c r="H535" s="50">
        <v>534</v>
      </c>
      <c r="I535" s="52">
        <v>1</v>
      </c>
      <c r="J535" s="52"/>
      <c r="K535" s="52">
        <v>1</v>
      </c>
      <c r="L535" s="52"/>
      <c r="M535" s="52">
        <v>1</v>
      </c>
      <c r="N535" s="52"/>
      <c r="O535" s="52">
        <v>1</v>
      </c>
      <c r="P535" s="52"/>
      <c r="Q535" s="52">
        <v>1</v>
      </c>
      <c r="R535" s="52"/>
      <c r="S535" s="52">
        <v>1</v>
      </c>
      <c r="T535" s="52"/>
      <c r="U535" s="52">
        <v>3</v>
      </c>
      <c r="V535" s="52"/>
      <c r="W535" s="52">
        <v>4</v>
      </c>
      <c r="X535" s="52"/>
      <c r="Y535" s="52">
        <v>4</v>
      </c>
      <c r="Z535" s="52"/>
      <c r="AA535" s="114">
        <v>4</v>
      </c>
      <c r="AB535" s="114"/>
      <c r="AC535" s="114">
        <v>4</v>
      </c>
      <c r="AD535" s="114"/>
    </row>
    <row r="536" spans="1:30" x14ac:dyDescent="0.2">
      <c r="A536" s="20" t="s">
        <v>426</v>
      </c>
      <c r="B536" s="20" t="s">
        <v>167</v>
      </c>
      <c r="C536" s="20" t="s">
        <v>42</v>
      </c>
      <c r="D536" s="20" t="str">
        <f t="shared" si="8"/>
        <v>B3-P5-C3</v>
      </c>
      <c r="E536" s="20" t="s">
        <v>19</v>
      </c>
      <c r="F536" s="20" t="s">
        <v>133</v>
      </c>
      <c r="G536" s="50" t="s">
        <v>1315</v>
      </c>
      <c r="H536" s="50">
        <v>535</v>
      </c>
      <c r="I536" s="52">
        <v>1</v>
      </c>
      <c r="J536" s="52"/>
      <c r="K536" s="52">
        <v>1</v>
      </c>
      <c r="L536" s="52"/>
      <c r="M536" s="52">
        <v>1</v>
      </c>
      <c r="N536" s="52"/>
      <c r="O536" s="52">
        <v>1</v>
      </c>
      <c r="P536" s="52"/>
      <c r="Q536" s="52">
        <v>1</v>
      </c>
      <c r="R536" s="52"/>
      <c r="S536" s="52">
        <v>1</v>
      </c>
      <c r="T536" s="52"/>
      <c r="U536" s="52">
        <v>2</v>
      </c>
      <c r="V536" s="52"/>
      <c r="W536" s="52">
        <v>2</v>
      </c>
      <c r="X536" s="52"/>
      <c r="Y536" s="52">
        <v>3</v>
      </c>
      <c r="Z536" s="52"/>
      <c r="AA536" s="114">
        <v>3</v>
      </c>
      <c r="AB536" s="114"/>
      <c r="AC536" s="114">
        <v>4</v>
      </c>
      <c r="AD536" s="114"/>
    </row>
    <row r="537" spans="1:30" x14ac:dyDescent="0.2">
      <c r="A537" s="20" t="s">
        <v>426</v>
      </c>
      <c r="B537" s="20" t="s">
        <v>167</v>
      </c>
      <c r="C537" s="20" t="s">
        <v>42</v>
      </c>
      <c r="D537" s="20" t="str">
        <f t="shared" si="8"/>
        <v>B3-P5-C3</v>
      </c>
      <c r="E537" s="20" t="s">
        <v>19</v>
      </c>
      <c r="F537" s="20" t="s">
        <v>133</v>
      </c>
      <c r="G537" s="50" t="s">
        <v>1316</v>
      </c>
      <c r="H537" s="50">
        <v>536</v>
      </c>
      <c r="I537" s="52">
        <v>1</v>
      </c>
      <c r="J537" s="52"/>
      <c r="K537" s="52">
        <v>1</v>
      </c>
      <c r="L537" s="52"/>
      <c r="M537" s="52">
        <v>1</v>
      </c>
      <c r="N537" s="52"/>
      <c r="O537" s="52">
        <v>1</v>
      </c>
      <c r="P537" s="52"/>
      <c r="Q537" s="52">
        <v>1</v>
      </c>
      <c r="R537" s="52"/>
      <c r="S537" s="52">
        <v>2</v>
      </c>
      <c r="T537" s="52"/>
      <c r="U537" s="52">
        <v>3</v>
      </c>
      <c r="V537" s="52"/>
      <c r="W537" s="52">
        <v>3.5</v>
      </c>
      <c r="X537" s="52"/>
      <c r="Y537" s="52">
        <v>3.5</v>
      </c>
      <c r="Z537" s="52"/>
      <c r="AA537" s="114">
        <v>4</v>
      </c>
      <c r="AB537" s="114"/>
      <c r="AC537" s="114">
        <v>4</v>
      </c>
      <c r="AD537" s="114"/>
    </row>
    <row r="538" spans="1:30" x14ac:dyDescent="0.2">
      <c r="A538" s="14" t="s">
        <v>426</v>
      </c>
      <c r="B538" s="14" t="s">
        <v>167</v>
      </c>
      <c r="C538" s="14" t="s">
        <v>53</v>
      </c>
      <c r="D538" s="14" t="str">
        <f t="shared" si="8"/>
        <v>B3-P5-C4</v>
      </c>
      <c r="E538" s="14" t="s">
        <v>35</v>
      </c>
      <c r="F538" s="14" t="s">
        <v>133</v>
      </c>
      <c r="G538" s="51" t="s">
        <v>1318</v>
      </c>
      <c r="H538" s="51">
        <v>537</v>
      </c>
      <c r="I538" s="53">
        <v>1</v>
      </c>
      <c r="J538" s="54"/>
      <c r="K538" s="53">
        <v>1</v>
      </c>
      <c r="L538" s="54"/>
      <c r="M538" s="54">
        <v>1</v>
      </c>
      <c r="N538" s="54"/>
      <c r="O538" s="54">
        <v>1</v>
      </c>
      <c r="P538" s="54"/>
      <c r="Q538" s="54">
        <v>1</v>
      </c>
      <c r="R538" s="54"/>
      <c r="S538" s="54">
        <v>1</v>
      </c>
      <c r="T538" s="54"/>
      <c r="U538" s="54">
        <v>1</v>
      </c>
      <c r="V538" s="54"/>
      <c r="W538" s="54">
        <v>1</v>
      </c>
      <c r="X538" s="54"/>
      <c r="Y538" s="54">
        <v>1</v>
      </c>
      <c r="Z538" s="54"/>
      <c r="AA538" s="115">
        <v>1</v>
      </c>
      <c r="AB538" s="115"/>
      <c r="AC538" s="115">
        <v>1</v>
      </c>
      <c r="AD538" s="115"/>
    </row>
    <row r="539" spans="1:30" x14ac:dyDescent="0.2">
      <c r="A539" s="14" t="s">
        <v>426</v>
      </c>
      <c r="B539" s="14" t="s">
        <v>167</v>
      </c>
      <c r="C539" s="14" t="s">
        <v>53</v>
      </c>
      <c r="D539" s="14" t="str">
        <f t="shared" si="8"/>
        <v>B3-P5-C4</v>
      </c>
      <c r="E539" s="14" t="s">
        <v>35</v>
      </c>
      <c r="F539" s="14" t="s">
        <v>133</v>
      </c>
      <c r="G539" s="51" t="s">
        <v>1319</v>
      </c>
      <c r="H539" s="51">
        <v>538</v>
      </c>
      <c r="I539" s="53">
        <v>1</v>
      </c>
      <c r="J539" s="54"/>
      <c r="K539" s="53">
        <v>1</v>
      </c>
      <c r="L539" s="54"/>
      <c r="M539" s="54">
        <v>1</v>
      </c>
      <c r="N539" s="54"/>
      <c r="O539" s="54">
        <v>1</v>
      </c>
      <c r="P539" s="54"/>
      <c r="Q539" s="54">
        <v>1</v>
      </c>
      <c r="R539" s="54"/>
      <c r="S539" s="54">
        <v>1</v>
      </c>
      <c r="T539" s="54"/>
      <c r="U539" s="54">
        <v>1</v>
      </c>
      <c r="V539" s="54"/>
      <c r="W539" s="54">
        <v>1</v>
      </c>
      <c r="X539" s="54"/>
      <c r="Y539" s="54">
        <v>1</v>
      </c>
      <c r="Z539" s="54"/>
      <c r="AA539" s="115">
        <v>1</v>
      </c>
      <c r="AB539" s="115"/>
      <c r="AC539" s="115">
        <v>1</v>
      </c>
      <c r="AD539" s="115"/>
    </row>
    <row r="540" spans="1:30" x14ac:dyDescent="0.2">
      <c r="A540" s="14" t="s">
        <v>426</v>
      </c>
      <c r="B540" s="14" t="s">
        <v>167</v>
      </c>
      <c r="C540" s="14" t="s">
        <v>53</v>
      </c>
      <c r="D540" s="14" t="str">
        <f t="shared" si="8"/>
        <v>B3-P5-C4</v>
      </c>
      <c r="E540" s="14" t="s">
        <v>35</v>
      </c>
      <c r="F540" s="14" t="s">
        <v>133</v>
      </c>
      <c r="G540" s="51" t="s">
        <v>1320</v>
      </c>
      <c r="H540" s="51">
        <v>539</v>
      </c>
      <c r="I540" s="53">
        <v>1</v>
      </c>
      <c r="J540" s="54"/>
      <c r="K540" s="53">
        <v>1</v>
      </c>
      <c r="L540" s="54"/>
      <c r="M540" s="54">
        <v>1</v>
      </c>
      <c r="N540" s="54"/>
      <c r="O540" s="54">
        <v>1</v>
      </c>
      <c r="P540" s="54"/>
      <c r="Q540" s="54">
        <v>1</v>
      </c>
      <c r="R540" s="54"/>
      <c r="S540" s="54">
        <v>1</v>
      </c>
      <c r="T540" s="54"/>
      <c r="U540" s="54">
        <v>1</v>
      </c>
      <c r="V540" s="54"/>
      <c r="W540" s="54">
        <v>1</v>
      </c>
      <c r="X540" s="54"/>
      <c r="Y540" s="54">
        <v>1</v>
      </c>
      <c r="Z540" s="54"/>
      <c r="AA540" s="115">
        <v>1</v>
      </c>
      <c r="AB540" s="115"/>
      <c r="AC540" s="115">
        <v>1</v>
      </c>
      <c r="AD540" s="115"/>
    </row>
    <row r="541" spans="1:30" x14ac:dyDescent="0.2">
      <c r="A541" s="14" t="s">
        <v>426</v>
      </c>
      <c r="B541" s="14" t="s">
        <v>167</v>
      </c>
      <c r="C541" s="14" t="s">
        <v>53</v>
      </c>
      <c r="D541" s="14" t="str">
        <f t="shared" si="8"/>
        <v>B3-P5-C4</v>
      </c>
      <c r="E541" s="14" t="s">
        <v>35</v>
      </c>
      <c r="F541" s="14" t="s">
        <v>133</v>
      </c>
      <c r="G541" s="51" t="s">
        <v>1321</v>
      </c>
      <c r="H541" s="51">
        <v>540</v>
      </c>
      <c r="I541" s="53">
        <v>1</v>
      </c>
      <c r="J541" s="54"/>
      <c r="K541" s="53">
        <v>1</v>
      </c>
      <c r="L541" s="54"/>
      <c r="M541" s="54">
        <v>1</v>
      </c>
      <c r="N541" s="54"/>
      <c r="O541" s="54">
        <v>1</v>
      </c>
      <c r="P541" s="54"/>
      <c r="Q541" s="54">
        <v>1</v>
      </c>
      <c r="R541" s="54"/>
      <c r="S541" s="54">
        <v>1</v>
      </c>
      <c r="T541" s="54"/>
      <c r="U541" s="54">
        <v>1</v>
      </c>
      <c r="V541" s="54"/>
      <c r="W541" s="54">
        <v>1</v>
      </c>
      <c r="X541" s="54"/>
      <c r="Y541" s="54">
        <v>1</v>
      </c>
      <c r="Z541" s="54"/>
      <c r="AA541" s="115">
        <v>1</v>
      </c>
      <c r="AB541" s="115"/>
      <c r="AC541" s="115">
        <v>1</v>
      </c>
      <c r="AD541" s="115"/>
    </row>
    <row r="542" spans="1:30" x14ac:dyDescent="0.2">
      <c r="A542" s="14" t="s">
        <v>426</v>
      </c>
      <c r="B542" s="14" t="s">
        <v>167</v>
      </c>
      <c r="C542" s="14" t="s">
        <v>53</v>
      </c>
      <c r="D542" s="14" t="str">
        <f t="shared" si="8"/>
        <v>B3-P5-C4</v>
      </c>
      <c r="E542" s="14" t="s">
        <v>35</v>
      </c>
      <c r="F542" s="14" t="s">
        <v>133</v>
      </c>
      <c r="G542" s="51" t="s">
        <v>1322</v>
      </c>
      <c r="H542" s="51">
        <v>541</v>
      </c>
      <c r="I542" s="53">
        <v>1</v>
      </c>
      <c r="J542" s="54"/>
      <c r="K542" s="53">
        <v>1</v>
      </c>
      <c r="L542" s="54"/>
      <c r="M542" s="54">
        <v>1</v>
      </c>
      <c r="N542" s="54"/>
      <c r="O542" s="54">
        <v>1</v>
      </c>
      <c r="P542" s="54"/>
      <c r="Q542" s="54">
        <v>1</v>
      </c>
      <c r="R542" s="54"/>
      <c r="S542" s="54">
        <v>1</v>
      </c>
      <c r="T542" s="54"/>
      <c r="U542" s="54">
        <v>1.5</v>
      </c>
      <c r="V542" s="54"/>
      <c r="W542" s="54">
        <v>1.5</v>
      </c>
      <c r="X542" s="54"/>
      <c r="Y542" s="54">
        <v>1</v>
      </c>
      <c r="Z542" s="54"/>
      <c r="AA542" s="115">
        <v>1</v>
      </c>
      <c r="AB542" s="115"/>
      <c r="AC542" s="115">
        <v>1</v>
      </c>
      <c r="AD542" s="115"/>
    </row>
    <row r="543" spans="1:30" x14ac:dyDescent="0.2">
      <c r="A543" s="14" t="s">
        <v>426</v>
      </c>
      <c r="B543" s="14" t="s">
        <v>167</v>
      </c>
      <c r="C543" s="14" t="s">
        <v>53</v>
      </c>
      <c r="D543" s="14" t="str">
        <f t="shared" si="8"/>
        <v>B3-P5-C4</v>
      </c>
      <c r="E543" s="14" t="s">
        <v>35</v>
      </c>
      <c r="F543" s="14" t="s">
        <v>133</v>
      </c>
      <c r="G543" s="51" t="s">
        <v>1323</v>
      </c>
      <c r="H543" s="51">
        <v>542</v>
      </c>
      <c r="I543" s="53">
        <v>1</v>
      </c>
      <c r="J543" s="54"/>
      <c r="K543" s="53">
        <v>1</v>
      </c>
      <c r="L543" s="54"/>
      <c r="M543" s="54">
        <v>1</v>
      </c>
      <c r="N543" s="54"/>
      <c r="O543" s="54">
        <v>1</v>
      </c>
      <c r="P543" s="54"/>
      <c r="Q543" s="54">
        <v>1</v>
      </c>
      <c r="R543" s="54"/>
      <c r="S543" s="54">
        <v>1</v>
      </c>
      <c r="T543" s="54"/>
      <c r="U543" s="54">
        <v>1</v>
      </c>
      <c r="V543" s="54"/>
      <c r="W543" s="54">
        <v>1</v>
      </c>
      <c r="X543" s="54"/>
      <c r="Y543" s="54">
        <v>1</v>
      </c>
      <c r="Z543" s="54"/>
      <c r="AA543" s="115">
        <v>1</v>
      </c>
      <c r="AB543" s="115"/>
      <c r="AC543" s="115">
        <v>1</v>
      </c>
      <c r="AD543" s="115"/>
    </row>
    <row r="544" spans="1:30" x14ac:dyDescent="0.2">
      <c r="A544" s="14" t="s">
        <v>426</v>
      </c>
      <c r="B544" s="14" t="s">
        <v>167</v>
      </c>
      <c r="C544" s="14" t="s">
        <v>53</v>
      </c>
      <c r="D544" s="14" t="str">
        <f t="shared" si="8"/>
        <v>B3-P5-C4</v>
      </c>
      <c r="E544" s="14" t="s">
        <v>35</v>
      </c>
      <c r="F544" s="14" t="s">
        <v>133</v>
      </c>
      <c r="G544" s="51" t="s">
        <v>1324</v>
      </c>
      <c r="H544" s="51">
        <v>543</v>
      </c>
      <c r="I544" s="53">
        <v>1</v>
      </c>
      <c r="J544" s="54"/>
      <c r="K544" s="53">
        <v>1</v>
      </c>
      <c r="L544" s="54"/>
      <c r="M544" s="54">
        <v>1</v>
      </c>
      <c r="N544" s="54"/>
      <c r="O544" s="54">
        <v>1</v>
      </c>
      <c r="P544" s="54"/>
      <c r="Q544" s="54">
        <v>1</v>
      </c>
      <c r="R544" s="54"/>
      <c r="S544" s="54">
        <v>1</v>
      </c>
      <c r="T544" s="54"/>
      <c r="U544" s="54">
        <v>1</v>
      </c>
      <c r="V544" s="54"/>
      <c r="W544" s="54">
        <v>1</v>
      </c>
      <c r="X544" s="54"/>
      <c r="Y544" s="54">
        <v>1</v>
      </c>
      <c r="Z544" s="54"/>
      <c r="AA544" s="115">
        <v>1</v>
      </c>
      <c r="AB544" s="115"/>
      <c r="AC544" s="115">
        <v>1</v>
      </c>
      <c r="AD544" s="115"/>
    </row>
    <row r="545" spans="1:30" x14ac:dyDescent="0.2">
      <c r="A545" s="14" t="s">
        <v>426</v>
      </c>
      <c r="B545" s="14" t="s">
        <v>167</v>
      </c>
      <c r="C545" s="14" t="s">
        <v>53</v>
      </c>
      <c r="D545" s="14" t="str">
        <f t="shared" si="8"/>
        <v>B3-P5-C4</v>
      </c>
      <c r="E545" s="14" t="s">
        <v>35</v>
      </c>
      <c r="F545" s="14" t="s">
        <v>133</v>
      </c>
      <c r="G545" s="51" t="s">
        <v>1325</v>
      </c>
      <c r="H545" s="51">
        <v>544</v>
      </c>
      <c r="I545" s="53">
        <v>1</v>
      </c>
      <c r="J545" s="54"/>
      <c r="K545" s="53">
        <v>1</v>
      </c>
      <c r="L545" s="54"/>
      <c r="M545" s="54">
        <v>1</v>
      </c>
      <c r="N545" s="54"/>
      <c r="O545" s="54">
        <v>1</v>
      </c>
      <c r="P545" s="54"/>
      <c r="Q545" s="54">
        <v>1</v>
      </c>
      <c r="R545" s="54"/>
      <c r="S545" s="54">
        <v>1</v>
      </c>
      <c r="T545" s="54"/>
      <c r="U545" s="54">
        <v>1</v>
      </c>
      <c r="V545" s="54"/>
      <c r="W545" s="54">
        <v>1</v>
      </c>
      <c r="X545" s="54"/>
      <c r="Y545" s="54">
        <v>1</v>
      </c>
      <c r="Z545" s="54" t="s">
        <v>1870</v>
      </c>
      <c r="AA545" s="115">
        <v>1</v>
      </c>
      <c r="AB545" s="115"/>
      <c r="AC545" s="115">
        <v>1</v>
      </c>
      <c r="AD545" s="115"/>
    </row>
    <row r="546" spans="1:30" x14ac:dyDescent="0.2">
      <c r="A546" s="20" t="s">
        <v>426</v>
      </c>
      <c r="B546" s="20" t="s">
        <v>200</v>
      </c>
      <c r="C546" s="20" t="s">
        <v>16</v>
      </c>
      <c r="D546" s="20" t="str">
        <f t="shared" si="8"/>
        <v>B3-P6-C1</v>
      </c>
      <c r="E546" s="20" t="s">
        <v>19</v>
      </c>
      <c r="F546" s="20" t="s">
        <v>133</v>
      </c>
      <c r="G546" s="50" t="s">
        <v>1327</v>
      </c>
      <c r="H546" s="50">
        <v>545</v>
      </c>
      <c r="I546" s="52">
        <v>1</v>
      </c>
      <c r="J546" s="52"/>
      <c r="K546" s="52">
        <v>1</v>
      </c>
      <c r="L546" s="52"/>
      <c r="M546" s="52">
        <v>1</v>
      </c>
      <c r="N546" s="52"/>
      <c r="O546" s="52">
        <v>1</v>
      </c>
      <c r="P546" s="52"/>
      <c r="Q546" s="52">
        <v>1</v>
      </c>
      <c r="R546" s="52"/>
      <c r="S546" s="52">
        <v>1</v>
      </c>
      <c r="T546" s="52"/>
      <c r="U546" s="52">
        <v>1</v>
      </c>
      <c r="V546" s="52"/>
      <c r="W546" s="52">
        <v>1</v>
      </c>
      <c r="X546" s="52"/>
      <c r="Y546" s="52">
        <v>1</v>
      </c>
      <c r="Z546" s="52"/>
      <c r="AA546" s="114">
        <v>1</v>
      </c>
      <c r="AB546" s="114"/>
      <c r="AC546" s="114">
        <v>4</v>
      </c>
      <c r="AD546" s="114"/>
    </row>
    <row r="547" spans="1:30" x14ac:dyDescent="0.2">
      <c r="A547" s="20" t="s">
        <v>426</v>
      </c>
      <c r="B547" s="20" t="s">
        <v>200</v>
      </c>
      <c r="C547" s="20" t="s">
        <v>16</v>
      </c>
      <c r="D547" s="20" t="str">
        <f t="shared" si="8"/>
        <v>B3-P6-C1</v>
      </c>
      <c r="E547" s="20" t="s">
        <v>35</v>
      </c>
      <c r="F547" s="20" t="s">
        <v>133</v>
      </c>
      <c r="G547" s="50" t="s">
        <v>1328</v>
      </c>
      <c r="H547" s="50">
        <v>546</v>
      </c>
      <c r="I547" s="52">
        <v>1</v>
      </c>
      <c r="J547" s="52"/>
      <c r="K547" s="52">
        <v>1</v>
      </c>
      <c r="L547" s="52"/>
      <c r="M547" s="52">
        <v>1</v>
      </c>
      <c r="N547" s="52"/>
      <c r="O547" s="52">
        <v>1</v>
      </c>
      <c r="P547" s="52"/>
      <c r="Q547" s="52">
        <v>1</v>
      </c>
      <c r="R547" s="52"/>
      <c r="S547" s="52">
        <v>1</v>
      </c>
      <c r="T547" s="52"/>
      <c r="U547" s="52">
        <v>1</v>
      </c>
      <c r="V547" s="52"/>
      <c r="W547" s="52">
        <v>1</v>
      </c>
      <c r="X547" s="52"/>
      <c r="Y547" s="52">
        <v>1</v>
      </c>
      <c r="Z547" s="52"/>
      <c r="AA547" s="114">
        <v>1</v>
      </c>
      <c r="AB547" s="114"/>
      <c r="AC547" s="114">
        <v>1</v>
      </c>
      <c r="AD547" s="114"/>
    </row>
    <row r="548" spans="1:30" x14ac:dyDescent="0.2">
      <c r="A548" s="20" t="s">
        <v>426</v>
      </c>
      <c r="B548" s="20" t="s">
        <v>200</v>
      </c>
      <c r="C548" s="20" t="s">
        <v>16</v>
      </c>
      <c r="D548" s="20" t="str">
        <f t="shared" si="8"/>
        <v>B3-P6-C1</v>
      </c>
      <c r="E548" s="20" t="s">
        <v>35</v>
      </c>
      <c r="F548" s="20" t="s">
        <v>133</v>
      </c>
      <c r="G548" s="50" t="s">
        <v>1329</v>
      </c>
      <c r="H548" s="50">
        <v>547</v>
      </c>
      <c r="I548" s="52">
        <v>1</v>
      </c>
      <c r="J548" s="52"/>
      <c r="K548" s="52">
        <v>1</v>
      </c>
      <c r="L548" s="52"/>
      <c r="M548" s="52">
        <v>1</v>
      </c>
      <c r="N548" s="52"/>
      <c r="O548" s="52">
        <v>1</v>
      </c>
      <c r="P548" s="52"/>
      <c r="Q548" s="52">
        <v>1</v>
      </c>
      <c r="R548" s="52"/>
      <c r="S548" s="52">
        <v>1</v>
      </c>
      <c r="T548" s="52"/>
      <c r="U548" s="52">
        <v>1</v>
      </c>
      <c r="V548" s="52"/>
      <c r="W548" s="52">
        <v>1</v>
      </c>
      <c r="X548" s="52"/>
      <c r="Y548" s="52">
        <v>1</v>
      </c>
      <c r="Z548" s="52"/>
      <c r="AA548" s="114">
        <v>1</v>
      </c>
      <c r="AB548" s="114"/>
      <c r="AC548" s="114">
        <v>1</v>
      </c>
      <c r="AD548" s="114"/>
    </row>
    <row r="549" spans="1:30" x14ac:dyDescent="0.2">
      <c r="A549" s="20" t="s">
        <v>426</v>
      </c>
      <c r="B549" s="20" t="s">
        <v>200</v>
      </c>
      <c r="C549" s="20" t="s">
        <v>16</v>
      </c>
      <c r="D549" s="20" t="str">
        <f t="shared" si="8"/>
        <v>B3-P6-C1</v>
      </c>
      <c r="E549" s="20" t="s">
        <v>19</v>
      </c>
      <c r="F549" s="20" t="s">
        <v>133</v>
      </c>
      <c r="G549" s="50" t="s">
        <v>1330</v>
      </c>
      <c r="H549" s="50">
        <v>548</v>
      </c>
      <c r="I549" s="52">
        <v>1</v>
      </c>
      <c r="J549" s="52"/>
      <c r="K549" s="52">
        <v>1</v>
      </c>
      <c r="L549" s="52"/>
      <c r="M549" s="52">
        <v>1</v>
      </c>
      <c r="N549" s="52"/>
      <c r="O549" s="52">
        <v>1</v>
      </c>
      <c r="P549" s="52"/>
      <c r="Q549" s="52">
        <v>1</v>
      </c>
      <c r="R549" s="52"/>
      <c r="S549" s="52">
        <v>1</v>
      </c>
      <c r="T549" s="52"/>
      <c r="U549" s="52">
        <v>1</v>
      </c>
      <c r="V549" s="52"/>
      <c r="W549" s="52">
        <v>1</v>
      </c>
      <c r="X549" s="52"/>
      <c r="Y549" s="52">
        <v>1</v>
      </c>
      <c r="Z549" s="52"/>
      <c r="AA549" s="114">
        <v>1</v>
      </c>
      <c r="AB549" s="114"/>
      <c r="AC549" s="114">
        <v>3</v>
      </c>
      <c r="AD549" s="114"/>
    </row>
    <row r="550" spans="1:30" x14ac:dyDescent="0.2">
      <c r="A550" s="20" t="s">
        <v>426</v>
      </c>
      <c r="B550" s="20" t="s">
        <v>200</v>
      </c>
      <c r="C550" s="20" t="s">
        <v>16</v>
      </c>
      <c r="D550" s="20" t="str">
        <f t="shared" si="8"/>
        <v>B3-P6-C1</v>
      </c>
      <c r="E550" s="20" t="s">
        <v>19</v>
      </c>
      <c r="F550" s="20" t="s">
        <v>133</v>
      </c>
      <c r="G550" s="50" t="s">
        <v>1331</v>
      </c>
      <c r="H550" s="50">
        <v>549</v>
      </c>
      <c r="I550" s="52">
        <v>1</v>
      </c>
      <c r="J550" s="52"/>
      <c r="K550" s="52">
        <v>1</v>
      </c>
      <c r="L550" s="52"/>
      <c r="M550" s="52">
        <v>1</v>
      </c>
      <c r="N550" s="52"/>
      <c r="O550" s="52">
        <v>1</v>
      </c>
      <c r="P550" s="52"/>
      <c r="Q550" s="52">
        <v>1</v>
      </c>
      <c r="R550" s="52"/>
      <c r="S550" s="52">
        <v>1</v>
      </c>
      <c r="T550" s="52"/>
      <c r="U550" s="52">
        <v>1</v>
      </c>
      <c r="V550" s="52"/>
      <c r="W550" s="52">
        <v>1</v>
      </c>
      <c r="X550" s="52"/>
      <c r="Y550" s="52">
        <v>1</v>
      </c>
      <c r="Z550" s="52"/>
      <c r="AA550" s="114">
        <v>2</v>
      </c>
      <c r="AB550" s="114"/>
      <c r="AC550" s="114">
        <v>4</v>
      </c>
      <c r="AD550" s="114"/>
    </row>
    <row r="551" spans="1:30" x14ac:dyDescent="0.2">
      <c r="A551" s="20" t="s">
        <v>426</v>
      </c>
      <c r="B551" s="20" t="s">
        <v>200</v>
      </c>
      <c r="C551" s="20" t="s">
        <v>16</v>
      </c>
      <c r="D551" s="20" t="str">
        <f t="shared" si="8"/>
        <v>B3-P6-C1</v>
      </c>
      <c r="E551" s="20" t="s">
        <v>35</v>
      </c>
      <c r="F551" s="20" t="s">
        <v>133</v>
      </c>
      <c r="G551" s="50" t="s">
        <v>1332</v>
      </c>
      <c r="H551" s="50">
        <v>550</v>
      </c>
      <c r="I551" s="52">
        <v>1</v>
      </c>
      <c r="J551" s="52"/>
      <c r="K551" s="52">
        <v>1</v>
      </c>
      <c r="L551" s="52"/>
      <c r="M551" s="52">
        <v>1</v>
      </c>
      <c r="N551" s="52"/>
      <c r="O551" s="52">
        <v>1</v>
      </c>
      <c r="P551" s="52"/>
      <c r="Q551" s="52">
        <v>1</v>
      </c>
      <c r="R551" s="52"/>
      <c r="S551" s="52">
        <v>1</v>
      </c>
      <c r="T551" s="52"/>
      <c r="U551" s="52">
        <v>1</v>
      </c>
      <c r="V551" s="52"/>
      <c r="W551" s="52">
        <v>1</v>
      </c>
      <c r="X551" s="52"/>
      <c r="Y551" s="52">
        <v>1</v>
      </c>
      <c r="Z551" s="52"/>
      <c r="AA551" s="114">
        <v>1</v>
      </c>
      <c r="AB551" s="114"/>
      <c r="AC551" s="114">
        <v>1</v>
      </c>
      <c r="AD551" s="114"/>
    </row>
    <row r="552" spans="1:30" x14ac:dyDescent="0.2">
      <c r="A552" s="20" t="s">
        <v>426</v>
      </c>
      <c r="B552" s="20" t="s">
        <v>200</v>
      </c>
      <c r="C552" s="20" t="s">
        <v>16</v>
      </c>
      <c r="D552" s="20" t="str">
        <f t="shared" si="8"/>
        <v>B3-P6-C1</v>
      </c>
      <c r="E552" s="20" t="s">
        <v>35</v>
      </c>
      <c r="F552" s="20" t="s">
        <v>133</v>
      </c>
      <c r="G552" s="50" t="s">
        <v>1333</v>
      </c>
      <c r="H552" s="50">
        <v>551</v>
      </c>
      <c r="I552" s="52">
        <v>1</v>
      </c>
      <c r="J552" s="52"/>
      <c r="K552" s="52">
        <v>1</v>
      </c>
      <c r="L552" s="52"/>
      <c r="M552" s="52">
        <v>1</v>
      </c>
      <c r="N552" s="52"/>
      <c r="O552" s="52">
        <v>1</v>
      </c>
      <c r="P552" s="52"/>
      <c r="Q552" s="52">
        <v>1</v>
      </c>
      <c r="R552" s="52"/>
      <c r="S552" s="52">
        <v>1</v>
      </c>
      <c r="T552" s="52"/>
      <c r="U552" s="52">
        <v>1</v>
      </c>
      <c r="V552" s="52"/>
      <c r="W552" s="52">
        <v>1</v>
      </c>
      <c r="X552" s="52"/>
      <c r="Y552" s="52">
        <v>1</v>
      </c>
      <c r="Z552" s="52"/>
      <c r="AA552" s="114">
        <v>1</v>
      </c>
      <c r="AB552" s="114"/>
      <c r="AC552" s="114">
        <v>1</v>
      </c>
      <c r="AD552" s="114"/>
    </row>
    <row r="553" spans="1:30" x14ac:dyDescent="0.2">
      <c r="A553" s="20" t="s">
        <v>426</v>
      </c>
      <c r="B553" s="20" t="s">
        <v>200</v>
      </c>
      <c r="C553" s="20" t="s">
        <v>16</v>
      </c>
      <c r="D553" s="20" t="str">
        <f t="shared" si="8"/>
        <v>B3-P6-C1</v>
      </c>
      <c r="E553" s="20" t="s">
        <v>19</v>
      </c>
      <c r="F553" s="20" t="s">
        <v>133</v>
      </c>
      <c r="G553" s="50" t="s">
        <v>1334</v>
      </c>
      <c r="H553" s="50">
        <v>552</v>
      </c>
      <c r="I553" s="52">
        <v>1</v>
      </c>
      <c r="J553" s="52"/>
      <c r="K553" s="52">
        <v>1</v>
      </c>
      <c r="L553" s="52"/>
      <c r="M553" s="52">
        <v>1</v>
      </c>
      <c r="N553" s="52"/>
      <c r="O553" s="52">
        <v>1</v>
      </c>
      <c r="P553" s="52"/>
      <c r="Q553" s="52">
        <v>1</v>
      </c>
      <c r="R553" s="52"/>
      <c r="S553" s="52">
        <v>1</v>
      </c>
      <c r="T553" s="52"/>
      <c r="U553" s="52">
        <v>1</v>
      </c>
      <c r="V553" s="52"/>
      <c r="W553" s="52">
        <v>1</v>
      </c>
      <c r="X553" s="52"/>
      <c r="Y553" s="52">
        <v>1</v>
      </c>
      <c r="Z553" s="52"/>
      <c r="AA553" s="114">
        <v>1</v>
      </c>
      <c r="AB553" s="114"/>
      <c r="AC553" s="114">
        <v>4</v>
      </c>
      <c r="AD553" s="114"/>
    </row>
    <row r="554" spans="1:30" x14ac:dyDescent="0.2">
      <c r="A554" s="14" t="s">
        <v>426</v>
      </c>
      <c r="B554" s="14" t="s">
        <v>200</v>
      </c>
      <c r="C554" s="14" t="s">
        <v>32</v>
      </c>
      <c r="D554" s="14" t="str">
        <f t="shared" si="8"/>
        <v>B3-P6-C2</v>
      </c>
      <c r="E554" s="14" t="s">
        <v>19</v>
      </c>
      <c r="F554" s="14" t="s">
        <v>133</v>
      </c>
      <c r="G554" s="51" t="s">
        <v>1336</v>
      </c>
      <c r="H554" s="51">
        <v>553</v>
      </c>
      <c r="I554" s="53">
        <v>1</v>
      </c>
      <c r="J554" s="54"/>
      <c r="K554" s="53">
        <v>1</v>
      </c>
      <c r="L554" s="54"/>
      <c r="M554" s="54">
        <v>1</v>
      </c>
      <c r="N554" s="54"/>
      <c r="O554" s="54">
        <v>1</v>
      </c>
      <c r="P554" s="54"/>
      <c r="Q554" s="54">
        <v>1</v>
      </c>
      <c r="R554" s="54"/>
      <c r="S554" s="54">
        <v>1</v>
      </c>
      <c r="T554" s="54"/>
      <c r="U554" s="54">
        <v>1</v>
      </c>
      <c r="V554" s="54"/>
      <c r="W554" s="54">
        <v>1</v>
      </c>
      <c r="X554" s="54"/>
      <c r="Y554" s="54">
        <v>1</v>
      </c>
      <c r="Z554" s="54"/>
      <c r="AA554" s="115">
        <v>1</v>
      </c>
      <c r="AB554" s="115"/>
      <c r="AC554" s="115">
        <v>3</v>
      </c>
      <c r="AD554" s="115"/>
    </row>
    <row r="555" spans="1:30" x14ac:dyDescent="0.2">
      <c r="A555" s="14" t="s">
        <v>426</v>
      </c>
      <c r="B555" s="14" t="s">
        <v>200</v>
      </c>
      <c r="C555" s="14" t="s">
        <v>32</v>
      </c>
      <c r="D555" s="14" t="str">
        <f t="shared" si="8"/>
        <v>B3-P6-C2</v>
      </c>
      <c r="E555" s="14" t="s">
        <v>19</v>
      </c>
      <c r="F555" s="14" t="s">
        <v>133</v>
      </c>
      <c r="G555" s="51" t="s">
        <v>1337</v>
      </c>
      <c r="H555" s="51">
        <v>554</v>
      </c>
      <c r="I555" s="53">
        <v>1</v>
      </c>
      <c r="J555" s="54"/>
      <c r="K555" s="53">
        <v>1</v>
      </c>
      <c r="L555" s="54"/>
      <c r="M555" s="54">
        <v>1</v>
      </c>
      <c r="N555" s="54"/>
      <c r="O555" s="54">
        <v>1</v>
      </c>
      <c r="P555" s="54"/>
      <c r="Q555" s="54">
        <v>1</v>
      </c>
      <c r="R555" s="54"/>
      <c r="S555" s="54">
        <v>1</v>
      </c>
      <c r="T555" s="54"/>
      <c r="U555" s="54">
        <v>1</v>
      </c>
      <c r="V555" s="54"/>
      <c r="W555" s="54">
        <v>1</v>
      </c>
      <c r="X555" s="54"/>
      <c r="Y555" s="54">
        <v>1</v>
      </c>
      <c r="Z555" s="54"/>
      <c r="AA555" s="115">
        <v>1</v>
      </c>
      <c r="AB555" s="115"/>
      <c r="AC555" s="115">
        <v>3</v>
      </c>
      <c r="AD555" s="115"/>
    </row>
    <row r="556" spans="1:30" x14ac:dyDescent="0.2">
      <c r="A556" s="14" t="s">
        <v>426</v>
      </c>
      <c r="B556" s="14" t="s">
        <v>200</v>
      </c>
      <c r="C556" s="14" t="s">
        <v>32</v>
      </c>
      <c r="D556" s="14" t="str">
        <f t="shared" si="8"/>
        <v>B3-P6-C2</v>
      </c>
      <c r="E556" s="14" t="s">
        <v>19</v>
      </c>
      <c r="F556" s="14" t="s">
        <v>133</v>
      </c>
      <c r="G556" s="51" t="s">
        <v>1338</v>
      </c>
      <c r="H556" s="51">
        <v>555</v>
      </c>
      <c r="I556" s="53">
        <v>1</v>
      </c>
      <c r="J556" s="54"/>
      <c r="K556" s="53">
        <v>1</v>
      </c>
      <c r="L556" s="54"/>
      <c r="M556" s="54">
        <v>1</v>
      </c>
      <c r="N556" s="54"/>
      <c r="O556" s="54">
        <v>1</v>
      </c>
      <c r="P556" s="54"/>
      <c r="Q556" s="54">
        <v>1</v>
      </c>
      <c r="R556" s="54"/>
      <c r="S556" s="54">
        <v>1</v>
      </c>
      <c r="T556" s="54"/>
      <c r="U556" s="54">
        <v>1</v>
      </c>
      <c r="V556" s="54"/>
      <c r="W556" s="54">
        <v>1</v>
      </c>
      <c r="X556" s="54"/>
      <c r="Y556" s="54">
        <v>1</v>
      </c>
      <c r="Z556" s="54"/>
      <c r="AA556" s="115">
        <v>1</v>
      </c>
      <c r="AB556" s="115"/>
      <c r="AC556" s="115">
        <v>3</v>
      </c>
      <c r="AD556" s="115"/>
    </row>
    <row r="557" spans="1:30" x14ac:dyDescent="0.2">
      <c r="A557" s="14" t="s">
        <v>426</v>
      </c>
      <c r="B557" s="14" t="s">
        <v>200</v>
      </c>
      <c r="C557" s="14" t="s">
        <v>32</v>
      </c>
      <c r="D557" s="14" t="str">
        <f t="shared" si="8"/>
        <v>B3-P6-C2</v>
      </c>
      <c r="E557" s="14" t="s">
        <v>19</v>
      </c>
      <c r="F557" s="14" t="s">
        <v>133</v>
      </c>
      <c r="G557" s="51" t="s">
        <v>1339</v>
      </c>
      <c r="H557" s="51">
        <v>556</v>
      </c>
      <c r="I557" s="53">
        <v>1</v>
      </c>
      <c r="J557" s="54"/>
      <c r="K557" s="53">
        <v>1</v>
      </c>
      <c r="L557" s="54"/>
      <c r="M557" s="54">
        <v>1</v>
      </c>
      <c r="N557" s="54"/>
      <c r="O557" s="54">
        <v>1</v>
      </c>
      <c r="P557" s="54"/>
      <c r="Q557" s="54">
        <v>1</v>
      </c>
      <c r="R557" s="54"/>
      <c r="S557" s="54">
        <v>1</v>
      </c>
      <c r="T557" s="54"/>
      <c r="U557" s="54">
        <v>1</v>
      </c>
      <c r="V557" s="54"/>
      <c r="W557" s="54">
        <v>1</v>
      </c>
      <c r="X557" s="54"/>
      <c r="Y557" s="54">
        <v>1</v>
      </c>
      <c r="Z557" s="54"/>
      <c r="AA557" s="115">
        <v>1</v>
      </c>
      <c r="AB557" s="115"/>
      <c r="AC557" s="115">
        <v>3</v>
      </c>
      <c r="AD557" s="115"/>
    </row>
    <row r="558" spans="1:30" x14ac:dyDescent="0.2">
      <c r="A558" s="14" t="s">
        <v>426</v>
      </c>
      <c r="B558" s="14" t="s">
        <v>200</v>
      </c>
      <c r="C558" s="14" t="s">
        <v>32</v>
      </c>
      <c r="D558" s="14" t="str">
        <f t="shared" si="8"/>
        <v>B3-P6-C2</v>
      </c>
      <c r="E558" s="14" t="s">
        <v>19</v>
      </c>
      <c r="F558" s="14" t="s">
        <v>133</v>
      </c>
      <c r="G558" s="51" t="s">
        <v>1340</v>
      </c>
      <c r="H558" s="51">
        <v>557</v>
      </c>
      <c r="I558" s="53">
        <v>1</v>
      </c>
      <c r="J558" s="54"/>
      <c r="K558" s="53">
        <v>1</v>
      </c>
      <c r="L558" s="54"/>
      <c r="M558" s="54">
        <v>1</v>
      </c>
      <c r="N558" s="54"/>
      <c r="O558" s="54">
        <v>1</v>
      </c>
      <c r="P558" s="54"/>
      <c r="Q558" s="54">
        <v>1</v>
      </c>
      <c r="R558" s="54"/>
      <c r="S558" s="54">
        <v>1</v>
      </c>
      <c r="T558" s="54"/>
      <c r="U558" s="54">
        <v>1</v>
      </c>
      <c r="V558" s="54"/>
      <c r="W558" s="54">
        <v>1</v>
      </c>
      <c r="X558" s="54"/>
      <c r="Y558" s="54">
        <v>1</v>
      </c>
      <c r="Z558" s="54"/>
      <c r="AA558" s="115">
        <v>1</v>
      </c>
      <c r="AB558" s="115"/>
      <c r="AC558" s="115">
        <v>3</v>
      </c>
      <c r="AD558" s="115"/>
    </row>
    <row r="559" spans="1:30" x14ac:dyDescent="0.2">
      <c r="A559" s="14" t="s">
        <v>426</v>
      </c>
      <c r="B559" s="14" t="s">
        <v>200</v>
      </c>
      <c r="C559" s="14" t="s">
        <v>32</v>
      </c>
      <c r="D559" s="14" t="str">
        <f t="shared" si="8"/>
        <v>B3-P6-C2</v>
      </c>
      <c r="E559" s="14" t="s">
        <v>19</v>
      </c>
      <c r="F559" s="14" t="s">
        <v>133</v>
      </c>
      <c r="G559" s="51" t="s">
        <v>1341</v>
      </c>
      <c r="H559" s="51">
        <v>558</v>
      </c>
      <c r="I559" s="53">
        <v>1</v>
      </c>
      <c r="J559" s="54"/>
      <c r="K559" s="53">
        <v>1</v>
      </c>
      <c r="L559" s="54"/>
      <c r="M559" s="54">
        <v>1</v>
      </c>
      <c r="N559" s="54"/>
      <c r="O559" s="54">
        <v>1</v>
      </c>
      <c r="P559" s="54"/>
      <c r="Q559" s="54">
        <v>1</v>
      </c>
      <c r="R559" s="54"/>
      <c r="S559" s="54">
        <v>1</v>
      </c>
      <c r="T559" s="54"/>
      <c r="U559" s="54">
        <v>1</v>
      </c>
      <c r="V559" s="54"/>
      <c r="W559" s="54">
        <v>1</v>
      </c>
      <c r="X559" s="54"/>
      <c r="Y559" s="54">
        <v>1</v>
      </c>
      <c r="Z559" s="54"/>
      <c r="AA559" s="115">
        <v>1</v>
      </c>
      <c r="AB559" s="115"/>
      <c r="AC559" s="115">
        <v>3</v>
      </c>
      <c r="AD559" s="115"/>
    </row>
    <row r="560" spans="1:30" x14ac:dyDescent="0.2">
      <c r="A560" s="14" t="s">
        <v>426</v>
      </c>
      <c r="B560" s="14" t="s">
        <v>200</v>
      </c>
      <c r="C560" s="14" t="s">
        <v>32</v>
      </c>
      <c r="D560" s="14" t="str">
        <f t="shared" si="8"/>
        <v>B3-P6-C2</v>
      </c>
      <c r="E560" s="14" t="s">
        <v>19</v>
      </c>
      <c r="F560" s="14" t="s">
        <v>133</v>
      </c>
      <c r="G560" s="51" t="s">
        <v>1342</v>
      </c>
      <c r="H560" s="51">
        <v>559</v>
      </c>
      <c r="I560" s="53">
        <v>1</v>
      </c>
      <c r="J560" s="54"/>
      <c r="K560" s="53">
        <v>1</v>
      </c>
      <c r="L560" s="54"/>
      <c r="M560" s="54">
        <v>1</v>
      </c>
      <c r="N560" s="54"/>
      <c r="O560" s="54">
        <v>1</v>
      </c>
      <c r="P560" s="54"/>
      <c r="Q560" s="54">
        <v>1</v>
      </c>
      <c r="R560" s="54"/>
      <c r="S560" s="54">
        <v>1</v>
      </c>
      <c r="T560" s="54"/>
      <c r="U560" s="54">
        <v>1</v>
      </c>
      <c r="V560" s="54"/>
      <c r="W560" s="54">
        <v>1</v>
      </c>
      <c r="X560" s="54"/>
      <c r="Y560" s="54">
        <v>1</v>
      </c>
      <c r="Z560" s="54"/>
      <c r="AA560" s="115">
        <v>1</v>
      </c>
      <c r="AB560" s="115"/>
      <c r="AC560" s="115">
        <v>3</v>
      </c>
      <c r="AD560" s="115"/>
    </row>
    <row r="561" spans="1:30" x14ac:dyDescent="0.2">
      <c r="A561" s="14" t="s">
        <v>426</v>
      </c>
      <c r="B561" s="14" t="s">
        <v>200</v>
      </c>
      <c r="C561" s="14" t="s">
        <v>32</v>
      </c>
      <c r="D561" s="14" t="str">
        <f t="shared" si="8"/>
        <v>B3-P6-C2</v>
      </c>
      <c r="E561" s="14" t="s">
        <v>19</v>
      </c>
      <c r="F561" s="14" t="s">
        <v>133</v>
      </c>
      <c r="G561" s="51" t="s">
        <v>1343</v>
      </c>
      <c r="H561" s="51">
        <v>560</v>
      </c>
      <c r="I561" s="53">
        <v>1</v>
      </c>
      <c r="J561" s="54"/>
      <c r="K561" s="53">
        <v>1</v>
      </c>
      <c r="L561" s="54"/>
      <c r="M561" s="54">
        <v>1</v>
      </c>
      <c r="N561" s="54"/>
      <c r="O561" s="54">
        <v>1</v>
      </c>
      <c r="P561" s="54"/>
      <c r="Q561" s="54">
        <v>1</v>
      </c>
      <c r="R561" s="54"/>
      <c r="S561" s="54">
        <v>1</v>
      </c>
      <c r="T561" s="54"/>
      <c r="U561" s="54">
        <v>1</v>
      </c>
      <c r="V561" s="54"/>
      <c r="W561" s="54">
        <v>1</v>
      </c>
      <c r="X561" s="54"/>
      <c r="Y561" s="54">
        <v>1</v>
      </c>
      <c r="Z561" s="54"/>
      <c r="AA561" s="115">
        <v>1</v>
      </c>
      <c r="AB561" s="115"/>
      <c r="AC561" s="115">
        <v>3</v>
      </c>
      <c r="AD561" s="115"/>
    </row>
    <row r="562" spans="1:30" x14ac:dyDescent="0.2">
      <c r="A562" s="20" t="s">
        <v>426</v>
      </c>
      <c r="B562" s="20" t="s">
        <v>200</v>
      </c>
      <c r="C562" s="20" t="s">
        <v>42</v>
      </c>
      <c r="D562" s="20" t="str">
        <f t="shared" si="8"/>
        <v>B3-P6-C3</v>
      </c>
      <c r="E562" s="20" t="s">
        <v>19</v>
      </c>
      <c r="F562" s="20" t="s">
        <v>133</v>
      </c>
      <c r="G562" s="50" t="s">
        <v>1345</v>
      </c>
      <c r="H562" s="50">
        <v>561</v>
      </c>
      <c r="I562" s="52">
        <v>1</v>
      </c>
      <c r="J562" s="52"/>
      <c r="K562" s="52">
        <v>1</v>
      </c>
      <c r="L562" s="52"/>
      <c r="M562" s="52">
        <v>1</v>
      </c>
      <c r="N562" s="52"/>
      <c r="O562" s="52">
        <v>1</v>
      </c>
      <c r="P562" s="52"/>
      <c r="Q562" s="52">
        <v>1</v>
      </c>
      <c r="R562" s="52"/>
      <c r="S562" s="52">
        <v>1.5</v>
      </c>
      <c r="T562" s="52"/>
      <c r="U562" s="52">
        <v>3</v>
      </c>
      <c r="V562" s="52"/>
      <c r="W562" s="52">
        <v>3</v>
      </c>
      <c r="X562" s="52"/>
      <c r="Y562" s="52">
        <v>3.5</v>
      </c>
      <c r="Z562" s="52"/>
      <c r="AA562" s="114">
        <v>4</v>
      </c>
      <c r="AB562" s="114"/>
      <c r="AC562" s="114">
        <v>4</v>
      </c>
      <c r="AD562" s="114"/>
    </row>
    <row r="563" spans="1:30" x14ac:dyDescent="0.2">
      <c r="A563" s="20" t="s">
        <v>426</v>
      </c>
      <c r="B563" s="20" t="s">
        <v>200</v>
      </c>
      <c r="C563" s="20" t="s">
        <v>42</v>
      </c>
      <c r="D563" s="20" t="str">
        <f t="shared" si="8"/>
        <v>B3-P6-C3</v>
      </c>
      <c r="E563" s="20" t="s">
        <v>35</v>
      </c>
      <c r="F563" s="20" t="s">
        <v>133</v>
      </c>
      <c r="G563" s="50" t="s">
        <v>1346</v>
      </c>
      <c r="H563" s="50">
        <v>562</v>
      </c>
      <c r="I563" s="52">
        <v>1</v>
      </c>
      <c r="J563" s="52"/>
      <c r="K563" s="52">
        <v>1</v>
      </c>
      <c r="L563" s="52"/>
      <c r="M563" s="52">
        <v>1</v>
      </c>
      <c r="N563" s="52"/>
      <c r="O563" s="52">
        <v>1</v>
      </c>
      <c r="P563" s="52"/>
      <c r="Q563" s="52">
        <v>1</v>
      </c>
      <c r="R563" s="52"/>
      <c r="S563" s="52">
        <v>1</v>
      </c>
      <c r="T563" s="52"/>
      <c r="U563" s="52">
        <v>1.5</v>
      </c>
      <c r="V563" s="52"/>
      <c r="W563" s="52">
        <v>1</v>
      </c>
      <c r="X563" s="52"/>
      <c r="Y563" s="52">
        <v>1</v>
      </c>
      <c r="Z563" s="52"/>
      <c r="AA563" s="114">
        <v>1</v>
      </c>
      <c r="AB563" s="114"/>
      <c r="AC563" s="114">
        <v>1</v>
      </c>
      <c r="AD563" s="114"/>
    </row>
    <row r="564" spans="1:30" x14ac:dyDescent="0.2">
      <c r="A564" s="20" t="s">
        <v>426</v>
      </c>
      <c r="B564" s="20" t="s">
        <v>200</v>
      </c>
      <c r="C564" s="20" t="s">
        <v>42</v>
      </c>
      <c r="D564" s="20" t="str">
        <f t="shared" si="8"/>
        <v>B3-P6-C3</v>
      </c>
      <c r="E564" s="20" t="s">
        <v>35</v>
      </c>
      <c r="F564" s="20" t="s">
        <v>133</v>
      </c>
      <c r="G564" s="50" t="s">
        <v>1347</v>
      </c>
      <c r="H564" s="50">
        <v>563</v>
      </c>
      <c r="I564" s="52">
        <v>1</v>
      </c>
      <c r="J564" s="52"/>
      <c r="K564" s="52">
        <v>1</v>
      </c>
      <c r="L564" s="52"/>
      <c r="M564" s="52">
        <v>1</v>
      </c>
      <c r="N564" s="52"/>
      <c r="O564" s="52">
        <v>1</v>
      </c>
      <c r="P564" s="52"/>
      <c r="Q564" s="52">
        <v>1</v>
      </c>
      <c r="R564" s="52"/>
      <c r="S564" s="52">
        <v>1</v>
      </c>
      <c r="T564" s="52"/>
      <c r="U564" s="52">
        <v>1</v>
      </c>
      <c r="V564" s="52"/>
      <c r="W564" s="52">
        <v>1</v>
      </c>
      <c r="X564" s="52"/>
      <c r="Y564" s="52">
        <v>1</v>
      </c>
      <c r="Z564" s="52"/>
      <c r="AA564" s="114">
        <v>1</v>
      </c>
      <c r="AB564" s="114"/>
      <c r="AC564" s="114">
        <v>1</v>
      </c>
      <c r="AD564" s="114"/>
    </row>
    <row r="565" spans="1:30" x14ac:dyDescent="0.2">
      <c r="A565" s="20" t="s">
        <v>426</v>
      </c>
      <c r="B565" s="20" t="s">
        <v>200</v>
      </c>
      <c r="C565" s="20" t="s">
        <v>42</v>
      </c>
      <c r="D565" s="20" t="str">
        <f t="shared" si="8"/>
        <v>B3-P6-C3</v>
      </c>
      <c r="E565" s="20" t="s">
        <v>19</v>
      </c>
      <c r="F565" s="20" t="s">
        <v>133</v>
      </c>
      <c r="G565" s="50" t="s">
        <v>1348</v>
      </c>
      <c r="H565" s="50">
        <v>564</v>
      </c>
      <c r="I565" s="52">
        <v>1</v>
      </c>
      <c r="J565" s="52"/>
      <c r="K565" s="52">
        <v>1</v>
      </c>
      <c r="L565" s="52"/>
      <c r="M565" s="52">
        <v>1</v>
      </c>
      <c r="N565" s="52"/>
      <c r="O565" s="52">
        <v>1</v>
      </c>
      <c r="P565" s="52"/>
      <c r="Q565" s="52">
        <v>1</v>
      </c>
      <c r="R565" s="52"/>
      <c r="S565" s="52">
        <v>1.5</v>
      </c>
      <c r="T565" s="52"/>
      <c r="U565" s="52">
        <v>4</v>
      </c>
      <c r="V565" s="52"/>
      <c r="W565" s="52">
        <v>4</v>
      </c>
      <c r="X565" s="52"/>
      <c r="Y565" s="52">
        <v>4</v>
      </c>
      <c r="Z565" s="52"/>
      <c r="AA565" s="114">
        <v>4</v>
      </c>
      <c r="AB565" s="114"/>
      <c r="AC565" s="114">
        <v>4</v>
      </c>
      <c r="AD565" s="114"/>
    </row>
    <row r="566" spans="1:30" x14ac:dyDescent="0.2">
      <c r="A566" s="20" t="s">
        <v>426</v>
      </c>
      <c r="B566" s="20" t="s">
        <v>200</v>
      </c>
      <c r="C566" s="20" t="s">
        <v>42</v>
      </c>
      <c r="D566" s="20" t="str">
        <f t="shared" si="8"/>
        <v>B3-P6-C3</v>
      </c>
      <c r="E566" s="20" t="s">
        <v>19</v>
      </c>
      <c r="F566" s="20" t="s">
        <v>133</v>
      </c>
      <c r="G566" s="50" t="s">
        <v>1349</v>
      </c>
      <c r="H566" s="50">
        <v>565</v>
      </c>
      <c r="I566" s="52">
        <v>1</v>
      </c>
      <c r="J566" s="52"/>
      <c r="K566" s="52">
        <v>1</v>
      </c>
      <c r="L566" s="52"/>
      <c r="M566" s="52">
        <v>2</v>
      </c>
      <c r="N566" s="52"/>
      <c r="O566" s="52">
        <v>2</v>
      </c>
      <c r="P566" s="52"/>
      <c r="Q566" s="52">
        <v>2</v>
      </c>
      <c r="R566" s="52"/>
      <c r="S566" s="52">
        <v>3</v>
      </c>
      <c r="T566" s="52"/>
      <c r="U566" s="52">
        <v>4</v>
      </c>
      <c r="V566" s="52"/>
      <c r="W566" s="52">
        <v>4</v>
      </c>
      <c r="X566" s="52"/>
      <c r="Y566" s="52">
        <v>4</v>
      </c>
      <c r="Z566" s="52"/>
      <c r="AA566" s="114">
        <v>4</v>
      </c>
      <c r="AB566" s="114"/>
      <c r="AC566" s="114">
        <v>4</v>
      </c>
      <c r="AD566" s="114"/>
    </row>
    <row r="567" spans="1:30" x14ac:dyDescent="0.2">
      <c r="A567" s="20" t="s">
        <v>426</v>
      </c>
      <c r="B567" s="20" t="s">
        <v>200</v>
      </c>
      <c r="C567" s="20" t="s">
        <v>42</v>
      </c>
      <c r="D567" s="20" t="str">
        <f t="shared" si="8"/>
        <v>B3-P6-C3</v>
      </c>
      <c r="E567" s="20" t="s">
        <v>35</v>
      </c>
      <c r="F567" s="20" t="s">
        <v>133</v>
      </c>
      <c r="G567" s="50" t="s">
        <v>1350</v>
      </c>
      <c r="H567" s="50">
        <v>566</v>
      </c>
      <c r="I567" s="52">
        <v>1</v>
      </c>
      <c r="J567" s="52"/>
      <c r="K567" s="52">
        <v>1</v>
      </c>
      <c r="L567" s="52"/>
      <c r="M567" s="52">
        <v>1</v>
      </c>
      <c r="N567" s="52"/>
      <c r="O567" s="52">
        <v>1</v>
      </c>
      <c r="P567" s="52"/>
      <c r="Q567" s="52">
        <v>1</v>
      </c>
      <c r="R567" s="52"/>
      <c r="S567" s="52">
        <v>1</v>
      </c>
      <c r="T567" s="52"/>
      <c r="U567" s="52">
        <v>1</v>
      </c>
      <c r="V567" s="52"/>
      <c r="W567" s="52">
        <v>1</v>
      </c>
      <c r="X567" s="52"/>
      <c r="Y567" s="52">
        <v>1</v>
      </c>
      <c r="Z567" s="52"/>
      <c r="AA567" s="114">
        <v>1</v>
      </c>
      <c r="AB567" s="114"/>
      <c r="AC567" s="114">
        <v>1</v>
      </c>
      <c r="AD567" s="114"/>
    </row>
    <row r="568" spans="1:30" x14ac:dyDescent="0.2">
      <c r="A568" s="20" t="s">
        <v>426</v>
      </c>
      <c r="B568" s="20" t="s">
        <v>200</v>
      </c>
      <c r="C568" s="20" t="s">
        <v>42</v>
      </c>
      <c r="D568" s="20" t="str">
        <f t="shared" si="8"/>
        <v>B3-P6-C3</v>
      </c>
      <c r="E568" s="20" t="s">
        <v>35</v>
      </c>
      <c r="F568" s="20" t="s">
        <v>133</v>
      </c>
      <c r="G568" s="50" t="s">
        <v>1351</v>
      </c>
      <c r="H568" s="50">
        <v>567</v>
      </c>
      <c r="I568" s="52">
        <v>1</v>
      </c>
      <c r="J568" s="52"/>
      <c r="K568" s="52">
        <v>1</v>
      </c>
      <c r="L568" s="52"/>
      <c r="M568" s="52">
        <v>1</v>
      </c>
      <c r="N568" s="52"/>
      <c r="O568" s="52">
        <v>1</v>
      </c>
      <c r="P568" s="52"/>
      <c r="Q568" s="52">
        <v>1</v>
      </c>
      <c r="R568" s="52"/>
      <c r="S568" s="52">
        <v>1</v>
      </c>
      <c r="T568" s="52"/>
      <c r="U568" s="52">
        <v>1</v>
      </c>
      <c r="V568" s="52"/>
      <c r="W568" s="52">
        <v>1</v>
      </c>
      <c r="X568" s="52"/>
      <c r="Y568" s="52">
        <v>1</v>
      </c>
      <c r="Z568" s="52"/>
      <c r="AA568" s="114">
        <v>1</v>
      </c>
      <c r="AB568" s="114"/>
      <c r="AC568" s="114">
        <v>1</v>
      </c>
      <c r="AD568" s="114"/>
    </row>
    <row r="569" spans="1:30" x14ac:dyDescent="0.2">
      <c r="A569" s="20" t="s">
        <v>426</v>
      </c>
      <c r="B569" s="20" t="s">
        <v>200</v>
      </c>
      <c r="C569" s="20" t="s">
        <v>42</v>
      </c>
      <c r="D569" s="20" t="str">
        <f t="shared" si="8"/>
        <v>B3-P6-C3</v>
      </c>
      <c r="E569" s="20" t="s">
        <v>19</v>
      </c>
      <c r="F569" s="20" t="s">
        <v>133</v>
      </c>
      <c r="G569" s="50" t="s">
        <v>1352</v>
      </c>
      <c r="H569" s="50">
        <v>568</v>
      </c>
      <c r="I569" s="52">
        <v>1</v>
      </c>
      <c r="J569" s="52"/>
      <c r="K569" s="52">
        <v>1</v>
      </c>
      <c r="L569" s="52"/>
      <c r="M569" s="52">
        <v>2</v>
      </c>
      <c r="N569" s="52"/>
      <c r="O569" s="52">
        <v>2</v>
      </c>
      <c r="P569" s="52"/>
      <c r="Q569" s="52">
        <v>2</v>
      </c>
      <c r="R569" s="52"/>
      <c r="S569" s="52">
        <v>2.5</v>
      </c>
      <c r="T569" s="52"/>
      <c r="U569" s="52">
        <v>4</v>
      </c>
      <c r="V569" s="52"/>
      <c r="W569" s="52">
        <v>4</v>
      </c>
      <c r="X569" s="52"/>
      <c r="Y569" s="52">
        <v>4</v>
      </c>
      <c r="Z569" s="52"/>
      <c r="AA569" s="114">
        <v>4</v>
      </c>
      <c r="AB569" s="114"/>
      <c r="AC569" s="114">
        <v>4</v>
      </c>
      <c r="AD569" s="114"/>
    </row>
    <row r="570" spans="1:30" x14ac:dyDescent="0.2">
      <c r="A570" s="14" t="s">
        <v>426</v>
      </c>
      <c r="B570" s="14" t="s">
        <v>200</v>
      </c>
      <c r="C570" s="14" t="s">
        <v>53</v>
      </c>
      <c r="D570" s="14" t="str">
        <f t="shared" si="8"/>
        <v>B3-P6-C4</v>
      </c>
      <c r="E570" s="14" t="s">
        <v>35</v>
      </c>
      <c r="F570" s="14" t="s">
        <v>133</v>
      </c>
      <c r="G570" s="51" t="s">
        <v>1354</v>
      </c>
      <c r="H570" s="51">
        <v>569</v>
      </c>
      <c r="I570" s="53">
        <v>1</v>
      </c>
      <c r="J570" s="54"/>
      <c r="K570" s="53">
        <v>1</v>
      </c>
      <c r="L570" s="54"/>
      <c r="M570" s="54">
        <v>1</v>
      </c>
      <c r="N570" s="54"/>
      <c r="O570" s="54">
        <v>1</v>
      </c>
      <c r="P570" s="54"/>
      <c r="Q570" s="54">
        <v>1</v>
      </c>
      <c r="R570" s="54"/>
      <c r="S570" s="54">
        <v>1</v>
      </c>
      <c r="T570" s="54"/>
      <c r="U570" s="54">
        <v>1</v>
      </c>
      <c r="V570" s="54"/>
      <c r="W570" s="54">
        <v>1</v>
      </c>
      <c r="X570" s="54"/>
      <c r="Y570" s="54">
        <v>1</v>
      </c>
      <c r="Z570" s="54"/>
      <c r="AA570" s="115">
        <v>1</v>
      </c>
      <c r="AB570" s="115"/>
      <c r="AC570" s="115">
        <v>1</v>
      </c>
      <c r="AD570" s="115"/>
    </row>
    <row r="571" spans="1:30" x14ac:dyDescent="0.2">
      <c r="A571" s="14" t="s">
        <v>426</v>
      </c>
      <c r="B571" s="14" t="s">
        <v>200</v>
      </c>
      <c r="C571" s="14" t="s">
        <v>53</v>
      </c>
      <c r="D571" s="14" t="str">
        <f t="shared" si="8"/>
        <v>B3-P6-C4</v>
      </c>
      <c r="E571" s="14" t="s">
        <v>35</v>
      </c>
      <c r="F571" s="14" t="s">
        <v>133</v>
      </c>
      <c r="G571" s="51" t="s">
        <v>1355</v>
      </c>
      <c r="H571" s="51">
        <v>570</v>
      </c>
      <c r="I571" s="53">
        <v>1</v>
      </c>
      <c r="J571" s="54"/>
      <c r="K571" s="53">
        <v>1</v>
      </c>
      <c r="L571" s="54"/>
      <c r="M571" s="54">
        <v>1</v>
      </c>
      <c r="N571" s="54"/>
      <c r="O571" s="54">
        <v>1</v>
      </c>
      <c r="P571" s="54"/>
      <c r="Q571" s="54">
        <v>1</v>
      </c>
      <c r="R571" s="54"/>
      <c r="S571" s="54">
        <v>1</v>
      </c>
      <c r="T571" s="54"/>
      <c r="U571" s="54">
        <v>1</v>
      </c>
      <c r="V571" s="54"/>
      <c r="W571" s="54">
        <v>1</v>
      </c>
      <c r="X571" s="54"/>
      <c r="Y571" s="54">
        <v>1</v>
      </c>
      <c r="Z571" s="54"/>
      <c r="AA571" s="115">
        <v>1</v>
      </c>
      <c r="AB571" s="115"/>
      <c r="AC571" s="115">
        <v>1</v>
      </c>
      <c r="AD571" s="115"/>
    </row>
    <row r="572" spans="1:30" x14ac:dyDescent="0.2">
      <c r="A572" s="14" t="s">
        <v>426</v>
      </c>
      <c r="B572" s="14" t="s">
        <v>200</v>
      </c>
      <c r="C572" s="14" t="s">
        <v>53</v>
      </c>
      <c r="D572" s="14" t="str">
        <f t="shared" si="8"/>
        <v>B3-P6-C4</v>
      </c>
      <c r="E572" s="14" t="s">
        <v>35</v>
      </c>
      <c r="F572" s="14" t="s">
        <v>133</v>
      </c>
      <c r="G572" s="51" t="s">
        <v>1356</v>
      </c>
      <c r="H572" s="51">
        <v>571</v>
      </c>
      <c r="I572" s="53">
        <v>1</v>
      </c>
      <c r="J572" s="54"/>
      <c r="K572" s="53">
        <v>1</v>
      </c>
      <c r="L572" s="54"/>
      <c r="M572" s="54">
        <v>1</v>
      </c>
      <c r="N572" s="54"/>
      <c r="O572" s="54">
        <v>1</v>
      </c>
      <c r="P572" s="54"/>
      <c r="Q572" s="54">
        <v>1</v>
      </c>
      <c r="R572" s="54"/>
      <c r="S572" s="54">
        <v>1</v>
      </c>
      <c r="T572" s="54"/>
      <c r="U572" s="54">
        <v>1</v>
      </c>
      <c r="V572" s="54"/>
      <c r="W572" s="54">
        <v>1</v>
      </c>
      <c r="X572" s="54"/>
      <c r="Y572" s="54">
        <v>1</v>
      </c>
      <c r="Z572" s="54"/>
      <c r="AA572" s="115">
        <v>1</v>
      </c>
      <c r="AB572" s="115"/>
      <c r="AC572" s="115">
        <v>1</v>
      </c>
      <c r="AD572" s="115"/>
    </row>
    <row r="573" spans="1:30" x14ac:dyDescent="0.2">
      <c r="A573" s="14" t="s">
        <v>426</v>
      </c>
      <c r="B573" s="14" t="s">
        <v>200</v>
      </c>
      <c r="C573" s="14" t="s">
        <v>53</v>
      </c>
      <c r="D573" s="14" t="str">
        <f t="shared" si="8"/>
        <v>B3-P6-C4</v>
      </c>
      <c r="E573" s="14" t="s">
        <v>35</v>
      </c>
      <c r="F573" s="14" t="s">
        <v>133</v>
      </c>
      <c r="G573" s="51" t="s">
        <v>1357</v>
      </c>
      <c r="H573" s="51">
        <v>572</v>
      </c>
      <c r="I573" s="53">
        <v>1</v>
      </c>
      <c r="J573" s="54"/>
      <c r="K573" s="53">
        <v>1</v>
      </c>
      <c r="L573" s="54"/>
      <c r="M573" s="54">
        <v>1</v>
      </c>
      <c r="N573" s="54"/>
      <c r="O573" s="54">
        <v>1</v>
      </c>
      <c r="P573" s="54"/>
      <c r="Q573" s="54">
        <v>1</v>
      </c>
      <c r="R573" s="54"/>
      <c r="S573" s="54">
        <v>1</v>
      </c>
      <c r="T573" s="54"/>
      <c r="U573" s="54">
        <v>1</v>
      </c>
      <c r="V573" s="54"/>
      <c r="W573" s="54">
        <v>1</v>
      </c>
      <c r="X573" s="54"/>
      <c r="Y573" s="54">
        <v>1</v>
      </c>
      <c r="Z573" s="54"/>
      <c r="AA573" s="115">
        <v>1</v>
      </c>
      <c r="AB573" s="115"/>
      <c r="AC573" s="115">
        <v>1</v>
      </c>
      <c r="AD573" s="115"/>
    </row>
    <row r="574" spans="1:30" x14ac:dyDescent="0.2">
      <c r="A574" s="14" t="s">
        <v>426</v>
      </c>
      <c r="B574" s="14" t="s">
        <v>200</v>
      </c>
      <c r="C574" s="14" t="s">
        <v>53</v>
      </c>
      <c r="D574" s="14" t="str">
        <f t="shared" si="8"/>
        <v>B3-P6-C4</v>
      </c>
      <c r="E574" s="14" t="s">
        <v>35</v>
      </c>
      <c r="F574" s="14" t="s">
        <v>133</v>
      </c>
      <c r="G574" s="51" t="s">
        <v>1358</v>
      </c>
      <c r="H574" s="51">
        <v>573</v>
      </c>
      <c r="I574" s="53">
        <v>1</v>
      </c>
      <c r="J574" s="54"/>
      <c r="K574" s="53">
        <v>1</v>
      </c>
      <c r="L574" s="54"/>
      <c r="M574" s="54">
        <v>1</v>
      </c>
      <c r="N574" s="54"/>
      <c r="O574" s="54">
        <v>1</v>
      </c>
      <c r="P574" s="54"/>
      <c r="Q574" s="54">
        <v>1</v>
      </c>
      <c r="R574" s="54"/>
      <c r="S574" s="54">
        <v>1</v>
      </c>
      <c r="T574" s="54"/>
      <c r="U574" s="54">
        <v>1</v>
      </c>
      <c r="V574" s="54"/>
      <c r="W574" s="54">
        <v>1</v>
      </c>
      <c r="X574" s="54"/>
      <c r="Y574" s="54">
        <v>1</v>
      </c>
      <c r="Z574" s="54"/>
      <c r="AA574" s="115">
        <v>1</v>
      </c>
      <c r="AB574" s="115"/>
      <c r="AC574" s="115">
        <v>1</v>
      </c>
      <c r="AD574" s="115"/>
    </row>
    <row r="575" spans="1:30" x14ac:dyDescent="0.2">
      <c r="A575" s="14" t="s">
        <v>426</v>
      </c>
      <c r="B575" s="14" t="s">
        <v>200</v>
      </c>
      <c r="C575" s="14" t="s">
        <v>53</v>
      </c>
      <c r="D575" s="14" t="str">
        <f t="shared" si="8"/>
        <v>B3-P6-C4</v>
      </c>
      <c r="E575" s="14" t="s">
        <v>35</v>
      </c>
      <c r="F575" s="14" t="s">
        <v>133</v>
      </c>
      <c r="G575" s="51" t="s">
        <v>1359</v>
      </c>
      <c r="H575" s="51">
        <v>574</v>
      </c>
      <c r="I575" s="53">
        <v>1</v>
      </c>
      <c r="J575" s="54"/>
      <c r="K575" s="53">
        <v>1</v>
      </c>
      <c r="L575" s="54"/>
      <c r="M575" s="54">
        <v>1</v>
      </c>
      <c r="N575" s="54"/>
      <c r="O575" s="54">
        <v>1</v>
      </c>
      <c r="P575" s="54"/>
      <c r="Q575" s="54">
        <v>1</v>
      </c>
      <c r="R575" s="54"/>
      <c r="S575" s="54">
        <v>1</v>
      </c>
      <c r="T575" s="54"/>
      <c r="U575" s="54">
        <v>1</v>
      </c>
      <c r="V575" s="54"/>
      <c r="W575" s="54">
        <v>1</v>
      </c>
      <c r="X575" s="54"/>
      <c r="Y575" s="54">
        <v>1</v>
      </c>
      <c r="Z575" s="54"/>
      <c r="AA575" s="115">
        <v>1</v>
      </c>
      <c r="AB575" s="115"/>
      <c r="AC575" s="115">
        <v>1</v>
      </c>
      <c r="AD575" s="115"/>
    </row>
    <row r="576" spans="1:30" x14ac:dyDescent="0.2">
      <c r="A576" s="14" t="s">
        <v>426</v>
      </c>
      <c r="B576" s="14" t="s">
        <v>200</v>
      </c>
      <c r="C576" s="14" t="s">
        <v>53</v>
      </c>
      <c r="D576" s="14" t="str">
        <f t="shared" si="8"/>
        <v>B3-P6-C4</v>
      </c>
      <c r="E576" s="14" t="s">
        <v>35</v>
      </c>
      <c r="F576" s="14" t="s">
        <v>133</v>
      </c>
      <c r="G576" s="51" t="s">
        <v>1360</v>
      </c>
      <c r="H576" s="51">
        <v>575</v>
      </c>
      <c r="I576" s="53">
        <v>1</v>
      </c>
      <c r="J576" s="54"/>
      <c r="K576" s="53">
        <v>1</v>
      </c>
      <c r="L576" s="54"/>
      <c r="M576" s="54">
        <v>1</v>
      </c>
      <c r="N576" s="54"/>
      <c r="O576" s="54">
        <v>1</v>
      </c>
      <c r="P576" s="54"/>
      <c r="Q576" s="54">
        <v>1</v>
      </c>
      <c r="R576" s="54"/>
      <c r="S576" s="54">
        <v>1</v>
      </c>
      <c r="T576" s="54"/>
      <c r="U576" s="54">
        <v>1</v>
      </c>
      <c r="V576" s="54"/>
      <c r="W576" s="54">
        <v>1</v>
      </c>
      <c r="X576" s="54"/>
      <c r="Y576" s="54">
        <v>1</v>
      </c>
      <c r="Z576" s="54"/>
      <c r="AA576" s="115">
        <v>1</v>
      </c>
      <c r="AB576" s="115"/>
      <c r="AC576" s="115">
        <v>1</v>
      </c>
      <c r="AD576" s="115"/>
    </row>
    <row r="577" spans="1:30" x14ac:dyDescent="0.2">
      <c r="A577" s="14" t="s">
        <v>426</v>
      </c>
      <c r="B577" s="14" t="s">
        <v>200</v>
      </c>
      <c r="C577" s="14" t="s">
        <v>53</v>
      </c>
      <c r="D577" s="14" t="str">
        <f t="shared" si="8"/>
        <v>B3-P6-C4</v>
      </c>
      <c r="E577" s="14" t="s">
        <v>35</v>
      </c>
      <c r="F577" s="14" t="s">
        <v>133</v>
      </c>
      <c r="G577" s="51" t="s">
        <v>1361</v>
      </c>
      <c r="H577" s="51">
        <v>576</v>
      </c>
      <c r="I577" s="53">
        <v>1</v>
      </c>
      <c r="J577" s="54"/>
      <c r="K577" s="53">
        <v>1</v>
      </c>
      <c r="L577" s="54"/>
      <c r="M577" s="54">
        <v>1</v>
      </c>
      <c r="N577" s="54"/>
      <c r="O577" s="54">
        <v>1</v>
      </c>
      <c r="P577" s="54"/>
      <c r="Q577" s="54">
        <v>1</v>
      </c>
      <c r="R577" s="54"/>
      <c r="S577" s="54">
        <v>1</v>
      </c>
      <c r="T577" s="54"/>
      <c r="U577" s="54">
        <v>1</v>
      </c>
      <c r="V577" s="54"/>
      <c r="W577" s="54">
        <v>1</v>
      </c>
      <c r="X577" s="54"/>
      <c r="Y577" s="54">
        <v>1</v>
      </c>
      <c r="Z577" s="54"/>
      <c r="AA577" s="115">
        <v>1</v>
      </c>
      <c r="AB577" s="115"/>
      <c r="AC577" s="115">
        <v>1</v>
      </c>
      <c r="AD577" s="115"/>
    </row>
    <row r="578" spans="1:30" x14ac:dyDescent="0.2">
      <c r="G578" s="118"/>
      <c r="H578" s="118"/>
      <c r="I578" s="119"/>
      <c r="J578" s="119"/>
      <c r="K578" s="119"/>
      <c r="L578" s="119"/>
      <c r="M578" s="119"/>
      <c r="N578" s="119"/>
      <c r="O578" s="119"/>
      <c r="P578" s="119"/>
      <c r="Q578" s="119"/>
      <c r="R578" s="119"/>
      <c r="S578" s="119"/>
      <c r="T578" s="119"/>
      <c r="U578" s="119"/>
      <c r="V578" s="119"/>
      <c r="W578" s="119"/>
      <c r="X578" s="119"/>
      <c r="Y578" s="119"/>
      <c r="Z578" s="119"/>
      <c r="AA578" s="120"/>
      <c r="AB578" s="120"/>
      <c r="AC578" s="120"/>
      <c r="AD578" s="120"/>
    </row>
    <row r="579" spans="1:30" x14ac:dyDescent="0.2">
      <c r="A579" s="34" t="s">
        <v>14</v>
      </c>
      <c r="B579" s="34" t="s">
        <v>15</v>
      </c>
      <c r="C579" s="34" t="s">
        <v>42</v>
      </c>
      <c r="D579" s="34" t="str">
        <f t="shared" ref="D579:D642" si="9">A579&amp;"-"&amp;B579&amp;"-"&amp;C579</f>
        <v>B1-P1-C3</v>
      </c>
      <c r="E579" s="34" t="s">
        <v>11</v>
      </c>
      <c r="F579" s="34" t="s">
        <v>20</v>
      </c>
      <c r="G579" s="51" t="s">
        <v>1363</v>
      </c>
      <c r="H579" s="51">
        <v>601</v>
      </c>
      <c r="I579" s="53">
        <v>1</v>
      </c>
      <c r="J579" s="54"/>
      <c r="K579" s="53">
        <v>1</v>
      </c>
      <c r="L579" s="54"/>
      <c r="M579" s="54">
        <v>1</v>
      </c>
      <c r="N579" s="54"/>
      <c r="O579" s="54">
        <v>1</v>
      </c>
      <c r="P579" s="54"/>
      <c r="Q579" s="54">
        <v>1</v>
      </c>
      <c r="R579" s="54"/>
      <c r="S579" s="54">
        <v>1</v>
      </c>
      <c r="T579" s="54"/>
      <c r="U579" s="54">
        <v>1</v>
      </c>
      <c r="V579" s="54"/>
      <c r="W579" s="54">
        <v>1</v>
      </c>
      <c r="X579" s="54"/>
      <c r="Y579" s="54">
        <v>1</v>
      </c>
      <c r="Z579" s="54"/>
      <c r="AA579" s="115">
        <v>1</v>
      </c>
      <c r="AB579" s="115"/>
      <c r="AC579" s="115">
        <v>1</v>
      </c>
      <c r="AD579" s="115"/>
    </row>
    <row r="580" spans="1:30" x14ac:dyDescent="0.2">
      <c r="A580" s="34" t="s">
        <v>14</v>
      </c>
      <c r="B580" s="34" t="s">
        <v>15</v>
      </c>
      <c r="C580" s="34" t="s">
        <v>42</v>
      </c>
      <c r="D580" s="34" t="str">
        <f t="shared" si="9"/>
        <v>B1-P1-C3</v>
      </c>
      <c r="E580" s="34" t="s">
        <v>11</v>
      </c>
      <c r="F580" s="34" t="s">
        <v>20</v>
      </c>
      <c r="G580" s="51" t="s">
        <v>1365</v>
      </c>
      <c r="H580" s="51">
        <v>602</v>
      </c>
      <c r="I580" s="53">
        <v>1</v>
      </c>
      <c r="J580" s="54"/>
      <c r="K580" s="53">
        <v>1</v>
      </c>
      <c r="L580" s="54"/>
      <c r="M580" s="54">
        <v>1</v>
      </c>
      <c r="N580" s="54"/>
      <c r="O580" s="54">
        <v>1</v>
      </c>
      <c r="P580" s="54"/>
      <c r="Q580" s="54">
        <v>1</v>
      </c>
      <c r="R580" s="54"/>
      <c r="S580" s="54">
        <v>2</v>
      </c>
      <c r="T580" s="54"/>
      <c r="U580" s="54">
        <v>1</v>
      </c>
      <c r="V580" s="54"/>
      <c r="W580" s="54">
        <v>1</v>
      </c>
      <c r="X580" s="54"/>
      <c r="Y580" s="54">
        <v>1</v>
      </c>
      <c r="Z580" s="54"/>
      <c r="AA580" s="115">
        <v>1</v>
      </c>
      <c r="AB580" s="115"/>
      <c r="AC580" s="115">
        <v>1</v>
      </c>
      <c r="AD580" s="115"/>
    </row>
    <row r="581" spans="1:30" x14ac:dyDescent="0.2">
      <c r="A581" s="34" t="s">
        <v>14</v>
      </c>
      <c r="B581" s="34" t="s">
        <v>15</v>
      </c>
      <c r="C581" s="34" t="s">
        <v>42</v>
      </c>
      <c r="D581" s="34" t="str">
        <f t="shared" si="9"/>
        <v>B1-P1-C3</v>
      </c>
      <c r="E581" s="34" t="s">
        <v>11</v>
      </c>
      <c r="F581" s="34" t="s">
        <v>20</v>
      </c>
      <c r="G581" s="51" t="s">
        <v>1367</v>
      </c>
      <c r="H581" s="51">
        <v>603</v>
      </c>
      <c r="I581" s="53">
        <v>1</v>
      </c>
      <c r="J581" s="54"/>
      <c r="K581" s="53">
        <v>1</v>
      </c>
      <c r="L581" s="54"/>
      <c r="M581" s="54">
        <v>1</v>
      </c>
      <c r="N581" s="54"/>
      <c r="O581" s="54">
        <v>1</v>
      </c>
      <c r="P581" s="54"/>
      <c r="Q581" s="54">
        <v>1</v>
      </c>
      <c r="R581" s="54"/>
      <c r="S581" s="54">
        <v>1</v>
      </c>
      <c r="T581" s="54"/>
      <c r="U581" s="54">
        <v>1</v>
      </c>
      <c r="V581" s="54"/>
      <c r="W581" s="54">
        <v>1</v>
      </c>
      <c r="X581" s="54"/>
      <c r="Y581" s="54">
        <v>1</v>
      </c>
      <c r="Z581" s="54"/>
      <c r="AA581" s="115">
        <v>1</v>
      </c>
      <c r="AB581" s="115"/>
      <c r="AC581" s="115">
        <v>1</v>
      </c>
      <c r="AD581" s="115"/>
    </row>
    <row r="582" spans="1:30" x14ac:dyDescent="0.2">
      <c r="A582" s="34" t="s">
        <v>14</v>
      </c>
      <c r="B582" s="34" t="s">
        <v>15</v>
      </c>
      <c r="C582" s="34" t="s">
        <v>42</v>
      </c>
      <c r="D582" s="34" t="str">
        <f t="shared" si="9"/>
        <v>B1-P1-C3</v>
      </c>
      <c r="E582" s="34" t="s">
        <v>11</v>
      </c>
      <c r="F582" s="34" t="s">
        <v>20</v>
      </c>
      <c r="G582" s="51" t="s">
        <v>1369</v>
      </c>
      <c r="H582" s="51">
        <v>604</v>
      </c>
      <c r="I582" s="53">
        <v>1</v>
      </c>
      <c r="J582" s="54"/>
      <c r="K582" s="53">
        <v>1</v>
      </c>
      <c r="L582" s="54"/>
      <c r="M582" s="54">
        <v>1</v>
      </c>
      <c r="N582" s="54"/>
      <c r="O582" s="54">
        <v>1</v>
      </c>
      <c r="P582" s="54"/>
      <c r="Q582" s="54">
        <v>1</v>
      </c>
      <c r="R582" s="54"/>
      <c r="S582" s="54">
        <v>1</v>
      </c>
      <c r="T582" s="54"/>
      <c r="U582" s="54">
        <v>1</v>
      </c>
      <c r="V582" s="54"/>
      <c r="W582" s="54">
        <v>1</v>
      </c>
      <c r="X582" s="54"/>
      <c r="Y582" s="54">
        <v>1</v>
      </c>
      <c r="Z582" s="54"/>
      <c r="AA582" s="115">
        <v>1</v>
      </c>
      <c r="AB582" s="115"/>
      <c r="AC582" s="115">
        <v>1</v>
      </c>
      <c r="AD582" s="115"/>
    </row>
    <row r="583" spans="1:30" x14ac:dyDescent="0.2">
      <c r="A583" s="34" t="s">
        <v>14</v>
      </c>
      <c r="B583" s="34" t="s">
        <v>15</v>
      </c>
      <c r="C583" s="34" t="s">
        <v>42</v>
      </c>
      <c r="D583" s="34" t="str">
        <f t="shared" si="9"/>
        <v>B1-P1-C3</v>
      </c>
      <c r="E583" s="34" t="s">
        <v>11</v>
      </c>
      <c r="F583" s="34" t="s">
        <v>20</v>
      </c>
      <c r="G583" s="51" t="s">
        <v>1371</v>
      </c>
      <c r="H583" s="51">
        <v>605</v>
      </c>
      <c r="I583" s="53">
        <v>1</v>
      </c>
      <c r="J583" s="54"/>
      <c r="K583" s="53">
        <v>1</v>
      </c>
      <c r="L583" s="54"/>
      <c r="M583" s="54">
        <v>1</v>
      </c>
      <c r="N583" s="54"/>
      <c r="O583" s="54">
        <v>1</v>
      </c>
      <c r="P583" s="54"/>
      <c r="Q583" s="54">
        <v>1</v>
      </c>
      <c r="R583" s="54"/>
      <c r="S583" s="54">
        <v>1</v>
      </c>
      <c r="T583" s="54"/>
      <c r="U583" s="54">
        <v>1</v>
      </c>
      <c r="V583" s="54"/>
      <c r="W583" s="54">
        <v>1</v>
      </c>
      <c r="X583" s="54"/>
      <c r="Y583" s="54">
        <v>1</v>
      </c>
      <c r="Z583" s="54"/>
      <c r="AA583" s="115">
        <v>1</v>
      </c>
      <c r="AB583" s="115"/>
      <c r="AC583" s="115">
        <v>1</v>
      </c>
      <c r="AD583" s="115"/>
    </row>
    <row r="584" spans="1:30" x14ac:dyDescent="0.2">
      <c r="A584" s="34" t="s">
        <v>14</v>
      </c>
      <c r="B584" s="34" t="s">
        <v>15</v>
      </c>
      <c r="C584" s="34" t="s">
        <v>42</v>
      </c>
      <c r="D584" s="34" t="str">
        <f t="shared" si="9"/>
        <v>B1-P1-C3</v>
      </c>
      <c r="E584" s="34" t="s">
        <v>11</v>
      </c>
      <c r="F584" s="34" t="s">
        <v>20</v>
      </c>
      <c r="G584" s="51" t="s">
        <v>1373</v>
      </c>
      <c r="H584" s="51">
        <v>606</v>
      </c>
      <c r="I584" s="53">
        <v>1</v>
      </c>
      <c r="J584" s="54"/>
      <c r="K584" s="53">
        <v>1</v>
      </c>
      <c r="L584" s="54"/>
      <c r="M584" s="54">
        <v>1</v>
      </c>
      <c r="N584" s="54"/>
      <c r="O584" s="54">
        <v>1</v>
      </c>
      <c r="P584" s="54"/>
      <c r="Q584" s="54">
        <v>1</v>
      </c>
      <c r="R584" s="54"/>
      <c r="S584" s="54">
        <v>1</v>
      </c>
      <c r="T584" s="54"/>
      <c r="U584" s="54">
        <v>1</v>
      </c>
      <c r="V584" s="54"/>
      <c r="W584" s="54">
        <v>1</v>
      </c>
      <c r="X584" s="54"/>
      <c r="Y584" s="54">
        <v>1</v>
      </c>
      <c r="Z584" s="54"/>
      <c r="AA584" s="115">
        <v>1</v>
      </c>
      <c r="AB584" s="115"/>
      <c r="AC584" s="115">
        <v>1</v>
      </c>
      <c r="AD584" s="115"/>
    </row>
    <row r="585" spans="1:30" x14ac:dyDescent="0.2">
      <c r="A585" s="35" t="s">
        <v>14</v>
      </c>
      <c r="B585" s="35" t="s">
        <v>15</v>
      </c>
      <c r="C585" s="35" t="s">
        <v>53</v>
      </c>
      <c r="D585" s="31" t="str">
        <f t="shared" si="9"/>
        <v>B1-P1-C4</v>
      </c>
      <c r="E585" s="35" t="s">
        <v>11</v>
      </c>
      <c r="F585" s="35" t="s">
        <v>20</v>
      </c>
      <c r="G585" s="50" t="s">
        <v>1375</v>
      </c>
      <c r="H585" s="50">
        <v>607</v>
      </c>
      <c r="I585" s="52">
        <v>1</v>
      </c>
      <c r="J585" s="52"/>
      <c r="K585" s="52">
        <v>1</v>
      </c>
      <c r="L585" s="52"/>
      <c r="M585" s="52">
        <v>1</v>
      </c>
      <c r="N585" s="52"/>
      <c r="O585" s="52">
        <v>1</v>
      </c>
      <c r="P585" s="52"/>
      <c r="Q585" s="52">
        <v>1</v>
      </c>
      <c r="R585" s="52"/>
      <c r="S585" s="52">
        <v>2</v>
      </c>
      <c r="T585" s="52"/>
      <c r="U585" s="52">
        <v>1</v>
      </c>
      <c r="V585" s="52"/>
      <c r="W585" s="52">
        <v>1</v>
      </c>
      <c r="X585" s="52"/>
      <c r="Y585" s="52">
        <v>2</v>
      </c>
      <c r="Z585" s="52"/>
      <c r="AA585" s="114">
        <v>2</v>
      </c>
      <c r="AB585" s="114"/>
      <c r="AC585" s="114">
        <v>1</v>
      </c>
      <c r="AD585" s="114"/>
    </row>
    <row r="586" spans="1:30" x14ac:dyDescent="0.2">
      <c r="A586" s="35" t="s">
        <v>14</v>
      </c>
      <c r="B586" s="35" t="s">
        <v>15</v>
      </c>
      <c r="C586" s="35" t="s">
        <v>53</v>
      </c>
      <c r="D586" s="31" t="str">
        <f t="shared" si="9"/>
        <v>B1-P1-C4</v>
      </c>
      <c r="E586" s="35" t="s">
        <v>11</v>
      </c>
      <c r="F586" s="35" t="s">
        <v>20</v>
      </c>
      <c r="G586" s="50" t="s">
        <v>1377</v>
      </c>
      <c r="H586" s="50">
        <v>608</v>
      </c>
      <c r="I586" s="52">
        <v>1</v>
      </c>
      <c r="J586" s="52"/>
      <c r="K586" s="52">
        <v>1</v>
      </c>
      <c r="L586" s="52"/>
      <c r="M586" s="52">
        <v>1</v>
      </c>
      <c r="N586" s="52"/>
      <c r="O586" s="52">
        <v>1</v>
      </c>
      <c r="P586" s="52"/>
      <c r="Q586" s="52">
        <v>1.5</v>
      </c>
      <c r="R586" s="52"/>
      <c r="S586" s="52">
        <v>1</v>
      </c>
      <c r="T586" s="52"/>
      <c r="U586" s="52">
        <v>1</v>
      </c>
      <c r="V586" s="52"/>
      <c r="W586" s="52">
        <v>1</v>
      </c>
      <c r="X586" s="52"/>
      <c r="Y586" s="52">
        <v>1</v>
      </c>
      <c r="Z586" s="52"/>
      <c r="AA586" s="114">
        <v>1</v>
      </c>
      <c r="AB586" s="114"/>
      <c r="AC586" s="114">
        <v>1</v>
      </c>
      <c r="AD586" s="114"/>
    </row>
    <row r="587" spans="1:30" x14ac:dyDescent="0.2">
      <c r="A587" s="35" t="s">
        <v>14</v>
      </c>
      <c r="B587" s="35" t="s">
        <v>15</v>
      </c>
      <c r="C587" s="35" t="s">
        <v>53</v>
      </c>
      <c r="D587" s="31" t="str">
        <f t="shared" si="9"/>
        <v>B1-P1-C4</v>
      </c>
      <c r="E587" s="35" t="s">
        <v>11</v>
      </c>
      <c r="F587" s="35" t="s">
        <v>20</v>
      </c>
      <c r="G587" s="50" t="s">
        <v>1379</v>
      </c>
      <c r="H587" s="50">
        <v>609</v>
      </c>
      <c r="I587" s="52">
        <v>1</v>
      </c>
      <c r="J587" s="52"/>
      <c r="K587" s="52">
        <v>1</v>
      </c>
      <c r="L587" s="52"/>
      <c r="M587" s="52">
        <v>1</v>
      </c>
      <c r="N587" s="52"/>
      <c r="O587" s="52">
        <v>1</v>
      </c>
      <c r="P587" s="52"/>
      <c r="Q587" s="52">
        <v>1</v>
      </c>
      <c r="R587" s="52"/>
      <c r="S587" s="52">
        <v>2</v>
      </c>
      <c r="T587" s="52"/>
      <c r="U587" s="52">
        <v>1</v>
      </c>
      <c r="V587" s="52"/>
      <c r="W587" s="52">
        <v>1</v>
      </c>
      <c r="X587" s="52"/>
      <c r="Y587" s="52">
        <v>1</v>
      </c>
      <c r="Z587" s="52"/>
      <c r="AA587" s="114">
        <v>1</v>
      </c>
      <c r="AB587" s="114"/>
      <c r="AC587" s="114">
        <v>1</v>
      </c>
      <c r="AD587" s="114"/>
    </row>
    <row r="588" spans="1:30" x14ac:dyDescent="0.2">
      <c r="A588" s="35" t="s">
        <v>14</v>
      </c>
      <c r="B588" s="35" t="s">
        <v>15</v>
      </c>
      <c r="C588" s="35" t="s">
        <v>53</v>
      </c>
      <c r="D588" s="31" t="str">
        <f t="shared" si="9"/>
        <v>B1-P1-C4</v>
      </c>
      <c r="E588" s="35" t="s">
        <v>11</v>
      </c>
      <c r="F588" s="35" t="s">
        <v>20</v>
      </c>
      <c r="G588" s="50" t="s">
        <v>1381</v>
      </c>
      <c r="H588" s="50">
        <v>610</v>
      </c>
      <c r="I588" s="52">
        <v>1</v>
      </c>
      <c r="J588" s="52"/>
      <c r="K588" s="52">
        <v>1</v>
      </c>
      <c r="L588" s="52"/>
      <c r="M588" s="52">
        <v>1</v>
      </c>
      <c r="N588" s="52"/>
      <c r="O588" s="52">
        <v>2</v>
      </c>
      <c r="P588" s="52"/>
      <c r="Q588" s="52">
        <v>1.5</v>
      </c>
      <c r="R588" s="52"/>
      <c r="S588" s="52">
        <v>2</v>
      </c>
      <c r="T588" s="52"/>
      <c r="U588" s="52">
        <v>1</v>
      </c>
      <c r="V588" s="52"/>
      <c r="W588" s="52">
        <v>2</v>
      </c>
      <c r="X588" s="52"/>
      <c r="Y588" s="52">
        <v>2</v>
      </c>
      <c r="Z588" s="52"/>
      <c r="AA588" s="114">
        <v>2</v>
      </c>
      <c r="AB588" s="114"/>
      <c r="AC588" s="114">
        <v>2</v>
      </c>
      <c r="AD588" s="114"/>
    </row>
    <row r="589" spans="1:30" x14ac:dyDescent="0.2">
      <c r="A589" s="35" t="s">
        <v>14</v>
      </c>
      <c r="B589" s="35" t="s">
        <v>15</v>
      </c>
      <c r="C589" s="35" t="s">
        <v>53</v>
      </c>
      <c r="D589" s="31" t="str">
        <f t="shared" si="9"/>
        <v>B1-P1-C4</v>
      </c>
      <c r="E589" s="35" t="s">
        <v>11</v>
      </c>
      <c r="F589" s="35" t="s">
        <v>20</v>
      </c>
      <c r="G589" s="50" t="s">
        <v>1383</v>
      </c>
      <c r="H589" s="50">
        <v>611</v>
      </c>
      <c r="I589" s="52">
        <v>1</v>
      </c>
      <c r="J589" s="52"/>
      <c r="K589" s="52">
        <v>1</v>
      </c>
      <c r="L589" s="52"/>
      <c r="M589" s="52">
        <v>3</v>
      </c>
      <c r="N589" s="52"/>
      <c r="O589" s="52">
        <v>3</v>
      </c>
      <c r="P589" s="52"/>
      <c r="Q589" s="52">
        <v>3</v>
      </c>
      <c r="R589" s="52"/>
      <c r="S589" s="52">
        <v>3.5</v>
      </c>
      <c r="T589" s="52"/>
      <c r="U589" s="52">
        <v>3</v>
      </c>
      <c r="V589" s="52"/>
      <c r="W589" s="52">
        <v>3</v>
      </c>
      <c r="X589" s="52"/>
      <c r="Y589" s="52">
        <v>2</v>
      </c>
      <c r="Z589" s="52"/>
      <c r="AA589" s="114">
        <v>2</v>
      </c>
      <c r="AB589" s="114"/>
      <c r="AC589" s="114">
        <v>2</v>
      </c>
      <c r="AD589" s="114"/>
    </row>
    <row r="590" spans="1:30" x14ac:dyDescent="0.2">
      <c r="A590" s="35" t="s">
        <v>14</v>
      </c>
      <c r="B590" s="35" t="s">
        <v>15</v>
      </c>
      <c r="C590" s="35" t="s">
        <v>53</v>
      </c>
      <c r="D590" s="31" t="str">
        <f t="shared" si="9"/>
        <v>B1-P1-C4</v>
      </c>
      <c r="E590" s="35" t="s">
        <v>11</v>
      </c>
      <c r="F590" s="35" t="s">
        <v>20</v>
      </c>
      <c r="G590" s="50" t="s">
        <v>1385</v>
      </c>
      <c r="H590" s="50">
        <v>612</v>
      </c>
      <c r="I590" s="52">
        <v>1</v>
      </c>
      <c r="J590" s="52"/>
      <c r="K590" s="52">
        <v>1</v>
      </c>
      <c r="L590" s="52"/>
      <c r="M590" s="52">
        <v>1</v>
      </c>
      <c r="N590" s="52"/>
      <c r="O590" s="52">
        <v>1.5</v>
      </c>
      <c r="P590" s="52"/>
      <c r="Q590" s="52">
        <v>1</v>
      </c>
      <c r="R590" s="52"/>
      <c r="S590" s="52">
        <v>2</v>
      </c>
      <c r="T590" s="52"/>
      <c r="U590" s="52">
        <v>2</v>
      </c>
      <c r="V590" s="52"/>
      <c r="W590" s="52">
        <v>2</v>
      </c>
      <c r="X590" s="52"/>
      <c r="Y590" s="52">
        <v>2</v>
      </c>
      <c r="Z590" s="52"/>
      <c r="AA590" s="114">
        <v>1</v>
      </c>
      <c r="AB590" s="114"/>
      <c r="AC590" s="114">
        <v>1</v>
      </c>
      <c r="AD590" s="114"/>
    </row>
    <row r="591" spans="1:30" x14ac:dyDescent="0.2">
      <c r="A591" s="34" t="s">
        <v>14</v>
      </c>
      <c r="B591" s="34" t="s">
        <v>62</v>
      </c>
      <c r="C591" s="34" t="s">
        <v>16</v>
      </c>
      <c r="D591" s="34" t="str">
        <f t="shared" si="9"/>
        <v>B1-P2-C1</v>
      </c>
      <c r="E591" s="34" t="s">
        <v>11</v>
      </c>
      <c r="F591" s="34" t="s">
        <v>20</v>
      </c>
      <c r="G591" s="51" t="s">
        <v>1387</v>
      </c>
      <c r="H591" s="51">
        <v>613</v>
      </c>
      <c r="I591" s="53">
        <v>1</v>
      </c>
      <c r="J591" s="54"/>
      <c r="K591" s="53">
        <v>2</v>
      </c>
      <c r="L591" s="54"/>
      <c r="M591" s="54">
        <v>2</v>
      </c>
      <c r="N591" s="54"/>
      <c r="O591" s="54">
        <v>1</v>
      </c>
      <c r="P591" s="54"/>
      <c r="Q591" s="54">
        <v>1</v>
      </c>
      <c r="R591" s="54"/>
      <c r="S591" s="54">
        <v>2</v>
      </c>
      <c r="T591" s="54"/>
      <c r="U591" s="54">
        <v>2</v>
      </c>
      <c r="V591" s="54"/>
      <c r="W591" s="54">
        <v>2</v>
      </c>
      <c r="X591" s="54"/>
      <c r="Y591" s="54">
        <v>2</v>
      </c>
      <c r="Z591" s="54"/>
      <c r="AA591" s="115">
        <v>2</v>
      </c>
      <c r="AB591" s="115"/>
      <c r="AC591" s="115">
        <v>2</v>
      </c>
      <c r="AD591" s="115"/>
    </row>
    <row r="592" spans="1:30" x14ac:dyDescent="0.2">
      <c r="A592" s="34" t="s">
        <v>14</v>
      </c>
      <c r="B592" s="34" t="s">
        <v>62</v>
      </c>
      <c r="C592" s="34" t="s">
        <v>16</v>
      </c>
      <c r="D592" s="34" t="str">
        <f t="shared" si="9"/>
        <v>B1-P2-C1</v>
      </c>
      <c r="E592" s="34" t="s">
        <v>11</v>
      </c>
      <c r="F592" s="34" t="s">
        <v>20</v>
      </c>
      <c r="G592" s="51" t="s">
        <v>1389</v>
      </c>
      <c r="H592" s="51">
        <v>614</v>
      </c>
      <c r="I592" s="53">
        <v>1</v>
      </c>
      <c r="J592" s="54"/>
      <c r="K592" s="53">
        <v>3</v>
      </c>
      <c r="L592" s="54"/>
      <c r="M592" s="54">
        <v>3</v>
      </c>
      <c r="N592" s="54"/>
      <c r="O592" s="54">
        <v>3</v>
      </c>
      <c r="P592" s="54"/>
      <c r="Q592" s="54">
        <v>3</v>
      </c>
      <c r="R592" s="54"/>
      <c r="S592" s="54">
        <v>3</v>
      </c>
      <c r="T592" s="54"/>
      <c r="U592" s="54">
        <v>2</v>
      </c>
      <c r="V592" s="54"/>
      <c r="W592" s="54">
        <v>1</v>
      </c>
      <c r="X592" s="54"/>
      <c r="Y592" s="54">
        <v>1</v>
      </c>
      <c r="Z592" s="54"/>
      <c r="AA592" s="115">
        <v>1</v>
      </c>
      <c r="AB592" s="115"/>
      <c r="AC592" s="115">
        <v>1</v>
      </c>
      <c r="AD592" s="115"/>
    </row>
    <row r="593" spans="1:30" x14ac:dyDescent="0.2">
      <c r="A593" s="34" t="s">
        <v>14</v>
      </c>
      <c r="B593" s="34" t="s">
        <v>62</v>
      </c>
      <c r="C593" s="34" t="s">
        <v>16</v>
      </c>
      <c r="D593" s="34" t="str">
        <f t="shared" si="9"/>
        <v>B1-P2-C1</v>
      </c>
      <c r="E593" s="34" t="s">
        <v>11</v>
      </c>
      <c r="F593" s="34" t="s">
        <v>20</v>
      </c>
      <c r="G593" s="51" t="s">
        <v>1391</v>
      </c>
      <c r="H593" s="51">
        <v>615</v>
      </c>
      <c r="I593" s="53">
        <v>1</v>
      </c>
      <c r="J593" s="54"/>
      <c r="K593" s="53">
        <v>2</v>
      </c>
      <c r="L593" s="54"/>
      <c r="M593" s="54">
        <v>2</v>
      </c>
      <c r="N593" s="54"/>
      <c r="O593" s="54">
        <v>2</v>
      </c>
      <c r="P593" s="54"/>
      <c r="Q593" s="54">
        <v>2</v>
      </c>
      <c r="R593" s="54"/>
      <c r="S593" s="54">
        <v>2</v>
      </c>
      <c r="T593" s="54"/>
      <c r="U593" s="54">
        <v>1</v>
      </c>
      <c r="V593" s="54"/>
      <c r="W593" s="54">
        <v>2</v>
      </c>
      <c r="X593" s="54"/>
      <c r="Y593" s="54">
        <v>1</v>
      </c>
      <c r="Z593" s="54"/>
      <c r="AA593" s="115">
        <v>1</v>
      </c>
      <c r="AB593" s="115"/>
      <c r="AC593" s="115">
        <v>1</v>
      </c>
      <c r="AD593" s="115"/>
    </row>
    <row r="594" spans="1:30" x14ac:dyDescent="0.2">
      <c r="A594" s="34" t="s">
        <v>14</v>
      </c>
      <c r="B594" s="34" t="s">
        <v>62</v>
      </c>
      <c r="C594" s="34" t="s">
        <v>16</v>
      </c>
      <c r="D594" s="34" t="str">
        <f t="shared" si="9"/>
        <v>B1-P2-C1</v>
      </c>
      <c r="E594" s="34" t="s">
        <v>11</v>
      </c>
      <c r="F594" s="34" t="s">
        <v>20</v>
      </c>
      <c r="G594" s="51" t="s">
        <v>1393</v>
      </c>
      <c r="H594" s="51">
        <v>616</v>
      </c>
      <c r="I594" s="53">
        <v>1</v>
      </c>
      <c r="J594" s="54"/>
      <c r="K594" s="53">
        <v>1</v>
      </c>
      <c r="L594" s="54"/>
      <c r="M594" s="54">
        <v>1</v>
      </c>
      <c r="N594" s="54"/>
      <c r="O594" s="54">
        <v>1</v>
      </c>
      <c r="P594" s="54"/>
      <c r="Q594" s="54">
        <v>1</v>
      </c>
      <c r="R594" s="54"/>
      <c r="S594" s="54">
        <v>1</v>
      </c>
      <c r="T594" s="54"/>
      <c r="U594" s="54">
        <v>1</v>
      </c>
      <c r="V594" s="54"/>
      <c r="W594" s="54">
        <v>1</v>
      </c>
      <c r="X594" s="54"/>
      <c r="Y594" s="54">
        <v>2</v>
      </c>
      <c r="Z594" s="54"/>
      <c r="AA594" s="115">
        <v>1</v>
      </c>
      <c r="AB594" s="115"/>
      <c r="AC594" s="115">
        <v>1</v>
      </c>
      <c r="AD594" s="115"/>
    </row>
    <row r="595" spans="1:30" x14ac:dyDescent="0.2">
      <c r="A595" s="34" t="s">
        <v>14</v>
      </c>
      <c r="B595" s="34" t="s">
        <v>62</v>
      </c>
      <c r="C595" s="34" t="s">
        <v>16</v>
      </c>
      <c r="D595" s="34" t="str">
        <f t="shared" si="9"/>
        <v>B1-P2-C1</v>
      </c>
      <c r="E595" s="34" t="s">
        <v>11</v>
      </c>
      <c r="F595" s="34" t="s">
        <v>20</v>
      </c>
      <c r="G595" s="51" t="s">
        <v>1395</v>
      </c>
      <c r="H595" s="51">
        <v>617</v>
      </c>
      <c r="I595" s="53">
        <v>1</v>
      </c>
      <c r="J595" s="54"/>
      <c r="K595" s="53">
        <v>1</v>
      </c>
      <c r="L595" s="54"/>
      <c r="M595" s="54">
        <v>1</v>
      </c>
      <c r="N595" s="54"/>
      <c r="O595" s="54">
        <v>1</v>
      </c>
      <c r="P595" s="54"/>
      <c r="Q595" s="54">
        <v>1</v>
      </c>
      <c r="R595" s="54"/>
      <c r="S595" s="54">
        <v>2</v>
      </c>
      <c r="T595" s="54"/>
      <c r="U595" s="54">
        <v>1</v>
      </c>
      <c r="V595" s="54"/>
      <c r="W595" s="54">
        <v>1</v>
      </c>
      <c r="X595" s="54"/>
      <c r="Y595" s="54">
        <v>1</v>
      </c>
      <c r="Z595" s="54"/>
      <c r="AA595" s="115">
        <v>1</v>
      </c>
      <c r="AB595" s="115"/>
      <c r="AC595" s="115">
        <v>1</v>
      </c>
      <c r="AD595" s="115"/>
    </row>
    <row r="596" spans="1:30" x14ac:dyDescent="0.2">
      <c r="A596" s="34" t="s">
        <v>14</v>
      </c>
      <c r="B596" s="34" t="s">
        <v>62</v>
      </c>
      <c r="C596" s="34" t="s">
        <v>16</v>
      </c>
      <c r="D596" s="34" t="str">
        <f t="shared" si="9"/>
        <v>B1-P2-C1</v>
      </c>
      <c r="E596" s="34" t="s">
        <v>11</v>
      </c>
      <c r="F596" s="34" t="s">
        <v>20</v>
      </c>
      <c r="G596" s="51" t="s">
        <v>1397</v>
      </c>
      <c r="H596" s="51">
        <v>618</v>
      </c>
      <c r="I596" s="53">
        <v>1</v>
      </c>
      <c r="J596" s="54"/>
      <c r="K596" s="53">
        <v>2</v>
      </c>
      <c r="L596" s="54"/>
      <c r="M596" s="54">
        <v>1</v>
      </c>
      <c r="N596" s="54"/>
      <c r="O596" s="54">
        <v>1</v>
      </c>
      <c r="P596" s="54"/>
      <c r="Q596" s="54">
        <v>1</v>
      </c>
      <c r="R596" s="54"/>
      <c r="S596" s="54">
        <v>2</v>
      </c>
      <c r="T596" s="54"/>
      <c r="U596" s="54">
        <v>3</v>
      </c>
      <c r="V596" s="54"/>
      <c r="W596" s="54">
        <v>1</v>
      </c>
      <c r="X596" s="54"/>
      <c r="Y596" s="54">
        <v>1</v>
      </c>
      <c r="Z596" s="54"/>
      <c r="AA596" s="115">
        <v>1</v>
      </c>
      <c r="AB596" s="115"/>
      <c r="AC596" s="115">
        <v>2</v>
      </c>
      <c r="AD596" s="115"/>
    </row>
    <row r="597" spans="1:30" x14ac:dyDescent="0.2">
      <c r="A597" s="35" t="s">
        <v>14</v>
      </c>
      <c r="B597" s="35" t="s">
        <v>62</v>
      </c>
      <c r="C597" s="35" t="s">
        <v>42</v>
      </c>
      <c r="D597" s="31" t="str">
        <f t="shared" si="9"/>
        <v>B1-P2-C3</v>
      </c>
      <c r="E597" s="35" t="s">
        <v>11</v>
      </c>
      <c r="F597" s="35" t="s">
        <v>20</v>
      </c>
      <c r="G597" s="50" t="s">
        <v>1399</v>
      </c>
      <c r="H597" s="50">
        <v>619</v>
      </c>
      <c r="I597" s="52">
        <v>1</v>
      </c>
      <c r="J597" s="52"/>
      <c r="K597" s="52">
        <v>1</v>
      </c>
      <c r="L597" s="52"/>
      <c r="M597" s="52">
        <v>1</v>
      </c>
      <c r="N597" s="52"/>
      <c r="O597" s="52">
        <v>1</v>
      </c>
      <c r="P597" s="52"/>
      <c r="Q597" s="52">
        <v>1</v>
      </c>
      <c r="R597" s="52"/>
      <c r="S597" s="52">
        <v>2</v>
      </c>
      <c r="T597" s="52"/>
      <c r="U597" s="52">
        <v>1</v>
      </c>
      <c r="V597" s="52"/>
      <c r="W597" s="52">
        <v>1</v>
      </c>
      <c r="X597" s="52"/>
      <c r="Y597" s="52">
        <v>1</v>
      </c>
      <c r="Z597" s="52"/>
      <c r="AA597" s="114">
        <v>1</v>
      </c>
      <c r="AB597" s="114"/>
      <c r="AC597" s="114">
        <v>1</v>
      </c>
      <c r="AD597" s="114"/>
    </row>
    <row r="598" spans="1:30" x14ac:dyDescent="0.2">
      <c r="A598" s="35" t="s">
        <v>14</v>
      </c>
      <c r="B598" s="35" t="s">
        <v>62</v>
      </c>
      <c r="C598" s="35" t="s">
        <v>42</v>
      </c>
      <c r="D598" s="31" t="str">
        <f t="shared" si="9"/>
        <v>B1-P2-C3</v>
      </c>
      <c r="E598" s="35" t="s">
        <v>11</v>
      </c>
      <c r="F598" s="35" t="s">
        <v>20</v>
      </c>
      <c r="G598" s="50" t="s">
        <v>1401</v>
      </c>
      <c r="H598" s="50">
        <v>620</v>
      </c>
      <c r="I598" s="52">
        <v>1</v>
      </c>
      <c r="J598" s="52"/>
      <c r="K598" s="52">
        <v>1</v>
      </c>
      <c r="L598" s="52"/>
      <c r="M598" s="52">
        <v>1</v>
      </c>
      <c r="N598" s="52"/>
      <c r="O598" s="52">
        <v>1</v>
      </c>
      <c r="P598" s="52"/>
      <c r="Q598" s="52">
        <v>1</v>
      </c>
      <c r="R598" s="52"/>
      <c r="S598" s="52">
        <v>2</v>
      </c>
      <c r="T598" s="52"/>
      <c r="U598" s="52">
        <v>1</v>
      </c>
      <c r="V598" s="52"/>
      <c r="W598" s="52">
        <v>2</v>
      </c>
      <c r="X598" s="52"/>
      <c r="Y598" s="52">
        <v>1</v>
      </c>
      <c r="Z598" s="52"/>
      <c r="AA598" s="114">
        <v>1</v>
      </c>
      <c r="AB598" s="114"/>
      <c r="AC598" s="114">
        <v>1</v>
      </c>
      <c r="AD598" s="114"/>
    </row>
    <row r="599" spans="1:30" x14ac:dyDescent="0.2">
      <c r="A599" s="35" t="s">
        <v>14</v>
      </c>
      <c r="B599" s="35" t="s">
        <v>62</v>
      </c>
      <c r="C599" s="35" t="s">
        <v>42</v>
      </c>
      <c r="D599" s="31" t="str">
        <f t="shared" si="9"/>
        <v>B1-P2-C3</v>
      </c>
      <c r="E599" s="35" t="s">
        <v>11</v>
      </c>
      <c r="F599" s="35" t="s">
        <v>20</v>
      </c>
      <c r="G599" s="50" t="s">
        <v>1403</v>
      </c>
      <c r="H599" s="50">
        <v>621</v>
      </c>
      <c r="I599" s="52">
        <v>1</v>
      </c>
      <c r="J599" s="52"/>
      <c r="K599" s="52">
        <v>1</v>
      </c>
      <c r="L599" s="52"/>
      <c r="M599" s="52">
        <v>1</v>
      </c>
      <c r="N599" s="52"/>
      <c r="O599" s="52">
        <v>1</v>
      </c>
      <c r="P599" s="52"/>
      <c r="Q599" s="52">
        <v>1</v>
      </c>
      <c r="R599" s="52"/>
      <c r="S599" s="52">
        <v>2</v>
      </c>
      <c r="T599" s="52"/>
      <c r="U599" s="52">
        <v>1</v>
      </c>
      <c r="V599" s="52"/>
      <c r="W599" s="52">
        <v>1</v>
      </c>
      <c r="X599" s="52"/>
      <c r="Y599" s="52">
        <v>1</v>
      </c>
      <c r="Z599" s="52"/>
      <c r="AA599" s="114">
        <v>1</v>
      </c>
      <c r="AB599" s="114"/>
      <c r="AC599" s="114">
        <v>1</v>
      </c>
      <c r="AD599" s="114"/>
    </row>
    <row r="600" spans="1:30" x14ac:dyDescent="0.2">
      <c r="A600" s="35" t="s">
        <v>14</v>
      </c>
      <c r="B600" s="35" t="s">
        <v>62</v>
      </c>
      <c r="C600" s="35" t="s">
        <v>42</v>
      </c>
      <c r="D600" s="31" t="str">
        <f t="shared" si="9"/>
        <v>B1-P2-C3</v>
      </c>
      <c r="E600" s="35" t="s">
        <v>11</v>
      </c>
      <c r="F600" s="35" t="s">
        <v>20</v>
      </c>
      <c r="G600" s="50" t="s">
        <v>1405</v>
      </c>
      <c r="H600" s="50">
        <v>622</v>
      </c>
      <c r="I600" s="52">
        <v>1</v>
      </c>
      <c r="J600" s="52"/>
      <c r="K600" s="52">
        <v>2</v>
      </c>
      <c r="L600" s="52"/>
      <c r="M600" s="52">
        <v>1.5</v>
      </c>
      <c r="N600" s="52"/>
      <c r="O600" s="52">
        <v>1.5</v>
      </c>
      <c r="P600" s="52"/>
      <c r="Q600" s="52">
        <v>1</v>
      </c>
      <c r="R600" s="52"/>
      <c r="S600" s="52">
        <v>2</v>
      </c>
      <c r="T600" s="52"/>
      <c r="U600" s="52">
        <v>1</v>
      </c>
      <c r="V600" s="52"/>
      <c r="W600" s="52">
        <v>1</v>
      </c>
      <c r="X600" s="52"/>
      <c r="Y600" s="52">
        <v>1</v>
      </c>
      <c r="Z600" s="52"/>
      <c r="AA600" s="114">
        <v>1</v>
      </c>
      <c r="AB600" s="114"/>
      <c r="AC600" s="114">
        <v>2</v>
      </c>
      <c r="AD600" s="114"/>
    </row>
    <row r="601" spans="1:30" x14ac:dyDescent="0.2">
      <c r="A601" s="35" t="s">
        <v>14</v>
      </c>
      <c r="B601" s="35" t="s">
        <v>62</v>
      </c>
      <c r="C601" s="35" t="s">
        <v>42</v>
      </c>
      <c r="D601" s="31" t="str">
        <f t="shared" si="9"/>
        <v>B1-P2-C3</v>
      </c>
      <c r="E601" s="35" t="s">
        <v>11</v>
      </c>
      <c r="F601" s="35" t="s">
        <v>20</v>
      </c>
      <c r="G601" s="50" t="s">
        <v>1407</v>
      </c>
      <c r="H601" s="50">
        <v>623</v>
      </c>
      <c r="I601" s="52">
        <v>1</v>
      </c>
      <c r="J601" s="52"/>
      <c r="K601" s="52">
        <v>1</v>
      </c>
      <c r="L601" s="52"/>
      <c r="M601" s="52">
        <v>1</v>
      </c>
      <c r="N601" s="52"/>
      <c r="O601" s="52">
        <v>1</v>
      </c>
      <c r="P601" s="52"/>
      <c r="Q601" s="52">
        <v>1</v>
      </c>
      <c r="R601" s="52"/>
      <c r="S601" s="52">
        <v>2</v>
      </c>
      <c r="T601" s="52"/>
      <c r="U601" s="52">
        <v>1</v>
      </c>
      <c r="V601" s="52"/>
      <c r="W601" s="52">
        <v>1</v>
      </c>
      <c r="X601" s="52"/>
      <c r="Y601" s="52">
        <v>1</v>
      </c>
      <c r="Z601" s="52"/>
      <c r="AA601" s="114">
        <v>1</v>
      </c>
      <c r="AB601" s="114"/>
      <c r="AC601" s="114">
        <v>1</v>
      </c>
      <c r="AD601" s="114"/>
    </row>
    <row r="602" spans="1:30" x14ac:dyDescent="0.2">
      <c r="A602" s="35" t="s">
        <v>14</v>
      </c>
      <c r="B602" s="35" t="s">
        <v>62</v>
      </c>
      <c r="C602" s="35" t="s">
        <v>42</v>
      </c>
      <c r="D602" s="31" t="str">
        <f t="shared" si="9"/>
        <v>B1-P2-C3</v>
      </c>
      <c r="E602" s="35" t="s">
        <v>11</v>
      </c>
      <c r="F602" s="35" t="s">
        <v>20</v>
      </c>
      <c r="G602" s="50" t="s">
        <v>1409</v>
      </c>
      <c r="H602" s="50">
        <v>624</v>
      </c>
      <c r="I602" s="52">
        <v>1</v>
      </c>
      <c r="J602" s="52"/>
      <c r="K602" s="52">
        <v>1</v>
      </c>
      <c r="L602" s="52"/>
      <c r="M602" s="52">
        <v>1</v>
      </c>
      <c r="N602" s="52"/>
      <c r="O602" s="52">
        <v>1</v>
      </c>
      <c r="P602" s="52"/>
      <c r="Q602" s="52">
        <v>1</v>
      </c>
      <c r="R602" s="52"/>
      <c r="S602" s="52">
        <v>2</v>
      </c>
      <c r="T602" s="52"/>
      <c r="U602" s="52">
        <v>1</v>
      </c>
      <c r="V602" s="52"/>
      <c r="W602" s="52">
        <v>1</v>
      </c>
      <c r="X602" s="52"/>
      <c r="Y602" s="52">
        <v>1</v>
      </c>
      <c r="Z602" s="52"/>
      <c r="AA602" s="114">
        <v>1</v>
      </c>
      <c r="AB602" s="114"/>
      <c r="AC602" s="114">
        <v>1</v>
      </c>
      <c r="AD602" s="114"/>
    </row>
    <row r="603" spans="1:30" x14ac:dyDescent="0.2">
      <c r="A603" s="34" t="s">
        <v>14</v>
      </c>
      <c r="B603" s="34" t="s">
        <v>98</v>
      </c>
      <c r="C603" s="34" t="s">
        <v>42</v>
      </c>
      <c r="D603" s="34" t="str">
        <f t="shared" si="9"/>
        <v>B1-P3-C3</v>
      </c>
      <c r="E603" s="34" t="s">
        <v>11</v>
      </c>
      <c r="F603" s="34" t="s">
        <v>20</v>
      </c>
      <c r="G603" s="51" t="s">
        <v>1411</v>
      </c>
      <c r="H603" s="51">
        <v>625</v>
      </c>
      <c r="I603" s="53">
        <v>1</v>
      </c>
      <c r="J603" s="54"/>
      <c r="K603" s="53">
        <v>1</v>
      </c>
      <c r="L603" s="54"/>
      <c r="M603" s="54">
        <v>1</v>
      </c>
      <c r="N603" s="54"/>
      <c r="O603" s="54">
        <v>1</v>
      </c>
      <c r="P603" s="54"/>
      <c r="Q603" s="54">
        <v>1</v>
      </c>
      <c r="R603" s="54"/>
      <c r="S603" s="54">
        <v>2</v>
      </c>
      <c r="T603" s="54"/>
      <c r="U603" s="54">
        <v>1</v>
      </c>
      <c r="V603" s="54"/>
      <c r="W603" s="54">
        <v>1</v>
      </c>
      <c r="X603" s="54"/>
      <c r="Y603" s="54">
        <v>1</v>
      </c>
      <c r="Z603" s="54"/>
      <c r="AA603" s="115">
        <v>1</v>
      </c>
      <c r="AB603" s="115"/>
      <c r="AC603" s="115">
        <v>1</v>
      </c>
      <c r="AD603" s="115"/>
    </row>
    <row r="604" spans="1:30" x14ac:dyDescent="0.2">
      <c r="A604" s="34" t="s">
        <v>14</v>
      </c>
      <c r="B604" s="34" t="s">
        <v>98</v>
      </c>
      <c r="C604" s="34" t="s">
        <v>42</v>
      </c>
      <c r="D604" s="34" t="str">
        <f t="shared" si="9"/>
        <v>B1-P3-C3</v>
      </c>
      <c r="E604" s="34" t="s">
        <v>11</v>
      </c>
      <c r="F604" s="34" t="s">
        <v>20</v>
      </c>
      <c r="G604" s="51" t="s">
        <v>1413</v>
      </c>
      <c r="H604" s="51">
        <v>626</v>
      </c>
      <c r="I604" s="53">
        <v>1</v>
      </c>
      <c r="J604" s="54"/>
      <c r="K604" s="53">
        <v>3</v>
      </c>
      <c r="L604" s="54"/>
      <c r="M604" s="54">
        <v>3</v>
      </c>
      <c r="N604" s="54"/>
      <c r="O604" s="54">
        <v>3</v>
      </c>
      <c r="P604" s="54"/>
      <c r="Q604" s="54">
        <v>2.5</v>
      </c>
      <c r="R604" s="54"/>
      <c r="S604" s="54">
        <v>3</v>
      </c>
      <c r="T604" s="54"/>
      <c r="U604" s="54">
        <v>3</v>
      </c>
      <c r="V604" s="54"/>
      <c r="W604" s="54">
        <v>2</v>
      </c>
      <c r="X604" s="54"/>
      <c r="Y604" s="54">
        <v>2</v>
      </c>
      <c r="Z604" s="54"/>
      <c r="AA604" s="115">
        <v>2</v>
      </c>
      <c r="AB604" s="115"/>
      <c r="AC604" s="115">
        <v>2</v>
      </c>
      <c r="AD604" s="115"/>
    </row>
    <row r="605" spans="1:30" x14ac:dyDescent="0.2">
      <c r="A605" s="34" t="s">
        <v>14</v>
      </c>
      <c r="B605" s="34" t="s">
        <v>98</v>
      </c>
      <c r="C605" s="34" t="s">
        <v>42</v>
      </c>
      <c r="D605" s="34" t="str">
        <f t="shared" si="9"/>
        <v>B1-P3-C3</v>
      </c>
      <c r="E605" s="34" t="s">
        <v>11</v>
      </c>
      <c r="F605" s="34" t="s">
        <v>20</v>
      </c>
      <c r="G605" s="51" t="s">
        <v>1415</v>
      </c>
      <c r="H605" s="51">
        <v>627</v>
      </c>
      <c r="I605" s="53">
        <v>1</v>
      </c>
      <c r="J605" s="54"/>
      <c r="K605" s="53">
        <v>1</v>
      </c>
      <c r="L605" s="54"/>
      <c r="M605" s="54">
        <v>1</v>
      </c>
      <c r="N605" s="54"/>
      <c r="O605" s="54">
        <v>1</v>
      </c>
      <c r="P605" s="54"/>
      <c r="Q605" s="54">
        <v>1</v>
      </c>
      <c r="R605" s="54"/>
      <c r="S605" s="54">
        <v>1</v>
      </c>
      <c r="T605" s="54"/>
      <c r="U605" s="54">
        <v>1</v>
      </c>
      <c r="V605" s="54"/>
      <c r="W605" s="54">
        <v>1</v>
      </c>
      <c r="X605" s="54"/>
      <c r="Y605" s="54">
        <v>1</v>
      </c>
      <c r="Z605" s="54"/>
      <c r="AA605" s="115">
        <v>1</v>
      </c>
      <c r="AB605" s="115"/>
      <c r="AC605" s="115">
        <v>1</v>
      </c>
      <c r="AD605" s="115"/>
    </row>
    <row r="606" spans="1:30" x14ac:dyDescent="0.2">
      <c r="A606" s="34" t="s">
        <v>14</v>
      </c>
      <c r="B606" s="34" t="s">
        <v>98</v>
      </c>
      <c r="C606" s="34" t="s">
        <v>42</v>
      </c>
      <c r="D606" s="34" t="str">
        <f t="shared" si="9"/>
        <v>B1-P3-C3</v>
      </c>
      <c r="E606" s="34" t="s">
        <v>11</v>
      </c>
      <c r="F606" s="34" t="s">
        <v>20</v>
      </c>
      <c r="G606" s="51" t="s">
        <v>1417</v>
      </c>
      <c r="H606" s="51">
        <v>628</v>
      </c>
      <c r="I606" s="53">
        <v>1</v>
      </c>
      <c r="J606" s="54"/>
      <c r="K606" s="53">
        <v>2</v>
      </c>
      <c r="L606" s="54"/>
      <c r="M606" s="54">
        <v>2</v>
      </c>
      <c r="N606" s="54"/>
      <c r="O606" s="54">
        <v>2</v>
      </c>
      <c r="P606" s="54"/>
      <c r="Q606" s="54">
        <v>1</v>
      </c>
      <c r="R606" s="54"/>
      <c r="S606" s="54">
        <v>2</v>
      </c>
      <c r="T606" s="54"/>
      <c r="U606" s="54">
        <v>1</v>
      </c>
      <c r="V606" s="54"/>
      <c r="W606" s="54">
        <v>1</v>
      </c>
      <c r="X606" s="54"/>
      <c r="Y606" s="54">
        <v>1</v>
      </c>
      <c r="Z606" s="54"/>
      <c r="AA606" s="115">
        <v>1</v>
      </c>
      <c r="AB606" s="115"/>
      <c r="AC606" s="115">
        <v>1</v>
      </c>
      <c r="AD606" s="115"/>
    </row>
    <row r="607" spans="1:30" x14ac:dyDescent="0.2">
      <c r="A607" s="34" t="s">
        <v>14</v>
      </c>
      <c r="B607" s="34" t="s">
        <v>98</v>
      </c>
      <c r="C607" s="34" t="s">
        <v>42</v>
      </c>
      <c r="D607" s="34" t="str">
        <f t="shared" si="9"/>
        <v>B1-P3-C3</v>
      </c>
      <c r="E607" s="34" t="s">
        <v>11</v>
      </c>
      <c r="F607" s="34" t="s">
        <v>20</v>
      </c>
      <c r="G607" s="51" t="s">
        <v>1419</v>
      </c>
      <c r="H607" s="51">
        <v>629</v>
      </c>
      <c r="I607" s="53">
        <v>1</v>
      </c>
      <c r="J607" s="54"/>
      <c r="K607" s="53">
        <v>2</v>
      </c>
      <c r="L607" s="54"/>
      <c r="M607" s="54">
        <v>2</v>
      </c>
      <c r="N607" s="54"/>
      <c r="O607" s="54">
        <v>2</v>
      </c>
      <c r="P607" s="54"/>
      <c r="Q607" s="54">
        <v>1</v>
      </c>
      <c r="R607" s="54"/>
      <c r="S607" s="54">
        <v>2</v>
      </c>
      <c r="T607" s="54"/>
      <c r="U607" s="54">
        <v>1</v>
      </c>
      <c r="V607" s="54"/>
      <c r="W607" s="54">
        <v>1</v>
      </c>
      <c r="X607" s="54"/>
      <c r="Y607" s="54">
        <v>1</v>
      </c>
      <c r="Z607" s="54"/>
      <c r="AA607" s="115">
        <v>1</v>
      </c>
      <c r="AB607" s="115"/>
      <c r="AC607" s="115">
        <v>1</v>
      </c>
      <c r="AD607" s="115"/>
    </row>
    <row r="608" spans="1:30" x14ac:dyDescent="0.2">
      <c r="A608" s="34" t="s">
        <v>14</v>
      </c>
      <c r="B608" s="34" t="s">
        <v>98</v>
      </c>
      <c r="C608" s="34" t="s">
        <v>42</v>
      </c>
      <c r="D608" s="34" t="str">
        <f t="shared" si="9"/>
        <v>B1-P3-C3</v>
      </c>
      <c r="E608" s="34" t="s">
        <v>11</v>
      </c>
      <c r="F608" s="34" t="s">
        <v>20</v>
      </c>
      <c r="G608" s="51" t="s">
        <v>1421</v>
      </c>
      <c r="H608" s="51">
        <v>630</v>
      </c>
      <c r="I608" s="53">
        <v>1</v>
      </c>
      <c r="J608" s="54"/>
      <c r="K608" s="53">
        <v>2</v>
      </c>
      <c r="L608" s="54"/>
      <c r="M608" s="54">
        <v>2</v>
      </c>
      <c r="N608" s="54"/>
      <c r="O608" s="54">
        <v>2</v>
      </c>
      <c r="P608" s="54"/>
      <c r="Q608" s="54">
        <v>1</v>
      </c>
      <c r="R608" s="54"/>
      <c r="S608" s="54">
        <v>2</v>
      </c>
      <c r="T608" s="54"/>
      <c r="U608" s="54">
        <v>1</v>
      </c>
      <c r="V608" s="54"/>
      <c r="W608" s="54">
        <v>2</v>
      </c>
      <c r="X608" s="54"/>
      <c r="Y608" s="54">
        <v>2</v>
      </c>
      <c r="Z608" s="54"/>
      <c r="AA608" s="115">
        <v>2</v>
      </c>
      <c r="AB608" s="115"/>
      <c r="AC608" s="115">
        <v>2</v>
      </c>
      <c r="AD608" s="115"/>
    </row>
    <row r="609" spans="1:30" x14ac:dyDescent="0.2">
      <c r="A609" s="35" t="s">
        <v>14</v>
      </c>
      <c r="B609" s="35" t="s">
        <v>98</v>
      </c>
      <c r="C609" s="35" t="s">
        <v>53</v>
      </c>
      <c r="D609" s="31" t="str">
        <f t="shared" si="9"/>
        <v>B1-P3-C4</v>
      </c>
      <c r="E609" s="35" t="s">
        <v>11</v>
      </c>
      <c r="F609" s="35" t="s">
        <v>20</v>
      </c>
      <c r="G609" s="50" t="s">
        <v>1423</v>
      </c>
      <c r="H609" s="50">
        <v>631</v>
      </c>
      <c r="I609" s="52">
        <v>1</v>
      </c>
      <c r="J609" s="52"/>
      <c r="K609" s="52">
        <v>3</v>
      </c>
      <c r="L609" s="52"/>
      <c r="M609" s="52">
        <v>3</v>
      </c>
      <c r="N609" s="52"/>
      <c r="O609" s="52">
        <v>2</v>
      </c>
      <c r="P609" s="52"/>
      <c r="Q609" s="52">
        <v>1</v>
      </c>
      <c r="R609" s="52"/>
      <c r="S609" s="52">
        <v>2</v>
      </c>
      <c r="T609" s="52"/>
      <c r="U609" s="52">
        <v>2</v>
      </c>
      <c r="V609" s="52"/>
      <c r="W609" s="52">
        <v>1</v>
      </c>
      <c r="X609" s="52"/>
      <c r="Y609" s="52">
        <v>1</v>
      </c>
      <c r="Z609" s="52"/>
      <c r="AA609" s="114">
        <v>1</v>
      </c>
      <c r="AB609" s="114"/>
      <c r="AC609" s="114">
        <v>2</v>
      </c>
      <c r="AD609" s="114"/>
    </row>
    <row r="610" spans="1:30" x14ac:dyDescent="0.2">
      <c r="A610" s="35" t="s">
        <v>14</v>
      </c>
      <c r="B610" s="35" t="s">
        <v>98</v>
      </c>
      <c r="C610" s="35" t="s">
        <v>53</v>
      </c>
      <c r="D610" s="31" t="str">
        <f t="shared" si="9"/>
        <v>B1-P3-C4</v>
      </c>
      <c r="E610" s="35" t="s">
        <v>11</v>
      </c>
      <c r="F610" s="35" t="s">
        <v>20</v>
      </c>
      <c r="G610" s="50" t="s">
        <v>1425</v>
      </c>
      <c r="H610" s="50">
        <v>632</v>
      </c>
      <c r="I610" s="52">
        <v>1</v>
      </c>
      <c r="J610" s="52"/>
      <c r="K610" s="52">
        <v>2</v>
      </c>
      <c r="L610" s="52"/>
      <c r="M610" s="52">
        <v>1</v>
      </c>
      <c r="N610" s="52"/>
      <c r="O610" s="52">
        <v>1</v>
      </c>
      <c r="P610" s="52"/>
      <c r="Q610" s="52">
        <v>1</v>
      </c>
      <c r="R610" s="52"/>
      <c r="S610" s="52">
        <v>2</v>
      </c>
      <c r="T610" s="52"/>
      <c r="U610" s="52">
        <v>1</v>
      </c>
      <c r="V610" s="52"/>
      <c r="W610" s="52">
        <v>2</v>
      </c>
      <c r="X610" s="52"/>
      <c r="Y610" s="52">
        <v>1</v>
      </c>
      <c r="Z610" s="52"/>
      <c r="AA610" s="114">
        <v>2</v>
      </c>
      <c r="AB610" s="114"/>
      <c r="AC610" s="114">
        <v>3</v>
      </c>
      <c r="AD610" s="114"/>
    </row>
    <row r="611" spans="1:30" x14ac:dyDescent="0.2">
      <c r="A611" s="35" t="s">
        <v>14</v>
      </c>
      <c r="B611" s="35" t="s">
        <v>98</v>
      </c>
      <c r="C611" s="35" t="s">
        <v>53</v>
      </c>
      <c r="D611" s="31" t="str">
        <f t="shared" si="9"/>
        <v>B1-P3-C4</v>
      </c>
      <c r="E611" s="35" t="s">
        <v>11</v>
      </c>
      <c r="F611" s="35" t="s">
        <v>20</v>
      </c>
      <c r="G611" s="50" t="s">
        <v>1427</v>
      </c>
      <c r="H611" s="50">
        <v>633</v>
      </c>
      <c r="I611" s="52">
        <v>1</v>
      </c>
      <c r="J611" s="52"/>
      <c r="K611" s="52">
        <v>3</v>
      </c>
      <c r="L611" s="52"/>
      <c r="M611" s="52">
        <v>3</v>
      </c>
      <c r="N611" s="52"/>
      <c r="O611" s="52">
        <v>3</v>
      </c>
      <c r="P611" s="52"/>
      <c r="Q611" s="52">
        <v>1</v>
      </c>
      <c r="R611" s="52"/>
      <c r="S611" s="52">
        <v>2</v>
      </c>
      <c r="T611" s="52"/>
      <c r="U611" s="52">
        <v>1</v>
      </c>
      <c r="V611" s="52"/>
      <c r="W611" s="52">
        <v>1</v>
      </c>
      <c r="X611" s="52"/>
      <c r="Y611" s="52">
        <v>1</v>
      </c>
      <c r="Z611" s="52"/>
      <c r="AA611" s="114">
        <v>1</v>
      </c>
      <c r="AB611" s="114"/>
      <c r="AC611" s="114">
        <v>1</v>
      </c>
      <c r="AD611" s="114"/>
    </row>
    <row r="612" spans="1:30" x14ac:dyDescent="0.2">
      <c r="A612" s="35" t="s">
        <v>14</v>
      </c>
      <c r="B612" s="35" t="s">
        <v>98</v>
      </c>
      <c r="C612" s="35" t="s">
        <v>53</v>
      </c>
      <c r="D612" s="31" t="str">
        <f t="shared" si="9"/>
        <v>B1-P3-C4</v>
      </c>
      <c r="E612" s="35" t="s">
        <v>11</v>
      </c>
      <c r="F612" s="35" t="s">
        <v>20</v>
      </c>
      <c r="G612" s="50" t="s">
        <v>1429</v>
      </c>
      <c r="H612" s="50">
        <v>634</v>
      </c>
      <c r="I612" s="52">
        <v>1</v>
      </c>
      <c r="J612" s="52"/>
      <c r="K612" s="52">
        <v>1</v>
      </c>
      <c r="L612" s="52"/>
      <c r="M612" s="52">
        <v>1</v>
      </c>
      <c r="N612" s="52"/>
      <c r="O612" s="52">
        <v>1</v>
      </c>
      <c r="P612" s="52"/>
      <c r="Q612" s="52">
        <v>1</v>
      </c>
      <c r="R612" s="52"/>
      <c r="S612" s="52">
        <v>2</v>
      </c>
      <c r="T612" s="52"/>
      <c r="U612" s="52">
        <v>1</v>
      </c>
      <c r="V612" s="52"/>
      <c r="W612" s="52">
        <v>1</v>
      </c>
      <c r="X612" s="52"/>
      <c r="Y612" s="52">
        <v>1</v>
      </c>
      <c r="Z612" s="52"/>
      <c r="AA612" s="114">
        <v>1</v>
      </c>
      <c r="AB612" s="114"/>
      <c r="AC612" s="114">
        <v>2</v>
      </c>
      <c r="AD612" s="114"/>
    </row>
    <row r="613" spans="1:30" x14ac:dyDescent="0.2">
      <c r="A613" s="35" t="s">
        <v>14</v>
      </c>
      <c r="B613" s="35" t="s">
        <v>98</v>
      </c>
      <c r="C613" s="35" t="s">
        <v>53</v>
      </c>
      <c r="D613" s="31" t="str">
        <f t="shared" si="9"/>
        <v>B1-P3-C4</v>
      </c>
      <c r="E613" s="35" t="s">
        <v>11</v>
      </c>
      <c r="F613" s="35" t="s">
        <v>20</v>
      </c>
      <c r="G613" s="50" t="s">
        <v>1431</v>
      </c>
      <c r="H613" s="50">
        <v>635</v>
      </c>
      <c r="I613" s="52">
        <v>1</v>
      </c>
      <c r="J613" s="52"/>
      <c r="K613" s="52">
        <v>3</v>
      </c>
      <c r="L613" s="52"/>
      <c r="M613" s="52">
        <v>4</v>
      </c>
      <c r="N613" s="52"/>
      <c r="O613" s="52">
        <v>3</v>
      </c>
      <c r="P613" s="52"/>
      <c r="Q613" s="52">
        <v>2</v>
      </c>
      <c r="R613" s="52"/>
      <c r="S613" s="52">
        <v>2</v>
      </c>
      <c r="T613" s="52"/>
      <c r="U613" s="52">
        <v>3</v>
      </c>
      <c r="V613" s="52"/>
      <c r="W613" s="52">
        <v>1</v>
      </c>
      <c r="X613" s="52"/>
      <c r="Y613" s="52">
        <v>1</v>
      </c>
      <c r="Z613" s="52"/>
      <c r="AA613" s="114">
        <v>1</v>
      </c>
      <c r="AB613" s="114"/>
      <c r="AC613" s="114">
        <v>1</v>
      </c>
      <c r="AD613" s="114"/>
    </row>
    <row r="614" spans="1:30" x14ac:dyDescent="0.2">
      <c r="A614" s="35" t="s">
        <v>14</v>
      </c>
      <c r="B614" s="35" t="s">
        <v>98</v>
      </c>
      <c r="C614" s="35" t="s">
        <v>53</v>
      </c>
      <c r="D614" s="31" t="str">
        <f t="shared" si="9"/>
        <v>B1-P3-C4</v>
      </c>
      <c r="E614" s="35" t="s">
        <v>11</v>
      </c>
      <c r="F614" s="35" t="s">
        <v>20</v>
      </c>
      <c r="G614" s="50" t="s">
        <v>1433</v>
      </c>
      <c r="H614" s="50">
        <v>636</v>
      </c>
      <c r="I614" s="52">
        <v>1</v>
      </c>
      <c r="J614" s="52"/>
      <c r="K614" s="52">
        <v>2</v>
      </c>
      <c r="L614" s="52"/>
      <c r="M614" s="52">
        <v>2</v>
      </c>
      <c r="N614" s="52"/>
      <c r="O614" s="52">
        <v>1.5</v>
      </c>
      <c r="P614" s="52"/>
      <c r="Q614" s="52">
        <v>1</v>
      </c>
      <c r="R614" s="52"/>
      <c r="S614" s="52">
        <v>2</v>
      </c>
      <c r="T614" s="52"/>
      <c r="U614" s="52">
        <v>1</v>
      </c>
      <c r="V614" s="52"/>
      <c r="W614" s="52">
        <v>1</v>
      </c>
      <c r="X614" s="52"/>
      <c r="Y614" s="52">
        <v>1</v>
      </c>
      <c r="Z614" s="52"/>
      <c r="AA614" s="114">
        <v>1</v>
      </c>
      <c r="AB614" s="114"/>
      <c r="AC614" s="114">
        <v>1</v>
      </c>
      <c r="AD614" s="114"/>
    </row>
    <row r="615" spans="1:30" x14ac:dyDescent="0.2">
      <c r="A615" s="34" t="s">
        <v>14</v>
      </c>
      <c r="B615" s="34" t="s">
        <v>131</v>
      </c>
      <c r="C615" s="34" t="s">
        <v>32</v>
      </c>
      <c r="D615" s="34" t="str">
        <f t="shared" si="9"/>
        <v>B1-P4-C2</v>
      </c>
      <c r="E615" s="34" t="s">
        <v>11</v>
      </c>
      <c r="F615" s="34" t="s">
        <v>133</v>
      </c>
      <c r="G615" s="51" t="s">
        <v>1435</v>
      </c>
      <c r="H615" s="51">
        <v>637</v>
      </c>
      <c r="I615" s="53">
        <v>1</v>
      </c>
      <c r="J615" s="54"/>
      <c r="K615" s="53">
        <v>1</v>
      </c>
      <c r="L615" s="54"/>
      <c r="M615" s="54">
        <v>1</v>
      </c>
      <c r="N615" s="54"/>
      <c r="O615" s="54">
        <v>1</v>
      </c>
      <c r="P615" s="54"/>
      <c r="Q615" s="54">
        <v>1</v>
      </c>
      <c r="R615" s="54"/>
      <c r="S615" s="54">
        <v>1</v>
      </c>
      <c r="T615" s="54"/>
      <c r="U615" s="54">
        <v>1</v>
      </c>
      <c r="V615" s="54"/>
      <c r="W615" s="54">
        <v>1</v>
      </c>
      <c r="X615" s="54"/>
      <c r="Y615" s="54">
        <v>1</v>
      </c>
      <c r="Z615" s="54"/>
      <c r="AA615" s="115">
        <v>1</v>
      </c>
      <c r="AB615" s="115"/>
      <c r="AC615" s="115">
        <v>1</v>
      </c>
      <c r="AD615" s="115"/>
    </row>
    <row r="616" spans="1:30" x14ac:dyDescent="0.2">
      <c r="A616" s="34" t="s">
        <v>14</v>
      </c>
      <c r="B616" s="34" t="s">
        <v>131</v>
      </c>
      <c r="C616" s="34" t="s">
        <v>32</v>
      </c>
      <c r="D616" s="34" t="str">
        <f t="shared" si="9"/>
        <v>B1-P4-C2</v>
      </c>
      <c r="E616" s="34" t="s">
        <v>11</v>
      </c>
      <c r="F616" s="34" t="s">
        <v>133</v>
      </c>
      <c r="G616" s="51" t="s">
        <v>1437</v>
      </c>
      <c r="H616" s="51">
        <v>638</v>
      </c>
      <c r="I616" s="53">
        <v>1</v>
      </c>
      <c r="J616" s="54"/>
      <c r="K616" s="53">
        <v>1</v>
      </c>
      <c r="L616" s="54"/>
      <c r="M616" s="54">
        <v>1</v>
      </c>
      <c r="N616" s="54"/>
      <c r="O616" s="54">
        <v>1</v>
      </c>
      <c r="P616" s="54"/>
      <c r="Q616" s="54">
        <v>1</v>
      </c>
      <c r="R616" s="54"/>
      <c r="S616" s="54">
        <v>1.5</v>
      </c>
      <c r="T616" s="54"/>
      <c r="U616" s="54">
        <v>1</v>
      </c>
      <c r="V616" s="54"/>
      <c r="W616" s="54">
        <v>1</v>
      </c>
      <c r="X616" s="54"/>
      <c r="Y616" s="54">
        <v>1</v>
      </c>
      <c r="Z616" s="54"/>
      <c r="AA616" s="115">
        <v>1</v>
      </c>
      <c r="AB616" s="115"/>
      <c r="AC616" s="115">
        <v>1</v>
      </c>
      <c r="AD616" s="115"/>
    </row>
    <row r="617" spans="1:30" x14ac:dyDescent="0.2">
      <c r="A617" s="34" t="s">
        <v>14</v>
      </c>
      <c r="B617" s="34" t="s">
        <v>131</v>
      </c>
      <c r="C617" s="34" t="s">
        <v>32</v>
      </c>
      <c r="D617" s="34" t="str">
        <f t="shared" si="9"/>
        <v>B1-P4-C2</v>
      </c>
      <c r="E617" s="34" t="s">
        <v>11</v>
      </c>
      <c r="F617" s="34" t="s">
        <v>133</v>
      </c>
      <c r="G617" s="51" t="s">
        <v>1439</v>
      </c>
      <c r="H617" s="51">
        <v>639</v>
      </c>
      <c r="I617" s="53">
        <v>1</v>
      </c>
      <c r="J617" s="54"/>
      <c r="K617" s="53">
        <v>2</v>
      </c>
      <c r="L617" s="54"/>
      <c r="M617" s="54">
        <v>2</v>
      </c>
      <c r="N617" s="54"/>
      <c r="O617" s="54">
        <v>1</v>
      </c>
      <c r="P617" s="54"/>
      <c r="Q617" s="54">
        <v>1</v>
      </c>
      <c r="R617" s="54"/>
      <c r="S617" s="54">
        <v>1.5</v>
      </c>
      <c r="T617" s="54"/>
      <c r="U617" s="54">
        <v>1</v>
      </c>
      <c r="V617" s="54"/>
      <c r="W617" s="54">
        <v>1</v>
      </c>
      <c r="X617" s="54"/>
      <c r="Y617" s="54">
        <v>1</v>
      </c>
      <c r="Z617" s="54"/>
      <c r="AA617" s="115">
        <v>1</v>
      </c>
      <c r="AB617" s="115"/>
      <c r="AC617" s="115">
        <v>2</v>
      </c>
      <c r="AD617" s="115"/>
    </row>
    <row r="618" spans="1:30" x14ac:dyDescent="0.2">
      <c r="A618" s="34" t="s">
        <v>14</v>
      </c>
      <c r="B618" s="34" t="s">
        <v>131</v>
      </c>
      <c r="C618" s="34" t="s">
        <v>32</v>
      </c>
      <c r="D618" s="34" t="str">
        <f t="shared" si="9"/>
        <v>B1-P4-C2</v>
      </c>
      <c r="E618" s="34" t="s">
        <v>11</v>
      </c>
      <c r="F618" s="34" t="s">
        <v>133</v>
      </c>
      <c r="G618" s="51" t="s">
        <v>1441</v>
      </c>
      <c r="H618" s="51">
        <v>640</v>
      </c>
      <c r="I618" s="53">
        <v>1</v>
      </c>
      <c r="J618" s="54"/>
      <c r="K618" s="53">
        <v>2</v>
      </c>
      <c r="L618" s="54"/>
      <c r="M618" s="54">
        <v>2</v>
      </c>
      <c r="N618" s="54"/>
      <c r="O618" s="54">
        <v>2</v>
      </c>
      <c r="P618" s="54"/>
      <c r="Q618" s="54">
        <v>1.5</v>
      </c>
      <c r="R618" s="54"/>
      <c r="S618" s="54">
        <v>2</v>
      </c>
      <c r="T618" s="54"/>
      <c r="U618" s="54">
        <v>1</v>
      </c>
      <c r="V618" s="54"/>
      <c r="W618" s="54">
        <v>2</v>
      </c>
      <c r="X618" s="54"/>
      <c r="Y618" s="54">
        <v>2</v>
      </c>
      <c r="Z618" s="54"/>
      <c r="AA618" s="115">
        <v>2</v>
      </c>
      <c r="AB618" s="115"/>
      <c r="AC618" s="115">
        <v>2</v>
      </c>
      <c r="AD618" s="115"/>
    </row>
    <row r="619" spans="1:30" x14ac:dyDescent="0.2">
      <c r="A619" s="34" t="s">
        <v>14</v>
      </c>
      <c r="B619" s="34" t="s">
        <v>131</v>
      </c>
      <c r="C619" s="34" t="s">
        <v>32</v>
      </c>
      <c r="D619" s="34" t="str">
        <f t="shared" si="9"/>
        <v>B1-P4-C2</v>
      </c>
      <c r="E619" s="34" t="s">
        <v>11</v>
      </c>
      <c r="F619" s="34" t="s">
        <v>133</v>
      </c>
      <c r="G619" s="51" t="s">
        <v>1443</v>
      </c>
      <c r="H619" s="51">
        <v>641</v>
      </c>
      <c r="I619" s="53">
        <v>1</v>
      </c>
      <c r="J619" s="54"/>
      <c r="K619" s="53">
        <v>1</v>
      </c>
      <c r="L619" s="54"/>
      <c r="M619" s="54">
        <v>1</v>
      </c>
      <c r="N619" s="54"/>
      <c r="O619" s="54">
        <v>1</v>
      </c>
      <c r="P619" s="54"/>
      <c r="Q619" s="54">
        <v>1</v>
      </c>
      <c r="R619" s="54"/>
      <c r="S619" s="54">
        <v>2</v>
      </c>
      <c r="T619" s="54"/>
      <c r="U619" s="54">
        <v>1</v>
      </c>
      <c r="V619" s="54"/>
      <c r="W619" s="54">
        <v>1</v>
      </c>
      <c r="X619" s="54"/>
      <c r="Y619" s="54">
        <v>1</v>
      </c>
      <c r="Z619" s="54"/>
      <c r="AA619" s="115">
        <v>1</v>
      </c>
      <c r="AB619" s="115"/>
      <c r="AC619" s="115">
        <v>2</v>
      </c>
      <c r="AD619" s="115"/>
    </row>
    <row r="620" spans="1:30" x14ac:dyDescent="0.2">
      <c r="A620" s="34" t="s">
        <v>14</v>
      </c>
      <c r="B620" s="34" t="s">
        <v>131</v>
      </c>
      <c r="C620" s="34" t="s">
        <v>32</v>
      </c>
      <c r="D620" s="34" t="str">
        <f t="shared" si="9"/>
        <v>B1-P4-C2</v>
      </c>
      <c r="E620" s="34" t="s">
        <v>11</v>
      </c>
      <c r="F620" s="34" t="s">
        <v>133</v>
      </c>
      <c r="G620" s="51" t="s">
        <v>1445</v>
      </c>
      <c r="H620" s="51">
        <v>642</v>
      </c>
      <c r="I620" s="53">
        <v>1</v>
      </c>
      <c r="J620" s="54"/>
      <c r="K620" s="53">
        <v>2</v>
      </c>
      <c r="L620" s="54"/>
      <c r="M620" s="54">
        <v>2</v>
      </c>
      <c r="N620" s="54"/>
      <c r="O620" s="54">
        <v>2</v>
      </c>
      <c r="P620" s="54"/>
      <c r="Q620" s="54">
        <v>1</v>
      </c>
      <c r="R620" s="54"/>
      <c r="S620" s="54">
        <v>2</v>
      </c>
      <c r="T620" s="54"/>
      <c r="U620" s="54">
        <v>1</v>
      </c>
      <c r="V620" s="54"/>
      <c r="W620" s="54">
        <v>1</v>
      </c>
      <c r="X620" s="54"/>
      <c r="Y620" s="54">
        <v>1</v>
      </c>
      <c r="Z620" s="54"/>
      <c r="AA620" s="115">
        <v>1</v>
      </c>
      <c r="AB620" s="115"/>
      <c r="AC620" s="115">
        <v>1</v>
      </c>
      <c r="AD620" s="115"/>
    </row>
    <row r="621" spans="1:30" x14ac:dyDescent="0.2">
      <c r="A621" s="35" t="s">
        <v>14</v>
      </c>
      <c r="B621" s="35" t="s">
        <v>131</v>
      </c>
      <c r="C621" s="35" t="s">
        <v>42</v>
      </c>
      <c r="D621" s="31" t="str">
        <f t="shared" si="9"/>
        <v>B1-P4-C3</v>
      </c>
      <c r="E621" s="35" t="s">
        <v>11</v>
      </c>
      <c r="F621" s="35" t="s">
        <v>133</v>
      </c>
      <c r="G621" s="50" t="s">
        <v>1447</v>
      </c>
      <c r="H621" s="50">
        <v>643</v>
      </c>
      <c r="I621" s="52">
        <v>4</v>
      </c>
      <c r="J621" s="52"/>
      <c r="K621" s="52">
        <v>3.5</v>
      </c>
      <c r="L621" s="52"/>
      <c r="M621" s="52">
        <v>3</v>
      </c>
      <c r="N621" s="52"/>
      <c r="O621" s="52">
        <v>1</v>
      </c>
      <c r="P621" s="52"/>
      <c r="Q621" s="52">
        <v>1</v>
      </c>
      <c r="R621" s="52"/>
      <c r="S621" s="52">
        <v>1.5</v>
      </c>
      <c r="T621" s="52"/>
      <c r="U621" s="52">
        <v>3</v>
      </c>
      <c r="V621" s="52"/>
      <c r="W621" s="52">
        <v>3</v>
      </c>
      <c r="X621" s="52"/>
      <c r="Y621" s="52">
        <v>4</v>
      </c>
      <c r="Z621" s="52"/>
      <c r="AA621" s="114">
        <v>4</v>
      </c>
      <c r="AB621" s="114"/>
      <c r="AC621" s="114">
        <v>4</v>
      </c>
      <c r="AD621" s="114"/>
    </row>
    <row r="622" spans="1:30" x14ac:dyDescent="0.2">
      <c r="A622" s="35" t="s">
        <v>14</v>
      </c>
      <c r="B622" s="35" t="s">
        <v>131</v>
      </c>
      <c r="C622" s="35" t="s">
        <v>42</v>
      </c>
      <c r="D622" s="31" t="str">
        <f t="shared" si="9"/>
        <v>B1-P4-C3</v>
      </c>
      <c r="E622" s="35" t="s">
        <v>11</v>
      </c>
      <c r="F622" s="35" t="s">
        <v>133</v>
      </c>
      <c r="G622" s="50" t="s">
        <v>1450</v>
      </c>
      <c r="H622" s="50">
        <v>644</v>
      </c>
      <c r="I622" s="52">
        <v>1</v>
      </c>
      <c r="J622" s="52"/>
      <c r="K622" s="52">
        <v>1</v>
      </c>
      <c r="L622" s="52"/>
      <c r="M622" s="52">
        <v>1</v>
      </c>
      <c r="N622" s="52"/>
      <c r="O622" s="52">
        <v>1</v>
      </c>
      <c r="P622" s="52"/>
      <c r="Q622" s="52">
        <v>1</v>
      </c>
      <c r="R622" s="52"/>
      <c r="S622" s="52">
        <v>2</v>
      </c>
      <c r="T622" s="52"/>
      <c r="U622" s="52">
        <v>1</v>
      </c>
      <c r="V622" s="52"/>
      <c r="W622" s="52">
        <v>1</v>
      </c>
      <c r="X622" s="52"/>
      <c r="Y622" s="52">
        <v>1</v>
      </c>
      <c r="Z622" s="52"/>
      <c r="AA622" s="114">
        <v>1</v>
      </c>
      <c r="AB622" s="114"/>
      <c r="AC622" s="114">
        <v>1</v>
      </c>
      <c r="AD622" s="114"/>
    </row>
    <row r="623" spans="1:30" x14ac:dyDescent="0.2">
      <c r="A623" s="35" t="s">
        <v>14</v>
      </c>
      <c r="B623" s="35" t="s">
        <v>131</v>
      </c>
      <c r="C623" s="35" t="s">
        <v>42</v>
      </c>
      <c r="D623" s="31" t="str">
        <f t="shared" si="9"/>
        <v>B1-P4-C3</v>
      </c>
      <c r="E623" s="35" t="s">
        <v>11</v>
      </c>
      <c r="F623" s="35" t="s">
        <v>133</v>
      </c>
      <c r="G623" s="50" t="s">
        <v>1453</v>
      </c>
      <c r="H623" s="50">
        <v>645</v>
      </c>
      <c r="I623" s="52">
        <v>1</v>
      </c>
      <c r="J623" s="52"/>
      <c r="K623" s="52">
        <v>1</v>
      </c>
      <c r="L623" s="52"/>
      <c r="M623" s="52">
        <v>1</v>
      </c>
      <c r="N623" s="52"/>
      <c r="O623" s="52">
        <v>1</v>
      </c>
      <c r="P623" s="52"/>
      <c r="Q623" s="52">
        <v>1</v>
      </c>
      <c r="R623" s="52"/>
      <c r="S623" s="52">
        <v>1</v>
      </c>
      <c r="T623" s="52"/>
      <c r="U623" s="52">
        <v>1</v>
      </c>
      <c r="V623" s="52"/>
      <c r="W623" s="52">
        <v>1</v>
      </c>
      <c r="X623" s="52"/>
      <c r="Y623" s="52">
        <v>1</v>
      </c>
      <c r="Z623" s="52"/>
      <c r="AA623" s="114">
        <v>1</v>
      </c>
      <c r="AB623" s="114"/>
      <c r="AC623" s="114">
        <v>1</v>
      </c>
      <c r="AD623" s="114"/>
    </row>
    <row r="624" spans="1:30" x14ac:dyDescent="0.2">
      <c r="A624" s="35" t="s">
        <v>14</v>
      </c>
      <c r="B624" s="35" t="s">
        <v>131</v>
      </c>
      <c r="C624" s="35" t="s">
        <v>42</v>
      </c>
      <c r="D624" s="31" t="str">
        <f t="shared" si="9"/>
        <v>B1-P4-C3</v>
      </c>
      <c r="E624" s="35" t="s">
        <v>11</v>
      </c>
      <c r="F624" s="35" t="s">
        <v>133</v>
      </c>
      <c r="G624" s="50" t="s">
        <v>1455</v>
      </c>
      <c r="H624" s="50">
        <v>646</v>
      </c>
      <c r="I624" s="52">
        <v>1</v>
      </c>
      <c r="J624" s="52"/>
      <c r="K624" s="52">
        <v>1</v>
      </c>
      <c r="L624" s="52"/>
      <c r="M624" s="52">
        <v>1</v>
      </c>
      <c r="N624" s="52"/>
      <c r="O624" s="52">
        <v>1</v>
      </c>
      <c r="P624" s="52"/>
      <c r="Q624" s="52">
        <v>1</v>
      </c>
      <c r="R624" s="52"/>
      <c r="S624" s="52">
        <v>1</v>
      </c>
      <c r="T624" s="52"/>
      <c r="U624" s="52">
        <v>1</v>
      </c>
      <c r="V624" s="52"/>
      <c r="W624" s="52">
        <v>1</v>
      </c>
      <c r="X624" s="52"/>
      <c r="Y624" s="52">
        <v>1</v>
      </c>
      <c r="Z624" s="52"/>
      <c r="AA624" s="114">
        <v>1</v>
      </c>
      <c r="AB624" s="114"/>
      <c r="AC624" s="114">
        <v>1</v>
      </c>
      <c r="AD624" s="114"/>
    </row>
    <row r="625" spans="1:30" x14ac:dyDescent="0.2">
      <c r="A625" s="35" t="s">
        <v>14</v>
      </c>
      <c r="B625" s="35" t="s">
        <v>131</v>
      </c>
      <c r="C625" s="35" t="s">
        <v>42</v>
      </c>
      <c r="D625" s="31" t="str">
        <f t="shared" si="9"/>
        <v>B1-P4-C3</v>
      </c>
      <c r="E625" s="35" t="s">
        <v>11</v>
      </c>
      <c r="F625" s="35" t="s">
        <v>133</v>
      </c>
      <c r="G625" s="50" t="s">
        <v>1457</v>
      </c>
      <c r="H625" s="50">
        <v>647</v>
      </c>
      <c r="I625" s="52">
        <v>1</v>
      </c>
      <c r="J625" s="52"/>
      <c r="K625" s="52">
        <v>1</v>
      </c>
      <c r="L625" s="52"/>
      <c r="M625" s="52">
        <v>1</v>
      </c>
      <c r="N625" s="52"/>
      <c r="O625" s="52">
        <v>1</v>
      </c>
      <c r="P625" s="52"/>
      <c r="Q625" s="52">
        <v>1</v>
      </c>
      <c r="R625" s="52"/>
      <c r="S625" s="52">
        <v>1</v>
      </c>
      <c r="T625" s="52"/>
      <c r="U625" s="52">
        <v>1</v>
      </c>
      <c r="V625" s="52"/>
      <c r="W625" s="52">
        <v>1</v>
      </c>
      <c r="X625" s="52"/>
      <c r="Y625" s="52">
        <v>1</v>
      </c>
      <c r="Z625" s="52"/>
      <c r="AA625" s="114">
        <v>1</v>
      </c>
      <c r="AB625" s="114"/>
      <c r="AC625" s="114">
        <v>1</v>
      </c>
      <c r="AD625" s="114"/>
    </row>
    <row r="626" spans="1:30" x14ac:dyDescent="0.2">
      <c r="A626" s="35" t="s">
        <v>14</v>
      </c>
      <c r="B626" s="35" t="s">
        <v>131</v>
      </c>
      <c r="C626" s="35" t="s">
        <v>42</v>
      </c>
      <c r="D626" s="31" t="str">
        <f t="shared" si="9"/>
        <v>B1-P4-C3</v>
      </c>
      <c r="E626" s="35" t="s">
        <v>11</v>
      </c>
      <c r="F626" s="35" t="s">
        <v>133</v>
      </c>
      <c r="G626" s="50" t="s">
        <v>1459</v>
      </c>
      <c r="H626" s="50">
        <v>648</v>
      </c>
      <c r="I626" s="52">
        <v>1</v>
      </c>
      <c r="J626" s="52"/>
      <c r="K626" s="52">
        <v>1</v>
      </c>
      <c r="L626" s="52"/>
      <c r="M626" s="52">
        <v>1</v>
      </c>
      <c r="N626" s="52"/>
      <c r="O626" s="52">
        <v>1</v>
      </c>
      <c r="P626" s="52"/>
      <c r="Q626" s="52">
        <v>1</v>
      </c>
      <c r="R626" s="52"/>
      <c r="S626" s="52">
        <v>1</v>
      </c>
      <c r="T626" s="52"/>
      <c r="U626" s="52">
        <v>1</v>
      </c>
      <c r="V626" s="52"/>
      <c r="W626" s="52">
        <v>1</v>
      </c>
      <c r="X626" s="52"/>
      <c r="Y626" s="52">
        <v>1</v>
      </c>
      <c r="Z626" s="52"/>
      <c r="AA626" s="114">
        <v>1</v>
      </c>
      <c r="AB626" s="114"/>
      <c r="AC626" s="114">
        <v>1</v>
      </c>
      <c r="AD626" s="114"/>
    </row>
    <row r="627" spans="1:30" x14ac:dyDescent="0.2">
      <c r="A627" s="34" t="s">
        <v>14</v>
      </c>
      <c r="B627" s="34" t="s">
        <v>131</v>
      </c>
      <c r="C627" s="34" t="s">
        <v>53</v>
      </c>
      <c r="D627" s="34" t="str">
        <f t="shared" si="9"/>
        <v>B1-P4-C4</v>
      </c>
      <c r="E627" s="34" t="s">
        <v>11</v>
      </c>
      <c r="F627" s="34" t="s">
        <v>133</v>
      </c>
      <c r="G627" s="51" t="s">
        <v>1461</v>
      </c>
      <c r="H627" s="51">
        <v>649</v>
      </c>
      <c r="I627" s="53">
        <v>1</v>
      </c>
      <c r="J627" s="54"/>
      <c r="K627" s="53">
        <v>1</v>
      </c>
      <c r="L627" s="54"/>
      <c r="M627" s="54">
        <v>1</v>
      </c>
      <c r="N627" s="54"/>
      <c r="O627" s="54">
        <v>1</v>
      </c>
      <c r="P627" s="54"/>
      <c r="Q627" s="54">
        <v>1</v>
      </c>
      <c r="R627" s="54"/>
      <c r="S627" s="54">
        <v>2</v>
      </c>
      <c r="T627" s="54"/>
      <c r="U627" s="54">
        <v>1</v>
      </c>
      <c r="V627" s="54"/>
      <c r="W627" s="54">
        <v>1</v>
      </c>
      <c r="X627" s="54"/>
      <c r="Y627" s="54">
        <v>1</v>
      </c>
      <c r="Z627" s="54"/>
      <c r="AA627" s="115">
        <v>1</v>
      </c>
      <c r="AB627" s="115"/>
      <c r="AC627" s="115">
        <v>1</v>
      </c>
      <c r="AD627" s="115"/>
    </row>
    <row r="628" spans="1:30" x14ac:dyDescent="0.2">
      <c r="A628" s="34" t="s">
        <v>14</v>
      </c>
      <c r="B628" s="34" t="s">
        <v>131</v>
      </c>
      <c r="C628" s="34" t="s">
        <v>53</v>
      </c>
      <c r="D628" s="34" t="str">
        <f t="shared" si="9"/>
        <v>B1-P4-C4</v>
      </c>
      <c r="E628" s="34" t="s">
        <v>11</v>
      </c>
      <c r="F628" s="34" t="s">
        <v>133</v>
      </c>
      <c r="G628" s="51" t="s">
        <v>1463</v>
      </c>
      <c r="H628" s="51">
        <v>650</v>
      </c>
      <c r="I628" s="53">
        <v>1</v>
      </c>
      <c r="J628" s="54"/>
      <c r="K628" s="53">
        <v>1</v>
      </c>
      <c r="L628" s="54"/>
      <c r="M628" s="54">
        <v>1</v>
      </c>
      <c r="N628" s="54"/>
      <c r="O628" s="54">
        <v>1</v>
      </c>
      <c r="P628" s="54"/>
      <c r="Q628" s="54">
        <v>1</v>
      </c>
      <c r="R628" s="54"/>
      <c r="S628" s="54">
        <v>3</v>
      </c>
      <c r="T628" s="54"/>
      <c r="U628" s="54">
        <v>2</v>
      </c>
      <c r="V628" s="54"/>
      <c r="W628" s="54">
        <v>1</v>
      </c>
      <c r="X628" s="54"/>
      <c r="Y628" s="54">
        <v>2</v>
      </c>
      <c r="Z628" s="54"/>
      <c r="AA628" s="115">
        <v>2</v>
      </c>
      <c r="AB628" s="115"/>
      <c r="AC628" s="115">
        <v>3</v>
      </c>
      <c r="AD628" s="115"/>
    </row>
    <row r="629" spans="1:30" x14ac:dyDescent="0.2">
      <c r="A629" s="34" t="s">
        <v>14</v>
      </c>
      <c r="B629" s="34" t="s">
        <v>131</v>
      </c>
      <c r="C629" s="34" t="s">
        <v>53</v>
      </c>
      <c r="D629" s="34" t="str">
        <f t="shared" si="9"/>
        <v>B1-P4-C4</v>
      </c>
      <c r="E629" s="34" t="s">
        <v>11</v>
      </c>
      <c r="F629" s="34" t="s">
        <v>133</v>
      </c>
      <c r="G629" s="51" t="s">
        <v>1465</v>
      </c>
      <c r="H629" s="51">
        <v>651</v>
      </c>
      <c r="I629" s="53">
        <v>1</v>
      </c>
      <c r="J629" s="54"/>
      <c r="K629" s="53">
        <v>1</v>
      </c>
      <c r="L629" s="54"/>
      <c r="M629" s="54">
        <v>1</v>
      </c>
      <c r="N629" s="54"/>
      <c r="O629" s="54">
        <v>1</v>
      </c>
      <c r="P629" s="54"/>
      <c r="Q629" s="54">
        <v>1</v>
      </c>
      <c r="R629" s="54"/>
      <c r="S629" s="54">
        <v>3</v>
      </c>
      <c r="T629" s="54"/>
      <c r="U629" s="54">
        <v>2</v>
      </c>
      <c r="V629" s="54"/>
      <c r="W629" s="54">
        <v>2</v>
      </c>
      <c r="X629" s="54"/>
      <c r="Y629" s="54">
        <v>2</v>
      </c>
      <c r="Z629" s="54"/>
      <c r="AA629" s="115">
        <v>3</v>
      </c>
      <c r="AB629" s="115"/>
      <c r="AC629" s="115">
        <v>3</v>
      </c>
      <c r="AD629" s="115"/>
    </row>
    <row r="630" spans="1:30" x14ac:dyDescent="0.2">
      <c r="A630" s="34" t="s">
        <v>14</v>
      </c>
      <c r="B630" s="34" t="s">
        <v>131</v>
      </c>
      <c r="C630" s="34" t="s">
        <v>53</v>
      </c>
      <c r="D630" s="34" t="str">
        <f t="shared" si="9"/>
        <v>B1-P4-C4</v>
      </c>
      <c r="E630" s="34" t="s">
        <v>11</v>
      </c>
      <c r="F630" s="34" t="s">
        <v>133</v>
      </c>
      <c r="G630" s="51" t="s">
        <v>1467</v>
      </c>
      <c r="H630" s="51">
        <v>652</v>
      </c>
      <c r="I630" s="53">
        <v>1</v>
      </c>
      <c r="J630" s="54"/>
      <c r="K630" s="53">
        <v>1</v>
      </c>
      <c r="L630" s="54"/>
      <c r="M630" s="54">
        <v>1</v>
      </c>
      <c r="N630" s="54"/>
      <c r="O630" s="54">
        <v>1</v>
      </c>
      <c r="P630" s="54"/>
      <c r="Q630" s="54">
        <v>1</v>
      </c>
      <c r="R630" s="54"/>
      <c r="S630" s="54">
        <v>2</v>
      </c>
      <c r="T630" s="54"/>
      <c r="U630" s="54">
        <v>2</v>
      </c>
      <c r="V630" s="54"/>
      <c r="W630" s="54">
        <v>2</v>
      </c>
      <c r="X630" s="54"/>
      <c r="Y630" s="54">
        <v>2</v>
      </c>
      <c r="Z630" s="54"/>
      <c r="AA630" s="115">
        <v>1</v>
      </c>
      <c r="AB630" s="115"/>
      <c r="AC630" s="115">
        <v>1</v>
      </c>
      <c r="AD630" s="115"/>
    </row>
    <row r="631" spans="1:30" x14ac:dyDescent="0.2">
      <c r="A631" s="34" t="s">
        <v>14</v>
      </c>
      <c r="B631" s="34" t="s">
        <v>131</v>
      </c>
      <c r="C631" s="34" t="s">
        <v>53</v>
      </c>
      <c r="D631" s="34" t="str">
        <f t="shared" si="9"/>
        <v>B1-P4-C4</v>
      </c>
      <c r="E631" s="34" t="s">
        <v>11</v>
      </c>
      <c r="F631" s="34" t="s">
        <v>133</v>
      </c>
      <c r="G631" s="51" t="s">
        <v>1469</v>
      </c>
      <c r="H631" s="51">
        <v>653</v>
      </c>
      <c r="I631" s="53">
        <v>1</v>
      </c>
      <c r="J631" s="54"/>
      <c r="K631" s="54">
        <v>1</v>
      </c>
      <c r="L631" s="54"/>
      <c r="M631" s="54">
        <v>1</v>
      </c>
      <c r="N631" s="54"/>
      <c r="O631" s="54">
        <v>1</v>
      </c>
      <c r="P631" s="54"/>
      <c r="Q631" s="54">
        <v>1</v>
      </c>
      <c r="R631" s="54"/>
      <c r="S631" s="54">
        <v>3</v>
      </c>
      <c r="T631" s="54"/>
      <c r="U631" s="54">
        <v>2</v>
      </c>
      <c r="V631" s="54"/>
      <c r="W631" s="54">
        <v>1</v>
      </c>
      <c r="X631" s="54"/>
      <c r="Y631" s="54">
        <v>2</v>
      </c>
      <c r="Z631" s="54"/>
      <c r="AA631" s="115">
        <v>2</v>
      </c>
      <c r="AB631" s="115"/>
      <c r="AC631" s="115">
        <v>2</v>
      </c>
      <c r="AD631" s="115"/>
    </row>
    <row r="632" spans="1:30" x14ac:dyDescent="0.2">
      <c r="A632" s="34" t="s">
        <v>14</v>
      </c>
      <c r="B632" s="34" t="s">
        <v>131</v>
      </c>
      <c r="C632" s="34" t="s">
        <v>53</v>
      </c>
      <c r="D632" s="34" t="str">
        <f t="shared" si="9"/>
        <v>B1-P4-C4</v>
      </c>
      <c r="E632" s="34" t="s">
        <v>11</v>
      </c>
      <c r="F632" s="34" t="s">
        <v>133</v>
      </c>
      <c r="G632" s="51" t="s">
        <v>1471</v>
      </c>
      <c r="H632" s="51">
        <v>654</v>
      </c>
      <c r="I632" s="53">
        <v>4</v>
      </c>
      <c r="J632" s="54"/>
      <c r="K632" s="54">
        <v>4</v>
      </c>
      <c r="L632" s="54"/>
      <c r="M632" s="54">
        <v>4</v>
      </c>
      <c r="N632" s="54"/>
      <c r="O632" s="54">
        <v>4</v>
      </c>
      <c r="P632" s="54"/>
      <c r="Q632" s="54">
        <v>4</v>
      </c>
      <c r="R632" s="54"/>
      <c r="S632" s="54">
        <v>4</v>
      </c>
      <c r="T632" s="54"/>
      <c r="U632" s="54">
        <v>4</v>
      </c>
      <c r="V632" s="54"/>
      <c r="W632" s="54">
        <v>4</v>
      </c>
      <c r="X632" s="54"/>
      <c r="Y632" s="54">
        <v>4</v>
      </c>
      <c r="Z632" s="54"/>
      <c r="AA632" s="115">
        <v>4</v>
      </c>
      <c r="AB632" s="115"/>
      <c r="AC632" s="115">
        <v>4</v>
      </c>
      <c r="AD632" s="115"/>
    </row>
    <row r="633" spans="1:30" x14ac:dyDescent="0.2">
      <c r="A633" s="35" t="s">
        <v>14</v>
      </c>
      <c r="B633" s="35" t="s">
        <v>167</v>
      </c>
      <c r="C633" s="35" t="s">
        <v>16</v>
      </c>
      <c r="D633" s="31" t="str">
        <f t="shared" si="9"/>
        <v>B1-P5-C1</v>
      </c>
      <c r="E633" s="35" t="s">
        <v>11</v>
      </c>
      <c r="F633" s="35" t="s">
        <v>133</v>
      </c>
      <c r="G633" s="50" t="s">
        <v>1473</v>
      </c>
      <c r="H633" s="50">
        <v>655</v>
      </c>
      <c r="I633" s="52">
        <v>1</v>
      </c>
      <c r="J633" s="52"/>
      <c r="K633" s="52">
        <v>2</v>
      </c>
      <c r="L633" s="52"/>
      <c r="M633" s="52">
        <v>2</v>
      </c>
      <c r="N633" s="52"/>
      <c r="O633" s="52">
        <v>1</v>
      </c>
      <c r="P633" s="52"/>
      <c r="Q633" s="52">
        <v>1</v>
      </c>
      <c r="R633" s="52"/>
      <c r="S633" s="52">
        <v>3</v>
      </c>
      <c r="T633" s="52"/>
      <c r="U633" s="52">
        <v>3</v>
      </c>
      <c r="V633" s="52"/>
      <c r="W633" s="52">
        <v>1</v>
      </c>
      <c r="X633" s="52"/>
      <c r="Y633" s="52">
        <v>1</v>
      </c>
      <c r="Z633" s="52"/>
      <c r="AA633" s="114">
        <v>2</v>
      </c>
      <c r="AB633" s="114"/>
      <c r="AC633" s="114">
        <v>1</v>
      </c>
      <c r="AD633" s="114"/>
    </row>
    <row r="634" spans="1:30" x14ac:dyDescent="0.2">
      <c r="A634" s="35" t="s">
        <v>14</v>
      </c>
      <c r="B634" s="35" t="s">
        <v>167</v>
      </c>
      <c r="C634" s="35" t="s">
        <v>16</v>
      </c>
      <c r="D634" s="31" t="str">
        <f t="shared" si="9"/>
        <v>B1-P5-C1</v>
      </c>
      <c r="E634" s="35" t="s">
        <v>11</v>
      </c>
      <c r="F634" s="35" t="s">
        <v>133</v>
      </c>
      <c r="G634" s="50" t="s">
        <v>1475</v>
      </c>
      <c r="H634" s="50">
        <v>656</v>
      </c>
      <c r="I634" s="52">
        <v>1</v>
      </c>
      <c r="J634" s="52"/>
      <c r="K634" s="52">
        <v>2</v>
      </c>
      <c r="L634" s="52"/>
      <c r="M634" s="52">
        <v>3</v>
      </c>
      <c r="N634" s="52"/>
      <c r="O634" s="52">
        <v>2</v>
      </c>
      <c r="P634" s="52"/>
      <c r="Q634" s="52">
        <v>1</v>
      </c>
      <c r="R634" s="52"/>
      <c r="S634" s="52">
        <v>3</v>
      </c>
      <c r="T634" s="52"/>
      <c r="U634" s="52">
        <v>3</v>
      </c>
      <c r="V634" s="52"/>
      <c r="W634" s="52">
        <v>1</v>
      </c>
      <c r="X634" s="52"/>
      <c r="Y634" s="52">
        <v>1</v>
      </c>
      <c r="Z634" s="52"/>
      <c r="AA634" s="114">
        <v>2</v>
      </c>
      <c r="AB634" s="114"/>
      <c r="AC634" s="114">
        <v>2</v>
      </c>
      <c r="AD634" s="114"/>
    </row>
    <row r="635" spans="1:30" x14ac:dyDescent="0.2">
      <c r="A635" s="35" t="s">
        <v>14</v>
      </c>
      <c r="B635" s="35" t="s">
        <v>167</v>
      </c>
      <c r="C635" s="35" t="s">
        <v>16</v>
      </c>
      <c r="D635" s="31" t="str">
        <f t="shared" si="9"/>
        <v>B1-P5-C1</v>
      </c>
      <c r="E635" s="35" t="s">
        <v>11</v>
      </c>
      <c r="F635" s="35" t="s">
        <v>133</v>
      </c>
      <c r="G635" s="50" t="s">
        <v>1477</v>
      </c>
      <c r="H635" s="50">
        <v>657</v>
      </c>
      <c r="I635" s="52">
        <v>1</v>
      </c>
      <c r="J635" s="52"/>
      <c r="K635" s="52">
        <v>3</v>
      </c>
      <c r="L635" s="52"/>
      <c r="M635" s="52">
        <v>3</v>
      </c>
      <c r="N635" s="52"/>
      <c r="O635" s="52">
        <v>2</v>
      </c>
      <c r="P635" s="52"/>
      <c r="Q635" s="52">
        <v>1</v>
      </c>
      <c r="R635" s="52"/>
      <c r="S635" s="52">
        <v>3</v>
      </c>
      <c r="T635" s="52"/>
      <c r="U635" s="52">
        <v>3</v>
      </c>
      <c r="V635" s="52"/>
      <c r="W635" s="52">
        <v>3</v>
      </c>
      <c r="X635" s="52"/>
      <c r="Y635" s="52">
        <v>3</v>
      </c>
      <c r="Z635" s="52"/>
      <c r="AA635" s="114">
        <v>3</v>
      </c>
      <c r="AB635" s="114"/>
      <c r="AC635" s="114">
        <v>3</v>
      </c>
      <c r="AD635" s="114"/>
    </row>
    <row r="636" spans="1:30" x14ac:dyDescent="0.2">
      <c r="A636" s="35" t="s">
        <v>14</v>
      </c>
      <c r="B636" s="35" t="s">
        <v>167</v>
      </c>
      <c r="C636" s="35" t="s">
        <v>16</v>
      </c>
      <c r="D636" s="31" t="str">
        <f t="shared" si="9"/>
        <v>B1-P5-C1</v>
      </c>
      <c r="E636" s="35" t="s">
        <v>11</v>
      </c>
      <c r="F636" s="35" t="s">
        <v>133</v>
      </c>
      <c r="G636" s="50" t="s">
        <v>1479</v>
      </c>
      <c r="H636" s="50">
        <v>658</v>
      </c>
      <c r="I636" s="52">
        <v>1</v>
      </c>
      <c r="J636" s="52"/>
      <c r="K636" s="52">
        <v>2</v>
      </c>
      <c r="L636" s="52"/>
      <c r="M636" s="52">
        <v>3</v>
      </c>
      <c r="N636" s="52"/>
      <c r="O636" s="52">
        <v>1</v>
      </c>
      <c r="P636" s="52"/>
      <c r="Q636" s="52">
        <v>1</v>
      </c>
      <c r="R636" s="52"/>
      <c r="S636" s="52">
        <v>3</v>
      </c>
      <c r="T636" s="52"/>
      <c r="U636" s="52">
        <v>3</v>
      </c>
      <c r="V636" s="52"/>
      <c r="W636" s="52">
        <v>2</v>
      </c>
      <c r="X636" s="52"/>
      <c r="Y636" s="52">
        <v>3</v>
      </c>
      <c r="Z636" s="52"/>
      <c r="AA636" s="114">
        <v>3</v>
      </c>
      <c r="AB636" s="114"/>
      <c r="AC636" s="114">
        <v>1</v>
      </c>
      <c r="AD636" s="114"/>
    </row>
    <row r="637" spans="1:30" x14ac:dyDescent="0.2">
      <c r="A637" s="35" t="s">
        <v>14</v>
      </c>
      <c r="B637" s="35" t="s">
        <v>167</v>
      </c>
      <c r="C637" s="35" t="s">
        <v>16</v>
      </c>
      <c r="D637" s="31" t="str">
        <f t="shared" si="9"/>
        <v>B1-P5-C1</v>
      </c>
      <c r="E637" s="35" t="s">
        <v>11</v>
      </c>
      <c r="F637" s="35" t="s">
        <v>133</v>
      </c>
      <c r="G637" s="50" t="s">
        <v>1481</v>
      </c>
      <c r="H637" s="50">
        <v>659</v>
      </c>
      <c r="I637" s="52">
        <v>1</v>
      </c>
      <c r="J637" s="52"/>
      <c r="K637" s="52">
        <v>2</v>
      </c>
      <c r="L637" s="52"/>
      <c r="M637" s="52">
        <v>3</v>
      </c>
      <c r="N637" s="52"/>
      <c r="O637" s="52">
        <v>1</v>
      </c>
      <c r="P637" s="52"/>
      <c r="Q637" s="52">
        <v>1</v>
      </c>
      <c r="R637" s="52"/>
      <c r="S637" s="52">
        <v>3</v>
      </c>
      <c r="T637" s="52"/>
      <c r="U637" s="52">
        <v>2</v>
      </c>
      <c r="V637" s="52"/>
      <c r="W637" s="52">
        <v>2</v>
      </c>
      <c r="X637" s="52"/>
      <c r="Y637" s="52">
        <v>2</v>
      </c>
      <c r="Z637" s="52"/>
      <c r="AA637" s="114">
        <v>2</v>
      </c>
      <c r="AB637" s="114"/>
      <c r="AC637" s="114">
        <v>1</v>
      </c>
      <c r="AD637" s="114"/>
    </row>
    <row r="638" spans="1:30" x14ac:dyDescent="0.2">
      <c r="A638" s="35" t="s">
        <v>14</v>
      </c>
      <c r="B638" s="35" t="s">
        <v>167</v>
      </c>
      <c r="C638" s="35" t="s">
        <v>16</v>
      </c>
      <c r="D638" s="31" t="str">
        <f t="shared" si="9"/>
        <v>B1-P5-C1</v>
      </c>
      <c r="E638" s="35" t="s">
        <v>11</v>
      </c>
      <c r="F638" s="35" t="s">
        <v>133</v>
      </c>
      <c r="G638" s="50" t="s">
        <v>1483</v>
      </c>
      <c r="H638" s="50">
        <v>660</v>
      </c>
      <c r="I638" s="52">
        <v>1</v>
      </c>
      <c r="J638" s="52"/>
      <c r="K638" s="52">
        <v>2</v>
      </c>
      <c r="L638" s="52"/>
      <c r="M638" s="52">
        <v>3</v>
      </c>
      <c r="N638" s="52"/>
      <c r="O638" s="52">
        <v>1.5</v>
      </c>
      <c r="P638" s="52"/>
      <c r="Q638" s="52">
        <v>1</v>
      </c>
      <c r="R638" s="52"/>
      <c r="S638" s="52">
        <v>3</v>
      </c>
      <c r="T638" s="52"/>
      <c r="U638" s="52">
        <v>2</v>
      </c>
      <c r="V638" s="52"/>
      <c r="W638" s="52">
        <v>2</v>
      </c>
      <c r="X638" s="52"/>
      <c r="Y638" s="52">
        <v>2</v>
      </c>
      <c r="Z638" s="52"/>
      <c r="AA638" s="114">
        <v>1</v>
      </c>
      <c r="AB638" s="114"/>
      <c r="AC638" s="114">
        <v>1</v>
      </c>
      <c r="AD638" s="114"/>
    </row>
    <row r="639" spans="1:30" x14ac:dyDescent="0.2">
      <c r="A639" s="34" t="s">
        <v>14</v>
      </c>
      <c r="B639" s="34" t="s">
        <v>167</v>
      </c>
      <c r="C639" s="34" t="s">
        <v>32</v>
      </c>
      <c r="D639" s="34" t="str">
        <f t="shared" si="9"/>
        <v>B1-P5-C2</v>
      </c>
      <c r="E639" s="34" t="s">
        <v>11</v>
      </c>
      <c r="F639" s="34" t="s">
        <v>133</v>
      </c>
      <c r="G639" s="51" t="s">
        <v>1485</v>
      </c>
      <c r="H639" s="51">
        <v>661</v>
      </c>
      <c r="I639" s="53">
        <v>1</v>
      </c>
      <c r="J639" s="54"/>
      <c r="K639" s="53">
        <v>2</v>
      </c>
      <c r="L639" s="54"/>
      <c r="M639" s="54">
        <v>2</v>
      </c>
      <c r="N639" s="54"/>
      <c r="O639" s="54">
        <v>2</v>
      </c>
      <c r="P639" s="54"/>
      <c r="Q639" s="54">
        <v>1</v>
      </c>
      <c r="R639" s="54"/>
      <c r="S639" s="54">
        <v>3</v>
      </c>
      <c r="T639" s="54"/>
      <c r="U639" s="54">
        <v>2</v>
      </c>
      <c r="V639" s="54"/>
      <c r="W639" s="54">
        <v>3</v>
      </c>
      <c r="X639" s="54"/>
      <c r="Y639" s="54">
        <v>3</v>
      </c>
      <c r="Z639" s="54"/>
      <c r="AA639" s="115">
        <v>2</v>
      </c>
      <c r="AB639" s="115"/>
      <c r="AC639" s="115">
        <v>3</v>
      </c>
      <c r="AD639" s="115"/>
    </row>
    <row r="640" spans="1:30" x14ac:dyDescent="0.2">
      <c r="A640" s="34" t="s">
        <v>14</v>
      </c>
      <c r="B640" s="34" t="s">
        <v>167</v>
      </c>
      <c r="C640" s="34" t="s">
        <v>32</v>
      </c>
      <c r="D640" s="34" t="str">
        <f t="shared" si="9"/>
        <v>B1-P5-C2</v>
      </c>
      <c r="E640" s="34" t="s">
        <v>11</v>
      </c>
      <c r="F640" s="34" t="s">
        <v>133</v>
      </c>
      <c r="G640" s="51" t="s">
        <v>1487</v>
      </c>
      <c r="H640" s="51">
        <v>662</v>
      </c>
      <c r="I640" s="53">
        <v>1</v>
      </c>
      <c r="J640" s="54"/>
      <c r="K640" s="53">
        <v>3</v>
      </c>
      <c r="L640" s="54"/>
      <c r="M640" s="54">
        <v>3</v>
      </c>
      <c r="N640" s="54"/>
      <c r="O640" s="54">
        <v>1</v>
      </c>
      <c r="P640" s="54"/>
      <c r="Q640" s="54">
        <v>1</v>
      </c>
      <c r="R640" s="54"/>
      <c r="S640" s="54">
        <v>3</v>
      </c>
      <c r="T640" s="54"/>
      <c r="U640" s="54">
        <v>3</v>
      </c>
      <c r="V640" s="54"/>
      <c r="W640" s="54">
        <v>3</v>
      </c>
      <c r="X640" s="54"/>
      <c r="Y640" s="54">
        <v>4</v>
      </c>
      <c r="Z640" s="54"/>
      <c r="AA640" s="115">
        <v>4</v>
      </c>
      <c r="AB640" s="115"/>
      <c r="AC640" s="115">
        <v>3</v>
      </c>
      <c r="AD640" s="115"/>
    </row>
    <row r="641" spans="1:30" x14ac:dyDescent="0.2">
      <c r="A641" s="34" t="s">
        <v>14</v>
      </c>
      <c r="B641" s="34" t="s">
        <v>167</v>
      </c>
      <c r="C641" s="34" t="s">
        <v>32</v>
      </c>
      <c r="D641" s="34" t="str">
        <f t="shared" si="9"/>
        <v>B1-P5-C2</v>
      </c>
      <c r="E641" s="34" t="s">
        <v>11</v>
      </c>
      <c r="F641" s="34" t="s">
        <v>133</v>
      </c>
      <c r="G641" s="51" t="s">
        <v>1489</v>
      </c>
      <c r="H641" s="51">
        <v>663</v>
      </c>
      <c r="I641" s="53">
        <v>1</v>
      </c>
      <c r="J641" s="54"/>
      <c r="K641" s="53">
        <v>2</v>
      </c>
      <c r="L641" s="54"/>
      <c r="M641" s="54">
        <v>3</v>
      </c>
      <c r="N641" s="54"/>
      <c r="O641" s="54">
        <v>2</v>
      </c>
      <c r="P641" s="54"/>
      <c r="Q641" s="54">
        <v>1</v>
      </c>
      <c r="R641" s="54"/>
      <c r="S641" s="54">
        <v>3</v>
      </c>
      <c r="T641" s="54"/>
      <c r="U641" s="54">
        <v>1</v>
      </c>
      <c r="V641" s="54"/>
      <c r="W641" s="54">
        <v>1</v>
      </c>
      <c r="X641" s="54"/>
      <c r="Y641" s="54">
        <v>1</v>
      </c>
      <c r="Z641" s="54"/>
      <c r="AA641" s="115">
        <v>1</v>
      </c>
      <c r="AB641" s="115"/>
      <c r="AC641" s="115">
        <v>1</v>
      </c>
      <c r="AD641" s="115"/>
    </row>
    <row r="642" spans="1:30" x14ac:dyDescent="0.2">
      <c r="A642" s="34" t="s">
        <v>14</v>
      </c>
      <c r="B642" s="34" t="s">
        <v>167</v>
      </c>
      <c r="C642" s="34" t="s">
        <v>32</v>
      </c>
      <c r="D642" s="34" t="str">
        <f t="shared" si="9"/>
        <v>B1-P5-C2</v>
      </c>
      <c r="E642" s="34" t="s">
        <v>11</v>
      </c>
      <c r="F642" s="34" t="s">
        <v>133</v>
      </c>
      <c r="G642" s="51" t="s">
        <v>1491</v>
      </c>
      <c r="H642" s="51">
        <v>664</v>
      </c>
      <c r="I642" s="53">
        <v>1</v>
      </c>
      <c r="J642" s="54"/>
      <c r="K642" s="53">
        <v>3</v>
      </c>
      <c r="L642" s="54"/>
      <c r="M642" s="54">
        <v>3</v>
      </c>
      <c r="N642" s="54"/>
      <c r="O642" s="54">
        <v>2</v>
      </c>
      <c r="P642" s="54"/>
      <c r="Q642" s="54">
        <v>1</v>
      </c>
      <c r="R642" s="54"/>
      <c r="S642" s="54">
        <v>3</v>
      </c>
      <c r="T642" s="54"/>
      <c r="U642" s="54">
        <v>2</v>
      </c>
      <c r="V642" s="54"/>
      <c r="W642" s="54">
        <v>2</v>
      </c>
      <c r="X642" s="54"/>
      <c r="Y642" s="54">
        <v>2</v>
      </c>
      <c r="Z642" s="54"/>
      <c r="AA642" s="115">
        <v>3</v>
      </c>
      <c r="AB642" s="115"/>
      <c r="AC642" s="115">
        <v>2</v>
      </c>
      <c r="AD642" s="115"/>
    </row>
    <row r="643" spans="1:30" x14ac:dyDescent="0.2">
      <c r="A643" s="34" t="s">
        <v>14</v>
      </c>
      <c r="B643" s="34" t="s">
        <v>167</v>
      </c>
      <c r="C643" s="34" t="s">
        <v>32</v>
      </c>
      <c r="D643" s="34" t="str">
        <f t="shared" ref="D643:D706" si="10">A643&amp;"-"&amp;B643&amp;"-"&amp;C643</f>
        <v>B1-P5-C2</v>
      </c>
      <c r="E643" s="34" t="s">
        <v>11</v>
      </c>
      <c r="F643" s="34" t="s">
        <v>133</v>
      </c>
      <c r="G643" s="51" t="s">
        <v>1493</v>
      </c>
      <c r="H643" s="51">
        <v>665</v>
      </c>
      <c r="I643" s="53">
        <v>1</v>
      </c>
      <c r="J643" s="54"/>
      <c r="K643" s="53">
        <v>2</v>
      </c>
      <c r="L643" s="54"/>
      <c r="M643" s="54">
        <v>3</v>
      </c>
      <c r="N643" s="54"/>
      <c r="O643" s="54">
        <v>2</v>
      </c>
      <c r="P643" s="54"/>
      <c r="Q643" s="54">
        <v>1</v>
      </c>
      <c r="R643" s="54"/>
      <c r="S643" s="54">
        <v>3</v>
      </c>
      <c r="T643" s="54"/>
      <c r="U643" s="54">
        <v>3</v>
      </c>
      <c r="V643" s="54"/>
      <c r="W643" s="54">
        <v>3</v>
      </c>
      <c r="X643" s="54"/>
      <c r="Y643" s="54">
        <v>3</v>
      </c>
      <c r="Z643" s="54"/>
      <c r="AA643" s="115">
        <v>3</v>
      </c>
      <c r="AB643" s="115"/>
      <c r="AC643" s="115">
        <v>2</v>
      </c>
      <c r="AD643" s="115"/>
    </row>
    <row r="644" spans="1:30" x14ac:dyDescent="0.2">
      <c r="A644" s="34" t="s">
        <v>14</v>
      </c>
      <c r="B644" s="34" t="s">
        <v>167</v>
      </c>
      <c r="C644" s="34" t="s">
        <v>32</v>
      </c>
      <c r="D644" s="34" t="str">
        <f t="shared" si="10"/>
        <v>B1-P5-C2</v>
      </c>
      <c r="E644" s="34" t="s">
        <v>11</v>
      </c>
      <c r="F644" s="34" t="s">
        <v>133</v>
      </c>
      <c r="G644" s="51" t="s">
        <v>1495</v>
      </c>
      <c r="H644" s="51">
        <v>666</v>
      </c>
      <c r="I644" s="53">
        <v>1</v>
      </c>
      <c r="J644" s="54"/>
      <c r="K644" s="53">
        <v>3</v>
      </c>
      <c r="L644" s="54"/>
      <c r="M644" s="54">
        <v>3</v>
      </c>
      <c r="N644" s="54"/>
      <c r="O644" s="54">
        <v>2</v>
      </c>
      <c r="P644" s="54"/>
      <c r="Q644" s="54">
        <v>1</v>
      </c>
      <c r="R644" s="54"/>
      <c r="S644" s="54">
        <v>2</v>
      </c>
      <c r="T644" s="54"/>
      <c r="U644" s="54">
        <v>2</v>
      </c>
      <c r="V644" s="54"/>
      <c r="W644" s="54">
        <v>2</v>
      </c>
      <c r="X644" s="54"/>
      <c r="Y644" s="54">
        <v>2</v>
      </c>
      <c r="Z644" s="54"/>
      <c r="AA644" s="115">
        <v>2</v>
      </c>
      <c r="AB644" s="115"/>
      <c r="AC644" s="115">
        <v>3</v>
      </c>
      <c r="AD644" s="115"/>
    </row>
    <row r="645" spans="1:30" x14ac:dyDescent="0.2">
      <c r="A645" s="35" t="s">
        <v>14</v>
      </c>
      <c r="B645" s="35" t="s">
        <v>200</v>
      </c>
      <c r="C645" s="35" t="s">
        <v>53</v>
      </c>
      <c r="D645" s="31" t="str">
        <f t="shared" si="10"/>
        <v>B1-P6-C4</v>
      </c>
      <c r="E645" s="35" t="s">
        <v>11</v>
      </c>
      <c r="F645" s="35" t="s">
        <v>133</v>
      </c>
      <c r="G645" s="50" t="s">
        <v>1497</v>
      </c>
      <c r="H645" s="50">
        <v>667</v>
      </c>
      <c r="I645" s="52">
        <v>1</v>
      </c>
      <c r="J645" s="52"/>
      <c r="K645" s="52">
        <v>3</v>
      </c>
      <c r="L645" s="52"/>
      <c r="M645" s="52">
        <v>3</v>
      </c>
      <c r="N645" s="52"/>
      <c r="O645" s="52">
        <v>2</v>
      </c>
      <c r="P645" s="52"/>
      <c r="Q645" s="52">
        <v>1</v>
      </c>
      <c r="R645" s="52"/>
      <c r="S645" s="52">
        <v>3</v>
      </c>
      <c r="T645" s="52"/>
      <c r="U645" s="52">
        <v>3</v>
      </c>
      <c r="V645" s="52"/>
      <c r="W645" s="52">
        <v>2</v>
      </c>
      <c r="X645" s="52"/>
      <c r="Y645" s="52">
        <v>2</v>
      </c>
      <c r="Z645" s="52"/>
      <c r="AA645" s="114">
        <v>1</v>
      </c>
      <c r="AB645" s="114"/>
      <c r="AC645" s="114">
        <v>2</v>
      </c>
      <c r="AD645" s="114"/>
    </row>
    <row r="646" spans="1:30" x14ac:dyDescent="0.2">
      <c r="A646" s="35" t="s">
        <v>14</v>
      </c>
      <c r="B646" s="35" t="s">
        <v>200</v>
      </c>
      <c r="C646" s="35" t="s">
        <v>53</v>
      </c>
      <c r="D646" s="31" t="str">
        <f t="shared" si="10"/>
        <v>B1-P6-C4</v>
      </c>
      <c r="E646" s="35" t="s">
        <v>11</v>
      </c>
      <c r="F646" s="35" t="s">
        <v>133</v>
      </c>
      <c r="G646" s="50" t="s">
        <v>1499</v>
      </c>
      <c r="H646" s="50">
        <v>668</v>
      </c>
      <c r="I646" s="52">
        <v>1</v>
      </c>
      <c r="J646" s="52"/>
      <c r="K646" s="52">
        <v>2</v>
      </c>
      <c r="L646" s="52"/>
      <c r="M646" s="52">
        <v>3</v>
      </c>
      <c r="N646" s="52"/>
      <c r="O646" s="52">
        <v>2</v>
      </c>
      <c r="P646" s="52"/>
      <c r="Q646" s="52">
        <v>1</v>
      </c>
      <c r="R646" s="52"/>
      <c r="S646" s="52">
        <v>3</v>
      </c>
      <c r="T646" s="52"/>
      <c r="U646" s="52">
        <v>3</v>
      </c>
      <c r="V646" s="52"/>
      <c r="W646" s="52">
        <v>2</v>
      </c>
      <c r="X646" s="52"/>
      <c r="Y646" s="52">
        <v>2</v>
      </c>
      <c r="Z646" s="52"/>
      <c r="AA646" s="114">
        <v>1</v>
      </c>
      <c r="AB646" s="114"/>
      <c r="AC646" s="114">
        <v>1</v>
      </c>
      <c r="AD646" s="114"/>
    </row>
    <row r="647" spans="1:30" x14ac:dyDescent="0.2">
      <c r="A647" s="35" t="s">
        <v>14</v>
      </c>
      <c r="B647" s="35" t="s">
        <v>200</v>
      </c>
      <c r="C647" s="35" t="s">
        <v>53</v>
      </c>
      <c r="D647" s="31" t="str">
        <f t="shared" si="10"/>
        <v>B1-P6-C4</v>
      </c>
      <c r="E647" s="35" t="s">
        <v>11</v>
      </c>
      <c r="F647" s="35" t="s">
        <v>133</v>
      </c>
      <c r="G647" s="50" t="s">
        <v>1501</v>
      </c>
      <c r="H647" s="50">
        <v>669</v>
      </c>
      <c r="I647" s="52">
        <v>1</v>
      </c>
      <c r="J647" s="52"/>
      <c r="K647" s="52">
        <v>2</v>
      </c>
      <c r="L647" s="52"/>
      <c r="M647" s="52">
        <v>3</v>
      </c>
      <c r="N647" s="52"/>
      <c r="O647" s="52">
        <v>2</v>
      </c>
      <c r="P647" s="52"/>
      <c r="Q647" s="52">
        <v>1</v>
      </c>
      <c r="R647" s="52"/>
      <c r="S647" s="52">
        <v>3</v>
      </c>
      <c r="T647" s="52"/>
      <c r="U647" s="52">
        <v>2</v>
      </c>
      <c r="V647" s="52"/>
      <c r="W647" s="52">
        <v>1</v>
      </c>
      <c r="X647" s="52"/>
      <c r="Y647" s="52">
        <v>1</v>
      </c>
      <c r="Z647" s="52"/>
      <c r="AA647" s="114">
        <v>1</v>
      </c>
      <c r="AB647" s="114"/>
      <c r="AC647" s="114">
        <v>1</v>
      </c>
      <c r="AD647" s="114"/>
    </row>
    <row r="648" spans="1:30" x14ac:dyDescent="0.2">
      <c r="A648" s="35" t="s">
        <v>14</v>
      </c>
      <c r="B648" s="35" t="s">
        <v>200</v>
      </c>
      <c r="C648" s="35" t="s">
        <v>53</v>
      </c>
      <c r="D648" s="31" t="str">
        <f t="shared" si="10"/>
        <v>B1-P6-C4</v>
      </c>
      <c r="E648" s="35" t="s">
        <v>11</v>
      </c>
      <c r="F648" s="35" t="s">
        <v>133</v>
      </c>
      <c r="G648" s="50" t="s">
        <v>1503</v>
      </c>
      <c r="H648" s="50">
        <v>670</v>
      </c>
      <c r="I648" s="52">
        <v>1</v>
      </c>
      <c r="J648" s="52"/>
      <c r="K648" s="52">
        <v>2</v>
      </c>
      <c r="L648" s="52"/>
      <c r="M648" s="52">
        <v>2</v>
      </c>
      <c r="N648" s="52"/>
      <c r="O648" s="52">
        <v>1.5</v>
      </c>
      <c r="P648" s="52"/>
      <c r="Q648" s="52">
        <v>1</v>
      </c>
      <c r="R648" s="52"/>
      <c r="S648" s="52">
        <v>3</v>
      </c>
      <c r="T648" s="52"/>
      <c r="U648" s="52">
        <v>2</v>
      </c>
      <c r="V648" s="52"/>
      <c r="W648" s="52">
        <v>2</v>
      </c>
      <c r="X648" s="52"/>
      <c r="Y648" s="52">
        <v>2</v>
      </c>
      <c r="Z648" s="52"/>
      <c r="AA648" s="114">
        <v>2</v>
      </c>
      <c r="AB648" s="114"/>
      <c r="AC648" s="114">
        <v>1</v>
      </c>
      <c r="AD648" s="114"/>
    </row>
    <row r="649" spans="1:30" x14ac:dyDescent="0.2">
      <c r="A649" s="35" t="s">
        <v>14</v>
      </c>
      <c r="B649" s="35" t="s">
        <v>200</v>
      </c>
      <c r="C649" s="35" t="s">
        <v>53</v>
      </c>
      <c r="D649" s="31" t="str">
        <f t="shared" si="10"/>
        <v>B1-P6-C4</v>
      </c>
      <c r="E649" s="35" t="s">
        <v>11</v>
      </c>
      <c r="F649" s="35" t="s">
        <v>133</v>
      </c>
      <c r="G649" s="50" t="s">
        <v>1505</v>
      </c>
      <c r="H649" s="50">
        <v>671</v>
      </c>
      <c r="I649" s="52">
        <v>1</v>
      </c>
      <c r="J649" s="52"/>
      <c r="K649" s="52">
        <v>2</v>
      </c>
      <c r="L649" s="52"/>
      <c r="M649" s="52">
        <v>3</v>
      </c>
      <c r="N649" s="52"/>
      <c r="O649" s="52">
        <v>2</v>
      </c>
      <c r="P649" s="52"/>
      <c r="Q649" s="52">
        <v>1</v>
      </c>
      <c r="R649" s="52"/>
      <c r="S649" s="52">
        <v>3</v>
      </c>
      <c r="T649" s="52"/>
      <c r="U649" s="52">
        <v>2</v>
      </c>
      <c r="V649" s="52"/>
      <c r="W649" s="52">
        <v>3</v>
      </c>
      <c r="X649" s="52"/>
      <c r="Y649" s="52">
        <v>2</v>
      </c>
      <c r="Z649" s="52"/>
      <c r="AA649" s="114">
        <v>3</v>
      </c>
      <c r="AB649" s="114"/>
      <c r="AC649" s="114">
        <v>2</v>
      </c>
      <c r="AD649" s="114"/>
    </row>
    <row r="650" spans="1:30" x14ac:dyDescent="0.2">
      <c r="A650" s="35" t="s">
        <v>14</v>
      </c>
      <c r="B650" s="35" t="s">
        <v>200</v>
      </c>
      <c r="C650" s="35" t="s">
        <v>53</v>
      </c>
      <c r="D650" s="31" t="str">
        <f t="shared" si="10"/>
        <v>B1-P6-C4</v>
      </c>
      <c r="E650" s="35" t="s">
        <v>11</v>
      </c>
      <c r="F650" s="35" t="s">
        <v>133</v>
      </c>
      <c r="G650" s="50" t="s">
        <v>1507</v>
      </c>
      <c r="H650" s="50">
        <v>672</v>
      </c>
      <c r="I650" s="52">
        <v>1</v>
      </c>
      <c r="J650" s="52"/>
      <c r="K650" s="52">
        <v>3</v>
      </c>
      <c r="L650" s="52"/>
      <c r="M650" s="52">
        <v>3</v>
      </c>
      <c r="N650" s="52"/>
      <c r="O650" s="52">
        <v>2</v>
      </c>
      <c r="P650" s="52"/>
      <c r="Q650" s="52">
        <v>1</v>
      </c>
      <c r="R650" s="52"/>
      <c r="S650" s="52">
        <v>3</v>
      </c>
      <c r="T650" s="52"/>
      <c r="U650" s="52">
        <v>2</v>
      </c>
      <c r="V650" s="52"/>
      <c r="W650" s="52">
        <v>3</v>
      </c>
      <c r="X650" s="52"/>
      <c r="Y650" s="52">
        <v>3</v>
      </c>
      <c r="Z650" s="52"/>
      <c r="AA650" s="114">
        <v>2</v>
      </c>
      <c r="AB650" s="114"/>
      <c r="AC650" s="114">
        <v>2</v>
      </c>
      <c r="AD650" s="114"/>
    </row>
    <row r="651" spans="1:30" x14ac:dyDescent="0.2">
      <c r="A651" s="34" t="s">
        <v>234</v>
      </c>
      <c r="B651" s="34" t="s">
        <v>15</v>
      </c>
      <c r="C651" s="34" t="s">
        <v>16</v>
      </c>
      <c r="D651" s="34" t="str">
        <f t="shared" si="10"/>
        <v>B2-P1-C1</v>
      </c>
      <c r="E651" s="34" t="s">
        <v>11</v>
      </c>
      <c r="F651" s="34" t="s">
        <v>133</v>
      </c>
      <c r="G651" s="51" t="s">
        <v>1509</v>
      </c>
      <c r="H651" s="51">
        <v>673</v>
      </c>
      <c r="I651" s="53">
        <v>1</v>
      </c>
      <c r="J651" s="54"/>
      <c r="K651" s="53">
        <v>1</v>
      </c>
      <c r="L651" s="54"/>
      <c r="M651" s="54">
        <v>1</v>
      </c>
      <c r="N651" s="54"/>
      <c r="O651" s="54">
        <v>1</v>
      </c>
      <c r="P651" s="54"/>
      <c r="Q651" s="54">
        <v>1</v>
      </c>
      <c r="R651" s="54"/>
      <c r="S651" s="54">
        <v>2</v>
      </c>
      <c r="T651" s="54"/>
      <c r="U651" s="54">
        <v>1</v>
      </c>
      <c r="V651" s="54"/>
      <c r="W651" s="54">
        <v>1</v>
      </c>
      <c r="X651" s="54"/>
      <c r="Y651" s="54">
        <v>1</v>
      </c>
      <c r="Z651" s="54"/>
      <c r="AA651" s="115">
        <v>1</v>
      </c>
      <c r="AB651" s="115"/>
      <c r="AC651" s="115">
        <v>1</v>
      </c>
      <c r="AD651" s="115"/>
    </row>
    <row r="652" spans="1:30" x14ac:dyDescent="0.2">
      <c r="A652" s="34" t="s">
        <v>234</v>
      </c>
      <c r="B652" s="34" t="s">
        <v>15</v>
      </c>
      <c r="C652" s="34" t="s">
        <v>16</v>
      </c>
      <c r="D652" s="34" t="str">
        <f t="shared" si="10"/>
        <v>B2-P1-C1</v>
      </c>
      <c r="E652" s="34" t="s">
        <v>11</v>
      </c>
      <c r="F652" s="34" t="s">
        <v>133</v>
      </c>
      <c r="G652" s="51" t="s">
        <v>1511</v>
      </c>
      <c r="H652" s="51">
        <v>674</v>
      </c>
      <c r="I652" s="53">
        <v>1</v>
      </c>
      <c r="J652" s="54"/>
      <c r="K652" s="53">
        <v>1</v>
      </c>
      <c r="L652" s="54"/>
      <c r="M652" s="54">
        <v>2</v>
      </c>
      <c r="N652" s="54"/>
      <c r="O652" s="54">
        <v>2</v>
      </c>
      <c r="P652" s="54"/>
      <c r="Q652" s="54">
        <v>1</v>
      </c>
      <c r="R652" s="54"/>
      <c r="S652" s="54">
        <v>2</v>
      </c>
      <c r="T652" s="54"/>
      <c r="U652" s="54">
        <v>2</v>
      </c>
      <c r="V652" s="54"/>
      <c r="W652" s="54">
        <v>3</v>
      </c>
      <c r="X652" s="54"/>
      <c r="Y652" s="54">
        <v>3</v>
      </c>
      <c r="Z652" s="54"/>
      <c r="AA652" s="115">
        <v>3</v>
      </c>
      <c r="AB652" s="115"/>
      <c r="AC652" s="115">
        <v>3</v>
      </c>
      <c r="AD652" s="115"/>
    </row>
    <row r="653" spans="1:30" x14ac:dyDescent="0.2">
      <c r="A653" s="34" t="s">
        <v>234</v>
      </c>
      <c r="B653" s="34" t="s">
        <v>15</v>
      </c>
      <c r="C653" s="34" t="s">
        <v>16</v>
      </c>
      <c r="D653" s="34" t="str">
        <f t="shared" si="10"/>
        <v>B2-P1-C1</v>
      </c>
      <c r="E653" s="34" t="s">
        <v>11</v>
      </c>
      <c r="F653" s="34" t="s">
        <v>133</v>
      </c>
      <c r="G653" s="51" t="s">
        <v>1513</v>
      </c>
      <c r="H653" s="51">
        <v>675</v>
      </c>
      <c r="I653" s="53">
        <v>1</v>
      </c>
      <c r="J653" s="54"/>
      <c r="K653" s="53">
        <v>1</v>
      </c>
      <c r="L653" s="54"/>
      <c r="M653" s="54">
        <v>2</v>
      </c>
      <c r="N653" s="54"/>
      <c r="O653" s="54">
        <v>1</v>
      </c>
      <c r="P653" s="54"/>
      <c r="Q653" s="54">
        <v>1</v>
      </c>
      <c r="R653" s="54"/>
      <c r="S653" s="54">
        <v>2</v>
      </c>
      <c r="T653" s="54"/>
      <c r="U653" s="54">
        <v>2</v>
      </c>
      <c r="V653" s="54"/>
      <c r="W653" s="54">
        <v>2</v>
      </c>
      <c r="X653" s="54"/>
      <c r="Y653" s="54">
        <v>2</v>
      </c>
      <c r="Z653" s="54"/>
      <c r="AA653" s="115">
        <v>3</v>
      </c>
      <c r="AB653" s="115"/>
      <c r="AC653" s="115">
        <v>3</v>
      </c>
      <c r="AD653" s="115"/>
    </row>
    <row r="654" spans="1:30" x14ac:dyDescent="0.2">
      <c r="A654" s="34" t="s">
        <v>234</v>
      </c>
      <c r="B654" s="34" t="s">
        <v>15</v>
      </c>
      <c r="C654" s="34" t="s">
        <v>16</v>
      </c>
      <c r="D654" s="34" t="str">
        <f t="shared" si="10"/>
        <v>B2-P1-C1</v>
      </c>
      <c r="E654" s="34" t="s">
        <v>11</v>
      </c>
      <c r="F654" s="34" t="s">
        <v>133</v>
      </c>
      <c r="G654" s="51" t="s">
        <v>1515</v>
      </c>
      <c r="H654" s="51">
        <v>676</v>
      </c>
      <c r="I654" s="53">
        <v>1</v>
      </c>
      <c r="J654" s="54"/>
      <c r="K654" s="53">
        <v>1</v>
      </c>
      <c r="L654" s="54"/>
      <c r="M654" s="54">
        <v>1</v>
      </c>
      <c r="N654" s="54"/>
      <c r="O654" s="54">
        <v>1</v>
      </c>
      <c r="P654" s="54"/>
      <c r="Q654" s="54">
        <v>1</v>
      </c>
      <c r="R654" s="54"/>
      <c r="S654" s="54">
        <v>3</v>
      </c>
      <c r="T654" s="54"/>
      <c r="U654" s="54">
        <v>1</v>
      </c>
      <c r="V654" s="54"/>
      <c r="W654" s="54">
        <v>1</v>
      </c>
      <c r="X654" s="54"/>
      <c r="Y654" s="54">
        <v>1</v>
      </c>
      <c r="Z654" s="54"/>
      <c r="AA654" s="115">
        <v>1</v>
      </c>
      <c r="AB654" s="115"/>
      <c r="AC654" s="115">
        <v>1</v>
      </c>
      <c r="AD654" s="115"/>
    </row>
    <row r="655" spans="1:30" x14ac:dyDescent="0.2">
      <c r="A655" s="34" t="s">
        <v>234</v>
      </c>
      <c r="B655" s="34" t="s">
        <v>15</v>
      </c>
      <c r="C655" s="34" t="s">
        <v>16</v>
      </c>
      <c r="D655" s="34" t="str">
        <f t="shared" si="10"/>
        <v>B2-P1-C1</v>
      </c>
      <c r="E655" s="34" t="s">
        <v>11</v>
      </c>
      <c r="F655" s="34" t="s">
        <v>133</v>
      </c>
      <c r="G655" s="51" t="s">
        <v>1517</v>
      </c>
      <c r="H655" s="51">
        <v>677</v>
      </c>
      <c r="I655" s="53">
        <v>1</v>
      </c>
      <c r="J655" s="54"/>
      <c r="K655" s="53">
        <v>1</v>
      </c>
      <c r="L655" s="54"/>
      <c r="M655" s="54">
        <v>1</v>
      </c>
      <c r="N655" s="54"/>
      <c r="O655" s="54">
        <v>1</v>
      </c>
      <c r="P655" s="54"/>
      <c r="Q655" s="54">
        <v>1</v>
      </c>
      <c r="R655" s="54"/>
      <c r="S655" s="54">
        <v>3</v>
      </c>
      <c r="T655" s="54"/>
      <c r="U655" s="54">
        <v>2</v>
      </c>
      <c r="V655" s="54"/>
      <c r="W655" s="54">
        <v>1</v>
      </c>
      <c r="X655" s="54"/>
      <c r="Y655" s="54">
        <v>1</v>
      </c>
      <c r="Z655" s="54"/>
      <c r="AA655" s="115">
        <v>1</v>
      </c>
      <c r="AB655" s="115"/>
      <c r="AC655" s="115">
        <v>1</v>
      </c>
      <c r="AD655" s="115"/>
    </row>
    <row r="656" spans="1:30" x14ac:dyDescent="0.2">
      <c r="A656" s="34" t="s">
        <v>234</v>
      </c>
      <c r="B656" s="34" t="s">
        <v>15</v>
      </c>
      <c r="C656" s="34" t="s">
        <v>16</v>
      </c>
      <c r="D656" s="34" t="str">
        <f t="shared" si="10"/>
        <v>B2-P1-C1</v>
      </c>
      <c r="E656" s="34" t="s">
        <v>11</v>
      </c>
      <c r="F656" s="34" t="s">
        <v>133</v>
      </c>
      <c r="G656" s="51" t="s">
        <v>1519</v>
      </c>
      <c r="H656" s="51">
        <v>678</v>
      </c>
      <c r="I656" s="53">
        <v>1</v>
      </c>
      <c r="J656" s="54"/>
      <c r="K656" s="53">
        <v>1</v>
      </c>
      <c r="L656" s="54"/>
      <c r="M656" s="54">
        <v>1</v>
      </c>
      <c r="N656" s="54"/>
      <c r="O656" s="54">
        <v>1</v>
      </c>
      <c r="P656" s="54"/>
      <c r="Q656" s="54">
        <v>1</v>
      </c>
      <c r="R656" s="54"/>
      <c r="S656" s="54">
        <v>3</v>
      </c>
      <c r="T656" s="54"/>
      <c r="U656" s="54">
        <v>1</v>
      </c>
      <c r="V656" s="54"/>
      <c r="W656" s="54">
        <v>1</v>
      </c>
      <c r="X656" s="54"/>
      <c r="Y656" s="54">
        <v>1</v>
      </c>
      <c r="Z656" s="54"/>
      <c r="AA656" s="115">
        <v>2</v>
      </c>
      <c r="AB656" s="115"/>
      <c r="AC656" s="115">
        <v>2</v>
      </c>
      <c r="AD656" s="115"/>
    </row>
    <row r="657" spans="1:30" x14ac:dyDescent="0.2">
      <c r="A657" s="35" t="s">
        <v>234</v>
      </c>
      <c r="B657" s="35" t="s">
        <v>15</v>
      </c>
      <c r="C657" s="35" t="s">
        <v>42</v>
      </c>
      <c r="D657" s="31" t="str">
        <f t="shared" si="10"/>
        <v>B2-P1-C3</v>
      </c>
      <c r="E657" s="35" t="s">
        <v>11</v>
      </c>
      <c r="F657" s="35" t="s">
        <v>133</v>
      </c>
      <c r="G657" s="50" t="s">
        <v>1521</v>
      </c>
      <c r="H657" s="50">
        <v>679</v>
      </c>
      <c r="I657" s="52">
        <v>4</v>
      </c>
      <c r="J657" s="52"/>
      <c r="K657" s="52">
        <v>4</v>
      </c>
      <c r="L657" s="52"/>
      <c r="M657" s="52">
        <v>4</v>
      </c>
      <c r="N657" s="52"/>
      <c r="O657" s="52">
        <v>4</v>
      </c>
      <c r="P657" s="52"/>
      <c r="Q657" s="52">
        <v>4</v>
      </c>
      <c r="R657" s="52"/>
      <c r="S657" s="52">
        <v>4</v>
      </c>
      <c r="T657" s="52"/>
      <c r="U657" s="52">
        <v>4</v>
      </c>
      <c r="V657" s="52"/>
      <c r="W657" s="52">
        <v>4</v>
      </c>
      <c r="X657" s="52"/>
      <c r="Y657" s="52">
        <v>4</v>
      </c>
      <c r="Z657" s="52"/>
      <c r="AA657" s="114">
        <v>4</v>
      </c>
      <c r="AB657" s="114"/>
      <c r="AC657" s="114">
        <v>4</v>
      </c>
      <c r="AD657" s="114"/>
    </row>
    <row r="658" spans="1:30" x14ac:dyDescent="0.2">
      <c r="A658" s="35" t="s">
        <v>234</v>
      </c>
      <c r="B658" s="35" t="s">
        <v>15</v>
      </c>
      <c r="C658" s="35" t="s">
        <v>42</v>
      </c>
      <c r="D658" s="31" t="str">
        <f t="shared" si="10"/>
        <v>B2-P1-C3</v>
      </c>
      <c r="E658" s="35" t="s">
        <v>11</v>
      </c>
      <c r="F658" s="35" t="s">
        <v>133</v>
      </c>
      <c r="G658" s="50" t="s">
        <v>1523</v>
      </c>
      <c r="H658" s="50">
        <v>680</v>
      </c>
      <c r="I658" s="52">
        <v>1</v>
      </c>
      <c r="J658" s="52"/>
      <c r="K658" s="52">
        <v>2</v>
      </c>
      <c r="L658" s="52"/>
      <c r="M658" s="52">
        <v>3</v>
      </c>
      <c r="N658" s="52"/>
      <c r="O658" s="52">
        <v>2</v>
      </c>
      <c r="P658" s="52"/>
      <c r="Q658" s="52">
        <v>1</v>
      </c>
      <c r="R658" s="52"/>
      <c r="S658" s="52">
        <v>3</v>
      </c>
      <c r="T658" s="52"/>
      <c r="U658" s="52">
        <v>3</v>
      </c>
      <c r="V658" s="52"/>
      <c r="W658" s="52">
        <v>2</v>
      </c>
      <c r="X658" s="52"/>
      <c r="Y658" s="52">
        <v>3</v>
      </c>
      <c r="Z658" s="52"/>
      <c r="AA658" s="114">
        <v>3</v>
      </c>
      <c r="AB658" s="114"/>
      <c r="AC658" s="114">
        <v>3</v>
      </c>
      <c r="AD658" s="114"/>
    </row>
    <row r="659" spans="1:30" x14ac:dyDescent="0.2">
      <c r="A659" s="35" t="s">
        <v>234</v>
      </c>
      <c r="B659" s="35" t="s">
        <v>15</v>
      </c>
      <c r="C659" s="35" t="s">
        <v>42</v>
      </c>
      <c r="D659" s="31" t="str">
        <f t="shared" si="10"/>
        <v>B2-P1-C3</v>
      </c>
      <c r="E659" s="35" t="s">
        <v>11</v>
      </c>
      <c r="F659" s="35" t="s">
        <v>133</v>
      </c>
      <c r="G659" s="50" t="s">
        <v>1525</v>
      </c>
      <c r="H659" s="50">
        <v>681</v>
      </c>
      <c r="I659" s="52">
        <v>1</v>
      </c>
      <c r="J659" s="52"/>
      <c r="K659" s="52">
        <v>2</v>
      </c>
      <c r="L659" s="52"/>
      <c r="M659" s="52">
        <v>3</v>
      </c>
      <c r="N659" s="52"/>
      <c r="O659" s="52">
        <v>2</v>
      </c>
      <c r="P659" s="52"/>
      <c r="Q659" s="52">
        <v>1</v>
      </c>
      <c r="R659" s="52"/>
      <c r="S659" s="52">
        <v>3</v>
      </c>
      <c r="T659" s="52"/>
      <c r="U659" s="52">
        <v>2</v>
      </c>
      <c r="V659" s="52"/>
      <c r="W659" s="52">
        <v>2</v>
      </c>
      <c r="X659" s="52"/>
      <c r="Y659" s="52">
        <v>3</v>
      </c>
      <c r="Z659" s="52"/>
      <c r="AA659" s="114">
        <v>2</v>
      </c>
      <c r="AB659" s="114"/>
      <c r="AC659" s="114">
        <v>1</v>
      </c>
      <c r="AD659" s="114"/>
    </row>
    <row r="660" spans="1:30" x14ac:dyDescent="0.2">
      <c r="A660" s="35" t="s">
        <v>234</v>
      </c>
      <c r="B660" s="35" t="s">
        <v>15</v>
      </c>
      <c r="C660" s="35" t="s">
        <v>42</v>
      </c>
      <c r="D660" s="31" t="str">
        <f t="shared" si="10"/>
        <v>B2-P1-C3</v>
      </c>
      <c r="E660" s="35" t="s">
        <v>11</v>
      </c>
      <c r="F660" s="35" t="s">
        <v>133</v>
      </c>
      <c r="G660" s="50" t="s">
        <v>1527</v>
      </c>
      <c r="H660" s="50">
        <v>682</v>
      </c>
      <c r="I660" s="52">
        <v>1</v>
      </c>
      <c r="J660" s="52"/>
      <c r="K660" s="52">
        <v>2</v>
      </c>
      <c r="L660" s="52"/>
      <c r="M660" s="52">
        <v>2</v>
      </c>
      <c r="N660" s="52"/>
      <c r="O660" s="52">
        <v>1</v>
      </c>
      <c r="P660" s="52"/>
      <c r="Q660" s="52">
        <v>1</v>
      </c>
      <c r="R660" s="52"/>
      <c r="S660" s="52">
        <v>3</v>
      </c>
      <c r="T660" s="52"/>
      <c r="U660" s="52">
        <v>3</v>
      </c>
      <c r="V660" s="52"/>
      <c r="W660" s="52">
        <v>3</v>
      </c>
      <c r="X660" s="52"/>
      <c r="Y660" s="52">
        <v>2</v>
      </c>
      <c r="Z660" s="52"/>
      <c r="AA660" s="114">
        <v>2</v>
      </c>
      <c r="AB660" s="114"/>
      <c r="AC660" s="114">
        <v>3</v>
      </c>
      <c r="AD660" s="114"/>
    </row>
    <row r="661" spans="1:30" x14ac:dyDescent="0.2">
      <c r="A661" s="35" t="s">
        <v>234</v>
      </c>
      <c r="B661" s="35" t="s">
        <v>15</v>
      </c>
      <c r="C661" s="35" t="s">
        <v>42</v>
      </c>
      <c r="D661" s="31" t="str">
        <f t="shared" si="10"/>
        <v>B2-P1-C3</v>
      </c>
      <c r="E661" s="35" t="s">
        <v>11</v>
      </c>
      <c r="F661" s="35" t="s">
        <v>133</v>
      </c>
      <c r="G661" s="50" t="s">
        <v>1529</v>
      </c>
      <c r="H661" s="50">
        <v>683</v>
      </c>
      <c r="I661" s="52">
        <v>1</v>
      </c>
      <c r="J661" s="52"/>
      <c r="K661" s="52">
        <v>2</v>
      </c>
      <c r="L661" s="52"/>
      <c r="M661" s="52">
        <v>3</v>
      </c>
      <c r="N661" s="52"/>
      <c r="O661" s="52">
        <v>1</v>
      </c>
      <c r="P661" s="52"/>
      <c r="Q661" s="52">
        <v>1</v>
      </c>
      <c r="R661" s="52"/>
      <c r="S661" s="52">
        <v>3</v>
      </c>
      <c r="T661" s="52"/>
      <c r="U661" s="52">
        <v>3</v>
      </c>
      <c r="V661" s="52"/>
      <c r="W661" s="52">
        <v>1</v>
      </c>
      <c r="X661" s="52"/>
      <c r="Y661" s="52">
        <v>1</v>
      </c>
      <c r="Z661" s="52"/>
      <c r="AA661" s="114">
        <v>1</v>
      </c>
      <c r="AB661" s="114"/>
      <c r="AC661" s="114">
        <v>1</v>
      </c>
      <c r="AD661" s="114"/>
    </row>
    <row r="662" spans="1:30" x14ac:dyDescent="0.2">
      <c r="A662" s="35" t="s">
        <v>234</v>
      </c>
      <c r="B662" s="35" t="s">
        <v>15</v>
      </c>
      <c r="C662" s="35" t="s">
        <v>42</v>
      </c>
      <c r="D662" s="31" t="str">
        <f t="shared" si="10"/>
        <v>B2-P1-C3</v>
      </c>
      <c r="E662" s="35" t="s">
        <v>11</v>
      </c>
      <c r="F662" s="35" t="s">
        <v>133</v>
      </c>
      <c r="G662" s="50" t="s">
        <v>1531</v>
      </c>
      <c r="H662" s="50">
        <v>684</v>
      </c>
      <c r="I662" s="52">
        <v>1</v>
      </c>
      <c r="J662" s="52"/>
      <c r="K662" s="52">
        <v>3</v>
      </c>
      <c r="L662" s="52"/>
      <c r="M662" s="52">
        <v>3</v>
      </c>
      <c r="N662" s="52"/>
      <c r="O662" s="52">
        <v>2</v>
      </c>
      <c r="P662" s="52"/>
      <c r="Q662" s="52">
        <v>1</v>
      </c>
      <c r="R662" s="52"/>
      <c r="S662" s="52">
        <v>3</v>
      </c>
      <c r="T662" s="52"/>
      <c r="U662" s="52">
        <v>3</v>
      </c>
      <c r="V662" s="52"/>
      <c r="W662" s="52">
        <v>1</v>
      </c>
      <c r="X662" s="52"/>
      <c r="Y662" s="52">
        <v>1</v>
      </c>
      <c r="Z662" s="52"/>
      <c r="AA662" s="114">
        <v>1</v>
      </c>
      <c r="AB662" s="114"/>
      <c r="AC662" s="114">
        <v>1</v>
      </c>
      <c r="AD662" s="114"/>
    </row>
    <row r="663" spans="1:30" x14ac:dyDescent="0.2">
      <c r="A663" s="34" t="s">
        <v>234</v>
      </c>
      <c r="B663" s="34" t="s">
        <v>62</v>
      </c>
      <c r="C663" s="34" t="s">
        <v>16</v>
      </c>
      <c r="D663" s="34" t="str">
        <f t="shared" si="10"/>
        <v>B2-P2-C1</v>
      </c>
      <c r="E663" s="34" t="s">
        <v>11</v>
      </c>
      <c r="F663" s="34" t="s">
        <v>133</v>
      </c>
      <c r="G663" s="51" t="s">
        <v>1533</v>
      </c>
      <c r="H663" s="51">
        <v>685</v>
      </c>
      <c r="I663" s="53">
        <v>4</v>
      </c>
      <c r="J663" s="54"/>
      <c r="K663" s="53">
        <v>4</v>
      </c>
      <c r="L663" s="54"/>
      <c r="M663" s="54">
        <v>3</v>
      </c>
      <c r="N663" s="54"/>
      <c r="O663" s="54">
        <v>1</v>
      </c>
      <c r="P663" s="54"/>
      <c r="Q663" s="54">
        <v>1</v>
      </c>
      <c r="R663" s="54"/>
      <c r="S663" s="54">
        <v>1</v>
      </c>
      <c r="T663" s="54"/>
      <c r="U663" s="54">
        <v>1</v>
      </c>
      <c r="V663" s="54"/>
      <c r="W663" s="54">
        <v>1</v>
      </c>
      <c r="X663" s="54"/>
      <c r="Y663" s="54">
        <v>1</v>
      </c>
      <c r="Z663" s="54"/>
      <c r="AA663" s="115">
        <v>1</v>
      </c>
      <c r="AB663" s="115"/>
      <c r="AC663" s="115">
        <v>1</v>
      </c>
      <c r="AD663" s="115"/>
    </row>
    <row r="664" spans="1:30" x14ac:dyDescent="0.2">
      <c r="A664" s="34" t="s">
        <v>234</v>
      </c>
      <c r="B664" s="34" t="s">
        <v>62</v>
      </c>
      <c r="C664" s="34" t="s">
        <v>16</v>
      </c>
      <c r="D664" s="34" t="str">
        <f t="shared" si="10"/>
        <v>B2-P2-C1</v>
      </c>
      <c r="E664" s="34" t="s">
        <v>11</v>
      </c>
      <c r="F664" s="34" t="s">
        <v>133</v>
      </c>
      <c r="G664" s="51" t="s">
        <v>1535</v>
      </c>
      <c r="H664" s="51">
        <v>686</v>
      </c>
      <c r="I664" s="53">
        <v>1</v>
      </c>
      <c r="J664" s="54"/>
      <c r="K664" s="53">
        <v>1</v>
      </c>
      <c r="L664" s="54"/>
      <c r="M664" s="54">
        <v>2</v>
      </c>
      <c r="N664" s="54"/>
      <c r="O664" s="54">
        <v>2</v>
      </c>
      <c r="P664" s="54"/>
      <c r="Q664" s="54">
        <v>1</v>
      </c>
      <c r="R664" s="54"/>
      <c r="S664" s="54">
        <v>2</v>
      </c>
      <c r="T664" s="54"/>
      <c r="U664" s="54">
        <v>1</v>
      </c>
      <c r="V664" s="54"/>
      <c r="W664" s="54">
        <v>1</v>
      </c>
      <c r="X664" s="54"/>
      <c r="Y664" s="54">
        <v>1</v>
      </c>
      <c r="Z664" s="54"/>
      <c r="AA664" s="115">
        <v>1</v>
      </c>
      <c r="AB664" s="115"/>
      <c r="AC664" s="115">
        <v>1</v>
      </c>
      <c r="AD664" s="115"/>
    </row>
    <row r="665" spans="1:30" x14ac:dyDescent="0.2">
      <c r="A665" s="34" t="s">
        <v>234</v>
      </c>
      <c r="B665" s="34" t="s">
        <v>62</v>
      </c>
      <c r="C665" s="34" t="s">
        <v>16</v>
      </c>
      <c r="D665" s="34" t="str">
        <f t="shared" si="10"/>
        <v>B2-P2-C1</v>
      </c>
      <c r="E665" s="34" t="s">
        <v>11</v>
      </c>
      <c r="F665" s="34" t="s">
        <v>133</v>
      </c>
      <c r="G665" s="51" t="s">
        <v>1537</v>
      </c>
      <c r="H665" s="51">
        <v>687</v>
      </c>
      <c r="I665" s="53">
        <v>1</v>
      </c>
      <c r="J665" s="54"/>
      <c r="K665" s="53">
        <v>1</v>
      </c>
      <c r="L665" s="54"/>
      <c r="M665" s="54">
        <v>2</v>
      </c>
      <c r="N665" s="54"/>
      <c r="O665" s="54">
        <v>2</v>
      </c>
      <c r="P665" s="54"/>
      <c r="Q665" s="54">
        <v>1</v>
      </c>
      <c r="R665" s="54"/>
      <c r="S665" s="54">
        <v>3</v>
      </c>
      <c r="T665" s="54"/>
      <c r="U665" s="54">
        <v>1</v>
      </c>
      <c r="V665" s="54"/>
      <c r="W665" s="54">
        <v>1</v>
      </c>
      <c r="X665" s="54"/>
      <c r="Y665" s="54">
        <v>2</v>
      </c>
      <c r="Z665" s="54"/>
      <c r="AA665" s="115">
        <v>1</v>
      </c>
      <c r="AB665" s="115"/>
      <c r="AC665" s="115">
        <v>1</v>
      </c>
      <c r="AD665" s="115"/>
    </row>
    <row r="666" spans="1:30" x14ac:dyDescent="0.2">
      <c r="A666" s="34" t="s">
        <v>234</v>
      </c>
      <c r="B666" s="34" t="s">
        <v>62</v>
      </c>
      <c r="C666" s="34" t="s">
        <v>16</v>
      </c>
      <c r="D666" s="34" t="str">
        <f t="shared" si="10"/>
        <v>B2-P2-C1</v>
      </c>
      <c r="E666" s="34" t="s">
        <v>11</v>
      </c>
      <c r="F666" s="34" t="s">
        <v>133</v>
      </c>
      <c r="G666" s="51" t="s">
        <v>1539</v>
      </c>
      <c r="H666" s="51">
        <v>688</v>
      </c>
      <c r="I666" s="53">
        <v>1</v>
      </c>
      <c r="J666" s="54"/>
      <c r="K666" s="53">
        <v>1</v>
      </c>
      <c r="L666" s="54"/>
      <c r="M666" s="54">
        <v>1</v>
      </c>
      <c r="N666" s="54"/>
      <c r="O666" s="54">
        <v>1</v>
      </c>
      <c r="P666" s="54"/>
      <c r="Q666" s="54">
        <v>1</v>
      </c>
      <c r="R666" s="54"/>
      <c r="S666" s="54">
        <v>2</v>
      </c>
      <c r="T666" s="54"/>
      <c r="U666" s="54">
        <v>1</v>
      </c>
      <c r="V666" s="54"/>
      <c r="W666" s="54">
        <v>2</v>
      </c>
      <c r="X666" s="54"/>
      <c r="Y666" s="54">
        <v>1</v>
      </c>
      <c r="Z666" s="54"/>
      <c r="AA666" s="115">
        <v>1</v>
      </c>
      <c r="AB666" s="115"/>
      <c r="AC666" s="115">
        <v>1</v>
      </c>
      <c r="AD666" s="115"/>
    </row>
    <row r="667" spans="1:30" x14ac:dyDescent="0.2">
      <c r="A667" s="34" t="s">
        <v>234</v>
      </c>
      <c r="B667" s="34" t="s">
        <v>62</v>
      </c>
      <c r="C667" s="34" t="s">
        <v>16</v>
      </c>
      <c r="D667" s="34" t="str">
        <f t="shared" si="10"/>
        <v>B2-P2-C1</v>
      </c>
      <c r="E667" s="34" t="s">
        <v>11</v>
      </c>
      <c r="F667" s="34" t="s">
        <v>133</v>
      </c>
      <c r="G667" s="51" t="s">
        <v>1541</v>
      </c>
      <c r="H667" s="51">
        <v>689</v>
      </c>
      <c r="I667" s="53">
        <v>1</v>
      </c>
      <c r="J667" s="54"/>
      <c r="K667" s="53">
        <v>1</v>
      </c>
      <c r="L667" s="54"/>
      <c r="M667" s="54">
        <v>1</v>
      </c>
      <c r="N667" s="54"/>
      <c r="O667" s="54">
        <v>1</v>
      </c>
      <c r="P667" s="54"/>
      <c r="Q667" s="54">
        <v>1</v>
      </c>
      <c r="R667" s="54"/>
      <c r="S667" s="54">
        <v>2</v>
      </c>
      <c r="T667" s="54"/>
      <c r="U667" s="54">
        <v>1</v>
      </c>
      <c r="V667" s="54"/>
      <c r="W667" s="54">
        <v>1</v>
      </c>
      <c r="X667" s="54"/>
      <c r="Y667" s="54">
        <v>1</v>
      </c>
      <c r="Z667" s="54"/>
      <c r="AA667" s="115">
        <v>1</v>
      </c>
      <c r="AB667" s="115"/>
      <c r="AC667" s="115">
        <v>1</v>
      </c>
      <c r="AD667" s="115"/>
    </row>
    <row r="668" spans="1:30" x14ac:dyDescent="0.2">
      <c r="A668" s="34" t="s">
        <v>234</v>
      </c>
      <c r="B668" s="34" t="s">
        <v>62</v>
      </c>
      <c r="C668" s="34" t="s">
        <v>16</v>
      </c>
      <c r="D668" s="34" t="str">
        <f t="shared" si="10"/>
        <v>B2-P2-C1</v>
      </c>
      <c r="E668" s="34" t="s">
        <v>11</v>
      </c>
      <c r="F668" s="34" t="s">
        <v>133</v>
      </c>
      <c r="G668" s="51" t="s">
        <v>1543</v>
      </c>
      <c r="H668" s="51">
        <v>690</v>
      </c>
      <c r="I668" s="53">
        <v>1</v>
      </c>
      <c r="J668" s="54"/>
      <c r="K668" s="53">
        <v>1</v>
      </c>
      <c r="L668" s="54"/>
      <c r="M668" s="54">
        <v>1</v>
      </c>
      <c r="N668" s="54"/>
      <c r="O668" s="54">
        <v>1</v>
      </c>
      <c r="P668" s="54"/>
      <c r="Q668" s="54">
        <v>1</v>
      </c>
      <c r="R668" s="54"/>
      <c r="S668" s="54">
        <v>2</v>
      </c>
      <c r="T668" s="54"/>
      <c r="U668" s="54">
        <v>1</v>
      </c>
      <c r="V668" s="54"/>
      <c r="W668" s="54">
        <v>1</v>
      </c>
      <c r="X668" s="54"/>
      <c r="Y668" s="54">
        <v>1</v>
      </c>
      <c r="Z668" s="54"/>
      <c r="AA668" s="115">
        <v>1</v>
      </c>
      <c r="AB668" s="115"/>
      <c r="AC668" s="115">
        <v>1</v>
      </c>
      <c r="AD668" s="115"/>
    </row>
    <row r="669" spans="1:30" x14ac:dyDescent="0.2">
      <c r="A669" s="35" t="s">
        <v>234</v>
      </c>
      <c r="B669" s="35" t="s">
        <v>62</v>
      </c>
      <c r="C669" s="35" t="s">
        <v>32</v>
      </c>
      <c r="D669" s="31" t="str">
        <f t="shared" si="10"/>
        <v>B2-P2-C2</v>
      </c>
      <c r="E669" s="35" t="s">
        <v>11</v>
      </c>
      <c r="F669" s="35" t="s">
        <v>133</v>
      </c>
      <c r="G669" s="50" t="s">
        <v>1546</v>
      </c>
      <c r="H669" s="50">
        <v>691</v>
      </c>
      <c r="I669" s="52">
        <v>1</v>
      </c>
      <c r="J669" s="52"/>
      <c r="K669" s="52">
        <v>1</v>
      </c>
      <c r="L669" s="52"/>
      <c r="M669" s="52">
        <v>1</v>
      </c>
      <c r="N669" s="52"/>
      <c r="O669" s="52">
        <v>1</v>
      </c>
      <c r="P669" s="52"/>
      <c r="Q669" s="52">
        <v>1</v>
      </c>
      <c r="R669" s="52"/>
      <c r="S669" s="52">
        <v>2</v>
      </c>
      <c r="T669" s="52"/>
      <c r="U669" s="52">
        <v>1</v>
      </c>
      <c r="V669" s="52"/>
      <c r="W669" s="52">
        <v>1</v>
      </c>
      <c r="X669" s="52"/>
      <c r="Y669" s="52">
        <v>1</v>
      </c>
      <c r="Z669" s="52"/>
      <c r="AA669" s="114">
        <v>1</v>
      </c>
      <c r="AB669" s="114"/>
      <c r="AC669" s="114">
        <v>1</v>
      </c>
      <c r="AD669" s="114"/>
    </row>
    <row r="670" spans="1:30" x14ac:dyDescent="0.2">
      <c r="A670" s="35" t="s">
        <v>234</v>
      </c>
      <c r="B670" s="35" t="s">
        <v>62</v>
      </c>
      <c r="C670" s="35" t="s">
        <v>32</v>
      </c>
      <c r="D670" s="31" t="str">
        <f t="shared" si="10"/>
        <v>B2-P2-C2</v>
      </c>
      <c r="E670" s="35" t="s">
        <v>11</v>
      </c>
      <c r="F670" s="35" t="s">
        <v>133</v>
      </c>
      <c r="G670" s="50" t="s">
        <v>1548</v>
      </c>
      <c r="H670" s="50">
        <v>692</v>
      </c>
      <c r="I670" s="52">
        <v>1</v>
      </c>
      <c r="J670" s="52"/>
      <c r="K670" s="52">
        <v>1</v>
      </c>
      <c r="L670" s="52"/>
      <c r="M670" s="52">
        <v>2</v>
      </c>
      <c r="N670" s="52"/>
      <c r="O670" s="52">
        <v>2</v>
      </c>
      <c r="P670" s="52"/>
      <c r="Q670" s="52">
        <v>1</v>
      </c>
      <c r="R670" s="52"/>
      <c r="S670" s="52">
        <v>2</v>
      </c>
      <c r="T670" s="52"/>
      <c r="U670" s="52">
        <v>1</v>
      </c>
      <c r="V670" s="52"/>
      <c r="W670" s="52">
        <v>1</v>
      </c>
      <c r="X670" s="52"/>
      <c r="Y670" s="52">
        <v>1</v>
      </c>
      <c r="Z670" s="52"/>
      <c r="AA670" s="114">
        <v>1</v>
      </c>
      <c r="AB670" s="114"/>
      <c r="AC670" s="114">
        <v>1</v>
      </c>
      <c r="AD670" s="114"/>
    </row>
    <row r="671" spans="1:30" x14ac:dyDescent="0.2">
      <c r="A671" s="35" t="s">
        <v>234</v>
      </c>
      <c r="B671" s="35" t="s">
        <v>62</v>
      </c>
      <c r="C671" s="35" t="s">
        <v>32</v>
      </c>
      <c r="D671" s="31" t="str">
        <f t="shared" si="10"/>
        <v>B2-P2-C2</v>
      </c>
      <c r="E671" s="35" t="s">
        <v>11</v>
      </c>
      <c r="F671" s="35" t="s">
        <v>133</v>
      </c>
      <c r="G671" s="50" t="s">
        <v>1550</v>
      </c>
      <c r="H671" s="50">
        <v>693</v>
      </c>
      <c r="I671" s="52">
        <v>1</v>
      </c>
      <c r="J671" s="52"/>
      <c r="K671" s="52">
        <v>1</v>
      </c>
      <c r="L671" s="52"/>
      <c r="M671" s="52">
        <v>2</v>
      </c>
      <c r="N671" s="52"/>
      <c r="O671" s="52">
        <v>2</v>
      </c>
      <c r="P671" s="52"/>
      <c r="Q671" s="52">
        <v>1</v>
      </c>
      <c r="R671" s="52"/>
      <c r="S671" s="52">
        <v>2</v>
      </c>
      <c r="T671" s="52"/>
      <c r="U671" s="52">
        <v>1</v>
      </c>
      <c r="V671" s="52"/>
      <c r="W671" s="52">
        <v>1</v>
      </c>
      <c r="X671" s="52"/>
      <c r="Y671" s="52">
        <v>1</v>
      </c>
      <c r="Z671" s="52"/>
      <c r="AA671" s="114">
        <v>1</v>
      </c>
      <c r="AB671" s="114"/>
      <c r="AC671" s="114">
        <v>1</v>
      </c>
      <c r="AD671" s="114"/>
    </row>
    <row r="672" spans="1:30" x14ac:dyDescent="0.2">
      <c r="A672" s="35" t="s">
        <v>234</v>
      </c>
      <c r="B672" s="35" t="s">
        <v>62</v>
      </c>
      <c r="C672" s="35" t="s">
        <v>32</v>
      </c>
      <c r="D672" s="31" t="str">
        <f t="shared" si="10"/>
        <v>B2-P2-C2</v>
      </c>
      <c r="E672" s="35" t="s">
        <v>11</v>
      </c>
      <c r="F672" s="35" t="s">
        <v>133</v>
      </c>
      <c r="G672" s="50" t="s">
        <v>1552</v>
      </c>
      <c r="H672" s="50">
        <v>694</v>
      </c>
      <c r="I672" s="52">
        <v>1</v>
      </c>
      <c r="J672" s="52"/>
      <c r="K672" s="52">
        <v>1</v>
      </c>
      <c r="L672" s="52"/>
      <c r="M672" s="52">
        <v>1</v>
      </c>
      <c r="N672" s="52"/>
      <c r="O672" s="52">
        <v>1</v>
      </c>
      <c r="P672" s="52"/>
      <c r="Q672" s="52">
        <v>1</v>
      </c>
      <c r="R672" s="52"/>
      <c r="S672" s="52">
        <v>2</v>
      </c>
      <c r="T672" s="52"/>
      <c r="U672" s="52">
        <v>1</v>
      </c>
      <c r="V672" s="52"/>
      <c r="W672" s="52">
        <v>1</v>
      </c>
      <c r="X672" s="52"/>
      <c r="Y672" s="52">
        <v>1</v>
      </c>
      <c r="Z672" s="52"/>
      <c r="AA672" s="114">
        <v>1</v>
      </c>
      <c r="AB672" s="114"/>
      <c r="AC672" s="114">
        <v>1</v>
      </c>
      <c r="AD672" s="114"/>
    </row>
    <row r="673" spans="1:30" x14ac:dyDescent="0.2">
      <c r="A673" s="35" t="s">
        <v>234</v>
      </c>
      <c r="B673" s="35" t="s">
        <v>62</v>
      </c>
      <c r="C673" s="35" t="s">
        <v>32</v>
      </c>
      <c r="D673" s="31" t="str">
        <f t="shared" si="10"/>
        <v>B2-P2-C2</v>
      </c>
      <c r="E673" s="35" t="s">
        <v>11</v>
      </c>
      <c r="F673" s="35" t="s">
        <v>133</v>
      </c>
      <c r="G673" s="50" t="s">
        <v>1554</v>
      </c>
      <c r="H673" s="50">
        <v>695</v>
      </c>
      <c r="I673" s="52">
        <v>1</v>
      </c>
      <c r="J673" s="52"/>
      <c r="K673" s="52">
        <v>1</v>
      </c>
      <c r="L673" s="52"/>
      <c r="M673" s="52">
        <v>2</v>
      </c>
      <c r="N673" s="52"/>
      <c r="O673" s="52">
        <v>1</v>
      </c>
      <c r="P673" s="52"/>
      <c r="Q673" s="52">
        <v>1</v>
      </c>
      <c r="R673" s="52"/>
      <c r="S673" s="52">
        <v>2</v>
      </c>
      <c r="T673" s="52"/>
      <c r="U673" s="52">
        <v>1</v>
      </c>
      <c r="V673" s="52"/>
      <c r="W673" s="52">
        <v>1</v>
      </c>
      <c r="X673" s="52"/>
      <c r="Y673" s="52">
        <v>1</v>
      </c>
      <c r="Z673" s="52"/>
      <c r="AA673" s="114">
        <v>1</v>
      </c>
      <c r="AB673" s="114"/>
      <c r="AC673" s="114">
        <v>1</v>
      </c>
      <c r="AD673" s="114"/>
    </row>
    <row r="674" spans="1:30" x14ac:dyDescent="0.2">
      <c r="A674" s="35" t="s">
        <v>234</v>
      </c>
      <c r="B674" s="35" t="s">
        <v>62</v>
      </c>
      <c r="C674" s="35" t="s">
        <v>32</v>
      </c>
      <c r="D674" s="31" t="str">
        <f t="shared" si="10"/>
        <v>B2-P2-C2</v>
      </c>
      <c r="E674" s="35" t="s">
        <v>11</v>
      </c>
      <c r="F674" s="35" t="s">
        <v>133</v>
      </c>
      <c r="G674" s="50" t="s">
        <v>1556</v>
      </c>
      <c r="H674" s="50">
        <v>696</v>
      </c>
      <c r="I674" s="52">
        <v>4</v>
      </c>
      <c r="J674" s="52"/>
      <c r="K674" s="52">
        <v>4</v>
      </c>
      <c r="L674" s="52"/>
      <c r="M674" s="52">
        <v>4</v>
      </c>
      <c r="N674" s="52"/>
      <c r="O674" s="52">
        <v>4</v>
      </c>
      <c r="P674" s="52"/>
      <c r="Q674" s="52">
        <v>4</v>
      </c>
      <c r="R674" s="52"/>
      <c r="S674" s="52">
        <v>4</v>
      </c>
      <c r="T674" s="52"/>
      <c r="U674" s="52">
        <v>4</v>
      </c>
      <c r="V674" s="52"/>
      <c r="W674" s="52">
        <v>4</v>
      </c>
      <c r="X674" s="52"/>
      <c r="Y674" s="52">
        <v>4</v>
      </c>
      <c r="Z674" s="52"/>
      <c r="AA674" s="114">
        <v>4</v>
      </c>
      <c r="AB674" s="114"/>
      <c r="AC674" s="114">
        <v>4</v>
      </c>
      <c r="AD674" s="114"/>
    </row>
    <row r="675" spans="1:30" x14ac:dyDescent="0.2">
      <c r="A675" s="34" t="s">
        <v>234</v>
      </c>
      <c r="B675" s="34" t="s">
        <v>62</v>
      </c>
      <c r="C675" s="34" t="s">
        <v>53</v>
      </c>
      <c r="D675" s="34" t="str">
        <f t="shared" si="10"/>
        <v>B2-P2-C4</v>
      </c>
      <c r="E675" s="34" t="s">
        <v>11</v>
      </c>
      <c r="F675" s="34" t="s">
        <v>133</v>
      </c>
      <c r="G675" s="51" t="s">
        <v>1558</v>
      </c>
      <c r="H675" s="51">
        <v>697</v>
      </c>
      <c r="I675" s="53">
        <v>1</v>
      </c>
      <c r="J675" s="54"/>
      <c r="K675" s="53">
        <v>2</v>
      </c>
      <c r="L675" s="54"/>
      <c r="M675" s="54">
        <v>2</v>
      </c>
      <c r="N675" s="54"/>
      <c r="O675" s="54">
        <v>1.5</v>
      </c>
      <c r="P675" s="54"/>
      <c r="Q675" s="54">
        <v>1</v>
      </c>
      <c r="R675" s="54"/>
      <c r="S675" s="54">
        <v>2</v>
      </c>
      <c r="T675" s="54"/>
      <c r="U675" s="54">
        <v>2</v>
      </c>
      <c r="V675" s="54"/>
      <c r="W675" s="54">
        <v>3</v>
      </c>
      <c r="X675" s="54"/>
      <c r="Y675" s="54">
        <v>4</v>
      </c>
      <c r="Z675" s="54"/>
      <c r="AA675" s="115">
        <v>3</v>
      </c>
      <c r="AB675" s="115"/>
      <c r="AC675" s="115">
        <v>3</v>
      </c>
      <c r="AD675" s="115"/>
    </row>
    <row r="676" spans="1:30" x14ac:dyDescent="0.2">
      <c r="A676" s="34" t="s">
        <v>234</v>
      </c>
      <c r="B676" s="34" t="s">
        <v>62</v>
      </c>
      <c r="C676" s="34" t="s">
        <v>53</v>
      </c>
      <c r="D676" s="34" t="str">
        <f t="shared" si="10"/>
        <v>B2-P2-C4</v>
      </c>
      <c r="E676" s="34" t="s">
        <v>11</v>
      </c>
      <c r="F676" s="34" t="s">
        <v>133</v>
      </c>
      <c r="G676" s="51" t="s">
        <v>1560</v>
      </c>
      <c r="H676" s="51">
        <v>698</v>
      </c>
      <c r="I676" s="53">
        <v>4</v>
      </c>
      <c r="J676" s="54"/>
      <c r="K676" s="53">
        <v>4</v>
      </c>
      <c r="L676" s="54"/>
      <c r="M676" s="54">
        <v>4</v>
      </c>
      <c r="N676" s="54"/>
      <c r="O676" s="54">
        <v>4</v>
      </c>
      <c r="P676" s="54"/>
      <c r="Q676" s="54">
        <v>4</v>
      </c>
      <c r="R676" s="54"/>
      <c r="S676" s="54">
        <v>4</v>
      </c>
      <c r="T676" s="54"/>
      <c r="U676" s="54">
        <v>4</v>
      </c>
      <c r="V676" s="54"/>
      <c r="W676" s="54">
        <v>4</v>
      </c>
      <c r="X676" s="54"/>
      <c r="Y676" s="54">
        <v>4</v>
      </c>
      <c r="Z676" s="54"/>
      <c r="AA676" s="115">
        <v>4</v>
      </c>
      <c r="AB676" s="115"/>
      <c r="AC676" s="115">
        <v>4</v>
      </c>
      <c r="AD676" s="115"/>
    </row>
    <row r="677" spans="1:30" x14ac:dyDescent="0.2">
      <c r="A677" s="34" t="s">
        <v>234</v>
      </c>
      <c r="B677" s="34" t="s">
        <v>62</v>
      </c>
      <c r="C677" s="34" t="s">
        <v>53</v>
      </c>
      <c r="D677" s="34" t="str">
        <f t="shared" si="10"/>
        <v>B2-P2-C4</v>
      </c>
      <c r="E677" s="34" t="s">
        <v>11</v>
      </c>
      <c r="F677" s="34" t="s">
        <v>133</v>
      </c>
      <c r="G677" s="51" t="s">
        <v>1563</v>
      </c>
      <c r="H677" s="51">
        <v>699</v>
      </c>
      <c r="I677" s="53">
        <v>1</v>
      </c>
      <c r="J677" s="54"/>
      <c r="K677" s="53">
        <v>1</v>
      </c>
      <c r="L677" s="54"/>
      <c r="M677" s="54">
        <v>2</v>
      </c>
      <c r="N677" s="54"/>
      <c r="O677" s="54">
        <v>2</v>
      </c>
      <c r="P677" s="54"/>
      <c r="Q677" s="54">
        <v>1</v>
      </c>
      <c r="R677" s="54"/>
      <c r="S677" s="54">
        <v>2</v>
      </c>
      <c r="T677" s="54"/>
      <c r="U677" s="54">
        <v>1</v>
      </c>
      <c r="V677" s="54"/>
      <c r="W677" s="54">
        <v>3</v>
      </c>
      <c r="X677" s="54"/>
      <c r="Y677" s="54">
        <v>3</v>
      </c>
      <c r="Z677" s="54"/>
      <c r="AA677" s="115">
        <v>3</v>
      </c>
      <c r="AB677" s="115"/>
      <c r="AC677" s="115">
        <v>3</v>
      </c>
      <c r="AD677" s="115"/>
    </row>
    <row r="678" spans="1:30" x14ac:dyDescent="0.2">
      <c r="A678" s="34" t="s">
        <v>234</v>
      </c>
      <c r="B678" s="34" t="s">
        <v>62</v>
      </c>
      <c r="C678" s="34" t="s">
        <v>53</v>
      </c>
      <c r="D678" s="34" t="str">
        <f t="shared" si="10"/>
        <v>B2-P2-C4</v>
      </c>
      <c r="E678" s="34" t="s">
        <v>11</v>
      </c>
      <c r="F678" s="34" t="s">
        <v>133</v>
      </c>
      <c r="G678" s="51" t="s">
        <v>1565</v>
      </c>
      <c r="H678" s="51">
        <v>700</v>
      </c>
      <c r="I678" s="53">
        <v>1</v>
      </c>
      <c r="J678" s="54"/>
      <c r="K678" s="53">
        <v>2</v>
      </c>
      <c r="L678" s="54"/>
      <c r="M678" s="54">
        <v>2</v>
      </c>
      <c r="N678" s="54"/>
      <c r="O678" s="54">
        <v>1</v>
      </c>
      <c r="P678" s="54"/>
      <c r="Q678" s="54">
        <v>1</v>
      </c>
      <c r="R678" s="54"/>
      <c r="S678" s="54">
        <v>2</v>
      </c>
      <c r="T678" s="54"/>
      <c r="U678" s="54">
        <v>3</v>
      </c>
      <c r="V678" s="54"/>
      <c r="W678" s="54">
        <v>3</v>
      </c>
      <c r="X678" s="54"/>
      <c r="Y678" s="54">
        <v>4</v>
      </c>
      <c r="Z678" s="54"/>
      <c r="AA678" s="115">
        <v>4</v>
      </c>
      <c r="AB678" s="115"/>
      <c r="AC678" s="115">
        <v>4</v>
      </c>
      <c r="AD678" s="115"/>
    </row>
    <row r="679" spans="1:30" x14ac:dyDescent="0.2">
      <c r="A679" s="34" t="s">
        <v>234</v>
      </c>
      <c r="B679" s="34" t="s">
        <v>62</v>
      </c>
      <c r="C679" s="34" t="s">
        <v>53</v>
      </c>
      <c r="D679" s="34" t="str">
        <f t="shared" si="10"/>
        <v>B2-P2-C4</v>
      </c>
      <c r="E679" s="34" t="s">
        <v>11</v>
      </c>
      <c r="F679" s="34" t="s">
        <v>133</v>
      </c>
      <c r="G679" s="51" t="s">
        <v>1567</v>
      </c>
      <c r="H679" s="51">
        <v>701</v>
      </c>
      <c r="I679" s="53">
        <v>1</v>
      </c>
      <c r="J679" s="54"/>
      <c r="K679" s="53">
        <v>1</v>
      </c>
      <c r="L679" s="54"/>
      <c r="M679" s="54">
        <v>2</v>
      </c>
      <c r="N679" s="54"/>
      <c r="O679" s="54">
        <v>2</v>
      </c>
      <c r="P679" s="54"/>
      <c r="Q679" s="54">
        <v>1</v>
      </c>
      <c r="R679" s="54"/>
      <c r="S679" s="54">
        <v>2</v>
      </c>
      <c r="T679" s="54"/>
      <c r="U679" s="54">
        <v>2</v>
      </c>
      <c r="V679" s="54"/>
      <c r="W679" s="54">
        <v>1</v>
      </c>
      <c r="X679" s="54"/>
      <c r="Y679" s="54">
        <v>1</v>
      </c>
      <c r="Z679" s="54"/>
      <c r="AA679" s="115">
        <v>2</v>
      </c>
      <c r="AB679" s="115"/>
      <c r="AC679" s="115">
        <v>2</v>
      </c>
      <c r="AD679" s="115"/>
    </row>
    <row r="680" spans="1:30" x14ac:dyDescent="0.2">
      <c r="A680" s="34" t="s">
        <v>234</v>
      </c>
      <c r="B680" s="34" t="s">
        <v>62</v>
      </c>
      <c r="C680" s="34" t="s">
        <v>53</v>
      </c>
      <c r="D680" s="34" t="str">
        <f t="shared" si="10"/>
        <v>B2-P2-C4</v>
      </c>
      <c r="E680" s="34" t="s">
        <v>11</v>
      </c>
      <c r="F680" s="34" t="s">
        <v>133</v>
      </c>
      <c r="G680" s="51" t="s">
        <v>1569</v>
      </c>
      <c r="H680" s="51">
        <v>702</v>
      </c>
      <c r="I680" s="53">
        <v>1</v>
      </c>
      <c r="J680" s="54"/>
      <c r="K680" s="53">
        <v>1</v>
      </c>
      <c r="L680" s="54"/>
      <c r="M680" s="54">
        <v>2</v>
      </c>
      <c r="N680" s="54"/>
      <c r="O680" s="54">
        <v>1.5</v>
      </c>
      <c r="P680" s="54"/>
      <c r="Q680" s="54">
        <v>1.5</v>
      </c>
      <c r="R680" s="54"/>
      <c r="S680" s="54">
        <v>2</v>
      </c>
      <c r="T680" s="54"/>
      <c r="U680" s="54">
        <v>2</v>
      </c>
      <c r="V680" s="54"/>
      <c r="W680" s="54">
        <v>1</v>
      </c>
      <c r="X680" s="54"/>
      <c r="Y680" s="54">
        <v>1</v>
      </c>
      <c r="Z680" s="54"/>
      <c r="AA680" s="115">
        <v>1</v>
      </c>
      <c r="AB680" s="115"/>
      <c r="AC680" s="115">
        <v>2</v>
      </c>
      <c r="AD680" s="115"/>
    </row>
    <row r="681" spans="1:30" x14ac:dyDescent="0.2">
      <c r="A681" s="35" t="s">
        <v>234</v>
      </c>
      <c r="B681" s="35" t="s">
        <v>98</v>
      </c>
      <c r="C681" s="35" t="s">
        <v>32</v>
      </c>
      <c r="D681" s="31" t="str">
        <f t="shared" si="10"/>
        <v>B2-P3-C2</v>
      </c>
      <c r="E681" s="35" t="s">
        <v>11</v>
      </c>
      <c r="F681" s="35" t="s">
        <v>133</v>
      </c>
      <c r="G681" s="50" t="s">
        <v>1571</v>
      </c>
      <c r="H681" s="50">
        <v>703</v>
      </c>
      <c r="I681" s="52">
        <v>1</v>
      </c>
      <c r="J681" s="52" t="s">
        <v>1818</v>
      </c>
      <c r="K681" s="52">
        <v>3</v>
      </c>
      <c r="L681" s="52" t="s">
        <v>1818</v>
      </c>
      <c r="M681" s="52">
        <v>3</v>
      </c>
      <c r="N681" s="52"/>
      <c r="O681" s="52">
        <v>2</v>
      </c>
      <c r="P681" s="52"/>
      <c r="Q681" s="52">
        <v>1</v>
      </c>
      <c r="R681" s="52"/>
      <c r="S681" s="52">
        <v>3</v>
      </c>
      <c r="T681" s="52"/>
      <c r="U681" s="52">
        <v>3</v>
      </c>
      <c r="V681" s="52"/>
      <c r="W681" s="52">
        <v>2</v>
      </c>
      <c r="X681" s="52"/>
      <c r="Y681" s="52">
        <v>2</v>
      </c>
      <c r="Z681" s="52"/>
      <c r="AA681" s="114">
        <v>2</v>
      </c>
      <c r="AB681" s="114"/>
      <c r="AC681" s="114">
        <v>2</v>
      </c>
      <c r="AD681" s="114"/>
    </row>
    <row r="682" spans="1:30" x14ac:dyDescent="0.2">
      <c r="A682" s="35" t="s">
        <v>234</v>
      </c>
      <c r="B682" s="35" t="s">
        <v>98</v>
      </c>
      <c r="C682" s="35" t="s">
        <v>32</v>
      </c>
      <c r="D682" s="31" t="str">
        <f t="shared" si="10"/>
        <v>B2-P3-C2</v>
      </c>
      <c r="E682" s="35" t="s">
        <v>11</v>
      </c>
      <c r="F682" s="35" t="s">
        <v>133</v>
      </c>
      <c r="G682" s="50" t="s">
        <v>1573</v>
      </c>
      <c r="H682" s="50">
        <v>704</v>
      </c>
      <c r="I682" s="52">
        <v>1</v>
      </c>
      <c r="J682" s="52"/>
      <c r="K682" s="52">
        <v>2</v>
      </c>
      <c r="L682" s="52"/>
      <c r="M682" s="52">
        <v>3</v>
      </c>
      <c r="N682" s="52"/>
      <c r="O682" s="52">
        <v>2</v>
      </c>
      <c r="P682" s="52"/>
      <c r="Q682" s="52">
        <v>1</v>
      </c>
      <c r="R682" s="52"/>
      <c r="S682" s="52">
        <v>3</v>
      </c>
      <c r="T682" s="52"/>
      <c r="U682" s="52">
        <v>3</v>
      </c>
      <c r="V682" s="52"/>
      <c r="W682" s="52">
        <v>4</v>
      </c>
      <c r="X682" s="52"/>
      <c r="Y682" s="52">
        <v>3</v>
      </c>
      <c r="Z682" s="52"/>
      <c r="AA682" s="114">
        <v>4</v>
      </c>
      <c r="AB682" s="114"/>
      <c r="AC682" s="114">
        <v>3</v>
      </c>
      <c r="AD682" s="114"/>
    </row>
    <row r="683" spans="1:30" x14ac:dyDescent="0.2">
      <c r="A683" s="35" t="s">
        <v>234</v>
      </c>
      <c r="B683" s="35" t="s">
        <v>98</v>
      </c>
      <c r="C683" s="35" t="s">
        <v>32</v>
      </c>
      <c r="D683" s="31" t="str">
        <f t="shared" si="10"/>
        <v>B2-P3-C2</v>
      </c>
      <c r="E683" s="35" t="s">
        <v>11</v>
      </c>
      <c r="F683" s="35" t="s">
        <v>133</v>
      </c>
      <c r="G683" s="50" t="s">
        <v>1575</v>
      </c>
      <c r="H683" s="50">
        <v>705</v>
      </c>
      <c r="I683" s="52">
        <v>1</v>
      </c>
      <c r="J683" s="52"/>
      <c r="K683" s="52">
        <v>2</v>
      </c>
      <c r="L683" s="52"/>
      <c r="M683" s="52">
        <v>2</v>
      </c>
      <c r="N683" s="52"/>
      <c r="O683" s="52">
        <v>2</v>
      </c>
      <c r="P683" s="52"/>
      <c r="Q683" s="52">
        <v>1.5</v>
      </c>
      <c r="R683" s="52"/>
      <c r="S683" s="52">
        <v>3</v>
      </c>
      <c r="T683" s="52"/>
      <c r="U683" s="52">
        <v>3</v>
      </c>
      <c r="V683" s="52"/>
      <c r="W683" s="52">
        <v>3</v>
      </c>
      <c r="X683" s="52"/>
      <c r="Y683" s="52">
        <v>3</v>
      </c>
      <c r="Z683" s="52"/>
      <c r="AA683" s="114">
        <v>3</v>
      </c>
      <c r="AB683" s="114"/>
      <c r="AC683" s="114">
        <v>3</v>
      </c>
      <c r="AD683" s="114"/>
    </row>
    <row r="684" spans="1:30" x14ac:dyDescent="0.2">
      <c r="A684" s="35" t="s">
        <v>234</v>
      </c>
      <c r="B684" s="35" t="s">
        <v>98</v>
      </c>
      <c r="C684" s="35" t="s">
        <v>32</v>
      </c>
      <c r="D684" s="31" t="str">
        <f t="shared" si="10"/>
        <v>B2-P3-C2</v>
      </c>
      <c r="E684" s="35" t="s">
        <v>11</v>
      </c>
      <c r="F684" s="35" t="s">
        <v>133</v>
      </c>
      <c r="G684" s="50" t="s">
        <v>1577</v>
      </c>
      <c r="H684" s="50">
        <v>706</v>
      </c>
      <c r="I684" s="52">
        <v>1</v>
      </c>
      <c r="J684" s="52"/>
      <c r="K684" s="52">
        <v>2</v>
      </c>
      <c r="L684" s="52"/>
      <c r="M684" s="52">
        <v>2</v>
      </c>
      <c r="N684" s="52"/>
      <c r="O684" s="52">
        <v>2</v>
      </c>
      <c r="P684" s="52"/>
      <c r="Q684" s="52">
        <v>1</v>
      </c>
      <c r="R684" s="52"/>
      <c r="S684" s="52">
        <v>3</v>
      </c>
      <c r="T684" s="52"/>
      <c r="U684" s="52">
        <v>3</v>
      </c>
      <c r="V684" s="52"/>
      <c r="W684" s="52">
        <v>2</v>
      </c>
      <c r="X684" s="52"/>
      <c r="Y684" s="52">
        <v>2</v>
      </c>
      <c r="Z684" s="52"/>
      <c r="AA684" s="114">
        <v>1</v>
      </c>
      <c r="AB684" s="114"/>
      <c r="AC684" s="114">
        <v>1</v>
      </c>
      <c r="AD684" s="114"/>
    </row>
    <row r="685" spans="1:30" x14ac:dyDescent="0.2">
      <c r="A685" s="35" t="s">
        <v>234</v>
      </c>
      <c r="B685" s="35" t="s">
        <v>98</v>
      </c>
      <c r="C685" s="35" t="s">
        <v>32</v>
      </c>
      <c r="D685" s="31" t="str">
        <f t="shared" si="10"/>
        <v>B2-P3-C2</v>
      </c>
      <c r="E685" s="35" t="s">
        <v>11</v>
      </c>
      <c r="F685" s="35" t="s">
        <v>133</v>
      </c>
      <c r="G685" s="50" t="s">
        <v>1579</v>
      </c>
      <c r="H685" s="50">
        <v>707</v>
      </c>
      <c r="I685" s="52">
        <v>1</v>
      </c>
      <c r="J685" s="52"/>
      <c r="K685" s="52">
        <v>2</v>
      </c>
      <c r="L685" s="52"/>
      <c r="M685" s="52">
        <v>3</v>
      </c>
      <c r="N685" s="52"/>
      <c r="O685" s="52">
        <v>2</v>
      </c>
      <c r="P685" s="52"/>
      <c r="Q685" s="52">
        <v>1</v>
      </c>
      <c r="R685" s="52"/>
      <c r="S685" s="52">
        <v>3</v>
      </c>
      <c r="T685" s="52"/>
      <c r="U685" s="52">
        <v>3</v>
      </c>
      <c r="V685" s="52"/>
      <c r="W685" s="52">
        <v>2</v>
      </c>
      <c r="X685" s="52"/>
      <c r="Y685" s="52">
        <v>2</v>
      </c>
      <c r="Z685" s="52"/>
      <c r="AA685" s="114">
        <v>1</v>
      </c>
      <c r="AB685" s="114"/>
      <c r="AC685" s="114">
        <v>1</v>
      </c>
      <c r="AD685" s="114"/>
    </row>
    <row r="686" spans="1:30" x14ac:dyDescent="0.2">
      <c r="A686" s="35" t="s">
        <v>234</v>
      </c>
      <c r="B686" s="35" t="s">
        <v>98</v>
      </c>
      <c r="C686" s="35" t="s">
        <v>32</v>
      </c>
      <c r="D686" s="31" t="str">
        <f t="shared" si="10"/>
        <v>B2-P3-C2</v>
      </c>
      <c r="E686" s="35" t="s">
        <v>11</v>
      </c>
      <c r="F686" s="35" t="s">
        <v>133</v>
      </c>
      <c r="G686" s="50" t="s">
        <v>1581</v>
      </c>
      <c r="H686" s="50">
        <v>708</v>
      </c>
      <c r="I686" s="52">
        <v>1</v>
      </c>
      <c r="J686" s="52"/>
      <c r="K686" s="52">
        <v>2.5</v>
      </c>
      <c r="L686" s="52"/>
      <c r="M686" s="52">
        <v>3</v>
      </c>
      <c r="N686" s="52"/>
      <c r="O686" s="52">
        <v>2</v>
      </c>
      <c r="P686" s="52"/>
      <c r="Q686" s="52">
        <v>1</v>
      </c>
      <c r="R686" s="52"/>
      <c r="S686" s="52">
        <v>3</v>
      </c>
      <c r="T686" s="52"/>
      <c r="U686" s="52">
        <v>3</v>
      </c>
      <c r="V686" s="52"/>
      <c r="W686" s="52">
        <v>1</v>
      </c>
      <c r="X686" s="52"/>
      <c r="Y686" s="52">
        <v>1</v>
      </c>
      <c r="Z686" s="52"/>
      <c r="AA686" s="114">
        <v>1</v>
      </c>
      <c r="AB686" s="114"/>
      <c r="AC686" s="114">
        <v>1</v>
      </c>
      <c r="AD686" s="114"/>
    </row>
    <row r="687" spans="1:30" x14ac:dyDescent="0.2">
      <c r="A687" s="34" t="s">
        <v>234</v>
      </c>
      <c r="B687" s="34" t="s">
        <v>131</v>
      </c>
      <c r="C687" s="34" t="s">
        <v>16</v>
      </c>
      <c r="D687" s="34" t="str">
        <f t="shared" si="10"/>
        <v>B2-P4-C1</v>
      </c>
      <c r="E687" s="34" t="s">
        <v>11</v>
      </c>
      <c r="F687" s="34" t="s">
        <v>20</v>
      </c>
      <c r="G687" s="51" t="s">
        <v>1583</v>
      </c>
      <c r="H687" s="51">
        <v>709</v>
      </c>
      <c r="I687" s="53">
        <v>1</v>
      </c>
      <c r="J687" s="54"/>
      <c r="K687" s="54">
        <v>3</v>
      </c>
      <c r="L687" s="54"/>
      <c r="M687" s="54">
        <v>4</v>
      </c>
      <c r="N687" s="54"/>
      <c r="O687" s="54">
        <v>2</v>
      </c>
      <c r="P687" s="54"/>
      <c r="Q687" s="54">
        <v>1</v>
      </c>
      <c r="R687" s="54"/>
      <c r="S687" s="54">
        <v>2</v>
      </c>
      <c r="T687" s="54"/>
      <c r="U687" s="54">
        <v>2</v>
      </c>
      <c r="V687" s="54"/>
      <c r="W687" s="54">
        <v>1</v>
      </c>
      <c r="X687" s="54"/>
      <c r="Y687" s="54">
        <v>1</v>
      </c>
      <c r="Z687" s="54"/>
      <c r="AA687" s="115">
        <v>1</v>
      </c>
      <c r="AB687" s="115"/>
      <c r="AC687" s="115">
        <v>1</v>
      </c>
      <c r="AD687" s="115"/>
    </row>
    <row r="688" spans="1:30" x14ac:dyDescent="0.2">
      <c r="A688" s="34" t="s">
        <v>234</v>
      </c>
      <c r="B688" s="34" t="s">
        <v>131</v>
      </c>
      <c r="C688" s="34" t="s">
        <v>16</v>
      </c>
      <c r="D688" s="34" t="str">
        <f t="shared" si="10"/>
        <v>B2-P4-C1</v>
      </c>
      <c r="E688" s="34" t="s">
        <v>11</v>
      </c>
      <c r="F688" s="34" t="s">
        <v>20</v>
      </c>
      <c r="G688" s="51" t="s">
        <v>1585</v>
      </c>
      <c r="H688" s="51">
        <v>710</v>
      </c>
      <c r="I688" s="53">
        <v>1</v>
      </c>
      <c r="J688" s="54"/>
      <c r="K688" s="54">
        <v>3</v>
      </c>
      <c r="L688" s="54"/>
      <c r="M688" s="54">
        <v>3</v>
      </c>
      <c r="N688" s="54"/>
      <c r="O688" s="54">
        <v>2</v>
      </c>
      <c r="P688" s="54"/>
      <c r="Q688" s="54">
        <v>1</v>
      </c>
      <c r="R688" s="54"/>
      <c r="S688" s="54">
        <v>3</v>
      </c>
      <c r="T688" s="54"/>
      <c r="U688" s="54">
        <v>3</v>
      </c>
      <c r="V688" s="54"/>
      <c r="W688" s="54">
        <v>2</v>
      </c>
      <c r="X688" s="54"/>
      <c r="Y688" s="54">
        <v>2</v>
      </c>
      <c r="Z688" s="54"/>
      <c r="AA688" s="115">
        <v>1</v>
      </c>
      <c r="AB688" s="115"/>
      <c r="AC688" s="115">
        <v>1</v>
      </c>
      <c r="AD688" s="115"/>
    </row>
    <row r="689" spans="1:30" x14ac:dyDescent="0.2">
      <c r="A689" s="34" t="s">
        <v>234</v>
      </c>
      <c r="B689" s="34" t="s">
        <v>131</v>
      </c>
      <c r="C689" s="34" t="s">
        <v>16</v>
      </c>
      <c r="D689" s="34" t="str">
        <f t="shared" si="10"/>
        <v>B2-P4-C1</v>
      </c>
      <c r="E689" s="34" t="s">
        <v>11</v>
      </c>
      <c r="F689" s="34" t="s">
        <v>20</v>
      </c>
      <c r="G689" s="51" t="s">
        <v>1587</v>
      </c>
      <c r="H689" s="51">
        <v>711</v>
      </c>
      <c r="I689" s="53">
        <v>1</v>
      </c>
      <c r="J689" s="54"/>
      <c r="K689" s="54">
        <v>3</v>
      </c>
      <c r="L689" s="54"/>
      <c r="M689" s="54">
        <v>4</v>
      </c>
      <c r="N689" s="54"/>
      <c r="O689" s="54">
        <v>2</v>
      </c>
      <c r="P689" s="54"/>
      <c r="Q689" s="54">
        <v>1</v>
      </c>
      <c r="R689" s="54"/>
      <c r="S689" s="54">
        <v>2</v>
      </c>
      <c r="T689" s="54"/>
      <c r="U689" s="54">
        <v>2</v>
      </c>
      <c r="V689" s="54"/>
      <c r="W689" s="54">
        <v>1</v>
      </c>
      <c r="X689" s="54"/>
      <c r="Y689" s="54">
        <v>2</v>
      </c>
      <c r="Z689" s="54"/>
      <c r="AA689" s="115">
        <v>1</v>
      </c>
      <c r="AB689" s="115"/>
      <c r="AC689" s="115">
        <v>1</v>
      </c>
      <c r="AD689" s="115"/>
    </row>
    <row r="690" spans="1:30" x14ac:dyDescent="0.2">
      <c r="A690" s="34" t="s">
        <v>234</v>
      </c>
      <c r="B690" s="34" t="s">
        <v>131</v>
      </c>
      <c r="C690" s="34" t="s">
        <v>16</v>
      </c>
      <c r="D690" s="34" t="str">
        <f t="shared" si="10"/>
        <v>B2-P4-C1</v>
      </c>
      <c r="E690" s="34" t="s">
        <v>11</v>
      </c>
      <c r="F690" s="34" t="s">
        <v>20</v>
      </c>
      <c r="G690" s="51" t="s">
        <v>1589</v>
      </c>
      <c r="H690" s="51">
        <v>712</v>
      </c>
      <c r="I690" s="53">
        <v>1</v>
      </c>
      <c r="J690" s="54"/>
      <c r="K690" s="54">
        <v>3</v>
      </c>
      <c r="L690" s="54"/>
      <c r="M690" s="54">
        <v>3</v>
      </c>
      <c r="N690" s="54"/>
      <c r="O690" s="54">
        <v>2</v>
      </c>
      <c r="P690" s="54"/>
      <c r="Q690" s="54">
        <v>1</v>
      </c>
      <c r="R690" s="54"/>
      <c r="S690" s="54">
        <v>3</v>
      </c>
      <c r="T690" s="54"/>
      <c r="U690" s="54">
        <v>2</v>
      </c>
      <c r="V690" s="54"/>
      <c r="W690" s="54">
        <v>1</v>
      </c>
      <c r="X690" s="54"/>
      <c r="Y690" s="54">
        <v>1</v>
      </c>
      <c r="Z690" s="54"/>
      <c r="AA690" s="115">
        <v>1</v>
      </c>
      <c r="AB690" s="115"/>
      <c r="AC690" s="115">
        <v>1</v>
      </c>
      <c r="AD690" s="115"/>
    </row>
    <row r="691" spans="1:30" x14ac:dyDescent="0.2">
      <c r="A691" s="34" t="s">
        <v>234</v>
      </c>
      <c r="B691" s="34" t="s">
        <v>131</v>
      </c>
      <c r="C691" s="34" t="s">
        <v>16</v>
      </c>
      <c r="D691" s="34" t="str">
        <f t="shared" si="10"/>
        <v>B2-P4-C1</v>
      </c>
      <c r="E691" s="34" t="s">
        <v>11</v>
      </c>
      <c r="F691" s="34" t="s">
        <v>20</v>
      </c>
      <c r="G691" s="51" t="s">
        <v>1591</v>
      </c>
      <c r="H691" s="51">
        <v>713</v>
      </c>
      <c r="I691" s="53">
        <v>1</v>
      </c>
      <c r="J691" s="54"/>
      <c r="K691" s="54">
        <v>3</v>
      </c>
      <c r="L691" s="54"/>
      <c r="M691" s="54">
        <v>3</v>
      </c>
      <c r="N691" s="54"/>
      <c r="O691" s="54">
        <v>3</v>
      </c>
      <c r="P691" s="54"/>
      <c r="Q691" s="54">
        <v>1</v>
      </c>
      <c r="R691" s="54"/>
      <c r="S691" s="54">
        <v>3</v>
      </c>
      <c r="T691" s="54"/>
      <c r="U691" s="54">
        <v>2</v>
      </c>
      <c r="V691" s="54"/>
      <c r="W691" s="54">
        <v>3</v>
      </c>
      <c r="X691" s="54"/>
      <c r="Y691" s="54">
        <v>3</v>
      </c>
      <c r="Z691" s="54"/>
      <c r="AA691" s="115">
        <v>3</v>
      </c>
      <c r="AB691" s="115"/>
      <c r="AC691" s="115">
        <v>2</v>
      </c>
      <c r="AD691" s="115"/>
    </row>
    <row r="692" spans="1:30" x14ac:dyDescent="0.2">
      <c r="A692" s="34" t="s">
        <v>234</v>
      </c>
      <c r="B692" s="34" t="s">
        <v>131</v>
      </c>
      <c r="C692" s="34" t="s">
        <v>16</v>
      </c>
      <c r="D692" s="34" t="str">
        <f t="shared" si="10"/>
        <v>B2-P4-C1</v>
      </c>
      <c r="E692" s="34" t="s">
        <v>11</v>
      </c>
      <c r="F692" s="34" t="s">
        <v>20</v>
      </c>
      <c r="G692" s="51" t="s">
        <v>1593</v>
      </c>
      <c r="H692" s="51">
        <v>714</v>
      </c>
      <c r="I692" s="53">
        <v>1</v>
      </c>
      <c r="J692" s="54"/>
      <c r="K692" s="54">
        <v>3</v>
      </c>
      <c r="L692" s="54"/>
      <c r="M692" s="54">
        <v>4</v>
      </c>
      <c r="N692" s="54"/>
      <c r="O692" s="54">
        <v>2.5</v>
      </c>
      <c r="P692" s="54"/>
      <c r="Q692" s="54">
        <v>1</v>
      </c>
      <c r="R692" s="54"/>
      <c r="S692" s="54">
        <v>3</v>
      </c>
      <c r="T692" s="54"/>
      <c r="U692" s="54">
        <v>2</v>
      </c>
      <c r="V692" s="54"/>
      <c r="W692" s="54">
        <v>1</v>
      </c>
      <c r="X692" s="54"/>
      <c r="Y692" s="54">
        <v>1</v>
      </c>
      <c r="Z692" s="54"/>
      <c r="AA692" s="115">
        <v>2</v>
      </c>
      <c r="AB692" s="115"/>
      <c r="AC692" s="115">
        <v>1</v>
      </c>
      <c r="AD692" s="115"/>
    </row>
    <row r="693" spans="1:30" x14ac:dyDescent="0.2">
      <c r="A693" s="35" t="s">
        <v>234</v>
      </c>
      <c r="B693" s="35" t="s">
        <v>131</v>
      </c>
      <c r="C693" s="35" t="s">
        <v>32</v>
      </c>
      <c r="D693" s="31" t="str">
        <f t="shared" si="10"/>
        <v>B2-P4-C2</v>
      </c>
      <c r="E693" s="35" t="s">
        <v>11</v>
      </c>
      <c r="F693" s="35" t="s">
        <v>20</v>
      </c>
      <c r="G693" s="50" t="s">
        <v>1595</v>
      </c>
      <c r="H693" s="50">
        <v>715</v>
      </c>
      <c r="I693" s="52">
        <v>1</v>
      </c>
      <c r="J693" s="52"/>
      <c r="K693" s="52">
        <v>3</v>
      </c>
      <c r="L693" s="52"/>
      <c r="M693" s="52">
        <v>3</v>
      </c>
      <c r="N693" s="52"/>
      <c r="O693" s="52">
        <v>2</v>
      </c>
      <c r="P693" s="52"/>
      <c r="Q693" s="52">
        <v>2</v>
      </c>
      <c r="R693" s="52"/>
      <c r="S693" s="52">
        <v>3</v>
      </c>
      <c r="T693" s="52"/>
      <c r="U693" s="52">
        <v>3</v>
      </c>
      <c r="V693" s="52"/>
      <c r="W693" s="52">
        <v>3</v>
      </c>
      <c r="X693" s="52"/>
      <c r="Y693" s="52">
        <v>2</v>
      </c>
      <c r="Z693" s="52"/>
      <c r="AA693" s="114">
        <v>3</v>
      </c>
      <c r="AB693" s="114"/>
      <c r="AC693" s="114">
        <v>2</v>
      </c>
      <c r="AD693" s="114"/>
    </row>
    <row r="694" spans="1:30" x14ac:dyDescent="0.2">
      <c r="A694" s="35" t="s">
        <v>234</v>
      </c>
      <c r="B694" s="35" t="s">
        <v>131</v>
      </c>
      <c r="C694" s="35" t="s">
        <v>32</v>
      </c>
      <c r="D694" s="31" t="str">
        <f t="shared" si="10"/>
        <v>B2-P4-C2</v>
      </c>
      <c r="E694" s="35" t="s">
        <v>11</v>
      </c>
      <c r="F694" s="35" t="s">
        <v>20</v>
      </c>
      <c r="G694" s="50" t="s">
        <v>1597</v>
      </c>
      <c r="H694" s="50">
        <v>716</v>
      </c>
      <c r="I694" s="52">
        <v>1</v>
      </c>
      <c r="J694" s="52"/>
      <c r="K694" s="52">
        <v>3</v>
      </c>
      <c r="L694" s="52"/>
      <c r="M694" s="52">
        <v>3</v>
      </c>
      <c r="N694" s="52"/>
      <c r="O694" s="52">
        <v>3</v>
      </c>
      <c r="P694" s="52"/>
      <c r="Q694" s="52">
        <v>3</v>
      </c>
      <c r="R694" s="52"/>
      <c r="S694" s="52">
        <v>3</v>
      </c>
      <c r="T694" s="52"/>
      <c r="U694" s="52">
        <v>2</v>
      </c>
      <c r="V694" s="52"/>
      <c r="W694" s="52">
        <v>3</v>
      </c>
      <c r="X694" s="52"/>
      <c r="Y694" s="52">
        <v>2</v>
      </c>
      <c r="Z694" s="52"/>
      <c r="AA694" s="114">
        <v>2</v>
      </c>
      <c r="AB694" s="114"/>
      <c r="AC694" s="114">
        <v>4</v>
      </c>
      <c r="AD694" s="114"/>
    </row>
    <row r="695" spans="1:30" x14ac:dyDescent="0.2">
      <c r="A695" s="35" t="s">
        <v>234</v>
      </c>
      <c r="B695" s="35" t="s">
        <v>131</v>
      </c>
      <c r="C695" s="35" t="s">
        <v>32</v>
      </c>
      <c r="D695" s="31" t="str">
        <f t="shared" si="10"/>
        <v>B2-P4-C2</v>
      </c>
      <c r="E695" s="35" t="s">
        <v>11</v>
      </c>
      <c r="F695" s="35" t="s">
        <v>20</v>
      </c>
      <c r="G695" s="50" t="s">
        <v>1599</v>
      </c>
      <c r="H695" s="50">
        <v>717</v>
      </c>
      <c r="I695" s="52">
        <v>1</v>
      </c>
      <c r="J695" s="52"/>
      <c r="K695" s="52">
        <v>2</v>
      </c>
      <c r="L695" s="52"/>
      <c r="M695" s="52">
        <v>3</v>
      </c>
      <c r="N695" s="52"/>
      <c r="O695" s="52">
        <v>2</v>
      </c>
      <c r="P695" s="52"/>
      <c r="Q695" s="52">
        <v>1</v>
      </c>
      <c r="R695" s="52"/>
      <c r="S695" s="52">
        <v>2</v>
      </c>
      <c r="T695" s="52"/>
      <c r="U695" s="52">
        <v>1</v>
      </c>
      <c r="V695" s="52"/>
      <c r="W695" s="52">
        <v>1</v>
      </c>
      <c r="X695" s="52"/>
      <c r="Y695" s="52">
        <v>1</v>
      </c>
      <c r="Z695" s="52"/>
      <c r="AA695" s="114">
        <v>1</v>
      </c>
      <c r="AB695" s="114"/>
      <c r="AC695" s="114">
        <v>1</v>
      </c>
      <c r="AD695" s="114"/>
    </row>
    <row r="696" spans="1:30" x14ac:dyDescent="0.2">
      <c r="A696" s="35" t="s">
        <v>234</v>
      </c>
      <c r="B696" s="35" t="s">
        <v>131</v>
      </c>
      <c r="C696" s="35" t="s">
        <v>32</v>
      </c>
      <c r="D696" s="31" t="str">
        <f t="shared" si="10"/>
        <v>B2-P4-C2</v>
      </c>
      <c r="E696" s="35" t="s">
        <v>11</v>
      </c>
      <c r="F696" s="35" t="s">
        <v>20</v>
      </c>
      <c r="G696" s="50" t="s">
        <v>1601</v>
      </c>
      <c r="H696" s="50">
        <v>718</v>
      </c>
      <c r="I696" s="52">
        <v>1</v>
      </c>
      <c r="J696" s="52"/>
      <c r="K696" s="52">
        <v>3</v>
      </c>
      <c r="L696" s="52"/>
      <c r="M696" s="52">
        <v>3</v>
      </c>
      <c r="N696" s="52"/>
      <c r="O696" s="52">
        <v>2</v>
      </c>
      <c r="P696" s="52"/>
      <c r="Q696" s="52">
        <v>1</v>
      </c>
      <c r="R696" s="52"/>
      <c r="S696" s="52">
        <v>3</v>
      </c>
      <c r="T696" s="52"/>
      <c r="U696" s="52">
        <v>2</v>
      </c>
      <c r="V696" s="52"/>
      <c r="W696" s="52">
        <v>2</v>
      </c>
      <c r="X696" s="52"/>
      <c r="Y696" s="52">
        <v>1</v>
      </c>
      <c r="Z696" s="52"/>
      <c r="AA696" s="114">
        <v>1</v>
      </c>
      <c r="AB696" s="114"/>
      <c r="AC696" s="114">
        <v>1</v>
      </c>
      <c r="AD696" s="114"/>
    </row>
    <row r="697" spans="1:30" x14ac:dyDescent="0.2">
      <c r="A697" s="35" t="s">
        <v>234</v>
      </c>
      <c r="B697" s="35" t="s">
        <v>131</v>
      </c>
      <c r="C697" s="35" t="s">
        <v>32</v>
      </c>
      <c r="D697" s="31" t="str">
        <f t="shared" si="10"/>
        <v>B2-P4-C2</v>
      </c>
      <c r="E697" s="35" t="s">
        <v>11</v>
      </c>
      <c r="F697" s="35" t="s">
        <v>20</v>
      </c>
      <c r="G697" s="50" t="s">
        <v>1603</v>
      </c>
      <c r="H697" s="50">
        <v>719</v>
      </c>
      <c r="I697" s="52">
        <v>1</v>
      </c>
      <c r="J697" s="52"/>
      <c r="K697" s="52">
        <v>3</v>
      </c>
      <c r="L697" s="52"/>
      <c r="M697" s="52">
        <v>3</v>
      </c>
      <c r="N697" s="52"/>
      <c r="O697" s="52">
        <v>2.5</v>
      </c>
      <c r="P697" s="52"/>
      <c r="Q697" s="52">
        <v>1</v>
      </c>
      <c r="R697" s="52"/>
      <c r="S697" s="52">
        <v>2</v>
      </c>
      <c r="T697" s="52"/>
      <c r="U697" s="52">
        <v>2</v>
      </c>
      <c r="V697" s="52"/>
      <c r="W697" s="52">
        <v>2</v>
      </c>
      <c r="X697" s="52"/>
      <c r="Y697" s="52">
        <v>1</v>
      </c>
      <c r="Z697" s="52"/>
      <c r="AA697" s="114">
        <v>2</v>
      </c>
      <c r="AB697" s="114"/>
      <c r="AC697" s="114">
        <v>1</v>
      </c>
      <c r="AD697" s="114"/>
    </row>
    <row r="698" spans="1:30" x14ac:dyDescent="0.2">
      <c r="A698" s="35" t="s">
        <v>234</v>
      </c>
      <c r="B698" s="35" t="s">
        <v>131</v>
      </c>
      <c r="C698" s="35" t="s">
        <v>32</v>
      </c>
      <c r="D698" s="31" t="str">
        <f t="shared" si="10"/>
        <v>B2-P4-C2</v>
      </c>
      <c r="E698" s="35" t="s">
        <v>11</v>
      </c>
      <c r="F698" s="35" t="s">
        <v>20</v>
      </c>
      <c r="G698" s="50" t="s">
        <v>1605</v>
      </c>
      <c r="H698" s="50">
        <v>720</v>
      </c>
      <c r="I698" s="52">
        <v>1</v>
      </c>
      <c r="J698" s="52"/>
      <c r="K698" s="52">
        <v>3</v>
      </c>
      <c r="L698" s="52"/>
      <c r="M698" s="52">
        <v>3</v>
      </c>
      <c r="N698" s="52"/>
      <c r="O698" s="52">
        <v>2.5</v>
      </c>
      <c r="P698" s="52"/>
      <c r="Q698" s="52">
        <v>1.5</v>
      </c>
      <c r="R698" s="52"/>
      <c r="S698" s="52">
        <v>3</v>
      </c>
      <c r="T698" s="52"/>
      <c r="U698" s="52">
        <v>2</v>
      </c>
      <c r="V698" s="52"/>
      <c r="W698" s="52">
        <v>3</v>
      </c>
      <c r="X698" s="52"/>
      <c r="Y698" s="52">
        <v>2</v>
      </c>
      <c r="Z698" s="52"/>
      <c r="AA698" s="114">
        <v>2</v>
      </c>
      <c r="AB698" s="114"/>
      <c r="AC698" s="114">
        <v>1</v>
      </c>
      <c r="AD698" s="114"/>
    </row>
    <row r="699" spans="1:30" x14ac:dyDescent="0.2">
      <c r="A699" s="34" t="s">
        <v>234</v>
      </c>
      <c r="B699" s="34" t="s">
        <v>131</v>
      </c>
      <c r="C699" s="34" t="s">
        <v>53</v>
      </c>
      <c r="D699" s="34" t="str">
        <f t="shared" si="10"/>
        <v>B2-P4-C4</v>
      </c>
      <c r="E699" s="34" t="s">
        <v>11</v>
      </c>
      <c r="F699" s="34" t="s">
        <v>20</v>
      </c>
      <c r="G699" s="51" t="s">
        <v>1607</v>
      </c>
      <c r="H699" s="51">
        <v>721</v>
      </c>
      <c r="I699" s="53">
        <v>1</v>
      </c>
      <c r="J699" s="54"/>
      <c r="K699" s="54">
        <v>1</v>
      </c>
      <c r="L699" s="54"/>
      <c r="M699" s="54">
        <v>2</v>
      </c>
      <c r="N699" s="54"/>
      <c r="O699" s="54">
        <v>2</v>
      </c>
      <c r="P699" s="54"/>
      <c r="Q699" s="54">
        <v>2</v>
      </c>
      <c r="R699" s="54"/>
      <c r="S699" s="54">
        <v>2</v>
      </c>
      <c r="T699" s="54"/>
      <c r="U699" s="54">
        <v>1</v>
      </c>
      <c r="V699" s="54"/>
      <c r="W699" s="54">
        <v>1</v>
      </c>
      <c r="X699" s="54"/>
      <c r="Y699" s="54">
        <v>2</v>
      </c>
      <c r="Z699" s="54"/>
      <c r="AA699" s="115">
        <v>1</v>
      </c>
      <c r="AB699" s="115"/>
      <c r="AC699" s="115">
        <v>1</v>
      </c>
      <c r="AD699" s="115"/>
    </row>
    <row r="700" spans="1:30" x14ac:dyDescent="0.2">
      <c r="A700" s="34" t="s">
        <v>234</v>
      </c>
      <c r="B700" s="34" t="s">
        <v>131</v>
      </c>
      <c r="C700" s="34" t="s">
        <v>53</v>
      </c>
      <c r="D700" s="34" t="str">
        <f t="shared" si="10"/>
        <v>B2-P4-C4</v>
      </c>
      <c r="E700" s="34" t="s">
        <v>11</v>
      </c>
      <c r="F700" s="34" t="s">
        <v>20</v>
      </c>
      <c r="G700" s="51" t="s">
        <v>1609</v>
      </c>
      <c r="H700" s="51">
        <v>722</v>
      </c>
      <c r="I700" s="53">
        <v>1</v>
      </c>
      <c r="J700" s="54"/>
      <c r="K700" s="54">
        <v>1</v>
      </c>
      <c r="L700" s="54"/>
      <c r="M700" s="54">
        <v>2</v>
      </c>
      <c r="N700" s="54"/>
      <c r="O700" s="54">
        <v>1</v>
      </c>
      <c r="P700" s="54"/>
      <c r="Q700" s="54">
        <v>1</v>
      </c>
      <c r="R700" s="54"/>
      <c r="S700" s="54">
        <v>2</v>
      </c>
      <c r="T700" s="54"/>
      <c r="U700" s="54">
        <v>2</v>
      </c>
      <c r="V700" s="54"/>
      <c r="W700" s="54">
        <v>4</v>
      </c>
      <c r="X700" s="54"/>
      <c r="Y700" s="54">
        <v>1</v>
      </c>
      <c r="Z700" s="54"/>
      <c r="AA700" s="115">
        <v>1</v>
      </c>
      <c r="AB700" s="115"/>
      <c r="AC700" s="115">
        <v>2</v>
      </c>
      <c r="AD700" s="115"/>
    </row>
    <row r="701" spans="1:30" x14ac:dyDescent="0.2">
      <c r="A701" s="34" t="s">
        <v>234</v>
      </c>
      <c r="B701" s="34" t="s">
        <v>131</v>
      </c>
      <c r="C701" s="34" t="s">
        <v>53</v>
      </c>
      <c r="D701" s="34" t="str">
        <f t="shared" si="10"/>
        <v>B2-P4-C4</v>
      </c>
      <c r="E701" s="34" t="s">
        <v>11</v>
      </c>
      <c r="F701" s="34" t="s">
        <v>20</v>
      </c>
      <c r="G701" s="51" t="s">
        <v>1611</v>
      </c>
      <c r="H701" s="51">
        <v>723</v>
      </c>
      <c r="I701" s="53">
        <v>4</v>
      </c>
      <c r="J701" s="54"/>
      <c r="K701" s="54">
        <v>4</v>
      </c>
      <c r="L701" s="54"/>
      <c r="M701" s="54">
        <v>4</v>
      </c>
      <c r="N701" s="54"/>
      <c r="O701" s="54">
        <v>4</v>
      </c>
      <c r="P701" s="54"/>
      <c r="Q701" s="54">
        <v>4</v>
      </c>
      <c r="R701" s="54"/>
      <c r="S701" s="54">
        <v>4</v>
      </c>
      <c r="T701" s="54"/>
      <c r="U701" s="54">
        <v>4</v>
      </c>
      <c r="V701" s="54"/>
      <c r="W701" s="54">
        <v>4</v>
      </c>
      <c r="X701" s="54"/>
      <c r="Y701" s="54">
        <v>4</v>
      </c>
      <c r="Z701" s="54"/>
      <c r="AA701" s="115">
        <v>4</v>
      </c>
      <c r="AB701" s="115"/>
      <c r="AC701" s="115">
        <v>4</v>
      </c>
      <c r="AD701" s="115"/>
    </row>
    <row r="702" spans="1:30" x14ac:dyDescent="0.2">
      <c r="A702" s="34" t="s">
        <v>234</v>
      </c>
      <c r="B702" s="34" t="s">
        <v>131</v>
      </c>
      <c r="C702" s="34" t="s">
        <v>53</v>
      </c>
      <c r="D702" s="34" t="str">
        <f t="shared" si="10"/>
        <v>B2-P4-C4</v>
      </c>
      <c r="E702" s="34" t="s">
        <v>11</v>
      </c>
      <c r="F702" s="34" t="s">
        <v>20</v>
      </c>
      <c r="G702" s="51" t="s">
        <v>1613</v>
      </c>
      <c r="H702" s="51">
        <v>724</v>
      </c>
      <c r="I702" s="53">
        <v>1</v>
      </c>
      <c r="J702" s="54"/>
      <c r="K702" s="54">
        <v>2</v>
      </c>
      <c r="L702" s="54"/>
      <c r="M702" s="54">
        <v>2</v>
      </c>
      <c r="N702" s="54"/>
      <c r="O702" s="54">
        <v>2.5</v>
      </c>
      <c r="P702" s="54"/>
      <c r="Q702" s="54">
        <v>2.5</v>
      </c>
      <c r="R702" s="54"/>
      <c r="S702" s="54">
        <v>2</v>
      </c>
      <c r="T702" s="54"/>
      <c r="U702" s="54">
        <v>2</v>
      </c>
      <c r="V702" s="54"/>
      <c r="W702" s="54">
        <v>1</v>
      </c>
      <c r="X702" s="54"/>
      <c r="Y702" s="54">
        <v>1</v>
      </c>
      <c r="Z702" s="54"/>
      <c r="AA702" s="115">
        <v>1</v>
      </c>
      <c r="AB702" s="115"/>
      <c r="AC702" s="115">
        <v>1</v>
      </c>
      <c r="AD702" s="115"/>
    </row>
    <row r="703" spans="1:30" x14ac:dyDescent="0.2">
      <c r="A703" s="34" t="s">
        <v>234</v>
      </c>
      <c r="B703" s="34" t="s">
        <v>131</v>
      </c>
      <c r="C703" s="34" t="s">
        <v>53</v>
      </c>
      <c r="D703" s="34" t="str">
        <f t="shared" si="10"/>
        <v>B2-P4-C4</v>
      </c>
      <c r="E703" s="34" t="s">
        <v>11</v>
      </c>
      <c r="F703" s="34" t="s">
        <v>20</v>
      </c>
      <c r="G703" s="51" t="s">
        <v>1615</v>
      </c>
      <c r="H703" s="51">
        <v>725</v>
      </c>
      <c r="I703" s="53">
        <v>1</v>
      </c>
      <c r="J703" s="54"/>
      <c r="K703" s="54">
        <v>1</v>
      </c>
      <c r="L703" s="54"/>
      <c r="M703" s="54">
        <v>3</v>
      </c>
      <c r="N703" s="54"/>
      <c r="O703" s="54">
        <v>1.5</v>
      </c>
      <c r="P703" s="54"/>
      <c r="Q703" s="54">
        <v>1</v>
      </c>
      <c r="R703" s="54"/>
      <c r="S703" s="54">
        <v>2</v>
      </c>
      <c r="T703" s="54"/>
      <c r="U703" s="54">
        <v>2</v>
      </c>
      <c r="V703" s="54"/>
      <c r="W703" s="54">
        <v>2</v>
      </c>
      <c r="X703" s="54"/>
      <c r="Y703" s="54">
        <v>3</v>
      </c>
      <c r="Z703" s="54"/>
      <c r="AA703" s="115">
        <v>1</v>
      </c>
      <c r="AB703" s="115"/>
      <c r="AC703" s="115">
        <v>1</v>
      </c>
      <c r="AD703" s="115"/>
    </row>
    <row r="704" spans="1:30" x14ac:dyDescent="0.2">
      <c r="A704" s="34" t="s">
        <v>234</v>
      </c>
      <c r="B704" s="34" t="s">
        <v>131</v>
      </c>
      <c r="C704" s="34" t="s">
        <v>53</v>
      </c>
      <c r="D704" s="34" t="str">
        <f t="shared" si="10"/>
        <v>B2-P4-C4</v>
      </c>
      <c r="E704" s="34" t="s">
        <v>11</v>
      </c>
      <c r="F704" s="34" t="s">
        <v>20</v>
      </c>
      <c r="G704" s="51" t="s">
        <v>1617</v>
      </c>
      <c r="H704" s="51">
        <v>726</v>
      </c>
      <c r="I704" s="53">
        <v>1</v>
      </c>
      <c r="J704" s="54"/>
      <c r="K704" s="54">
        <v>1</v>
      </c>
      <c r="L704" s="54"/>
      <c r="M704" s="54">
        <v>2</v>
      </c>
      <c r="N704" s="54"/>
      <c r="O704" s="54">
        <v>2</v>
      </c>
      <c r="P704" s="54"/>
      <c r="Q704" s="54">
        <v>1</v>
      </c>
      <c r="R704" s="54"/>
      <c r="S704" s="54">
        <v>2</v>
      </c>
      <c r="T704" s="54"/>
      <c r="U704" s="54">
        <v>1</v>
      </c>
      <c r="V704" s="54"/>
      <c r="W704" s="54">
        <v>1</v>
      </c>
      <c r="X704" s="54"/>
      <c r="Y704" s="54">
        <v>1</v>
      </c>
      <c r="Z704" s="54"/>
      <c r="AA704" s="115">
        <v>1</v>
      </c>
      <c r="AB704" s="115"/>
      <c r="AC704" s="115">
        <v>1</v>
      </c>
      <c r="AD704" s="115"/>
    </row>
    <row r="705" spans="1:30" x14ac:dyDescent="0.2">
      <c r="A705" s="35" t="s">
        <v>234</v>
      </c>
      <c r="B705" s="35" t="s">
        <v>167</v>
      </c>
      <c r="C705" s="35" t="s">
        <v>53</v>
      </c>
      <c r="D705" s="31" t="str">
        <f t="shared" si="10"/>
        <v>B2-P5-C4</v>
      </c>
      <c r="E705" s="35" t="s">
        <v>11</v>
      </c>
      <c r="F705" s="35" t="s">
        <v>20</v>
      </c>
      <c r="G705" s="50" t="s">
        <v>1619</v>
      </c>
      <c r="H705" s="50">
        <v>727</v>
      </c>
      <c r="I705" s="52">
        <v>1</v>
      </c>
      <c r="J705" s="52"/>
      <c r="K705" s="52">
        <v>3</v>
      </c>
      <c r="L705" s="52"/>
      <c r="M705" s="52">
        <v>3</v>
      </c>
      <c r="N705" s="52"/>
      <c r="O705" s="52">
        <v>3.5</v>
      </c>
      <c r="P705" s="52"/>
      <c r="Q705" s="52">
        <v>3</v>
      </c>
      <c r="R705" s="52"/>
      <c r="S705" s="52">
        <v>3</v>
      </c>
      <c r="T705" s="52"/>
      <c r="U705" s="52">
        <v>3</v>
      </c>
      <c r="V705" s="52"/>
      <c r="W705" s="52">
        <v>2</v>
      </c>
      <c r="X705" s="52"/>
      <c r="Y705" s="52">
        <v>2</v>
      </c>
      <c r="Z705" s="52"/>
      <c r="AA705" s="114">
        <v>1</v>
      </c>
      <c r="AB705" s="114"/>
      <c r="AC705" s="114">
        <v>1</v>
      </c>
      <c r="AD705" s="114"/>
    </row>
    <row r="706" spans="1:30" x14ac:dyDescent="0.2">
      <c r="A706" s="35" t="s">
        <v>234</v>
      </c>
      <c r="B706" s="35" t="s">
        <v>167</v>
      </c>
      <c r="C706" s="35" t="s">
        <v>53</v>
      </c>
      <c r="D706" s="31" t="str">
        <f t="shared" si="10"/>
        <v>B2-P5-C4</v>
      </c>
      <c r="E706" s="35" t="s">
        <v>11</v>
      </c>
      <c r="F706" s="35" t="s">
        <v>20</v>
      </c>
      <c r="G706" s="50" t="s">
        <v>1621</v>
      </c>
      <c r="H706" s="50">
        <v>728</v>
      </c>
      <c r="I706" s="52">
        <v>1</v>
      </c>
      <c r="J706" s="52"/>
      <c r="K706" s="52">
        <v>3</v>
      </c>
      <c r="L706" s="52"/>
      <c r="M706" s="52">
        <v>3</v>
      </c>
      <c r="N706" s="52"/>
      <c r="O706" s="52">
        <v>3</v>
      </c>
      <c r="P706" s="52"/>
      <c r="Q706" s="52">
        <v>3</v>
      </c>
      <c r="R706" s="52"/>
      <c r="S706" s="52">
        <v>2</v>
      </c>
      <c r="T706" s="52"/>
      <c r="U706" s="52">
        <v>2</v>
      </c>
      <c r="V706" s="52"/>
      <c r="W706" s="52">
        <v>1</v>
      </c>
      <c r="X706" s="52"/>
      <c r="Y706" s="52">
        <v>1</v>
      </c>
      <c r="Z706" s="52"/>
      <c r="AA706" s="114">
        <v>1</v>
      </c>
      <c r="AB706" s="114"/>
      <c r="AC706" s="114">
        <v>1</v>
      </c>
      <c r="AD706" s="114"/>
    </row>
    <row r="707" spans="1:30" x14ac:dyDescent="0.2">
      <c r="A707" s="35" t="s">
        <v>234</v>
      </c>
      <c r="B707" s="35" t="s">
        <v>167</v>
      </c>
      <c r="C707" s="35" t="s">
        <v>53</v>
      </c>
      <c r="D707" s="31" t="str">
        <f t="shared" ref="D707:D770" si="11">A707&amp;"-"&amp;B707&amp;"-"&amp;C707</f>
        <v>B2-P5-C4</v>
      </c>
      <c r="E707" s="35" t="s">
        <v>11</v>
      </c>
      <c r="F707" s="35" t="s">
        <v>20</v>
      </c>
      <c r="G707" s="50" t="s">
        <v>1623</v>
      </c>
      <c r="H707" s="50">
        <v>729</v>
      </c>
      <c r="I707" s="52">
        <v>1</v>
      </c>
      <c r="J707" s="52"/>
      <c r="K707" s="52">
        <v>2</v>
      </c>
      <c r="L707" s="52"/>
      <c r="M707" s="52">
        <v>2</v>
      </c>
      <c r="N707" s="52"/>
      <c r="O707" s="52">
        <v>1</v>
      </c>
      <c r="P707" s="52"/>
      <c r="Q707" s="52">
        <v>1</v>
      </c>
      <c r="R707" s="52"/>
      <c r="S707" s="52">
        <v>1</v>
      </c>
      <c r="T707" s="52"/>
      <c r="U707" s="52">
        <v>1</v>
      </c>
      <c r="V707" s="52"/>
      <c r="W707" s="52">
        <v>1</v>
      </c>
      <c r="X707" s="52"/>
      <c r="Y707" s="52">
        <v>1</v>
      </c>
      <c r="Z707" s="52"/>
      <c r="AA707" s="114">
        <v>1</v>
      </c>
      <c r="AB707" s="114"/>
      <c r="AC707" s="114">
        <v>1</v>
      </c>
      <c r="AD707" s="114"/>
    </row>
    <row r="708" spans="1:30" x14ac:dyDescent="0.2">
      <c r="A708" s="35" t="s">
        <v>234</v>
      </c>
      <c r="B708" s="35" t="s">
        <v>167</v>
      </c>
      <c r="C708" s="35" t="s">
        <v>53</v>
      </c>
      <c r="D708" s="31" t="str">
        <f t="shared" si="11"/>
        <v>B2-P5-C4</v>
      </c>
      <c r="E708" s="35" t="s">
        <v>11</v>
      </c>
      <c r="F708" s="35" t="s">
        <v>20</v>
      </c>
      <c r="G708" s="50" t="s">
        <v>1625</v>
      </c>
      <c r="H708" s="50">
        <v>730</v>
      </c>
      <c r="I708" s="52">
        <v>3</v>
      </c>
      <c r="J708" s="52"/>
      <c r="K708" s="52">
        <v>4</v>
      </c>
      <c r="L708" s="52"/>
      <c r="M708" s="52">
        <v>4</v>
      </c>
      <c r="N708" s="52"/>
      <c r="O708" s="52">
        <v>4</v>
      </c>
      <c r="P708" s="52"/>
      <c r="Q708" s="52">
        <v>4</v>
      </c>
      <c r="R708" s="52"/>
      <c r="S708" s="52">
        <v>4</v>
      </c>
      <c r="T708" s="52"/>
      <c r="U708" s="52">
        <v>4</v>
      </c>
      <c r="V708" s="52"/>
      <c r="W708" s="52">
        <v>4</v>
      </c>
      <c r="X708" s="52"/>
      <c r="Y708" s="52">
        <v>4</v>
      </c>
      <c r="Z708" s="52"/>
      <c r="AA708" s="114">
        <v>4</v>
      </c>
      <c r="AB708" s="114"/>
      <c r="AC708" s="114">
        <v>4</v>
      </c>
      <c r="AD708" s="114"/>
    </row>
    <row r="709" spans="1:30" x14ac:dyDescent="0.2">
      <c r="A709" s="35" t="s">
        <v>234</v>
      </c>
      <c r="B709" s="35" t="s">
        <v>167</v>
      </c>
      <c r="C709" s="35" t="s">
        <v>53</v>
      </c>
      <c r="D709" s="31" t="str">
        <f t="shared" si="11"/>
        <v>B2-P5-C4</v>
      </c>
      <c r="E709" s="35" t="s">
        <v>11</v>
      </c>
      <c r="F709" s="35" t="s">
        <v>20</v>
      </c>
      <c r="G709" s="50" t="s">
        <v>1627</v>
      </c>
      <c r="H709" s="50">
        <v>731</v>
      </c>
      <c r="I709" s="52">
        <v>1</v>
      </c>
      <c r="J709" s="52"/>
      <c r="K709" s="52">
        <v>2</v>
      </c>
      <c r="L709" s="52"/>
      <c r="M709" s="52">
        <v>2</v>
      </c>
      <c r="N709" s="52"/>
      <c r="O709" s="52">
        <v>1</v>
      </c>
      <c r="P709" s="52"/>
      <c r="Q709" s="52">
        <v>1</v>
      </c>
      <c r="R709" s="52"/>
      <c r="S709" s="52">
        <v>2</v>
      </c>
      <c r="T709" s="52"/>
      <c r="U709" s="52">
        <v>1</v>
      </c>
      <c r="V709" s="52"/>
      <c r="W709" s="52">
        <v>1</v>
      </c>
      <c r="X709" s="52"/>
      <c r="Y709" s="52">
        <v>1</v>
      </c>
      <c r="Z709" s="52"/>
      <c r="AA709" s="114">
        <v>1</v>
      </c>
      <c r="AB709" s="114"/>
      <c r="AC709" s="114">
        <v>1</v>
      </c>
      <c r="AD709" s="114"/>
    </row>
    <row r="710" spans="1:30" x14ac:dyDescent="0.2">
      <c r="A710" s="35" t="s">
        <v>234</v>
      </c>
      <c r="B710" s="35" t="s">
        <v>167</v>
      </c>
      <c r="C710" s="35" t="s">
        <v>53</v>
      </c>
      <c r="D710" s="31" t="str">
        <f t="shared" si="11"/>
        <v>B2-P5-C4</v>
      </c>
      <c r="E710" s="35" t="s">
        <v>11</v>
      </c>
      <c r="F710" s="35" t="s">
        <v>20</v>
      </c>
      <c r="G710" s="50" t="s">
        <v>1629</v>
      </c>
      <c r="H710" s="50">
        <v>732</v>
      </c>
      <c r="I710" s="52">
        <v>1</v>
      </c>
      <c r="J710" s="52"/>
      <c r="K710" s="52">
        <v>3</v>
      </c>
      <c r="L710" s="52"/>
      <c r="M710" s="52">
        <v>3</v>
      </c>
      <c r="N710" s="52"/>
      <c r="O710" s="52">
        <v>2</v>
      </c>
      <c r="P710" s="52"/>
      <c r="Q710" s="52">
        <v>1</v>
      </c>
      <c r="R710" s="52"/>
      <c r="S710" s="52">
        <v>2</v>
      </c>
      <c r="T710" s="52"/>
      <c r="U710" s="52">
        <v>1</v>
      </c>
      <c r="V710" s="52"/>
      <c r="W710" s="52">
        <v>1</v>
      </c>
      <c r="X710" s="52"/>
      <c r="Y710" s="52">
        <v>1</v>
      </c>
      <c r="Z710" s="52"/>
      <c r="AA710" s="114">
        <v>1</v>
      </c>
      <c r="AB710" s="114"/>
      <c r="AC710" s="114">
        <v>1</v>
      </c>
      <c r="AD710" s="114"/>
    </row>
    <row r="711" spans="1:30" x14ac:dyDescent="0.2">
      <c r="A711" s="34" t="s">
        <v>234</v>
      </c>
      <c r="B711" s="34" t="s">
        <v>200</v>
      </c>
      <c r="C711" s="34" t="s">
        <v>16</v>
      </c>
      <c r="D711" s="34" t="str">
        <f t="shared" si="11"/>
        <v>B2-P6-C1</v>
      </c>
      <c r="E711" s="34" t="s">
        <v>11</v>
      </c>
      <c r="F711" s="34" t="s">
        <v>20</v>
      </c>
      <c r="G711" s="51" t="s">
        <v>1631</v>
      </c>
      <c r="H711" s="51">
        <v>733</v>
      </c>
      <c r="I711" s="53">
        <v>1</v>
      </c>
      <c r="J711" s="54"/>
      <c r="K711" s="54">
        <v>1</v>
      </c>
      <c r="L711" s="54"/>
      <c r="M711" s="54">
        <v>1</v>
      </c>
      <c r="N711" s="54"/>
      <c r="O711" s="54">
        <v>1</v>
      </c>
      <c r="P711" s="54"/>
      <c r="Q711" s="54">
        <v>1</v>
      </c>
      <c r="R711" s="54"/>
      <c r="S711" s="54">
        <v>1</v>
      </c>
      <c r="T711" s="54"/>
      <c r="U711" s="54">
        <v>1</v>
      </c>
      <c r="V711" s="54"/>
      <c r="W711" s="54">
        <v>1</v>
      </c>
      <c r="X711" s="54"/>
      <c r="Y711" s="54">
        <v>1</v>
      </c>
      <c r="Z711" s="54"/>
      <c r="AA711" s="115">
        <v>1</v>
      </c>
      <c r="AB711" s="115"/>
      <c r="AC711" s="115">
        <v>1</v>
      </c>
      <c r="AD711" s="115"/>
    </row>
    <row r="712" spans="1:30" x14ac:dyDescent="0.2">
      <c r="A712" s="34" t="s">
        <v>234</v>
      </c>
      <c r="B712" s="34" t="s">
        <v>200</v>
      </c>
      <c r="C712" s="34" t="s">
        <v>16</v>
      </c>
      <c r="D712" s="34" t="str">
        <f t="shared" si="11"/>
        <v>B2-P6-C1</v>
      </c>
      <c r="E712" s="34" t="s">
        <v>11</v>
      </c>
      <c r="F712" s="34" t="s">
        <v>20</v>
      </c>
      <c r="G712" s="51" t="s">
        <v>1633</v>
      </c>
      <c r="H712" s="51">
        <v>734</v>
      </c>
      <c r="I712" s="53">
        <v>1</v>
      </c>
      <c r="J712" s="54"/>
      <c r="K712" s="54">
        <v>1</v>
      </c>
      <c r="L712" s="54"/>
      <c r="M712" s="54">
        <v>3</v>
      </c>
      <c r="N712" s="54"/>
      <c r="O712" s="54">
        <v>2</v>
      </c>
      <c r="P712" s="54"/>
      <c r="Q712" s="54">
        <v>2</v>
      </c>
      <c r="R712" s="54"/>
      <c r="S712" s="54">
        <v>2</v>
      </c>
      <c r="T712" s="54"/>
      <c r="U712" s="54">
        <v>1</v>
      </c>
      <c r="V712" s="54"/>
      <c r="W712" s="54">
        <v>1</v>
      </c>
      <c r="X712" s="54"/>
      <c r="Y712" s="54">
        <v>1</v>
      </c>
      <c r="Z712" s="54"/>
      <c r="AA712" s="115">
        <v>1</v>
      </c>
      <c r="AB712" s="115"/>
      <c r="AC712" s="115">
        <v>1</v>
      </c>
      <c r="AD712" s="115"/>
    </row>
    <row r="713" spans="1:30" x14ac:dyDescent="0.2">
      <c r="A713" s="34" t="s">
        <v>234</v>
      </c>
      <c r="B713" s="34" t="s">
        <v>200</v>
      </c>
      <c r="C713" s="34" t="s">
        <v>16</v>
      </c>
      <c r="D713" s="34" t="str">
        <f t="shared" si="11"/>
        <v>B2-P6-C1</v>
      </c>
      <c r="E713" s="34" t="s">
        <v>11</v>
      </c>
      <c r="F713" s="34" t="s">
        <v>20</v>
      </c>
      <c r="G713" s="51" t="s">
        <v>1635</v>
      </c>
      <c r="H713" s="51">
        <v>735</v>
      </c>
      <c r="I713" s="53">
        <v>1</v>
      </c>
      <c r="J713" s="54"/>
      <c r="K713" s="54">
        <v>1</v>
      </c>
      <c r="L713" s="54"/>
      <c r="M713" s="54">
        <v>1</v>
      </c>
      <c r="N713" s="54"/>
      <c r="O713" s="54">
        <v>1</v>
      </c>
      <c r="P713" s="54"/>
      <c r="Q713" s="54">
        <v>1</v>
      </c>
      <c r="R713" s="54"/>
      <c r="S713" s="54">
        <v>1</v>
      </c>
      <c r="T713" s="54"/>
      <c r="U713" s="54">
        <v>1</v>
      </c>
      <c r="V713" s="54"/>
      <c r="W713" s="54">
        <v>1</v>
      </c>
      <c r="X713" s="54"/>
      <c r="Y713" s="54">
        <v>1</v>
      </c>
      <c r="Z713" s="54"/>
      <c r="AA713" s="115">
        <v>1</v>
      </c>
      <c r="AB713" s="115"/>
      <c r="AC713" s="115">
        <v>1</v>
      </c>
      <c r="AD713" s="115"/>
    </row>
    <row r="714" spans="1:30" x14ac:dyDescent="0.2">
      <c r="A714" s="34" t="s">
        <v>234</v>
      </c>
      <c r="B714" s="34" t="s">
        <v>200</v>
      </c>
      <c r="C714" s="34" t="s">
        <v>16</v>
      </c>
      <c r="D714" s="34" t="str">
        <f t="shared" si="11"/>
        <v>B2-P6-C1</v>
      </c>
      <c r="E714" s="34" t="s">
        <v>11</v>
      </c>
      <c r="F714" s="34" t="s">
        <v>20</v>
      </c>
      <c r="G714" s="51" t="s">
        <v>1637</v>
      </c>
      <c r="H714" s="51">
        <v>736</v>
      </c>
      <c r="I714" s="53">
        <v>1</v>
      </c>
      <c r="J714" s="54"/>
      <c r="K714" s="54">
        <v>1</v>
      </c>
      <c r="L714" s="54"/>
      <c r="M714" s="54">
        <v>2</v>
      </c>
      <c r="N714" s="54"/>
      <c r="O714" s="54">
        <v>2</v>
      </c>
      <c r="P714" s="54"/>
      <c r="Q714" s="54">
        <v>1.5</v>
      </c>
      <c r="R714" s="54"/>
      <c r="S714" s="54">
        <v>2</v>
      </c>
      <c r="T714" s="54"/>
      <c r="U714" s="54">
        <v>1</v>
      </c>
      <c r="V714" s="54"/>
      <c r="W714" s="54">
        <v>1</v>
      </c>
      <c r="X714" s="54"/>
      <c r="Y714" s="54">
        <v>1</v>
      </c>
      <c r="Z714" s="54"/>
      <c r="AA714" s="115">
        <v>1</v>
      </c>
      <c r="AB714" s="115"/>
      <c r="AC714" s="115">
        <v>1</v>
      </c>
      <c r="AD714" s="115"/>
    </row>
    <row r="715" spans="1:30" x14ac:dyDescent="0.2">
      <c r="A715" s="34" t="s">
        <v>234</v>
      </c>
      <c r="B715" s="34" t="s">
        <v>200</v>
      </c>
      <c r="C715" s="34" t="s">
        <v>16</v>
      </c>
      <c r="D715" s="34" t="str">
        <f t="shared" si="11"/>
        <v>B2-P6-C1</v>
      </c>
      <c r="E715" s="34" t="s">
        <v>11</v>
      </c>
      <c r="F715" s="34" t="s">
        <v>20</v>
      </c>
      <c r="G715" s="51" t="s">
        <v>1639</v>
      </c>
      <c r="H715" s="51">
        <v>737</v>
      </c>
      <c r="I715" s="53">
        <v>1</v>
      </c>
      <c r="J715" s="54"/>
      <c r="K715" s="54">
        <v>1</v>
      </c>
      <c r="L715" s="54"/>
      <c r="M715" s="54">
        <v>2</v>
      </c>
      <c r="N715" s="54"/>
      <c r="O715" s="54">
        <v>1</v>
      </c>
      <c r="P715" s="54"/>
      <c r="Q715" s="54">
        <v>1</v>
      </c>
      <c r="R715" s="54"/>
      <c r="S715" s="54">
        <v>2</v>
      </c>
      <c r="T715" s="54"/>
      <c r="U715" s="54">
        <v>1</v>
      </c>
      <c r="V715" s="54"/>
      <c r="W715" s="54">
        <v>1</v>
      </c>
      <c r="X715" s="54"/>
      <c r="Y715" s="54">
        <v>1</v>
      </c>
      <c r="Z715" s="54"/>
      <c r="AA715" s="115">
        <v>1</v>
      </c>
      <c r="AB715" s="115"/>
      <c r="AC715" s="115">
        <v>1</v>
      </c>
      <c r="AD715" s="115"/>
    </row>
    <row r="716" spans="1:30" x14ac:dyDescent="0.2">
      <c r="A716" s="34" t="s">
        <v>234</v>
      </c>
      <c r="B716" s="34" t="s">
        <v>200</v>
      </c>
      <c r="C716" s="34" t="s">
        <v>16</v>
      </c>
      <c r="D716" s="34" t="str">
        <f t="shared" si="11"/>
        <v>B2-P6-C1</v>
      </c>
      <c r="E716" s="34" t="s">
        <v>11</v>
      </c>
      <c r="F716" s="34" t="s">
        <v>20</v>
      </c>
      <c r="G716" s="51" t="s">
        <v>1641</v>
      </c>
      <c r="H716" s="51">
        <v>738</v>
      </c>
      <c r="I716" s="53">
        <v>1</v>
      </c>
      <c r="J716" s="54"/>
      <c r="K716" s="54">
        <v>1</v>
      </c>
      <c r="L716" s="54"/>
      <c r="M716" s="54">
        <v>2</v>
      </c>
      <c r="N716" s="54"/>
      <c r="O716" s="54">
        <v>2</v>
      </c>
      <c r="P716" s="54"/>
      <c r="Q716" s="54">
        <v>2</v>
      </c>
      <c r="R716" s="54"/>
      <c r="S716" s="54">
        <v>2</v>
      </c>
      <c r="T716" s="54"/>
      <c r="U716" s="54">
        <v>1</v>
      </c>
      <c r="V716" s="54"/>
      <c r="W716" s="54">
        <v>1</v>
      </c>
      <c r="X716" s="54"/>
      <c r="Y716" s="54">
        <v>1</v>
      </c>
      <c r="Z716" s="54"/>
      <c r="AA716" s="115">
        <v>2</v>
      </c>
      <c r="AB716" s="115"/>
      <c r="AC716" s="115">
        <v>1</v>
      </c>
      <c r="AD716" s="115"/>
    </row>
    <row r="717" spans="1:30" x14ac:dyDescent="0.2">
      <c r="A717" s="35" t="s">
        <v>234</v>
      </c>
      <c r="B717" s="35" t="s">
        <v>200</v>
      </c>
      <c r="C717" s="35" t="s">
        <v>42</v>
      </c>
      <c r="D717" s="31" t="str">
        <f t="shared" si="11"/>
        <v>B2-P6-C3</v>
      </c>
      <c r="E717" s="35" t="s">
        <v>11</v>
      </c>
      <c r="F717" s="35" t="s">
        <v>20</v>
      </c>
      <c r="G717" s="50" t="s">
        <v>1643</v>
      </c>
      <c r="H717" s="50">
        <v>739</v>
      </c>
      <c r="I717" s="52">
        <v>1</v>
      </c>
      <c r="J717" s="52"/>
      <c r="K717" s="52">
        <v>1</v>
      </c>
      <c r="L717" s="52"/>
      <c r="M717" s="52">
        <v>1</v>
      </c>
      <c r="N717" s="52"/>
      <c r="O717" s="52">
        <v>1</v>
      </c>
      <c r="P717" s="52"/>
      <c r="Q717" s="52">
        <v>1</v>
      </c>
      <c r="R717" s="52"/>
      <c r="S717" s="52">
        <v>2</v>
      </c>
      <c r="T717" s="52"/>
      <c r="U717" s="52">
        <v>1</v>
      </c>
      <c r="V717" s="52"/>
      <c r="W717" s="52">
        <v>1</v>
      </c>
      <c r="X717" s="52"/>
      <c r="Y717" s="52">
        <v>1</v>
      </c>
      <c r="Z717" s="52"/>
      <c r="AA717" s="114">
        <v>1</v>
      </c>
      <c r="AB717" s="114"/>
      <c r="AC717" s="114">
        <v>1</v>
      </c>
      <c r="AD717" s="114"/>
    </row>
    <row r="718" spans="1:30" x14ac:dyDescent="0.2">
      <c r="A718" s="35" t="s">
        <v>234</v>
      </c>
      <c r="B718" s="35" t="s">
        <v>200</v>
      </c>
      <c r="C718" s="35" t="s">
        <v>42</v>
      </c>
      <c r="D718" s="31" t="str">
        <f t="shared" si="11"/>
        <v>B2-P6-C3</v>
      </c>
      <c r="E718" s="35" t="s">
        <v>11</v>
      </c>
      <c r="F718" s="35" t="s">
        <v>20</v>
      </c>
      <c r="G718" s="50" t="s">
        <v>1645</v>
      </c>
      <c r="H718" s="50">
        <v>740</v>
      </c>
      <c r="I718" s="52">
        <v>4</v>
      </c>
      <c r="J718" s="52"/>
      <c r="K718" s="52">
        <v>4</v>
      </c>
      <c r="L718" s="52"/>
      <c r="M718" s="52">
        <v>4</v>
      </c>
      <c r="N718" s="52"/>
      <c r="O718" s="52">
        <v>4</v>
      </c>
      <c r="P718" s="52"/>
      <c r="Q718" s="52">
        <v>4</v>
      </c>
      <c r="R718" s="52"/>
      <c r="S718" s="52">
        <v>4</v>
      </c>
      <c r="T718" s="52"/>
      <c r="U718" s="52">
        <v>4</v>
      </c>
      <c r="V718" s="52"/>
      <c r="W718" s="52">
        <v>4</v>
      </c>
      <c r="X718" s="52"/>
      <c r="Y718" s="52">
        <v>4</v>
      </c>
      <c r="Z718" s="52"/>
      <c r="AA718" s="114">
        <v>4</v>
      </c>
      <c r="AB718" s="114"/>
      <c r="AC718" s="114">
        <v>4</v>
      </c>
      <c r="AD718" s="114"/>
    </row>
    <row r="719" spans="1:30" x14ac:dyDescent="0.2">
      <c r="A719" s="35" t="s">
        <v>234</v>
      </c>
      <c r="B719" s="35" t="s">
        <v>200</v>
      </c>
      <c r="C719" s="35" t="s">
        <v>42</v>
      </c>
      <c r="D719" s="31" t="str">
        <f t="shared" si="11"/>
        <v>B2-P6-C3</v>
      </c>
      <c r="E719" s="35" t="s">
        <v>11</v>
      </c>
      <c r="F719" s="35" t="s">
        <v>20</v>
      </c>
      <c r="G719" s="50" t="s">
        <v>1647</v>
      </c>
      <c r="H719" s="50">
        <v>741</v>
      </c>
      <c r="I719" s="52">
        <v>1</v>
      </c>
      <c r="J719" s="52"/>
      <c r="K719" s="52">
        <v>3</v>
      </c>
      <c r="L719" s="52"/>
      <c r="M719" s="52">
        <v>3</v>
      </c>
      <c r="N719" s="52"/>
      <c r="O719" s="52">
        <v>2</v>
      </c>
      <c r="P719" s="52"/>
      <c r="Q719" s="52">
        <v>1</v>
      </c>
      <c r="R719" s="52"/>
      <c r="S719" s="52">
        <v>2</v>
      </c>
      <c r="T719" s="52"/>
      <c r="U719" s="52">
        <v>1</v>
      </c>
      <c r="V719" s="52"/>
      <c r="W719" s="52">
        <v>1</v>
      </c>
      <c r="X719" s="52"/>
      <c r="Y719" s="52">
        <v>1</v>
      </c>
      <c r="Z719" s="52"/>
      <c r="AA719" s="114">
        <v>1</v>
      </c>
      <c r="AB719" s="114"/>
      <c r="AC719" s="114">
        <v>1</v>
      </c>
      <c r="AD719" s="114"/>
    </row>
    <row r="720" spans="1:30" x14ac:dyDescent="0.2">
      <c r="A720" s="35" t="s">
        <v>234</v>
      </c>
      <c r="B720" s="35" t="s">
        <v>200</v>
      </c>
      <c r="C720" s="35" t="s">
        <v>42</v>
      </c>
      <c r="D720" s="31" t="str">
        <f t="shared" si="11"/>
        <v>B2-P6-C3</v>
      </c>
      <c r="E720" s="35" t="s">
        <v>11</v>
      </c>
      <c r="F720" s="35" t="s">
        <v>20</v>
      </c>
      <c r="G720" s="50" t="s">
        <v>1649</v>
      </c>
      <c r="H720" s="50">
        <v>742</v>
      </c>
      <c r="I720" s="52">
        <v>4</v>
      </c>
      <c r="J720" s="52"/>
      <c r="K720" s="52">
        <v>4</v>
      </c>
      <c r="L720" s="52"/>
      <c r="M720" s="52">
        <v>4</v>
      </c>
      <c r="N720" s="52"/>
      <c r="O720" s="52">
        <v>4</v>
      </c>
      <c r="P720" s="52"/>
      <c r="Q720" s="52">
        <v>4</v>
      </c>
      <c r="R720" s="52"/>
      <c r="S720" s="52">
        <v>4</v>
      </c>
      <c r="T720" s="52"/>
      <c r="U720" s="52">
        <v>4</v>
      </c>
      <c r="V720" s="52"/>
      <c r="W720" s="52">
        <v>4</v>
      </c>
      <c r="X720" s="52"/>
      <c r="Y720" s="52">
        <v>4</v>
      </c>
      <c r="Z720" s="52"/>
      <c r="AA720" s="114">
        <v>4</v>
      </c>
      <c r="AB720" s="114"/>
      <c r="AC720" s="114">
        <v>4</v>
      </c>
      <c r="AD720" s="114"/>
    </row>
    <row r="721" spans="1:30" x14ac:dyDescent="0.2">
      <c r="A721" s="35" t="s">
        <v>234</v>
      </c>
      <c r="B721" s="35" t="s">
        <v>200</v>
      </c>
      <c r="C721" s="35" t="s">
        <v>42</v>
      </c>
      <c r="D721" s="31" t="str">
        <f t="shared" si="11"/>
        <v>B2-P6-C3</v>
      </c>
      <c r="E721" s="35" t="s">
        <v>11</v>
      </c>
      <c r="F721" s="35" t="s">
        <v>20</v>
      </c>
      <c r="G721" s="50" t="s">
        <v>1651</v>
      </c>
      <c r="H721" s="50">
        <v>743</v>
      </c>
      <c r="I721" s="52">
        <v>1</v>
      </c>
      <c r="J721" s="52"/>
      <c r="K721" s="52">
        <v>2</v>
      </c>
      <c r="L721" s="52"/>
      <c r="M721" s="52">
        <v>3</v>
      </c>
      <c r="N721" s="52"/>
      <c r="O721" s="52">
        <v>2</v>
      </c>
      <c r="P721" s="52"/>
      <c r="Q721" s="52">
        <v>2</v>
      </c>
      <c r="R721" s="52"/>
      <c r="S721" s="52">
        <v>2</v>
      </c>
      <c r="T721" s="52"/>
      <c r="U721" s="52">
        <v>1</v>
      </c>
      <c r="V721" s="52"/>
      <c r="W721" s="52">
        <v>1</v>
      </c>
      <c r="X721" s="52"/>
      <c r="Y721" s="52">
        <v>2</v>
      </c>
      <c r="Z721" s="52"/>
      <c r="AA721" s="114">
        <v>2</v>
      </c>
      <c r="AB721" s="114"/>
      <c r="AC721" s="114">
        <v>1</v>
      </c>
      <c r="AD721" s="114"/>
    </row>
    <row r="722" spans="1:30" x14ac:dyDescent="0.2">
      <c r="A722" s="35" t="s">
        <v>234</v>
      </c>
      <c r="B722" s="35" t="s">
        <v>200</v>
      </c>
      <c r="C722" s="35" t="s">
        <v>42</v>
      </c>
      <c r="D722" s="31" t="str">
        <f t="shared" si="11"/>
        <v>B2-P6-C3</v>
      </c>
      <c r="E722" s="35" t="s">
        <v>11</v>
      </c>
      <c r="F722" s="35" t="s">
        <v>20</v>
      </c>
      <c r="G722" s="50" t="s">
        <v>1653</v>
      </c>
      <c r="H722" s="50">
        <v>744</v>
      </c>
      <c r="I722" s="52">
        <v>1</v>
      </c>
      <c r="J722" s="52"/>
      <c r="K722" s="52">
        <v>3</v>
      </c>
      <c r="L722" s="52"/>
      <c r="M722" s="52">
        <v>3</v>
      </c>
      <c r="N722" s="52"/>
      <c r="O722" s="52">
        <v>3</v>
      </c>
      <c r="P722" s="52"/>
      <c r="Q722" s="52">
        <v>3</v>
      </c>
      <c r="R722" s="52"/>
      <c r="S722" s="52">
        <v>3</v>
      </c>
      <c r="T722" s="52"/>
      <c r="U722" s="52">
        <v>2</v>
      </c>
      <c r="V722" s="52"/>
      <c r="W722" s="52">
        <v>2</v>
      </c>
      <c r="X722" s="52"/>
      <c r="Y722" s="52">
        <v>3</v>
      </c>
      <c r="Z722" s="52"/>
      <c r="AA722" s="114">
        <v>3</v>
      </c>
      <c r="AB722" s="114"/>
      <c r="AC722" s="114">
        <v>2</v>
      </c>
      <c r="AD722" s="114"/>
    </row>
    <row r="723" spans="1:30" x14ac:dyDescent="0.2">
      <c r="A723" s="34" t="s">
        <v>426</v>
      </c>
      <c r="B723" s="34" t="s">
        <v>15</v>
      </c>
      <c r="C723" s="34" t="s">
        <v>16</v>
      </c>
      <c r="D723" s="34" t="str">
        <f t="shared" si="11"/>
        <v>B3-P1-C1</v>
      </c>
      <c r="E723" s="34" t="s">
        <v>11</v>
      </c>
      <c r="F723" s="34" t="s">
        <v>20</v>
      </c>
      <c r="G723" s="51" t="s">
        <v>1655</v>
      </c>
      <c r="H723" s="51">
        <v>745</v>
      </c>
      <c r="I723" s="53">
        <v>1</v>
      </c>
      <c r="J723" s="54"/>
      <c r="K723" s="54">
        <v>3</v>
      </c>
      <c r="L723" s="54"/>
      <c r="M723" s="54">
        <v>3</v>
      </c>
      <c r="N723" s="54"/>
      <c r="O723" s="54">
        <v>2.5</v>
      </c>
      <c r="P723" s="54"/>
      <c r="Q723" s="54">
        <v>3</v>
      </c>
      <c r="R723" s="54"/>
      <c r="S723" s="54">
        <v>2</v>
      </c>
      <c r="T723" s="54"/>
      <c r="U723" s="54">
        <v>1</v>
      </c>
      <c r="V723" s="54"/>
      <c r="W723" s="54">
        <v>1</v>
      </c>
      <c r="X723" s="54"/>
      <c r="Y723" s="54">
        <v>1</v>
      </c>
      <c r="Z723" s="54"/>
      <c r="AA723" s="115">
        <v>1</v>
      </c>
      <c r="AB723" s="115"/>
      <c r="AC723" s="115">
        <v>1</v>
      </c>
      <c r="AD723" s="115"/>
    </row>
    <row r="724" spans="1:30" x14ac:dyDescent="0.2">
      <c r="A724" s="34" t="s">
        <v>426</v>
      </c>
      <c r="B724" s="34" t="s">
        <v>15</v>
      </c>
      <c r="C724" s="34" t="s">
        <v>16</v>
      </c>
      <c r="D724" s="34" t="str">
        <f t="shared" si="11"/>
        <v>B3-P1-C1</v>
      </c>
      <c r="E724" s="34" t="s">
        <v>11</v>
      </c>
      <c r="F724" s="34" t="s">
        <v>20</v>
      </c>
      <c r="G724" s="51" t="s">
        <v>1657</v>
      </c>
      <c r="H724" s="51">
        <v>746</v>
      </c>
      <c r="I724" s="53">
        <v>1</v>
      </c>
      <c r="J724" s="54"/>
      <c r="K724" s="54">
        <v>3</v>
      </c>
      <c r="L724" s="54"/>
      <c r="M724" s="54">
        <v>3</v>
      </c>
      <c r="N724" s="54"/>
      <c r="O724" s="54">
        <v>2.5</v>
      </c>
      <c r="P724" s="54"/>
      <c r="Q724" s="54">
        <v>3</v>
      </c>
      <c r="R724" s="54"/>
      <c r="S724" s="54">
        <v>2</v>
      </c>
      <c r="T724" s="54"/>
      <c r="U724" s="54">
        <v>1</v>
      </c>
      <c r="V724" s="54"/>
      <c r="W724" s="54">
        <v>1</v>
      </c>
      <c r="X724" s="54"/>
      <c r="Y724" s="54">
        <v>1</v>
      </c>
      <c r="Z724" s="54"/>
      <c r="AA724" s="115">
        <v>1</v>
      </c>
      <c r="AB724" s="115"/>
      <c r="AC724" s="115">
        <v>1</v>
      </c>
      <c r="AD724" s="115"/>
    </row>
    <row r="725" spans="1:30" x14ac:dyDescent="0.2">
      <c r="A725" s="34" t="s">
        <v>426</v>
      </c>
      <c r="B725" s="34" t="s">
        <v>15</v>
      </c>
      <c r="C725" s="34" t="s">
        <v>16</v>
      </c>
      <c r="D725" s="34" t="str">
        <f t="shared" si="11"/>
        <v>B3-P1-C1</v>
      </c>
      <c r="E725" s="34" t="s">
        <v>11</v>
      </c>
      <c r="F725" s="34" t="s">
        <v>20</v>
      </c>
      <c r="G725" s="51" t="s">
        <v>1659</v>
      </c>
      <c r="H725" s="51">
        <v>747</v>
      </c>
      <c r="I725" s="53">
        <v>1</v>
      </c>
      <c r="J725" s="54"/>
      <c r="K725" s="54">
        <v>3</v>
      </c>
      <c r="L725" s="54"/>
      <c r="M725" s="54">
        <v>3</v>
      </c>
      <c r="N725" s="54"/>
      <c r="O725" s="54">
        <v>2</v>
      </c>
      <c r="P725" s="54"/>
      <c r="Q725" s="54">
        <v>1</v>
      </c>
      <c r="R725" s="54"/>
      <c r="S725" s="54">
        <v>1</v>
      </c>
      <c r="T725" s="54"/>
      <c r="U725" s="54">
        <v>1</v>
      </c>
      <c r="V725" s="54"/>
      <c r="W725" s="54">
        <v>1</v>
      </c>
      <c r="X725" s="54"/>
      <c r="Y725" s="54">
        <v>1</v>
      </c>
      <c r="Z725" s="54"/>
      <c r="AA725" s="115">
        <v>1</v>
      </c>
      <c r="AB725" s="115"/>
      <c r="AC725" s="115">
        <v>1</v>
      </c>
      <c r="AD725" s="115"/>
    </row>
    <row r="726" spans="1:30" x14ac:dyDescent="0.2">
      <c r="A726" s="34" t="s">
        <v>426</v>
      </c>
      <c r="B726" s="34" t="s">
        <v>15</v>
      </c>
      <c r="C726" s="34" t="s">
        <v>16</v>
      </c>
      <c r="D726" s="34" t="str">
        <f t="shared" si="11"/>
        <v>B3-P1-C1</v>
      </c>
      <c r="E726" s="34" t="s">
        <v>11</v>
      </c>
      <c r="F726" s="34" t="s">
        <v>20</v>
      </c>
      <c r="G726" s="51" t="s">
        <v>1661</v>
      </c>
      <c r="H726" s="51">
        <v>748</v>
      </c>
      <c r="I726" s="53">
        <v>1</v>
      </c>
      <c r="J726" s="54"/>
      <c r="K726" s="54">
        <v>2</v>
      </c>
      <c r="L726" s="54"/>
      <c r="M726" s="54">
        <v>2</v>
      </c>
      <c r="N726" s="54"/>
      <c r="O726" s="54">
        <v>2</v>
      </c>
      <c r="P726" s="54"/>
      <c r="Q726" s="54">
        <v>1</v>
      </c>
      <c r="R726" s="54"/>
      <c r="S726" s="54">
        <v>1</v>
      </c>
      <c r="T726" s="54"/>
      <c r="U726" s="54">
        <v>1</v>
      </c>
      <c r="V726" s="54"/>
      <c r="W726" s="54">
        <v>1</v>
      </c>
      <c r="X726" s="54"/>
      <c r="Y726" s="54">
        <v>1</v>
      </c>
      <c r="Z726" s="54"/>
      <c r="AA726" s="115">
        <v>1</v>
      </c>
      <c r="AB726" s="115"/>
      <c r="AC726" s="115">
        <v>1</v>
      </c>
      <c r="AD726" s="115"/>
    </row>
    <row r="727" spans="1:30" x14ac:dyDescent="0.2">
      <c r="A727" s="34" t="s">
        <v>426</v>
      </c>
      <c r="B727" s="34" t="s">
        <v>15</v>
      </c>
      <c r="C727" s="34" t="s">
        <v>16</v>
      </c>
      <c r="D727" s="34" t="str">
        <f t="shared" si="11"/>
        <v>B3-P1-C1</v>
      </c>
      <c r="E727" s="34" t="s">
        <v>11</v>
      </c>
      <c r="F727" s="34" t="s">
        <v>20</v>
      </c>
      <c r="G727" s="51" t="s">
        <v>1663</v>
      </c>
      <c r="H727" s="51">
        <v>749</v>
      </c>
      <c r="I727" s="53">
        <v>1</v>
      </c>
      <c r="J727" s="54"/>
      <c r="K727" s="54">
        <v>3</v>
      </c>
      <c r="L727" s="54"/>
      <c r="M727" s="54">
        <v>3</v>
      </c>
      <c r="N727" s="54"/>
      <c r="O727" s="54">
        <v>3</v>
      </c>
      <c r="P727" s="54"/>
      <c r="Q727" s="54">
        <v>1</v>
      </c>
      <c r="R727" s="54"/>
      <c r="S727" s="54">
        <v>2</v>
      </c>
      <c r="T727" s="54"/>
      <c r="U727" s="54">
        <v>1</v>
      </c>
      <c r="V727" s="54"/>
      <c r="W727" s="54">
        <v>1</v>
      </c>
      <c r="X727" s="54"/>
      <c r="Y727" s="54">
        <v>1</v>
      </c>
      <c r="Z727" s="54"/>
      <c r="AA727" s="115">
        <v>1</v>
      </c>
      <c r="AB727" s="115"/>
      <c r="AC727" s="115">
        <v>1</v>
      </c>
      <c r="AD727" s="115"/>
    </row>
    <row r="728" spans="1:30" x14ac:dyDescent="0.2">
      <c r="A728" s="34" t="s">
        <v>426</v>
      </c>
      <c r="B728" s="34" t="s">
        <v>15</v>
      </c>
      <c r="C728" s="34" t="s">
        <v>16</v>
      </c>
      <c r="D728" s="34" t="str">
        <f t="shared" si="11"/>
        <v>B3-P1-C1</v>
      </c>
      <c r="E728" s="34" t="s">
        <v>11</v>
      </c>
      <c r="F728" s="34" t="s">
        <v>20</v>
      </c>
      <c r="G728" s="51" t="s">
        <v>1665</v>
      </c>
      <c r="H728" s="51">
        <v>750</v>
      </c>
      <c r="I728" s="53">
        <v>1</v>
      </c>
      <c r="J728" s="54"/>
      <c r="K728" s="54">
        <v>3</v>
      </c>
      <c r="L728" s="54"/>
      <c r="M728" s="54">
        <v>3</v>
      </c>
      <c r="N728" s="54"/>
      <c r="O728" s="54">
        <v>3</v>
      </c>
      <c r="P728" s="54"/>
      <c r="Q728" s="54">
        <v>2</v>
      </c>
      <c r="R728" s="54"/>
      <c r="S728" s="54">
        <v>2</v>
      </c>
      <c r="T728" s="54"/>
      <c r="U728" s="54">
        <v>2</v>
      </c>
      <c r="V728" s="54"/>
      <c r="W728" s="54">
        <v>1</v>
      </c>
      <c r="X728" s="54"/>
      <c r="Y728" s="54">
        <v>2</v>
      </c>
      <c r="Z728" s="54"/>
      <c r="AA728" s="115">
        <v>2</v>
      </c>
      <c r="AB728" s="115"/>
      <c r="AC728" s="115">
        <v>3</v>
      </c>
      <c r="AD728" s="115"/>
    </row>
    <row r="729" spans="1:30" x14ac:dyDescent="0.2">
      <c r="A729" s="35" t="s">
        <v>426</v>
      </c>
      <c r="B729" s="35" t="s">
        <v>15</v>
      </c>
      <c r="C729" s="35" t="s">
        <v>32</v>
      </c>
      <c r="D729" s="31" t="str">
        <f t="shared" si="11"/>
        <v>B3-P1-C2</v>
      </c>
      <c r="E729" s="35" t="s">
        <v>11</v>
      </c>
      <c r="F729" s="35" t="s">
        <v>20</v>
      </c>
      <c r="G729" s="50" t="s">
        <v>1667</v>
      </c>
      <c r="H729" s="50">
        <v>751</v>
      </c>
      <c r="I729" s="52">
        <v>1</v>
      </c>
      <c r="J729" s="52"/>
      <c r="K729" s="52">
        <v>3</v>
      </c>
      <c r="L729" s="52"/>
      <c r="M729" s="52">
        <v>3</v>
      </c>
      <c r="N729" s="52"/>
      <c r="O729" s="52">
        <v>1.5</v>
      </c>
      <c r="P729" s="52"/>
      <c r="Q729" s="52">
        <v>1</v>
      </c>
      <c r="R729" s="52"/>
      <c r="S729" s="52">
        <v>3</v>
      </c>
      <c r="T729" s="52"/>
      <c r="U729" s="52">
        <v>3</v>
      </c>
      <c r="V729" s="52"/>
      <c r="W729" s="52">
        <v>3.5</v>
      </c>
      <c r="X729" s="52"/>
      <c r="Y729" s="52">
        <v>4</v>
      </c>
      <c r="Z729" s="52"/>
      <c r="AA729" s="114">
        <v>3</v>
      </c>
      <c r="AB729" s="114"/>
      <c r="AC729" s="114">
        <v>4</v>
      </c>
      <c r="AD729" s="114"/>
    </row>
    <row r="730" spans="1:30" x14ac:dyDescent="0.2">
      <c r="A730" s="35" t="s">
        <v>426</v>
      </c>
      <c r="B730" s="35" t="s">
        <v>15</v>
      </c>
      <c r="C730" s="35" t="s">
        <v>32</v>
      </c>
      <c r="D730" s="31" t="str">
        <f t="shared" si="11"/>
        <v>B3-P1-C2</v>
      </c>
      <c r="E730" s="35" t="s">
        <v>11</v>
      </c>
      <c r="F730" s="35" t="s">
        <v>20</v>
      </c>
      <c r="G730" s="50" t="s">
        <v>1669</v>
      </c>
      <c r="H730" s="50">
        <v>752</v>
      </c>
      <c r="I730" s="52">
        <v>1</v>
      </c>
      <c r="J730" s="52"/>
      <c r="K730" s="52">
        <v>3</v>
      </c>
      <c r="L730" s="52"/>
      <c r="M730" s="52">
        <v>3</v>
      </c>
      <c r="N730" s="52"/>
      <c r="O730" s="52">
        <v>3</v>
      </c>
      <c r="P730" s="52"/>
      <c r="Q730" s="52">
        <v>3</v>
      </c>
      <c r="R730" s="52"/>
      <c r="S730" s="52">
        <v>2</v>
      </c>
      <c r="T730" s="52"/>
      <c r="U730" s="52">
        <v>1</v>
      </c>
      <c r="V730" s="52"/>
      <c r="W730" s="52">
        <v>1</v>
      </c>
      <c r="X730" s="52"/>
      <c r="Y730" s="52">
        <v>1</v>
      </c>
      <c r="Z730" s="52"/>
      <c r="AA730" s="114">
        <v>1</v>
      </c>
      <c r="AB730" s="114"/>
      <c r="AC730" s="114">
        <v>1</v>
      </c>
      <c r="AD730" s="114"/>
    </row>
    <row r="731" spans="1:30" x14ac:dyDescent="0.2">
      <c r="A731" s="35" t="s">
        <v>426</v>
      </c>
      <c r="B731" s="35" t="s">
        <v>15</v>
      </c>
      <c r="C731" s="35" t="s">
        <v>32</v>
      </c>
      <c r="D731" s="31" t="str">
        <f t="shared" si="11"/>
        <v>B3-P1-C2</v>
      </c>
      <c r="E731" s="35" t="s">
        <v>11</v>
      </c>
      <c r="F731" s="35" t="s">
        <v>20</v>
      </c>
      <c r="G731" s="50" t="s">
        <v>1671</v>
      </c>
      <c r="H731" s="50">
        <v>753</v>
      </c>
      <c r="I731" s="52">
        <v>1</v>
      </c>
      <c r="J731" s="52"/>
      <c r="K731" s="52">
        <v>2</v>
      </c>
      <c r="L731" s="52"/>
      <c r="M731" s="52">
        <v>3</v>
      </c>
      <c r="N731" s="52"/>
      <c r="O731" s="52">
        <v>2</v>
      </c>
      <c r="P731" s="52"/>
      <c r="Q731" s="52">
        <v>2</v>
      </c>
      <c r="R731" s="52"/>
      <c r="S731" s="52">
        <v>2</v>
      </c>
      <c r="T731" s="52"/>
      <c r="U731" s="52">
        <v>2</v>
      </c>
      <c r="V731" s="52"/>
      <c r="W731" s="52">
        <v>2</v>
      </c>
      <c r="X731" s="52"/>
      <c r="Y731" s="52">
        <v>2</v>
      </c>
      <c r="Z731" s="52"/>
      <c r="AA731" s="114">
        <v>2</v>
      </c>
      <c r="AB731" s="114"/>
      <c r="AC731" s="114">
        <v>1</v>
      </c>
      <c r="AD731" s="114"/>
    </row>
    <row r="732" spans="1:30" x14ac:dyDescent="0.2">
      <c r="A732" s="35" t="s">
        <v>426</v>
      </c>
      <c r="B732" s="35" t="s">
        <v>15</v>
      </c>
      <c r="C732" s="35" t="s">
        <v>32</v>
      </c>
      <c r="D732" s="31" t="str">
        <f t="shared" si="11"/>
        <v>B3-P1-C2</v>
      </c>
      <c r="E732" s="35" t="s">
        <v>11</v>
      </c>
      <c r="F732" s="35" t="s">
        <v>20</v>
      </c>
      <c r="G732" s="50" t="s">
        <v>1673</v>
      </c>
      <c r="H732" s="50">
        <v>754</v>
      </c>
      <c r="I732" s="52">
        <v>1</v>
      </c>
      <c r="J732" s="52"/>
      <c r="K732" s="52">
        <v>2</v>
      </c>
      <c r="L732" s="52"/>
      <c r="M732" s="52">
        <v>3</v>
      </c>
      <c r="N732" s="52"/>
      <c r="O732" s="52">
        <v>2</v>
      </c>
      <c r="P732" s="52"/>
      <c r="Q732" s="52">
        <v>2</v>
      </c>
      <c r="R732" s="52"/>
      <c r="S732" s="52">
        <v>2</v>
      </c>
      <c r="T732" s="52"/>
      <c r="U732" s="52">
        <v>1</v>
      </c>
      <c r="V732" s="52"/>
      <c r="W732" s="52">
        <v>1</v>
      </c>
      <c r="X732" s="52"/>
      <c r="Y732" s="52">
        <v>1</v>
      </c>
      <c r="Z732" s="52"/>
      <c r="AA732" s="114">
        <v>1</v>
      </c>
      <c r="AB732" s="114"/>
      <c r="AC732" s="114">
        <v>1</v>
      </c>
      <c r="AD732" s="114"/>
    </row>
    <row r="733" spans="1:30" x14ac:dyDescent="0.2">
      <c r="A733" s="35" t="s">
        <v>426</v>
      </c>
      <c r="B733" s="35" t="s">
        <v>15</v>
      </c>
      <c r="C733" s="35" t="s">
        <v>32</v>
      </c>
      <c r="D733" s="31" t="str">
        <f t="shared" si="11"/>
        <v>B3-P1-C2</v>
      </c>
      <c r="E733" s="35" t="s">
        <v>11</v>
      </c>
      <c r="F733" s="35" t="s">
        <v>20</v>
      </c>
      <c r="G733" s="50" t="s">
        <v>1675</v>
      </c>
      <c r="H733" s="50">
        <v>755</v>
      </c>
      <c r="I733" s="52">
        <v>1</v>
      </c>
      <c r="J733" s="52"/>
      <c r="K733" s="52">
        <v>2</v>
      </c>
      <c r="L733" s="52"/>
      <c r="M733" s="52">
        <v>3</v>
      </c>
      <c r="N733" s="52"/>
      <c r="O733" s="52">
        <v>3</v>
      </c>
      <c r="P733" s="52"/>
      <c r="Q733" s="52">
        <v>2</v>
      </c>
      <c r="R733" s="52"/>
      <c r="S733" s="52">
        <v>2</v>
      </c>
      <c r="T733" s="52"/>
      <c r="U733" s="52">
        <v>1</v>
      </c>
      <c r="V733" s="52"/>
      <c r="W733" s="52">
        <v>2</v>
      </c>
      <c r="X733" s="52"/>
      <c r="Y733" s="52">
        <v>2</v>
      </c>
      <c r="Z733" s="52"/>
      <c r="AA733" s="114">
        <v>2</v>
      </c>
      <c r="AB733" s="114"/>
      <c r="AC733" s="114">
        <v>2</v>
      </c>
      <c r="AD733" s="114"/>
    </row>
    <row r="734" spans="1:30" x14ac:dyDescent="0.2">
      <c r="A734" s="35" t="s">
        <v>426</v>
      </c>
      <c r="B734" s="35" t="s">
        <v>15</v>
      </c>
      <c r="C734" s="35" t="s">
        <v>32</v>
      </c>
      <c r="D734" s="31" t="str">
        <f t="shared" si="11"/>
        <v>B3-P1-C2</v>
      </c>
      <c r="E734" s="35" t="s">
        <v>11</v>
      </c>
      <c r="F734" s="35" t="s">
        <v>20</v>
      </c>
      <c r="G734" s="50" t="s">
        <v>1677</v>
      </c>
      <c r="H734" s="50">
        <v>756</v>
      </c>
      <c r="I734" s="52">
        <v>1</v>
      </c>
      <c r="J734" s="52"/>
      <c r="K734" s="52">
        <v>2</v>
      </c>
      <c r="L734" s="52"/>
      <c r="M734" s="52">
        <v>3</v>
      </c>
      <c r="N734" s="52"/>
      <c r="O734" s="52">
        <v>2</v>
      </c>
      <c r="P734" s="52"/>
      <c r="Q734" s="52">
        <v>2</v>
      </c>
      <c r="R734" s="52"/>
      <c r="S734" s="52">
        <v>2</v>
      </c>
      <c r="T734" s="52"/>
      <c r="U734" s="52">
        <v>2</v>
      </c>
      <c r="V734" s="52"/>
      <c r="W734" s="52">
        <v>2</v>
      </c>
      <c r="X734" s="52"/>
      <c r="Y734" s="52">
        <v>2</v>
      </c>
      <c r="Z734" s="52"/>
      <c r="AA734" s="114">
        <v>2</v>
      </c>
      <c r="AB734" s="114"/>
      <c r="AC734" s="114">
        <v>2</v>
      </c>
      <c r="AD734" s="114"/>
    </row>
    <row r="735" spans="1:30" x14ac:dyDescent="0.2">
      <c r="A735" s="34" t="s">
        <v>426</v>
      </c>
      <c r="B735" s="34" t="s">
        <v>15</v>
      </c>
      <c r="C735" s="34" t="s">
        <v>53</v>
      </c>
      <c r="D735" s="34" t="str">
        <f t="shared" si="11"/>
        <v>B3-P1-C4</v>
      </c>
      <c r="E735" s="34" t="s">
        <v>11</v>
      </c>
      <c r="F735" s="34" t="s">
        <v>20</v>
      </c>
      <c r="G735" s="51" t="s">
        <v>1679</v>
      </c>
      <c r="H735" s="51">
        <v>757</v>
      </c>
      <c r="I735" s="53">
        <v>1</v>
      </c>
      <c r="J735" s="54"/>
      <c r="K735" s="54">
        <v>2</v>
      </c>
      <c r="L735" s="54"/>
      <c r="M735" s="54">
        <v>3</v>
      </c>
      <c r="N735" s="54"/>
      <c r="O735" s="54">
        <v>2</v>
      </c>
      <c r="P735" s="54"/>
      <c r="Q735" s="54">
        <v>1.5</v>
      </c>
      <c r="R735" s="54"/>
      <c r="S735" s="54">
        <v>2</v>
      </c>
      <c r="T735" s="54"/>
      <c r="U735" s="54">
        <v>1</v>
      </c>
      <c r="V735" s="54"/>
      <c r="W735" s="54">
        <v>1</v>
      </c>
      <c r="X735" s="54"/>
      <c r="Y735" s="54">
        <v>1</v>
      </c>
      <c r="Z735" s="54"/>
      <c r="AA735" s="115">
        <v>1</v>
      </c>
      <c r="AB735" s="115"/>
      <c r="AC735" s="115">
        <v>1</v>
      </c>
      <c r="AD735" s="115"/>
    </row>
    <row r="736" spans="1:30" x14ac:dyDescent="0.2">
      <c r="A736" s="34" t="s">
        <v>426</v>
      </c>
      <c r="B736" s="34" t="s">
        <v>15</v>
      </c>
      <c r="C736" s="34" t="s">
        <v>53</v>
      </c>
      <c r="D736" s="34" t="str">
        <f t="shared" si="11"/>
        <v>B3-P1-C4</v>
      </c>
      <c r="E736" s="34" t="s">
        <v>11</v>
      </c>
      <c r="F736" s="34" t="s">
        <v>20</v>
      </c>
      <c r="G736" s="51" t="s">
        <v>1681</v>
      </c>
      <c r="H736" s="51">
        <v>758</v>
      </c>
      <c r="I736" s="53">
        <v>1</v>
      </c>
      <c r="J736" s="54"/>
      <c r="K736" s="54">
        <v>2</v>
      </c>
      <c r="L736" s="54"/>
      <c r="M736" s="54">
        <v>3</v>
      </c>
      <c r="N736" s="54"/>
      <c r="O736" s="54">
        <v>2</v>
      </c>
      <c r="P736" s="54"/>
      <c r="Q736" s="54">
        <v>1.5</v>
      </c>
      <c r="R736" s="54"/>
      <c r="S736" s="54">
        <v>2</v>
      </c>
      <c r="T736" s="54"/>
      <c r="U736" s="54">
        <v>1</v>
      </c>
      <c r="V736" s="54"/>
      <c r="W736" s="54">
        <v>1</v>
      </c>
      <c r="X736" s="54"/>
      <c r="Y736" s="54">
        <v>1</v>
      </c>
      <c r="Z736" s="54"/>
      <c r="AA736" s="115">
        <v>1</v>
      </c>
      <c r="AB736" s="115"/>
      <c r="AC736" s="115">
        <v>1</v>
      </c>
      <c r="AD736" s="115"/>
    </row>
    <row r="737" spans="1:30" x14ac:dyDescent="0.2">
      <c r="A737" s="34" t="s">
        <v>426</v>
      </c>
      <c r="B737" s="34" t="s">
        <v>15</v>
      </c>
      <c r="C737" s="34" t="s">
        <v>53</v>
      </c>
      <c r="D737" s="34" t="str">
        <f t="shared" si="11"/>
        <v>B3-P1-C4</v>
      </c>
      <c r="E737" s="34" t="s">
        <v>11</v>
      </c>
      <c r="F737" s="34" t="s">
        <v>20</v>
      </c>
      <c r="G737" s="51" t="s">
        <v>1683</v>
      </c>
      <c r="H737" s="51">
        <v>759</v>
      </c>
      <c r="I737" s="53">
        <v>1</v>
      </c>
      <c r="J737" s="54"/>
      <c r="K737" s="54">
        <v>3</v>
      </c>
      <c r="L737" s="54"/>
      <c r="M737" s="54">
        <v>3</v>
      </c>
      <c r="N737" s="54"/>
      <c r="O737" s="54">
        <v>3</v>
      </c>
      <c r="P737" s="54"/>
      <c r="Q737" s="54">
        <v>2.5</v>
      </c>
      <c r="R737" s="54"/>
      <c r="S737" s="54">
        <v>3</v>
      </c>
      <c r="T737" s="54"/>
      <c r="U737" s="54">
        <v>2</v>
      </c>
      <c r="V737" s="54"/>
      <c r="W737" s="54">
        <v>1</v>
      </c>
      <c r="X737" s="54"/>
      <c r="Y737" s="54">
        <v>1</v>
      </c>
      <c r="Z737" s="54"/>
      <c r="AA737" s="115">
        <v>1</v>
      </c>
      <c r="AB737" s="115"/>
      <c r="AC737" s="115">
        <v>1</v>
      </c>
      <c r="AD737" s="115"/>
    </row>
    <row r="738" spans="1:30" x14ac:dyDescent="0.2">
      <c r="A738" s="34" t="s">
        <v>426</v>
      </c>
      <c r="B738" s="34" t="s">
        <v>15</v>
      </c>
      <c r="C738" s="34" t="s">
        <v>53</v>
      </c>
      <c r="D738" s="34" t="str">
        <f t="shared" si="11"/>
        <v>B3-P1-C4</v>
      </c>
      <c r="E738" s="34" t="s">
        <v>11</v>
      </c>
      <c r="F738" s="34" t="s">
        <v>20</v>
      </c>
      <c r="G738" s="51" t="s">
        <v>1685</v>
      </c>
      <c r="H738" s="51">
        <v>760</v>
      </c>
      <c r="I738" s="53">
        <v>1</v>
      </c>
      <c r="J738" s="54"/>
      <c r="K738" s="54">
        <v>2</v>
      </c>
      <c r="L738" s="54"/>
      <c r="M738" s="54">
        <v>3</v>
      </c>
      <c r="N738" s="54"/>
      <c r="O738" s="54">
        <v>3</v>
      </c>
      <c r="P738" s="54"/>
      <c r="Q738" s="54">
        <v>1.5</v>
      </c>
      <c r="R738" s="54"/>
      <c r="S738" s="54">
        <v>2</v>
      </c>
      <c r="T738" s="54"/>
      <c r="U738" s="54">
        <v>1</v>
      </c>
      <c r="V738" s="54"/>
      <c r="W738" s="54">
        <v>1</v>
      </c>
      <c r="X738" s="54"/>
      <c r="Y738" s="54">
        <v>1</v>
      </c>
      <c r="Z738" s="54"/>
      <c r="AA738" s="115">
        <v>1</v>
      </c>
      <c r="AB738" s="115"/>
      <c r="AC738" s="115">
        <v>1</v>
      </c>
      <c r="AD738" s="115"/>
    </row>
    <row r="739" spans="1:30" x14ac:dyDescent="0.2">
      <c r="A739" s="34" t="s">
        <v>426</v>
      </c>
      <c r="B739" s="34" t="s">
        <v>15</v>
      </c>
      <c r="C739" s="34" t="s">
        <v>53</v>
      </c>
      <c r="D739" s="34" t="str">
        <f t="shared" si="11"/>
        <v>B3-P1-C4</v>
      </c>
      <c r="E739" s="34" t="s">
        <v>11</v>
      </c>
      <c r="F739" s="34" t="s">
        <v>20</v>
      </c>
      <c r="G739" s="51" t="s">
        <v>1687</v>
      </c>
      <c r="H739" s="51">
        <v>761</v>
      </c>
      <c r="I739" s="53">
        <v>1</v>
      </c>
      <c r="J739" s="54"/>
      <c r="K739" s="54">
        <v>3</v>
      </c>
      <c r="L739" s="54"/>
      <c r="M739" s="54">
        <v>3</v>
      </c>
      <c r="N739" s="54"/>
      <c r="O739" s="54">
        <v>2</v>
      </c>
      <c r="P739" s="54"/>
      <c r="Q739" s="54">
        <v>2</v>
      </c>
      <c r="R739" s="54"/>
      <c r="S739" s="54">
        <v>2</v>
      </c>
      <c r="T739" s="54"/>
      <c r="U739" s="54">
        <v>1</v>
      </c>
      <c r="V739" s="54"/>
      <c r="W739" s="54">
        <v>1</v>
      </c>
      <c r="X739" s="54"/>
      <c r="Y739" s="54">
        <v>2</v>
      </c>
      <c r="Z739" s="54"/>
      <c r="AA739" s="115">
        <v>1</v>
      </c>
      <c r="AB739" s="115"/>
      <c r="AC739" s="115">
        <v>1</v>
      </c>
      <c r="AD739" s="115"/>
    </row>
    <row r="740" spans="1:30" x14ac:dyDescent="0.2">
      <c r="A740" s="34" t="s">
        <v>426</v>
      </c>
      <c r="B740" s="34" t="s">
        <v>15</v>
      </c>
      <c r="C740" s="34" t="s">
        <v>53</v>
      </c>
      <c r="D740" s="34" t="str">
        <f t="shared" si="11"/>
        <v>B3-P1-C4</v>
      </c>
      <c r="E740" s="34" t="s">
        <v>11</v>
      </c>
      <c r="F740" s="34" t="s">
        <v>20</v>
      </c>
      <c r="G740" s="51" t="s">
        <v>1689</v>
      </c>
      <c r="H740" s="51">
        <v>762</v>
      </c>
      <c r="I740" s="53">
        <v>1</v>
      </c>
      <c r="J740" s="54"/>
      <c r="K740" s="54">
        <v>2</v>
      </c>
      <c r="L740" s="54"/>
      <c r="M740" s="54">
        <v>3</v>
      </c>
      <c r="N740" s="54"/>
      <c r="O740" s="54">
        <v>2</v>
      </c>
      <c r="P740" s="54"/>
      <c r="Q740" s="54">
        <v>1.5</v>
      </c>
      <c r="R740" s="54"/>
      <c r="S740" s="54">
        <v>2</v>
      </c>
      <c r="T740" s="54"/>
      <c r="U740" s="54">
        <v>1</v>
      </c>
      <c r="V740" s="54"/>
      <c r="W740" s="54">
        <v>1</v>
      </c>
      <c r="X740" s="54"/>
      <c r="Y740" s="54">
        <v>1</v>
      </c>
      <c r="Z740" s="54"/>
      <c r="AA740" s="115">
        <v>1</v>
      </c>
      <c r="AB740" s="115"/>
      <c r="AC740" s="115">
        <v>1</v>
      </c>
      <c r="AD740" s="115"/>
    </row>
    <row r="741" spans="1:30" x14ac:dyDescent="0.2">
      <c r="A741" s="35" t="s">
        <v>426</v>
      </c>
      <c r="B741" s="35" t="s">
        <v>62</v>
      </c>
      <c r="C741" s="35" t="s">
        <v>32</v>
      </c>
      <c r="D741" s="31" t="str">
        <f t="shared" si="11"/>
        <v>B3-P2-C2</v>
      </c>
      <c r="E741" s="35" t="s">
        <v>11</v>
      </c>
      <c r="F741" s="35" t="s">
        <v>20</v>
      </c>
      <c r="G741" s="50" t="s">
        <v>1691</v>
      </c>
      <c r="H741" s="50">
        <v>763</v>
      </c>
      <c r="I741" s="52">
        <v>1</v>
      </c>
      <c r="J741" s="52"/>
      <c r="K741" s="52">
        <v>1</v>
      </c>
      <c r="L741" s="52"/>
      <c r="M741" s="52">
        <v>1</v>
      </c>
      <c r="N741" s="52"/>
      <c r="O741" s="52">
        <v>1</v>
      </c>
      <c r="P741" s="52"/>
      <c r="Q741" s="52">
        <v>1</v>
      </c>
      <c r="R741" s="52"/>
      <c r="S741" s="52">
        <v>1</v>
      </c>
      <c r="T741" s="52"/>
      <c r="U741" s="52">
        <v>1</v>
      </c>
      <c r="V741" s="52"/>
      <c r="W741" s="52">
        <v>1</v>
      </c>
      <c r="X741" s="52"/>
      <c r="Y741" s="52">
        <v>1</v>
      </c>
      <c r="Z741" s="52"/>
      <c r="AA741" s="114">
        <v>2</v>
      </c>
      <c r="AB741" s="114"/>
      <c r="AC741" s="114">
        <v>1</v>
      </c>
      <c r="AD741" s="114"/>
    </row>
    <row r="742" spans="1:30" x14ac:dyDescent="0.2">
      <c r="A742" s="35" t="s">
        <v>426</v>
      </c>
      <c r="B742" s="35" t="s">
        <v>62</v>
      </c>
      <c r="C742" s="35" t="s">
        <v>32</v>
      </c>
      <c r="D742" s="31" t="str">
        <f t="shared" si="11"/>
        <v>B3-P2-C2</v>
      </c>
      <c r="E742" s="35" t="s">
        <v>11</v>
      </c>
      <c r="F742" s="35" t="s">
        <v>20</v>
      </c>
      <c r="G742" s="50" t="s">
        <v>1693</v>
      </c>
      <c r="H742" s="50">
        <v>764</v>
      </c>
      <c r="I742" s="52">
        <v>1</v>
      </c>
      <c r="J742" s="52"/>
      <c r="K742" s="52">
        <v>1</v>
      </c>
      <c r="L742" s="52"/>
      <c r="M742" s="52">
        <v>1</v>
      </c>
      <c r="N742" s="52"/>
      <c r="O742" s="52">
        <v>1</v>
      </c>
      <c r="P742" s="52"/>
      <c r="Q742" s="52">
        <v>1</v>
      </c>
      <c r="R742" s="52"/>
      <c r="S742" s="52">
        <v>1</v>
      </c>
      <c r="T742" s="52"/>
      <c r="U742" s="52">
        <v>1</v>
      </c>
      <c r="V742" s="52"/>
      <c r="W742" s="52">
        <v>1</v>
      </c>
      <c r="X742" s="52"/>
      <c r="Y742" s="52">
        <v>1</v>
      </c>
      <c r="Z742" s="52"/>
      <c r="AA742" s="114">
        <v>1</v>
      </c>
      <c r="AB742" s="114"/>
      <c r="AC742" s="114">
        <v>1</v>
      </c>
      <c r="AD742" s="114"/>
    </row>
    <row r="743" spans="1:30" x14ac:dyDescent="0.2">
      <c r="A743" s="35" t="s">
        <v>426</v>
      </c>
      <c r="B743" s="35" t="s">
        <v>62</v>
      </c>
      <c r="C743" s="35" t="s">
        <v>32</v>
      </c>
      <c r="D743" s="31" t="str">
        <f t="shared" si="11"/>
        <v>B3-P2-C2</v>
      </c>
      <c r="E743" s="35" t="s">
        <v>11</v>
      </c>
      <c r="F743" s="35" t="s">
        <v>20</v>
      </c>
      <c r="G743" s="50" t="s">
        <v>1695</v>
      </c>
      <c r="H743" s="50">
        <v>765</v>
      </c>
      <c r="I743" s="52">
        <v>1</v>
      </c>
      <c r="J743" s="52"/>
      <c r="K743" s="52">
        <v>1</v>
      </c>
      <c r="L743" s="52"/>
      <c r="M743" s="52">
        <v>2</v>
      </c>
      <c r="N743" s="52"/>
      <c r="O743" s="52">
        <v>2</v>
      </c>
      <c r="P743" s="52"/>
      <c r="Q743" s="52">
        <v>1</v>
      </c>
      <c r="R743" s="52"/>
      <c r="S743" s="52">
        <v>1</v>
      </c>
      <c r="T743" s="52"/>
      <c r="U743" s="52">
        <v>1</v>
      </c>
      <c r="V743" s="52"/>
      <c r="W743" s="52">
        <v>1</v>
      </c>
      <c r="X743" s="52"/>
      <c r="Y743" s="52">
        <v>1</v>
      </c>
      <c r="Z743" s="52"/>
      <c r="AA743" s="114">
        <v>1</v>
      </c>
      <c r="AB743" s="114"/>
      <c r="AC743" s="114">
        <v>1</v>
      </c>
      <c r="AD743" s="114"/>
    </row>
    <row r="744" spans="1:30" x14ac:dyDescent="0.2">
      <c r="A744" s="35" t="s">
        <v>426</v>
      </c>
      <c r="B744" s="35" t="s">
        <v>62</v>
      </c>
      <c r="C744" s="35" t="s">
        <v>32</v>
      </c>
      <c r="D744" s="31" t="str">
        <f t="shared" si="11"/>
        <v>B3-P2-C2</v>
      </c>
      <c r="E744" s="35" t="s">
        <v>11</v>
      </c>
      <c r="F744" s="35" t="s">
        <v>20</v>
      </c>
      <c r="G744" s="50" t="s">
        <v>1697</v>
      </c>
      <c r="H744" s="50">
        <v>766</v>
      </c>
      <c r="I744" s="52">
        <v>1</v>
      </c>
      <c r="J744" s="52"/>
      <c r="K744" s="52">
        <v>1</v>
      </c>
      <c r="L744" s="52"/>
      <c r="M744" s="52">
        <v>2</v>
      </c>
      <c r="N744" s="52"/>
      <c r="O744" s="52">
        <v>2</v>
      </c>
      <c r="P744" s="52"/>
      <c r="Q744" s="52">
        <v>2</v>
      </c>
      <c r="R744" s="52"/>
      <c r="S744" s="52">
        <v>3</v>
      </c>
      <c r="T744" s="52"/>
      <c r="U744" s="52">
        <v>1</v>
      </c>
      <c r="V744" s="52"/>
      <c r="W744" s="52">
        <v>2</v>
      </c>
      <c r="X744" s="52"/>
      <c r="Y744" s="52">
        <v>2</v>
      </c>
      <c r="Z744" s="52"/>
      <c r="AA744" s="114">
        <v>1</v>
      </c>
      <c r="AB744" s="114"/>
      <c r="AC744" s="114">
        <v>2</v>
      </c>
      <c r="AD744" s="114"/>
    </row>
    <row r="745" spans="1:30" x14ac:dyDescent="0.2">
      <c r="A745" s="35" t="s">
        <v>426</v>
      </c>
      <c r="B745" s="35" t="s">
        <v>62</v>
      </c>
      <c r="C745" s="35" t="s">
        <v>32</v>
      </c>
      <c r="D745" s="31" t="str">
        <f t="shared" si="11"/>
        <v>B3-P2-C2</v>
      </c>
      <c r="E745" s="35" t="s">
        <v>11</v>
      </c>
      <c r="F745" s="35" t="s">
        <v>20</v>
      </c>
      <c r="G745" s="50" t="s">
        <v>1699</v>
      </c>
      <c r="H745" s="50">
        <v>767</v>
      </c>
      <c r="I745" s="52">
        <v>1</v>
      </c>
      <c r="J745" s="52"/>
      <c r="K745" s="52">
        <v>1</v>
      </c>
      <c r="L745" s="52"/>
      <c r="M745" s="52">
        <v>3</v>
      </c>
      <c r="N745" s="52"/>
      <c r="O745" s="52">
        <v>3</v>
      </c>
      <c r="P745" s="52"/>
      <c r="Q745" s="52">
        <v>2</v>
      </c>
      <c r="R745" s="52"/>
      <c r="S745" s="52">
        <v>3</v>
      </c>
      <c r="T745" s="52"/>
      <c r="U745" s="52">
        <v>1</v>
      </c>
      <c r="V745" s="52"/>
      <c r="W745" s="52">
        <v>2</v>
      </c>
      <c r="X745" s="52"/>
      <c r="Y745" s="52">
        <v>2</v>
      </c>
      <c r="Z745" s="52"/>
      <c r="AA745" s="114">
        <v>2</v>
      </c>
      <c r="AB745" s="114"/>
      <c r="AC745" s="114">
        <v>1</v>
      </c>
      <c r="AD745" s="114"/>
    </row>
    <row r="746" spans="1:30" x14ac:dyDescent="0.2">
      <c r="A746" s="35" t="s">
        <v>426</v>
      </c>
      <c r="B746" s="35" t="s">
        <v>62</v>
      </c>
      <c r="C746" s="35" t="s">
        <v>32</v>
      </c>
      <c r="D746" s="31" t="str">
        <f t="shared" si="11"/>
        <v>B3-P2-C2</v>
      </c>
      <c r="E746" s="35" t="s">
        <v>11</v>
      </c>
      <c r="F746" s="35" t="s">
        <v>20</v>
      </c>
      <c r="G746" s="50" t="s">
        <v>1701</v>
      </c>
      <c r="H746" s="50">
        <v>768</v>
      </c>
      <c r="I746" s="52">
        <v>1</v>
      </c>
      <c r="J746" s="52"/>
      <c r="K746" s="52">
        <v>1</v>
      </c>
      <c r="L746" s="52"/>
      <c r="M746" s="52">
        <v>2</v>
      </c>
      <c r="N746" s="52"/>
      <c r="O746" s="52">
        <v>2</v>
      </c>
      <c r="P746" s="52"/>
      <c r="Q746" s="52">
        <v>1</v>
      </c>
      <c r="R746" s="52"/>
      <c r="S746" s="52">
        <v>2</v>
      </c>
      <c r="T746" s="52"/>
      <c r="U746" s="52">
        <v>1</v>
      </c>
      <c r="V746" s="52"/>
      <c r="W746" s="52">
        <v>1</v>
      </c>
      <c r="X746" s="52"/>
      <c r="Y746" s="52">
        <v>1</v>
      </c>
      <c r="Z746" s="52"/>
      <c r="AA746" s="114">
        <v>2</v>
      </c>
      <c r="AB746" s="114"/>
      <c r="AC746" s="114">
        <v>1</v>
      </c>
      <c r="AD746" s="114"/>
    </row>
    <row r="747" spans="1:30" x14ac:dyDescent="0.2">
      <c r="A747" s="34" t="s">
        <v>426</v>
      </c>
      <c r="B747" s="34" t="s">
        <v>62</v>
      </c>
      <c r="C747" s="34" t="s">
        <v>53</v>
      </c>
      <c r="D747" s="34" t="str">
        <f t="shared" si="11"/>
        <v>B3-P2-C4</v>
      </c>
      <c r="E747" s="34" t="s">
        <v>11</v>
      </c>
      <c r="F747" s="34" t="s">
        <v>20</v>
      </c>
      <c r="G747" s="51" t="s">
        <v>1703</v>
      </c>
      <c r="H747" s="51">
        <v>769</v>
      </c>
      <c r="I747" s="53">
        <v>3</v>
      </c>
      <c r="J747" s="54"/>
      <c r="K747" s="53">
        <v>3</v>
      </c>
      <c r="L747" s="54"/>
      <c r="M747" s="54">
        <v>4</v>
      </c>
      <c r="N747" s="54"/>
      <c r="O747" s="54">
        <v>4</v>
      </c>
      <c r="P747" s="54"/>
      <c r="Q747" s="54">
        <v>4</v>
      </c>
      <c r="R747" s="54"/>
      <c r="S747" s="54">
        <v>4</v>
      </c>
      <c r="T747" s="54"/>
      <c r="U747" s="54">
        <v>4</v>
      </c>
      <c r="V747" s="54"/>
      <c r="W747" s="54">
        <v>4</v>
      </c>
      <c r="X747" s="54"/>
      <c r="Y747" s="54">
        <v>4</v>
      </c>
      <c r="Z747" s="54"/>
      <c r="AA747" s="115">
        <v>4</v>
      </c>
      <c r="AB747" s="115"/>
      <c r="AC747" s="115">
        <v>4</v>
      </c>
      <c r="AD747" s="115"/>
    </row>
    <row r="748" spans="1:30" x14ac:dyDescent="0.2">
      <c r="A748" s="34" t="s">
        <v>426</v>
      </c>
      <c r="B748" s="34" t="s">
        <v>62</v>
      </c>
      <c r="C748" s="34" t="s">
        <v>53</v>
      </c>
      <c r="D748" s="34" t="str">
        <f t="shared" si="11"/>
        <v>B3-P2-C4</v>
      </c>
      <c r="E748" s="34" t="s">
        <v>11</v>
      </c>
      <c r="F748" s="34" t="s">
        <v>20</v>
      </c>
      <c r="G748" s="51" t="s">
        <v>1705</v>
      </c>
      <c r="H748" s="51">
        <v>770</v>
      </c>
      <c r="I748" s="53">
        <v>1</v>
      </c>
      <c r="J748" s="54"/>
      <c r="K748" s="53">
        <v>1</v>
      </c>
      <c r="L748" s="54"/>
      <c r="M748" s="54">
        <v>3</v>
      </c>
      <c r="N748" s="54"/>
      <c r="O748" s="54">
        <v>2</v>
      </c>
      <c r="P748" s="54"/>
      <c r="Q748" s="54">
        <v>1</v>
      </c>
      <c r="R748" s="54"/>
      <c r="S748" s="54">
        <v>1</v>
      </c>
      <c r="T748" s="54"/>
      <c r="U748" s="54">
        <v>1</v>
      </c>
      <c r="V748" s="54"/>
      <c r="W748" s="54">
        <v>1</v>
      </c>
      <c r="X748" s="54"/>
      <c r="Y748" s="54">
        <v>1</v>
      </c>
      <c r="Z748" s="54"/>
      <c r="AA748" s="115">
        <v>1</v>
      </c>
      <c r="AB748" s="115"/>
      <c r="AC748" s="115">
        <v>1</v>
      </c>
      <c r="AD748" s="115"/>
    </row>
    <row r="749" spans="1:30" x14ac:dyDescent="0.2">
      <c r="A749" s="34" t="s">
        <v>426</v>
      </c>
      <c r="B749" s="34" t="s">
        <v>62</v>
      </c>
      <c r="C749" s="34" t="s">
        <v>53</v>
      </c>
      <c r="D749" s="34" t="str">
        <f t="shared" si="11"/>
        <v>B3-P2-C4</v>
      </c>
      <c r="E749" s="34" t="s">
        <v>11</v>
      </c>
      <c r="F749" s="34" t="s">
        <v>20</v>
      </c>
      <c r="G749" s="51" t="s">
        <v>1707</v>
      </c>
      <c r="H749" s="51">
        <v>771</v>
      </c>
      <c r="I749" s="53">
        <v>1</v>
      </c>
      <c r="J749" s="54"/>
      <c r="K749" s="53">
        <v>1</v>
      </c>
      <c r="L749" s="54"/>
      <c r="M749" s="54">
        <v>2</v>
      </c>
      <c r="N749" s="54"/>
      <c r="O749" s="54">
        <v>2</v>
      </c>
      <c r="P749" s="54"/>
      <c r="Q749" s="54">
        <v>1</v>
      </c>
      <c r="R749" s="54"/>
      <c r="S749" s="54">
        <v>1</v>
      </c>
      <c r="T749" s="54"/>
      <c r="U749" s="54">
        <v>1</v>
      </c>
      <c r="V749" s="54"/>
      <c r="W749" s="54">
        <v>1</v>
      </c>
      <c r="X749" s="54"/>
      <c r="Y749" s="54">
        <v>1</v>
      </c>
      <c r="Z749" s="54"/>
      <c r="AA749" s="115">
        <v>1</v>
      </c>
      <c r="AB749" s="115"/>
      <c r="AC749" s="115">
        <v>1</v>
      </c>
      <c r="AD749" s="115"/>
    </row>
    <row r="750" spans="1:30" x14ac:dyDescent="0.2">
      <c r="A750" s="34" t="s">
        <v>426</v>
      </c>
      <c r="B750" s="34" t="s">
        <v>62</v>
      </c>
      <c r="C750" s="34" t="s">
        <v>53</v>
      </c>
      <c r="D750" s="34" t="str">
        <f t="shared" si="11"/>
        <v>B3-P2-C4</v>
      </c>
      <c r="E750" s="34" t="s">
        <v>11</v>
      </c>
      <c r="F750" s="34" t="s">
        <v>20</v>
      </c>
      <c r="G750" s="51" t="s">
        <v>1709</v>
      </c>
      <c r="H750" s="51">
        <v>772</v>
      </c>
      <c r="I750" s="53">
        <v>1</v>
      </c>
      <c r="J750" s="54"/>
      <c r="K750" s="53">
        <v>2</v>
      </c>
      <c r="L750" s="54"/>
      <c r="M750" s="54">
        <v>3</v>
      </c>
      <c r="N750" s="54"/>
      <c r="O750" s="54">
        <v>3</v>
      </c>
      <c r="P750" s="54"/>
      <c r="Q750" s="54">
        <v>3</v>
      </c>
      <c r="R750" s="54"/>
      <c r="S750" s="54">
        <v>3</v>
      </c>
      <c r="T750" s="54"/>
      <c r="U750" s="54">
        <v>3</v>
      </c>
      <c r="V750" s="54"/>
      <c r="W750" s="54">
        <v>3</v>
      </c>
      <c r="X750" s="54"/>
      <c r="Y750" s="54">
        <v>3</v>
      </c>
      <c r="Z750" s="54"/>
      <c r="AA750" s="115">
        <v>3</v>
      </c>
      <c r="AB750" s="115"/>
      <c r="AC750" s="115">
        <v>3</v>
      </c>
      <c r="AD750" s="115"/>
    </row>
    <row r="751" spans="1:30" x14ac:dyDescent="0.2">
      <c r="A751" s="34" t="s">
        <v>426</v>
      </c>
      <c r="B751" s="34" t="s">
        <v>62</v>
      </c>
      <c r="C751" s="34" t="s">
        <v>53</v>
      </c>
      <c r="D751" s="34" t="str">
        <f t="shared" si="11"/>
        <v>B3-P2-C4</v>
      </c>
      <c r="E751" s="34" t="s">
        <v>11</v>
      </c>
      <c r="F751" s="34" t="s">
        <v>20</v>
      </c>
      <c r="G751" s="51" t="s">
        <v>1711</v>
      </c>
      <c r="H751" s="51">
        <v>773</v>
      </c>
      <c r="I751" s="53">
        <v>1</v>
      </c>
      <c r="J751" s="54"/>
      <c r="K751" s="53">
        <v>2</v>
      </c>
      <c r="L751" s="54"/>
      <c r="M751" s="54">
        <v>3</v>
      </c>
      <c r="N751" s="54"/>
      <c r="O751" s="54">
        <v>3</v>
      </c>
      <c r="P751" s="54"/>
      <c r="Q751" s="54">
        <v>2</v>
      </c>
      <c r="R751" s="54"/>
      <c r="S751" s="54">
        <v>3</v>
      </c>
      <c r="T751" s="54"/>
      <c r="U751" s="54">
        <v>2</v>
      </c>
      <c r="V751" s="54"/>
      <c r="W751" s="54">
        <v>2</v>
      </c>
      <c r="X751" s="54"/>
      <c r="Y751" s="54">
        <v>2</v>
      </c>
      <c r="Z751" s="54"/>
      <c r="AA751" s="115">
        <v>2</v>
      </c>
      <c r="AB751" s="115"/>
      <c r="AC751" s="115">
        <v>1</v>
      </c>
      <c r="AD751" s="115"/>
    </row>
    <row r="752" spans="1:30" x14ac:dyDescent="0.2">
      <c r="A752" s="34" t="s">
        <v>426</v>
      </c>
      <c r="B752" s="34" t="s">
        <v>62</v>
      </c>
      <c r="C752" s="34" t="s">
        <v>53</v>
      </c>
      <c r="D752" s="34" t="str">
        <f t="shared" si="11"/>
        <v>B3-P2-C4</v>
      </c>
      <c r="E752" s="34" t="s">
        <v>11</v>
      </c>
      <c r="F752" s="34" t="s">
        <v>20</v>
      </c>
      <c r="G752" s="51" t="s">
        <v>1713</v>
      </c>
      <c r="H752" s="51">
        <v>774</v>
      </c>
      <c r="I752" s="53">
        <v>1</v>
      </c>
      <c r="J752" s="54"/>
      <c r="K752" s="53">
        <v>3</v>
      </c>
      <c r="L752" s="54"/>
      <c r="M752" s="54">
        <v>3</v>
      </c>
      <c r="N752" s="54"/>
      <c r="O752" s="54">
        <v>3</v>
      </c>
      <c r="P752" s="54"/>
      <c r="Q752" s="54">
        <v>1.5</v>
      </c>
      <c r="R752" s="54"/>
      <c r="S752" s="54">
        <v>3</v>
      </c>
      <c r="T752" s="54"/>
      <c r="U752" s="54">
        <v>2</v>
      </c>
      <c r="V752" s="54"/>
      <c r="W752" s="54">
        <v>1</v>
      </c>
      <c r="X752" s="54"/>
      <c r="Y752" s="54">
        <v>1</v>
      </c>
      <c r="Z752" s="54"/>
      <c r="AA752" s="115">
        <v>1</v>
      </c>
      <c r="AB752" s="115"/>
      <c r="AC752" s="115">
        <v>1</v>
      </c>
      <c r="AD752" s="115"/>
    </row>
    <row r="753" spans="1:30" x14ac:dyDescent="0.2">
      <c r="A753" s="35" t="s">
        <v>426</v>
      </c>
      <c r="B753" s="35" t="s">
        <v>98</v>
      </c>
      <c r="C753" s="35" t="s">
        <v>53</v>
      </c>
      <c r="D753" s="31" t="str">
        <f t="shared" si="11"/>
        <v>B3-P3-C4</v>
      </c>
      <c r="E753" s="35" t="s">
        <v>11</v>
      </c>
      <c r="F753" s="35" t="s">
        <v>20</v>
      </c>
      <c r="G753" s="50" t="s">
        <v>1715</v>
      </c>
      <c r="H753" s="50">
        <v>775</v>
      </c>
      <c r="I753" s="52">
        <v>1</v>
      </c>
      <c r="J753" s="52"/>
      <c r="K753" s="52">
        <v>1</v>
      </c>
      <c r="L753" s="52"/>
      <c r="M753" s="52">
        <v>2</v>
      </c>
      <c r="N753" s="52"/>
      <c r="O753" s="52">
        <v>2</v>
      </c>
      <c r="P753" s="52"/>
      <c r="Q753" s="52">
        <v>1</v>
      </c>
      <c r="R753" s="52"/>
      <c r="S753" s="52">
        <v>2</v>
      </c>
      <c r="T753" s="52"/>
      <c r="U753" s="52">
        <v>1</v>
      </c>
      <c r="V753" s="52"/>
      <c r="W753" s="52">
        <v>1</v>
      </c>
      <c r="X753" s="52"/>
      <c r="Y753" s="52">
        <v>1</v>
      </c>
      <c r="Z753" s="52"/>
      <c r="AA753" s="114">
        <v>1</v>
      </c>
      <c r="AB753" s="114"/>
      <c r="AC753" s="114">
        <v>1</v>
      </c>
      <c r="AD753" s="114"/>
    </row>
    <row r="754" spans="1:30" x14ac:dyDescent="0.2">
      <c r="A754" s="35" t="s">
        <v>426</v>
      </c>
      <c r="B754" s="35" t="s">
        <v>98</v>
      </c>
      <c r="C754" s="35" t="s">
        <v>53</v>
      </c>
      <c r="D754" s="31" t="str">
        <f t="shared" si="11"/>
        <v>B3-P3-C4</v>
      </c>
      <c r="E754" s="35" t="s">
        <v>11</v>
      </c>
      <c r="F754" s="35" t="s">
        <v>20</v>
      </c>
      <c r="G754" s="50" t="s">
        <v>1717</v>
      </c>
      <c r="H754" s="50">
        <v>776</v>
      </c>
      <c r="I754" s="52">
        <v>1</v>
      </c>
      <c r="J754" s="52"/>
      <c r="K754" s="52">
        <v>2</v>
      </c>
      <c r="L754" s="52"/>
      <c r="M754" s="52">
        <v>3</v>
      </c>
      <c r="N754" s="52"/>
      <c r="O754" s="52">
        <v>2.5</v>
      </c>
      <c r="P754" s="52"/>
      <c r="Q754" s="52">
        <v>2</v>
      </c>
      <c r="R754" s="52"/>
      <c r="S754" s="52">
        <v>3</v>
      </c>
      <c r="T754" s="52"/>
      <c r="U754" s="52">
        <v>1</v>
      </c>
      <c r="V754" s="52"/>
      <c r="W754" s="52">
        <v>1</v>
      </c>
      <c r="X754" s="52"/>
      <c r="Y754" s="52">
        <v>1</v>
      </c>
      <c r="Z754" s="52"/>
      <c r="AA754" s="114">
        <v>2</v>
      </c>
      <c r="AB754" s="114"/>
      <c r="AC754" s="114">
        <v>1</v>
      </c>
      <c r="AD754" s="114"/>
    </row>
    <row r="755" spans="1:30" x14ac:dyDescent="0.2">
      <c r="A755" s="35" t="s">
        <v>426</v>
      </c>
      <c r="B755" s="35" t="s">
        <v>98</v>
      </c>
      <c r="C755" s="35" t="s">
        <v>53</v>
      </c>
      <c r="D755" s="31" t="str">
        <f t="shared" si="11"/>
        <v>B3-P3-C4</v>
      </c>
      <c r="E755" s="35" t="s">
        <v>11</v>
      </c>
      <c r="F755" s="35" t="s">
        <v>20</v>
      </c>
      <c r="G755" s="50" t="s">
        <v>1719</v>
      </c>
      <c r="H755" s="50">
        <v>777</v>
      </c>
      <c r="I755" s="52">
        <v>1</v>
      </c>
      <c r="J755" s="52"/>
      <c r="K755" s="52">
        <v>2</v>
      </c>
      <c r="L755" s="52"/>
      <c r="M755" s="52">
        <v>2</v>
      </c>
      <c r="N755" s="52"/>
      <c r="O755" s="52">
        <v>1</v>
      </c>
      <c r="P755" s="52"/>
      <c r="Q755" s="52">
        <v>1</v>
      </c>
      <c r="R755" s="52"/>
      <c r="S755" s="52">
        <v>1</v>
      </c>
      <c r="T755" s="52"/>
      <c r="U755" s="52">
        <v>1</v>
      </c>
      <c r="V755" s="52"/>
      <c r="W755" s="52">
        <v>1</v>
      </c>
      <c r="X755" s="52"/>
      <c r="Y755" s="52">
        <v>1</v>
      </c>
      <c r="Z755" s="52"/>
      <c r="AA755" s="114">
        <v>1</v>
      </c>
      <c r="AB755" s="114"/>
      <c r="AC755" s="114">
        <v>1</v>
      </c>
      <c r="AD755" s="114"/>
    </row>
    <row r="756" spans="1:30" x14ac:dyDescent="0.2">
      <c r="A756" s="35" t="s">
        <v>426</v>
      </c>
      <c r="B756" s="35" t="s">
        <v>98</v>
      </c>
      <c r="C756" s="35" t="s">
        <v>53</v>
      </c>
      <c r="D756" s="31" t="str">
        <f t="shared" si="11"/>
        <v>B3-P3-C4</v>
      </c>
      <c r="E756" s="35" t="s">
        <v>11</v>
      </c>
      <c r="F756" s="35" t="s">
        <v>20</v>
      </c>
      <c r="G756" s="50" t="s">
        <v>1721</v>
      </c>
      <c r="H756" s="50">
        <v>778</v>
      </c>
      <c r="I756" s="52">
        <v>1</v>
      </c>
      <c r="J756" s="52"/>
      <c r="K756" s="52">
        <v>2</v>
      </c>
      <c r="L756" s="52"/>
      <c r="M756" s="52">
        <v>2</v>
      </c>
      <c r="N756" s="52"/>
      <c r="O756" s="52">
        <v>2</v>
      </c>
      <c r="P756" s="52"/>
      <c r="Q756" s="52">
        <v>1.5</v>
      </c>
      <c r="R756" s="52"/>
      <c r="S756" s="52">
        <v>2</v>
      </c>
      <c r="T756" s="52"/>
      <c r="U756" s="52">
        <v>1</v>
      </c>
      <c r="V756" s="52"/>
      <c r="W756" s="52">
        <v>1</v>
      </c>
      <c r="X756" s="52"/>
      <c r="Y756" s="52">
        <v>1</v>
      </c>
      <c r="Z756" s="52"/>
      <c r="AA756" s="114">
        <v>1</v>
      </c>
      <c r="AB756" s="114"/>
      <c r="AC756" s="114">
        <v>1</v>
      </c>
      <c r="AD756" s="114"/>
    </row>
    <row r="757" spans="1:30" x14ac:dyDescent="0.2">
      <c r="A757" s="35" t="s">
        <v>426</v>
      </c>
      <c r="B757" s="35" t="s">
        <v>98</v>
      </c>
      <c r="C757" s="35" t="s">
        <v>53</v>
      </c>
      <c r="D757" s="31" t="str">
        <f t="shared" si="11"/>
        <v>B3-P3-C4</v>
      </c>
      <c r="E757" s="35" t="s">
        <v>11</v>
      </c>
      <c r="F757" s="35" t="s">
        <v>20</v>
      </c>
      <c r="G757" s="50" t="s">
        <v>1723</v>
      </c>
      <c r="H757" s="50">
        <v>779</v>
      </c>
      <c r="I757" s="52">
        <v>1</v>
      </c>
      <c r="J757" s="52"/>
      <c r="K757" s="52">
        <v>2</v>
      </c>
      <c r="L757" s="52"/>
      <c r="M757" s="52">
        <v>3</v>
      </c>
      <c r="N757" s="52"/>
      <c r="O757" s="52">
        <v>2.5</v>
      </c>
      <c r="P757" s="52"/>
      <c r="Q757" s="52">
        <v>1.5</v>
      </c>
      <c r="R757" s="52"/>
      <c r="S757" s="52">
        <v>2</v>
      </c>
      <c r="T757" s="52"/>
      <c r="U757" s="52">
        <v>1</v>
      </c>
      <c r="V757" s="52"/>
      <c r="W757" s="52">
        <v>1</v>
      </c>
      <c r="X757" s="52"/>
      <c r="Y757" s="52">
        <v>2</v>
      </c>
      <c r="Z757" s="52"/>
      <c r="AA757" s="114">
        <v>1</v>
      </c>
      <c r="AB757" s="114"/>
      <c r="AC757" s="114">
        <v>1</v>
      </c>
      <c r="AD757" s="114"/>
    </row>
    <row r="758" spans="1:30" x14ac:dyDescent="0.2">
      <c r="A758" s="35" t="s">
        <v>426</v>
      </c>
      <c r="B758" s="35" t="s">
        <v>98</v>
      </c>
      <c r="C758" s="35" t="s">
        <v>53</v>
      </c>
      <c r="D758" s="31" t="str">
        <f t="shared" si="11"/>
        <v>B3-P3-C4</v>
      </c>
      <c r="E758" s="35" t="s">
        <v>11</v>
      </c>
      <c r="F758" s="35" t="s">
        <v>20</v>
      </c>
      <c r="G758" s="50" t="s">
        <v>1725</v>
      </c>
      <c r="H758" s="50">
        <v>780</v>
      </c>
      <c r="I758" s="52">
        <v>1</v>
      </c>
      <c r="J758" s="52"/>
      <c r="K758" s="52">
        <v>1</v>
      </c>
      <c r="L758" s="52"/>
      <c r="M758" s="52">
        <v>2</v>
      </c>
      <c r="N758" s="52"/>
      <c r="O758" s="52">
        <v>2</v>
      </c>
      <c r="P758" s="52"/>
      <c r="Q758" s="52">
        <v>1</v>
      </c>
      <c r="R758" s="52"/>
      <c r="S758" s="52">
        <v>2</v>
      </c>
      <c r="T758" s="52"/>
      <c r="U758" s="52">
        <v>1</v>
      </c>
      <c r="V758" s="52"/>
      <c r="W758" s="52">
        <v>1</v>
      </c>
      <c r="X758" s="52"/>
      <c r="Y758" s="52">
        <v>1</v>
      </c>
      <c r="Z758" s="52"/>
      <c r="AA758" s="114">
        <v>1</v>
      </c>
      <c r="AB758" s="114"/>
      <c r="AC758" s="114">
        <v>1</v>
      </c>
      <c r="AD758" s="114"/>
    </row>
    <row r="759" spans="1:30" x14ac:dyDescent="0.2">
      <c r="A759" s="34" t="s">
        <v>426</v>
      </c>
      <c r="B759" s="34" t="s">
        <v>131</v>
      </c>
      <c r="C759" s="34" t="s">
        <v>53</v>
      </c>
      <c r="D759" s="34" t="str">
        <f t="shared" si="11"/>
        <v>B3-P4-C4</v>
      </c>
      <c r="E759" s="34" t="s">
        <v>11</v>
      </c>
      <c r="F759" s="34" t="s">
        <v>133</v>
      </c>
      <c r="G759" s="51" t="s">
        <v>1727</v>
      </c>
      <c r="H759" s="51">
        <v>781</v>
      </c>
      <c r="I759" s="53">
        <v>1</v>
      </c>
      <c r="J759" s="54"/>
      <c r="K759" s="53">
        <v>3</v>
      </c>
      <c r="L759" s="54"/>
      <c r="M759" s="54">
        <v>3</v>
      </c>
      <c r="N759" s="54"/>
      <c r="O759" s="54">
        <v>2</v>
      </c>
      <c r="P759" s="54"/>
      <c r="Q759" s="54">
        <v>1</v>
      </c>
      <c r="R759" s="54"/>
      <c r="S759" s="54">
        <v>3</v>
      </c>
      <c r="T759" s="54"/>
      <c r="U759" s="54">
        <v>2</v>
      </c>
      <c r="V759" s="54"/>
      <c r="W759" s="54">
        <v>1</v>
      </c>
      <c r="X759" s="54"/>
      <c r="Y759" s="54">
        <v>1</v>
      </c>
      <c r="Z759" s="54"/>
      <c r="AA759" s="115">
        <v>1</v>
      </c>
      <c r="AB759" s="115"/>
      <c r="AC759" s="115">
        <v>1</v>
      </c>
      <c r="AD759" s="115"/>
    </row>
    <row r="760" spans="1:30" x14ac:dyDescent="0.2">
      <c r="A760" s="34" t="s">
        <v>426</v>
      </c>
      <c r="B760" s="34" t="s">
        <v>131</v>
      </c>
      <c r="C760" s="34" t="s">
        <v>53</v>
      </c>
      <c r="D760" s="34" t="str">
        <f t="shared" si="11"/>
        <v>B3-P4-C4</v>
      </c>
      <c r="E760" s="34" t="s">
        <v>11</v>
      </c>
      <c r="F760" s="34" t="s">
        <v>133</v>
      </c>
      <c r="G760" s="51" t="s">
        <v>1729</v>
      </c>
      <c r="H760" s="51">
        <v>782</v>
      </c>
      <c r="I760" s="53">
        <v>1</v>
      </c>
      <c r="J760" s="54"/>
      <c r="K760" s="53">
        <v>2</v>
      </c>
      <c r="L760" s="54"/>
      <c r="M760" s="54">
        <v>3</v>
      </c>
      <c r="N760" s="54"/>
      <c r="O760" s="54">
        <v>2</v>
      </c>
      <c r="P760" s="54"/>
      <c r="Q760" s="54">
        <v>1</v>
      </c>
      <c r="R760" s="54"/>
      <c r="S760" s="54">
        <v>3</v>
      </c>
      <c r="T760" s="54"/>
      <c r="U760" s="54">
        <v>2</v>
      </c>
      <c r="V760" s="54"/>
      <c r="W760" s="54">
        <v>2</v>
      </c>
      <c r="X760" s="54"/>
      <c r="Y760" s="54">
        <v>2</v>
      </c>
      <c r="Z760" s="54"/>
      <c r="AA760" s="115">
        <v>2</v>
      </c>
      <c r="AB760" s="115"/>
      <c r="AC760" s="115">
        <v>1</v>
      </c>
      <c r="AD760" s="115"/>
    </row>
    <row r="761" spans="1:30" x14ac:dyDescent="0.2">
      <c r="A761" s="34" t="s">
        <v>426</v>
      </c>
      <c r="B761" s="34" t="s">
        <v>131</v>
      </c>
      <c r="C761" s="34" t="s">
        <v>53</v>
      </c>
      <c r="D761" s="34" t="str">
        <f t="shared" si="11"/>
        <v>B3-P4-C4</v>
      </c>
      <c r="E761" s="34" t="s">
        <v>11</v>
      </c>
      <c r="F761" s="34" t="s">
        <v>133</v>
      </c>
      <c r="G761" s="51" t="s">
        <v>1731</v>
      </c>
      <c r="H761" s="51">
        <v>783</v>
      </c>
      <c r="I761" s="53">
        <v>1</v>
      </c>
      <c r="J761" s="54"/>
      <c r="K761" s="53">
        <v>2</v>
      </c>
      <c r="L761" s="54"/>
      <c r="M761" s="54">
        <v>3</v>
      </c>
      <c r="N761" s="54"/>
      <c r="O761" s="54">
        <v>2</v>
      </c>
      <c r="P761" s="54"/>
      <c r="Q761" s="54">
        <v>1</v>
      </c>
      <c r="R761" s="54"/>
      <c r="S761" s="54">
        <v>3</v>
      </c>
      <c r="T761" s="54"/>
      <c r="U761" s="54">
        <v>3</v>
      </c>
      <c r="V761" s="54"/>
      <c r="W761" s="54">
        <v>1</v>
      </c>
      <c r="X761" s="54"/>
      <c r="Y761" s="54">
        <v>1</v>
      </c>
      <c r="Z761" s="54"/>
      <c r="AA761" s="115">
        <v>1</v>
      </c>
      <c r="AB761" s="115"/>
      <c r="AC761" s="115">
        <v>1</v>
      </c>
      <c r="AD761" s="115"/>
    </row>
    <row r="762" spans="1:30" x14ac:dyDescent="0.2">
      <c r="A762" s="34" t="s">
        <v>426</v>
      </c>
      <c r="B762" s="34" t="s">
        <v>131</v>
      </c>
      <c r="C762" s="34" t="s">
        <v>53</v>
      </c>
      <c r="D762" s="34" t="str">
        <f t="shared" si="11"/>
        <v>B3-P4-C4</v>
      </c>
      <c r="E762" s="34" t="s">
        <v>11</v>
      </c>
      <c r="F762" s="34" t="s">
        <v>133</v>
      </c>
      <c r="G762" s="51" t="s">
        <v>1733</v>
      </c>
      <c r="H762" s="51">
        <v>784</v>
      </c>
      <c r="I762" s="53">
        <v>1</v>
      </c>
      <c r="J762" s="54"/>
      <c r="K762" s="53">
        <v>2</v>
      </c>
      <c r="L762" s="54"/>
      <c r="M762" s="54">
        <v>3</v>
      </c>
      <c r="N762" s="54"/>
      <c r="O762" s="54">
        <v>3</v>
      </c>
      <c r="P762" s="54"/>
      <c r="Q762" s="54">
        <v>1</v>
      </c>
      <c r="R762" s="54"/>
      <c r="S762" s="54">
        <v>3</v>
      </c>
      <c r="T762" s="54"/>
      <c r="U762" s="54">
        <v>3</v>
      </c>
      <c r="V762" s="54"/>
      <c r="W762" s="54">
        <v>1</v>
      </c>
      <c r="X762" s="54"/>
      <c r="Y762" s="54">
        <v>1</v>
      </c>
      <c r="Z762" s="54"/>
      <c r="AA762" s="115">
        <v>1</v>
      </c>
      <c r="AB762" s="115"/>
      <c r="AC762" s="115">
        <v>1</v>
      </c>
      <c r="AD762" s="115"/>
    </row>
    <row r="763" spans="1:30" x14ac:dyDescent="0.2">
      <c r="A763" s="34" t="s">
        <v>426</v>
      </c>
      <c r="B763" s="34" t="s">
        <v>131</v>
      </c>
      <c r="C763" s="34" t="s">
        <v>53</v>
      </c>
      <c r="D763" s="34" t="str">
        <f t="shared" si="11"/>
        <v>B3-P4-C4</v>
      </c>
      <c r="E763" s="34" t="s">
        <v>11</v>
      </c>
      <c r="F763" s="34" t="s">
        <v>133</v>
      </c>
      <c r="G763" s="51" t="s">
        <v>1735</v>
      </c>
      <c r="H763" s="51">
        <v>785</v>
      </c>
      <c r="I763" s="53">
        <v>1</v>
      </c>
      <c r="J763" s="54"/>
      <c r="K763" s="53">
        <v>3</v>
      </c>
      <c r="L763" s="54"/>
      <c r="M763" s="54">
        <v>3</v>
      </c>
      <c r="N763" s="54"/>
      <c r="O763" s="54">
        <v>2</v>
      </c>
      <c r="P763" s="54"/>
      <c r="Q763" s="54">
        <v>1</v>
      </c>
      <c r="R763" s="54"/>
      <c r="S763" s="54">
        <v>3</v>
      </c>
      <c r="T763" s="54"/>
      <c r="U763" s="54">
        <v>3</v>
      </c>
      <c r="V763" s="54"/>
      <c r="W763" s="54">
        <v>1</v>
      </c>
      <c r="X763" s="54"/>
      <c r="Y763" s="54">
        <v>1</v>
      </c>
      <c r="Z763" s="54"/>
      <c r="AA763" s="115">
        <v>2</v>
      </c>
      <c r="AB763" s="115"/>
      <c r="AC763" s="115">
        <v>1</v>
      </c>
      <c r="AD763" s="115"/>
    </row>
    <row r="764" spans="1:30" x14ac:dyDescent="0.2">
      <c r="A764" s="34" t="s">
        <v>426</v>
      </c>
      <c r="B764" s="34" t="s">
        <v>131</v>
      </c>
      <c r="C764" s="34" t="s">
        <v>53</v>
      </c>
      <c r="D764" s="34" t="str">
        <f t="shared" si="11"/>
        <v>B3-P4-C4</v>
      </c>
      <c r="E764" s="34" t="s">
        <v>11</v>
      </c>
      <c r="F764" s="34" t="s">
        <v>133</v>
      </c>
      <c r="G764" s="51" t="s">
        <v>1737</v>
      </c>
      <c r="H764" s="51">
        <v>786</v>
      </c>
      <c r="I764" s="53">
        <v>1</v>
      </c>
      <c r="J764" s="54"/>
      <c r="K764" s="53">
        <v>3</v>
      </c>
      <c r="L764" s="54"/>
      <c r="M764" s="54">
        <v>3</v>
      </c>
      <c r="N764" s="54"/>
      <c r="O764" s="54">
        <v>1</v>
      </c>
      <c r="P764" s="54"/>
      <c r="Q764" s="54">
        <v>1</v>
      </c>
      <c r="R764" s="54"/>
      <c r="S764" s="54">
        <v>3</v>
      </c>
      <c r="T764" s="54"/>
      <c r="U764" s="54">
        <v>3</v>
      </c>
      <c r="V764" s="54"/>
      <c r="W764" s="54">
        <v>4</v>
      </c>
      <c r="X764" s="54"/>
      <c r="Y764" s="54">
        <v>4</v>
      </c>
      <c r="Z764" s="54"/>
      <c r="AA764" s="115">
        <v>4</v>
      </c>
      <c r="AB764" s="115"/>
      <c r="AC764" s="115">
        <v>1</v>
      </c>
      <c r="AD764" s="115"/>
    </row>
    <row r="765" spans="1:30" x14ac:dyDescent="0.2">
      <c r="A765" s="35" t="s">
        <v>426</v>
      </c>
      <c r="B765" s="35" t="s">
        <v>167</v>
      </c>
      <c r="C765" s="35" t="s">
        <v>16</v>
      </c>
      <c r="D765" s="31" t="str">
        <f t="shared" si="11"/>
        <v>B3-P5-C1</v>
      </c>
      <c r="E765" s="35" t="s">
        <v>11</v>
      </c>
      <c r="F765" s="35" t="s">
        <v>133</v>
      </c>
      <c r="G765" s="50" t="s">
        <v>1739</v>
      </c>
      <c r="H765" s="50">
        <v>787</v>
      </c>
      <c r="I765" s="52">
        <v>1</v>
      </c>
      <c r="J765" s="52"/>
      <c r="K765" s="52">
        <v>1</v>
      </c>
      <c r="L765" s="52"/>
      <c r="M765" s="52">
        <v>1</v>
      </c>
      <c r="N765" s="52"/>
      <c r="O765" s="52">
        <v>1</v>
      </c>
      <c r="P765" s="52"/>
      <c r="Q765" s="52">
        <v>1</v>
      </c>
      <c r="R765" s="52"/>
      <c r="S765" s="52">
        <v>2</v>
      </c>
      <c r="T765" s="52"/>
      <c r="U765" s="52">
        <v>2</v>
      </c>
      <c r="V765" s="52"/>
      <c r="W765" s="52">
        <v>1</v>
      </c>
      <c r="X765" s="52"/>
      <c r="Y765" s="52">
        <v>1</v>
      </c>
      <c r="Z765" s="52"/>
      <c r="AA765" s="114">
        <v>3</v>
      </c>
      <c r="AB765" s="114"/>
      <c r="AC765" s="114">
        <v>2</v>
      </c>
      <c r="AD765" s="114"/>
    </row>
    <row r="766" spans="1:30" x14ac:dyDescent="0.2">
      <c r="A766" s="35" t="s">
        <v>426</v>
      </c>
      <c r="B766" s="35" t="s">
        <v>167</v>
      </c>
      <c r="C766" s="35" t="s">
        <v>16</v>
      </c>
      <c r="D766" s="31" t="str">
        <f t="shared" si="11"/>
        <v>B3-P5-C1</v>
      </c>
      <c r="E766" s="35" t="s">
        <v>11</v>
      </c>
      <c r="F766" s="35" t="s">
        <v>133</v>
      </c>
      <c r="G766" s="50" t="s">
        <v>1741</v>
      </c>
      <c r="H766" s="50">
        <v>788</v>
      </c>
      <c r="I766" s="52">
        <v>1</v>
      </c>
      <c r="J766" s="52"/>
      <c r="K766" s="52">
        <v>1</v>
      </c>
      <c r="L766" s="52"/>
      <c r="M766" s="52">
        <v>2</v>
      </c>
      <c r="N766" s="52"/>
      <c r="O766" s="52">
        <v>1</v>
      </c>
      <c r="P766" s="52"/>
      <c r="Q766" s="52">
        <v>1</v>
      </c>
      <c r="R766" s="52"/>
      <c r="S766" s="52">
        <v>3</v>
      </c>
      <c r="T766" s="52"/>
      <c r="U766" s="52">
        <v>2</v>
      </c>
      <c r="V766" s="52"/>
      <c r="W766" s="52">
        <v>2</v>
      </c>
      <c r="X766" s="52"/>
      <c r="Y766" s="52">
        <v>2</v>
      </c>
      <c r="Z766" s="52"/>
      <c r="AA766" s="114">
        <v>3</v>
      </c>
      <c r="AB766" s="114"/>
      <c r="AC766" s="114">
        <v>3</v>
      </c>
      <c r="AD766" s="114"/>
    </row>
    <row r="767" spans="1:30" x14ac:dyDescent="0.2">
      <c r="A767" s="35" t="s">
        <v>426</v>
      </c>
      <c r="B767" s="35" t="s">
        <v>167</v>
      </c>
      <c r="C767" s="35" t="s">
        <v>16</v>
      </c>
      <c r="D767" s="31" t="str">
        <f t="shared" si="11"/>
        <v>B3-P5-C1</v>
      </c>
      <c r="E767" s="35" t="s">
        <v>11</v>
      </c>
      <c r="F767" s="35" t="s">
        <v>133</v>
      </c>
      <c r="G767" s="50" t="s">
        <v>1743</v>
      </c>
      <c r="H767" s="50">
        <v>789</v>
      </c>
      <c r="I767" s="52">
        <v>1</v>
      </c>
      <c r="J767" s="52"/>
      <c r="K767" s="52">
        <v>1</v>
      </c>
      <c r="L767" s="52"/>
      <c r="M767" s="52">
        <v>2</v>
      </c>
      <c r="N767" s="52"/>
      <c r="O767" s="52">
        <v>2</v>
      </c>
      <c r="P767" s="52"/>
      <c r="Q767" s="52">
        <v>1</v>
      </c>
      <c r="R767" s="52"/>
      <c r="S767" s="52">
        <v>3</v>
      </c>
      <c r="T767" s="52"/>
      <c r="U767" s="52">
        <v>3</v>
      </c>
      <c r="V767" s="52"/>
      <c r="W767" s="52">
        <v>3</v>
      </c>
      <c r="X767" s="52"/>
      <c r="Y767" s="52">
        <v>3</v>
      </c>
      <c r="Z767" s="52"/>
      <c r="AA767" s="114">
        <v>2</v>
      </c>
      <c r="AB767" s="114"/>
      <c r="AC767" s="114">
        <v>3</v>
      </c>
      <c r="AD767" s="114"/>
    </row>
    <row r="768" spans="1:30" x14ac:dyDescent="0.2">
      <c r="A768" s="35" t="s">
        <v>426</v>
      </c>
      <c r="B768" s="35" t="s">
        <v>167</v>
      </c>
      <c r="C768" s="35" t="s">
        <v>16</v>
      </c>
      <c r="D768" s="31" t="str">
        <f t="shared" si="11"/>
        <v>B3-P5-C1</v>
      </c>
      <c r="E768" s="35" t="s">
        <v>11</v>
      </c>
      <c r="F768" s="35" t="s">
        <v>133</v>
      </c>
      <c r="G768" s="50" t="s">
        <v>1745</v>
      </c>
      <c r="H768" s="50">
        <v>790</v>
      </c>
      <c r="I768" s="52">
        <v>1</v>
      </c>
      <c r="J768" s="52"/>
      <c r="K768" s="52">
        <v>1</v>
      </c>
      <c r="L768" s="52"/>
      <c r="M768" s="52">
        <v>2</v>
      </c>
      <c r="N768" s="52"/>
      <c r="O768" s="52">
        <v>2</v>
      </c>
      <c r="P768" s="52"/>
      <c r="Q768" s="52">
        <v>1</v>
      </c>
      <c r="R768" s="52"/>
      <c r="S768" s="52">
        <v>3</v>
      </c>
      <c r="T768" s="52"/>
      <c r="U768" s="52">
        <v>2</v>
      </c>
      <c r="V768" s="52"/>
      <c r="W768" s="52">
        <v>2</v>
      </c>
      <c r="X768" s="52"/>
      <c r="Y768" s="52">
        <v>3</v>
      </c>
      <c r="Z768" s="52"/>
      <c r="AA768" s="114">
        <v>2</v>
      </c>
      <c r="AB768" s="114"/>
      <c r="AC768" s="114">
        <v>2</v>
      </c>
      <c r="AD768" s="114"/>
    </row>
    <row r="769" spans="1:30" x14ac:dyDescent="0.2">
      <c r="A769" s="35" t="s">
        <v>426</v>
      </c>
      <c r="B769" s="35" t="s">
        <v>167</v>
      </c>
      <c r="C769" s="35" t="s">
        <v>16</v>
      </c>
      <c r="D769" s="31" t="str">
        <f t="shared" si="11"/>
        <v>B3-P5-C1</v>
      </c>
      <c r="E769" s="35" t="s">
        <v>11</v>
      </c>
      <c r="F769" s="35" t="s">
        <v>133</v>
      </c>
      <c r="G769" s="50" t="s">
        <v>1747</v>
      </c>
      <c r="H769" s="50">
        <v>791</v>
      </c>
      <c r="I769" s="52">
        <v>1</v>
      </c>
      <c r="J769" s="52"/>
      <c r="K769" s="52">
        <v>2</v>
      </c>
      <c r="L769" s="52"/>
      <c r="M769" s="52">
        <v>3</v>
      </c>
      <c r="N769" s="52"/>
      <c r="O769" s="52">
        <v>3</v>
      </c>
      <c r="P769" s="52"/>
      <c r="Q769" s="52">
        <v>1.5</v>
      </c>
      <c r="R769" s="52"/>
      <c r="S769" s="52">
        <v>3</v>
      </c>
      <c r="T769" s="52"/>
      <c r="U769" s="52">
        <v>3</v>
      </c>
      <c r="V769" s="52"/>
      <c r="W769" s="52">
        <v>3</v>
      </c>
      <c r="X769" s="52"/>
      <c r="Y769" s="52">
        <v>1</v>
      </c>
      <c r="Z769" s="52"/>
      <c r="AA769" s="114">
        <v>3</v>
      </c>
      <c r="AB769" s="114"/>
      <c r="AC769" s="114">
        <v>3</v>
      </c>
      <c r="AD769" s="114"/>
    </row>
    <row r="770" spans="1:30" x14ac:dyDescent="0.2">
      <c r="A770" s="35" t="s">
        <v>426</v>
      </c>
      <c r="B770" s="35" t="s">
        <v>167</v>
      </c>
      <c r="C770" s="35" t="s">
        <v>16</v>
      </c>
      <c r="D770" s="31" t="str">
        <f t="shared" si="11"/>
        <v>B3-P5-C1</v>
      </c>
      <c r="E770" s="35" t="s">
        <v>11</v>
      </c>
      <c r="F770" s="35" t="s">
        <v>133</v>
      </c>
      <c r="G770" s="50" t="s">
        <v>1749</v>
      </c>
      <c r="H770" s="50">
        <v>792</v>
      </c>
      <c r="I770" s="52">
        <v>1</v>
      </c>
      <c r="J770" s="52"/>
      <c r="K770" s="52">
        <v>2</v>
      </c>
      <c r="L770" s="52"/>
      <c r="M770" s="52">
        <v>3</v>
      </c>
      <c r="N770" s="52"/>
      <c r="O770" s="52">
        <v>2</v>
      </c>
      <c r="P770" s="52"/>
      <c r="Q770" s="52">
        <v>1</v>
      </c>
      <c r="R770" s="52"/>
      <c r="S770" s="52">
        <v>3</v>
      </c>
      <c r="T770" s="52"/>
      <c r="U770" s="52">
        <v>2</v>
      </c>
      <c r="V770" s="52"/>
      <c r="W770" s="52">
        <v>1</v>
      </c>
      <c r="X770" s="52"/>
      <c r="Y770" s="52">
        <v>1</v>
      </c>
      <c r="Z770" s="52"/>
      <c r="AA770" s="114">
        <v>2</v>
      </c>
      <c r="AB770" s="114"/>
      <c r="AC770" s="114">
        <v>2</v>
      </c>
      <c r="AD770" s="114"/>
    </row>
    <row r="771" spans="1:30" x14ac:dyDescent="0.2">
      <c r="A771" s="34" t="s">
        <v>426</v>
      </c>
      <c r="B771" s="34" t="s">
        <v>167</v>
      </c>
      <c r="C771" s="34" t="s">
        <v>32</v>
      </c>
      <c r="D771" s="34" t="str">
        <f t="shared" ref="D771:D794" si="12">A771&amp;"-"&amp;B771&amp;"-"&amp;C771</f>
        <v>B3-P5-C2</v>
      </c>
      <c r="E771" s="34" t="s">
        <v>11</v>
      </c>
      <c r="F771" s="34" t="s">
        <v>133</v>
      </c>
      <c r="G771" s="51" t="s">
        <v>1751</v>
      </c>
      <c r="H771" s="51">
        <v>793</v>
      </c>
      <c r="I771" s="53">
        <v>1</v>
      </c>
      <c r="J771" s="54"/>
      <c r="K771" s="53">
        <v>1</v>
      </c>
      <c r="L771" s="54"/>
      <c r="M771" s="54">
        <v>1</v>
      </c>
      <c r="N771" s="54"/>
      <c r="O771" s="54">
        <v>1</v>
      </c>
      <c r="P771" s="54"/>
      <c r="Q771" s="54">
        <v>1</v>
      </c>
      <c r="R771" s="54"/>
      <c r="S771" s="54">
        <v>3</v>
      </c>
      <c r="T771" s="54"/>
      <c r="U771" s="54">
        <v>2</v>
      </c>
      <c r="V771" s="54"/>
      <c r="W771" s="54">
        <v>3</v>
      </c>
      <c r="X771" s="54"/>
      <c r="Y771" s="54">
        <v>3</v>
      </c>
      <c r="Z771" s="54"/>
      <c r="AA771" s="115">
        <v>3</v>
      </c>
      <c r="AB771" s="115"/>
      <c r="AC771" s="115">
        <v>3</v>
      </c>
      <c r="AD771" s="115"/>
    </row>
    <row r="772" spans="1:30" x14ac:dyDescent="0.2">
      <c r="A772" s="34" t="s">
        <v>426</v>
      </c>
      <c r="B772" s="34" t="s">
        <v>167</v>
      </c>
      <c r="C772" s="34" t="s">
        <v>32</v>
      </c>
      <c r="D772" s="34" t="str">
        <f t="shared" si="12"/>
        <v>B3-P5-C2</v>
      </c>
      <c r="E772" s="34" t="s">
        <v>11</v>
      </c>
      <c r="F772" s="34" t="s">
        <v>133</v>
      </c>
      <c r="G772" s="51" t="s">
        <v>1753</v>
      </c>
      <c r="H772" s="51">
        <v>794</v>
      </c>
      <c r="I772" s="53">
        <v>1</v>
      </c>
      <c r="J772" s="54"/>
      <c r="K772" s="53">
        <v>1</v>
      </c>
      <c r="L772" s="54"/>
      <c r="M772" s="54">
        <v>2</v>
      </c>
      <c r="N772" s="54"/>
      <c r="O772" s="54">
        <v>2</v>
      </c>
      <c r="P772" s="54"/>
      <c r="Q772" s="54">
        <v>1</v>
      </c>
      <c r="R772" s="54"/>
      <c r="S772" s="54">
        <v>3</v>
      </c>
      <c r="T772" s="54"/>
      <c r="U772" s="54">
        <v>1</v>
      </c>
      <c r="V772" s="54"/>
      <c r="W772" s="54">
        <v>2</v>
      </c>
      <c r="X772" s="54"/>
      <c r="Y772" s="54">
        <v>1</v>
      </c>
      <c r="Z772" s="54"/>
      <c r="AA772" s="115">
        <v>2</v>
      </c>
      <c r="AB772" s="115"/>
      <c r="AC772" s="115">
        <v>2</v>
      </c>
      <c r="AD772" s="115"/>
    </row>
    <row r="773" spans="1:30" x14ac:dyDescent="0.2">
      <c r="A773" s="34" t="s">
        <v>426</v>
      </c>
      <c r="B773" s="34" t="s">
        <v>167</v>
      </c>
      <c r="C773" s="34" t="s">
        <v>32</v>
      </c>
      <c r="D773" s="34" t="str">
        <f t="shared" si="12"/>
        <v>B3-P5-C2</v>
      </c>
      <c r="E773" s="34" t="s">
        <v>11</v>
      </c>
      <c r="F773" s="34" t="s">
        <v>133</v>
      </c>
      <c r="G773" s="51" t="s">
        <v>1755</v>
      </c>
      <c r="H773" s="51">
        <v>795</v>
      </c>
      <c r="I773" s="53">
        <v>1</v>
      </c>
      <c r="J773" s="54"/>
      <c r="K773" s="53">
        <v>1</v>
      </c>
      <c r="L773" s="54"/>
      <c r="M773" s="54">
        <v>1</v>
      </c>
      <c r="N773" s="54"/>
      <c r="O773" s="54">
        <v>1</v>
      </c>
      <c r="P773" s="54"/>
      <c r="Q773" s="54">
        <v>1</v>
      </c>
      <c r="R773" s="54"/>
      <c r="S773" s="54">
        <v>2</v>
      </c>
      <c r="T773" s="54"/>
      <c r="U773" s="54">
        <v>1</v>
      </c>
      <c r="V773" s="54"/>
      <c r="W773" s="54">
        <v>1</v>
      </c>
      <c r="X773" s="54"/>
      <c r="Y773" s="54">
        <v>2</v>
      </c>
      <c r="Z773" s="54"/>
      <c r="AA773" s="115">
        <v>2</v>
      </c>
      <c r="AB773" s="115"/>
      <c r="AC773" s="115">
        <v>2</v>
      </c>
      <c r="AD773" s="115"/>
    </row>
    <row r="774" spans="1:30" x14ac:dyDescent="0.2">
      <c r="A774" s="34" t="s">
        <v>426</v>
      </c>
      <c r="B774" s="34" t="s">
        <v>167</v>
      </c>
      <c r="C774" s="34" t="s">
        <v>32</v>
      </c>
      <c r="D774" s="34" t="str">
        <f t="shared" si="12"/>
        <v>B3-P5-C2</v>
      </c>
      <c r="E774" s="34" t="s">
        <v>11</v>
      </c>
      <c r="F774" s="34" t="s">
        <v>133</v>
      </c>
      <c r="G774" s="51" t="s">
        <v>1757</v>
      </c>
      <c r="H774" s="51">
        <v>796</v>
      </c>
      <c r="I774" s="53">
        <v>1</v>
      </c>
      <c r="J774" s="54"/>
      <c r="K774" s="53">
        <v>2</v>
      </c>
      <c r="L774" s="54"/>
      <c r="M774" s="54">
        <v>2</v>
      </c>
      <c r="N774" s="54"/>
      <c r="O774" s="54">
        <v>2</v>
      </c>
      <c r="P774" s="54"/>
      <c r="Q774" s="54">
        <v>1.5</v>
      </c>
      <c r="R774" s="54"/>
      <c r="S774" s="54">
        <v>2</v>
      </c>
      <c r="T774" s="54"/>
      <c r="U774" s="54">
        <v>2</v>
      </c>
      <c r="V774" s="54"/>
      <c r="W774" s="54">
        <v>2</v>
      </c>
      <c r="X774" s="54"/>
      <c r="Y774" s="54">
        <v>1</v>
      </c>
      <c r="Z774" s="54"/>
      <c r="AA774" s="115">
        <v>2</v>
      </c>
      <c r="AB774" s="115"/>
      <c r="AC774" s="115">
        <v>3</v>
      </c>
      <c r="AD774" s="115"/>
    </row>
    <row r="775" spans="1:30" x14ac:dyDescent="0.2">
      <c r="A775" s="34" t="s">
        <v>426</v>
      </c>
      <c r="B775" s="34" t="s">
        <v>167</v>
      </c>
      <c r="C775" s="34" t="s">
        <v>32</v>
      </c>
      <c r="D775" s="34" t="str">
        <f t="shared" si="12"/>
        <v>B3-P5-C2</v>
      </c>
      <c r="E775" s="34" t="s">
        <v>11</v>
      </c>
      <c r="F775" s="34" t="s">
        <v>133</v>
      </c>
      <c r="G775" s="51" t="s">
        <v>1759</v>
      </c>
      <c r="H775" s="51">
        <v>797</v>
      </c>
      <c r="I775" s="53">
        <v>1</v>
      </c>
      <c r="J775" s="54"/>
      <c r="K775" s="53">
        <v>1</v>
      </c>
      <c r="L775" s="54"/>
      <c r="M775" s="54">
        <v>1</v>
      </c>
      <c r="N775" s="54"/>
      <c r="O775" s="54">
        <v>1</v>
      </c>
      <c r="P775" s="54"/>
      <c r="Q775" s="54">
        <v>1</v>
      </c>
      <c r="R775" s="54"/>
      <c r="S775" s="54">
        <v>2</v>
      </c>
      <c r="T775" s="54"/>
      <c r="U775" s="54">
        <v>1</v>
      </c>
      <c r="V775" s="54"/>
      <c r="W775" s="54">
        <v>2</v>
      </c>
      <c r="X775" s="54"/>
      <c r="Y775" s="54">
        <v>1</v>
      </c>
      <c r="Z775" s="54"/>
      <c r="AA775" s="115">
        <v>2</v>
      </c>
      <c r="AB775" s="115"/>
      <c r="AC775" s="115">
        <v>3</v>
      </c>
      <c r="AD775" s="115"/>
    </row>
    <row r="776" spans="1:30" x14ac:dyDescent="0.2">
      <c r="A776" s="34" t="s">
        <v>426</v>
      </c>
      <c r="B776" s="34" t="s">
        <v>167</v>
      </c>
      <c r="C776" s="34" t="s">
        <v>32</v>
      </c>
      <c r="D776" s="34" t="str">
        <f t="shared" si="12"/>
        <v>B3-P5-C2</v>
      </c>
      <c r="E776" s="34" t="s">
        <v>11</v>
      </c>
      <c r="F776" s="34" t="s">
        <v>133</v>
      </c>
      <c r="G776" s="51" t="s">
        <v>1761</v>
      </c>
      <c r="H776" s="51">
        <v>798</v>
      </c>
      <c r="I776" s="53">
        <v>1</v>
      </c>
      <c r="J776" s="54"/>
      <c r="K776" s="53">
        <v>1</v>
      </c>
      <c r="L776" s="54"/>
      <c r="M776" s="54">
        <v>2</v>
      </c>
      <c r="N776" s="54"/>
      <c r="O776" s="54">
        <v>1</v>
      </c>
      <c r="P776" s="54"/>
      <c r="Q776" s="54">
        <v>1</v>
      </c>
      <c r="R776" s="54"/>
      <c r="S776" s="54">
        <v>2</v>
      </c>
      <c r="T776" s="54"/>
      <c r="U776" s="54">
        <v>1</v>
      </c>
      <c r="V776" s="54"/>
      <c r="W776" s="54">
        <v>1</v>
      </c>
      <c r="X776" s="54"/>
      <c r="Y776" s="54">
        <v>1</v>
      </c>
      <c r="Z776" s="54"/>
      <c r="AA776" s="115">
        <v>1</v>
      </c>
      <c r="AB776" s="115"/>
      <c r="AC776" s="115">
        <v>3</v>
      </c>
      <c r="AD776" s="115"/>
    </row>
    <row r="777" spans="1:30" x14ac:dyDescent="0.2">
      <c r="A777" s="35" t="s">
        <v>426</v>
      </c>
      <c r="B777" s="35" t="s">
        <v>167</v>
      </c>
      <c r="C777" s="35" t="s">
        <v>42</v>
      </c>
      <c r="D777" s="31" t="str">
        <f t="shared" si="12"/>
        <v>B3-P5-C3</v>
      </c>
      <c r="E777" s="35" t="s">
        <v>11</v>
      </c>
      <c r="F777" s="35" t="s">
        <v>133</v>
      </c>
      <c r="G777" s="50" t="s">
        <v>1763</v>
      </c>
      <c r="H777" s="50">
        <v>799</v>
      </c>
      <c r="I777" s="52">
        <v>1</v>
      </c>
      <c r="J777" s="52"/>
      <c r="K777" s="52">
        <v>1</v>
      </c>
      <c r="L777" s="52"/>
      <c r="M777" s="52">
        <v>1</v>
      </c>
      <c r="N777" s="52"/>
      <c r="O777" s="52">
        <v>1</v>
      </c>
      <c r="P777" s="52"/>
      <c r="Q777" s="52">
        <v>1</v>
      </c>
      <c r="R777" s="52"/>
      <c r="S777" s="52">
        <v>2</v>
      </c>
      <c r="T777" s="52"/>
      <c r="U777" s="52">
        <v>1</v>
      </c>
      <c r="V777" s="52"/>
      <c r="W777" s="52">
        <v>1</v>
      </c>
      <c r="X777" s="52"/>
      <c r="Y777" s="52">
        <v>1</v>
      </c>
      <c r="Z777" s="52"/>
      <c r="AA777" s="114">
        <v>2</v>
      </c>
      <c r="AB777" s="114"/>
      <c r="AC777" s="114">
        <v>3</v>
      </c>
      <c r="AD777" s="114"/>
    </row>
    <row r="778" spans="1:30" x14ac:dyDescent="0.2">
      <c r="A778" s="35" t="s">
        <v>426</v>
      </c>
      <c r="B778" s="35" t="s">
        <v>167</v>
      </c>
      <c r="C778" s="35" t="s">
        <v>42</v>
      </c>
      <c r="D778" s="31" t="str">
        <f t="shared" si="12"/>
        <v>B3-P5-C3</v>
      </c>
      <c r="E778" s="35" t="s">
        <v>11</v>
      </c>
      <c r="F778" s="35" t="s">
        <v>133</v>
      </c>
      <c r="G778" s="50" t="s">
        <v>1765</v>
      </c>
      <c r="H778" s="50">
        <v>800</v>
      </c>
      <c r="I778" s="52">
        <v>1</v>
      </c>
      <c r="J778" s="52"/>
      <c r="K778" s="52">
        <v>1</v>
      </c>
      <c r="L778" s="52"/>
      <c r="M778" s="52">
        <v>1</v>
      </c>
      <c r="N778" s="52"/>
      <c r="O778" s="52">
        <v>1</v>
      </c>
      <c r="P778" s="52"/>
      <c r="Q778" s="52">
        <v>1</v>
      </c>
      <c r="R778" s="52"/>
      <c r="S778" s="52">
        <v>2</v>
      </c>
      <c r="T778" s="52"/>
      <c r="U778" s="52">
        <v>1</v>
      </c>
      <c r="V778" s="52"/>
      <c r="W778" s="52">
        <v>1</v>
      </c>
      <c r="X778" s="52"/>
      <c r="Y778" s="52">
        <v>1</v>
      </c>
      <c r="Z778" s="52"/>
      <c r="AA778" s="114">
        <v>1</v>
      </c>
      <c r="AB778" s="114"/>
      <c r="AC778" s="114">
        <v>3</v>
      </c>
      <c r="AD778" s="114"/>
    </row>
    <row r="779" spans="1:30" x14ac:dyDescent="0.2">
      <c r="A779" s="35" t="s">
        <v>426</v>
      </c>
      <c r="B779" s="35" t="s">
        <v>167</v>
      </c>
      <c r="C779" s="35" t="s">
        <v>42</v>
      </c>
      <c r="D779" s="31" t="str">
        <f t="shared" si="12"/>
        <v>B3-P5-C3</v>
      </c>
      <c r="E779" s="35" t="s">
        <v>11</v>
      </c>
      <c r="F779" s="35" t="s">
        <v>133</v>
      </c>
      <c r="G779" s="50" t="s">
        <v>1767</v>
      </c>
      <c r="H779" s="50">
        <v>801</v>
      </c>
      <c r="I779" s="52">
        <v>1</v>
      </c>
      <c r="J779" s="52"/>
      <c r="K779" s="52">
        <v>1</v>
      </c>
      <c r="L779" s="52"/>
      <c r="M779" s="52">
        <v>2</v>
      </c>
      <c r="N779" s="52"/>
      <c r="O779" s="52">
        <v>1</v>
      </c>
      <c r="P779" s="52"/>
      <c r="Q779" s="52">
        <v>1</v>
      </c>
      <c r="R779" s="52"/>
      <c r="S779" s="52">
        <v>3</v>
      </c>
      <c r="T779" s="52"/>
      <c r="U779" s="52">
        <v>1</v>
      </c>
      <c r="V779" s="52"/>
      <c r="W779" s="52">
        <v>2</v>
      </c>
      <c r="X779" s="52"/>
      <c r="Y779" s="52">
        <v>1</v>
      </c>
      <c r="Z779" s="52"/>
      <c r="AA779" s="114">
        <v>1</v>
      </c>
      <c r="AB779" s="114"/>
      <c r="AC779" s="114">
        <v>3</v>
      </c>
      <c r="AD779" s="114"/>
    </row>
    <row r="780" spans="1:30" x14ac:dyDescent="0.2">
      <c r="A780" s="35" t="s">
        <v>426</v>
      </c>
      <c r="B780" s="35" t="s">
        <v>167</v>
      </c>
      <c r="C780" s="35" t="s">
        <v>42</v>
      </c>
      <c r="D780" s="31" t="str">
        <f t="shared" si="12"/>
        <v>B3-P5-C3</v>
      </c>
      <c r="E780" s="35" t="s">
        <v>11</v>
      </c>
      <c r="F780" s="35" t="s">
        <v>133</v>
      </c>
      <c r="G780" s="50" t="s">
        <v>1769</v>
      </c>
      <c r="H780" s="50">
        <v>802</v>
      </c>
      <c r="I780" s="52">
        <v>1</v>
      </c>
      <c r="J780" s="52"/>
      <c r="K780" s="52">
        <v>1</v>
      </c>
      <c r="L780" s="52"/>
      <c r="M780" s="52">
        <v>2</v>
      </c>
      <c r="N780" s="52"/>
      <c r="O780" s="52">
        <v>1.5</v>
      </c>
      <c r="P780" s="52"/>
      <c r="Q780" s="52">
        <v>1</v>
      </c>
      <c r="R780" s="52"/>
      <c r="S780" s="52">
        <v>2</v>
      </c>
      <c r="T780" s="52"/>
      <c r="U780" s="52">
        <v>1</v>
      </c>
      <c r="V780" s="52"/>
      <c r="W780" s="52">
        <v>1</v>
      </c>
      <c r="X780" s="52"/>
      <c r="Y780" s="52">
        <v>1</v>
      </c>
      <c r="Z780" s="52"/>
      <c r="AA780" s="114">
        <v>1</v>
      </c>
      <c r="AB780" s="114"/>
      <c r="AC780" s="114">
        <v>2</v>
      </c>
      <c r="AD780" s="114"/>
    </row>
    <row r="781" spans="1:30" x14ac:dyDescent="0.2">
      <c r="A781" s="35" t="s">
        <v>426</v>
      </c>
      <c r="B781" s="35" t="s">
        <v>167</v>
      </c>
      <c r="C781" s="35" t="s">
        <v>42</v>
      </c>
      <c r="D781" s="31" t="str">
        <f t="shared" si="12"/>
        <v>B3-P5-C3</v>
      </c>
      <c r="E781" s="35" t="s">
        <v>11</v>
      </c>
      <c r="F781" s="35" t="s">
        <v>133</v>
      </c>
      <c r="G781" s="50" t="s">
        <v>1771</v>
      </c>
      <c r="H781" s="50">
        <v>803</v>
      </c>
      <c r="I781" s="52">
        <v>1</v>
      </c>
      <c r="J781" s="52"/>
      <c r="K781" s="52">
        <v>1</v>
      </c>
      <c r="L781" s="52"/>
      <c r="M781" s="52">
        <v>2</v>
      </c>
      <c r="N781" s="52"/>
      <c r="O781" s="52">
        <v>1</v>
      </c>
      <c r="P781" s="52"/>
      <c r="Q781" s="52">
        <v>1</v>
      </c>
      <c r="R781" s="52"/>
      <c r="S781" s="52">
        <v>2</v>
      </c>
      <c r="T781" s="52"/>
      <c r="U781" s="52">
        <v>1</v>
      </c>
      <c r="V781" s="52"/>
      <c r="W781" s="52">
        <v>1</v>
      </c>
      <c r="X781" s="52"/>
      <c r="Y781" s="52">
        <v>1</v>
      </c>
      <c r="Z781" s="52"/>
      <c r="AA781" s="114">
        <v>1</v>
      </c>
      <c r="AB781" s="114"/>
      <c r="AC781" s="114">
        <v>3</v>
      </c>
      <c r="AD781" s="114"/>
    </row>
    <row r="782" spans="1:30" x14ac:dyDescent="0.2">
      <c r="A782" s="35" t="s">
        <v>426</v>
      </c>
      <c r="B782" s="35" t="s">
        <v>167</v>
      </c>
      <c r="C782" s="35" t="s">
        <v>42</v>
      </c>
      <c r="D782" s="31" t="str">
        <f t="shared" si="12"/>
        <v>B3-P5-C3</v>
      </c>
      <c r="E782" s="35" t="s">
        <v>11</v>
      </c>
      <c r="F782" s="35" t="s">
        <v>133</v>
      </c>
      <c r="G782" s="50" t="s">
        <v>1773</v>
      </c>
      <c r="H782" s="50">
        <v>804</v>
      </c>
      <c r="I782" s="52">
        <v>1</v>
      </c>
      <c r="J782" s="52"/>
      <c r="K782" s="52">
        <v>1</v>
      </c>
      <c r="L782" s="52"/>
      <c r="M782" s="52">
        <v>1</v>
      </c>
      <c r="N782" s="52"/>
      <c r="O782" s="52">
        <v>1</v>
      </c>
      <c r="P782" s="52"/>
      <c r="Q782" s="52">
        <v>1</v>
      </c>
      <c r="R782" s="52"/>
      <c r="S782" s="52">
        <v>2</v>
      </c>
      <c r="T782" s="52"/>
      <c r="U782" s="52">
        <v>1</v>
      </c>
      <c r="V782" s="52"/>
      <c r="W782" s="52">
        <v>1</v>
      </c>
      <c r="X782" s="52"/>
      <c r="Y782" s="52">
        <v>1</v>
      </c>
      <c r="Z782" s="52"/>
      <c r="AA782" s="114">
        <v>1</v>
      </c>
      <c r="AB782" s="114"/>
      <c r="AC782" s="114">
        <v>3</v>
      </c>
      <c r="AD782" s="114"/>
    </row>
    <row r="783" spans="1:30" x14ac:dyDescent="0.2">
      <c r="A783" s="34" t="s">
        <v>426</v>
      </c>
      <c r="B783" s="34" t="s">
        <v>167</v>
      </c>
      <c r="C783" s="34" t="s">
        <v>53</v>
      </c>
      <c r="D783" s="34" t="str">
        <f t="shared" si="12"/>
        <v>B3-P5-C4</v>
      </c>
      <c r="E783" s="34" t="s">
        <v>11</v>
      </c>
      <c r="F783" s="34" t="s">
        <v>133</v>
      </c>
      <c r="G783" s="51" t="s">
        <v>1775</v>
      </c>
      <c r="H783" s="51">
        <v>805</v>
      </c>
      <c r="I783" s="53">
        <v>1</v>
      </c>
      <c r="J783" s="54"/>
      <c r="K783" s="53">
        <v>3</v>
      </c>
      <c r="L783" s="54"/>
      <c r="M783" s="54">
        <v>3</v>
      </c>
      <c r="N783" s="54"/>
      <c r="O783" s="54">
        <v>2</v>
      </c>
      <c r="P783" s="54"/>
      <c r="Q783" s="54">
        <v>1</v>
      </c>
      <c r="R783" s="54"/>
      <c r="S783" s="54">
        <v>3</v>
      </c>
      <c r="T783" s="54"/>
      <c r="U783" s="54">
        <v>3</v>
      </c>
      <c r="V783" s="54"/>
      <c r="W783" s="54">
        <v>2</v>
      </c>
      <c r="X783" s="54"/>
      <c r="Y783" s="54">
        <v>3</v>
      </c>
      <c r="Z783" s="54"/>
      <c r="AA783" s="115">
        <v>2</v>
      </c>
      <c r="AB783" s="115"/>
      <c r="AC783" s="115">
        <v>1</v>
      </c>
      <c r="AD783" s="115"/>
    </row>
    <row r="784" spans="1:30" x14ac:dyDescent="0.2">
      <c r="A784" s="34" t="s">
        <v>426</v>
      </c>
      <c r="B784" s="34" t="s">
        <v>167</v>
      </c>
      <c r="C784" s="34" t="s">
        <v>53</v>
      </c>
      <c r="D784" s="34" t="str">
        <f t="shared" si="12"/>
        <v>B3-P5-C4</v>
      </c>
      <c r="E784" s="34" t="s">
        <v>11</v>
      </c>
      <c r="F784" s="34" t="s">
        <v>133</v>
      </c>
      <c r="G784" s="51" t="s">
        <v>1777</v>
      </c>
      <c r="H784" s="51">
        <v>806</v>
      </c>
      <c r="I784" s="53">
        <v>1</v>
      </c>
      <c r="J784" s="54"/>
      <c r="K784" s="53">
        <v>2</v>
      </c>
      <c r="L784" s="54"/>
      <c r="M784" s="54">
        <v>3</v>
      </c>
      <c r="N784" s="54"/>
      <c r="O784" s="54">
        <v>2</v>
      </c>
      <c r="P784" s="54"/>
      <c r="Q784" s="54">
        <v>1</v>
      </c>
      <c r="R784" s="54"/>
      <c r="S784" s="54">
        <v>3</v>
      </c>
      <c r="T784" s="54"/>
      <c r="U784" s="54">
        <v>2</v>
      </c>
      <c r="V784" s="54"/>
      <c r="W784" s="54">
        <v>1</v>
      </c>
      <c r="X784" s="54"/>
      <c r="Y784" s="54">
        <v>1</v>
      </c>
      <c r="Z784" s="54"/>
      <c r="AA784" s="115">
        <v>1</v>
      </c>
      <c r="AB784" s="115"/>
      <c r="AC784" s="115">
        <v>1</v>
      </c>
      <c r="AD784" s="115"/>
    </row>
    <row r="785" spans="1:30" x14ac:dyDescent="0.2">
      <c r="A785" s="34" t="s">
        <v>426</v>
      </c>
      <c r="B785" s="34" t="s">
        <v>167</v>
      </c>
      <c r="C785" s="34" t="s">
        <v>53</v>
      </c>
      <c r="D785" s="34" t="str">
        <f t="shared" si="12"/>
        <v>B3-P5-C4</v>
      </c>
      <c r="E785" s="34" t="s">
        <v>11</v>
      </c>
      <c r="F785" s="34" t="s">
        <v>133</v>
      </c>
      <c r="G785" s="51" t="s">
        <v>1779</v>
      </c>
      <c r="H785" s="51">
        <v>807</v>
      </c>
      <c r="I785" s="53">
        <v>1</v>
      </c>
      <c r="J785" s="54"/>
      <c r="K785" s="53">
        <v>2</v>
      </c>
      <c r="L785" s="54"/>
      <c r="M785" s="54">
        <v>3</v>
      </c>
      <c r="N785" s="54"/>
      <c r="O785" s="54">
        <v>3</v>
      </c>
      <c r="P785" s="54"/>
      <c r="Q785" s="54">
        <v>1</v>
      </c>
      <c r="R785" s="54"/>
      <c r="S785" s="54">
        <v>2</v>
      </c>
      <c r="T785" s="54"/>
      <c r="U785" s="54">
        <v>2</v>
      </c>
      <c r="V785" s="54"/>
      <c r="W785" s="54">
        <v>1</v>
      </c>
      <c r="X785" s="54"/>
      <c r="Y785" s="54">
        <v>1</v>
      </c>
      <c r="Z785" s="54"/>
      <c r="AA785" s="115">
        <v>1</v>
      </c>
      <c r="AB785" s="115"/>
      <c r="AC785" s="115">
        <v>1</v>
      </c>
      <c r="AD785" s="115"/>
    </row>
    <row r="786" spans="1:30" x14ac:dyDescent="0.2">
      <c r="A786" s="34" t="s">
        <v>426</v>
      </c>
      <c r="B786" s="34" t="s">
        <v>167</v>
      </c>
      <c r="C786" s="34" t="s">
        <v>53</v>
      </c>
      <c r="D786" s="34" t="str">
        <f t="shared" si="12"/>
        <v>B3-P5-C4</v>
      </c>
      <c r="E786" s="34" t="s">
        <v>11</v>
      </c>
      <c r="F786" s="34" t="s">
        <v>133</v>
      </c>
      <c r="G786" s="51" t="s">
        <v>1781</v>
      </c>
      <c r="H786" s="51">
        <v>808</v>
      </c>
      <c r="I786" s="53">
        <v>1</v>
      </c>
      <c r="J786" s="54"/>
      <c r="K786" s="53">
        <v>2</v>
      </c>
      <c r="L786" s="54"/>
      <c r="M786" s="54">
        <v>3</v>
      </c>
      <c r="N786" s="54"/>
      <c r="O786" s="54">
        <v>2</v>
      </c>
      <c r="P786" s="54"/>
      <c r="Q786" s="54">
        <v>1</v>
      </c>
      <c r="R786" s="54"/>
      <c r="S786" s="54">
        <v>2</v>
      </c>
      <c r="T786" s="54"/>
      <c r="U786" s="54">
        <v>2</v>
      </c>
      <c r="V786" s="54"/>
      <c r="W786" s="54">
        <v>1</v>
      </c>
      <c r="X786" s="54"/>
      <c r="Y786" s="54">
        <v>1</v>
      </c>
      <c r="Z786" s="54"/>
      <c r="AA786" s="115">
        <v>2</v>
      </c>
      <c r="AB786" s="115"/>
      <c r="AC786" s="115">
        <v>2</v>
      </c>
      <c r="AD786" s="115"/>
    </row>
    <row r="787" spans="1:30" x14ac:dyDescent="0.2">
      <c r="A787" s="34" t="s">
        <v>426</v>
      </c>
      <c r="B787" s="34" t="s">
        <v>167</v>
      </c>
      <c r="C787" s="34" t="s">
        <v>53</v>
      </c>
      <c r="D787" s="34" t="str">
        <f t="shared" si="12"/>
        <v>B3-P5-C4</v>
      </c>
      <c r="E787" s="34" t="s">
        <v>11</v>
      </c>
      <c r="F787" s="34" t="s">
        <v>133</v>
      </c>
      <c r="G787" s="51" t="s">
        <v>1783</v>
      </c>
      <c r="H787" s="51">
        <v>809</v>
      </c>
      <c r="I787" s="53">
        <v>1</v>
      </c>
      <c r="J787" s="54"/>
      <c r="K787" s="53">
        <v>2</v>
      </c>
      <c r="L787" s="54"/>
      <c r="M787" s="54">
        <v>3</v>
      </c>
      <c r="N787" s="54"/>
      <c r="O787" s="54">
        <v>2</v>
      </c>
      <c r="P787" s="54"/>
      <c r="Q787" s="54">
        <v>1</v>
      </c>
      <c r="R787" s="54"/>
      <c r="S787" s="54">
        <v>3</v>
      </c>
      <c r="T787" s="54"/>
      <c r="U787" s="54">
        <v>3</v>
      </c>
      <c r="V787" s="54"/>
      <c r="W787" s="54">
        <v>1</v>
      </c>
      <c r="X787" s="54"/>
      <c r="Y787" s="54">
        <v>1</v>
      </c>
      <c r="Z787" s="54"/>
      <c r="AA787" s="115">
        <v>1</v>
      </c>
      <c r="AB787" s="115"/>
      <c r="AC787" s="115">
        <v>1</v>
      </c>
      <c r="AD787" s="115"/>
    </row>
    <row r="788" spans="1:30" x14ac:dyDescent="0.2">
      <c r="A788" s="34" t="s">
        <v>426</v>
      </c>
      <c r="B788" s="34" t="s">
        <v>167</v>
      </c>
      <c r="C788" s="34" t="s">
        <v>53</v>
      </c>
      <c r="D788" s="34" t="str">
        <f t="shared" si="12"/>
        <v>B3-P5-C4</v>
      </c>
      <c r="E788" s="34" t="s">
        <v>11</v>
      </c>
      <c r="F788" s="34" t="s">
        <v>133</v>
      </c>
      <c r="G788" s="51" t="s">
        <v>1785</v>
      </c>
      <c r="H788" s="51">
        <v>810</v>
      </c>
      <c r="I788" s="53">
        <v>1</v>
      </c>
      <c r="J788" s="54"/>
      <c r="K788" s="53">
        <v>2</v>
      </c>
      <c r="L788" s="54"/>
      <c r="M788" s="54">
        <v>3</v>
      </c>
      <c r="N788" s="54"/>
      <c r="O788" s="54">
        <v>2</v>
      </c>
      <c r="P788" s="54"/>
      <c r="Q788" s="54">
        <v>1</v>
      </c>
      <c r="R788" s="54"/>
      <c r="S788" s="54">
        <v>3</v>
      </c>
      <c r="T788" s="54"/>
      <c r="U788" s="54">
        <v>3</v>
      </c>
      <c r="V788" s="54"/>
      <c r="W788" s="54">
        <v>1</v>
      </c>
      <c r="X788" s="54"/>
      <c r="Y788" s="54">
        <v>1</v>
      </c>
      <c r="Z788" s="54"/>
      <c r="AA788" s="115">
        <v>1</v>
      </c>
      <c r="AB788" s="115"/>
      <c r="AC788" s="115">
        <v>1</v>
      </c>
      <c r="AD788" s="115"/>
    </row>
    <row r="789" spans="1:30" x14ac:dyDescent="0.2">
      <c r="A789" s="35" t="s">
        <v>426</v>
      </c>
      <c r="B789" s="35" t="s">
        <v>200</v>
      </c>
      <c r="C789" s="35" t="s">
        <v>42</v>
      </c>
      <c r="D789" s="31" t="str">
        <f t="shared" si="12"/>
        <v>B3-P6-C3</v>
      </c>
      <c r="E789" s="35" t="s">
        <v>11</v>
      </c>
      <c r="F789" s="35" t="s">
        <v>133</v>
      </c>
      <c r="G789" s="50" t="s">
        <v>1787</v>
      </c>
      <c r="H789" s="50">
        <v>811</v>
      </c>
      <c r="I789" s="52">
        <v>1</v>
      </c>
      <c r="J789" s="52"/>
      <c r="K789" s="52">
        <v>1</v>
      </c>
      <c r="L789" s="52"/>
      <c r="M789" s="52">
        <v>2</v>
      </c>
      <c r="N789" s="52"/>
      <c r="O789" s="52">
        <v>2</v>
      </c>
      <c r="P789" s="52"/>
      <c r="Q789" s="52">
        <v>1</v>
      </c>
      <c r="R789" s="52"/>
      <c r="S789" s="52">
        <v>2</v>
      </c>
      <c r="T789" s="52"/>
      <c r="U789" s="52">
        <v>1</v>
      </c>
      <c r="V789" s="52"/>
      <c r="W789" s="52">
        <v>1</v>
      </c>
      <c r="X789" s="52"/>
      <c r="Y789" s="52">
        <v>1</v>
      </c>
      <c r="Z789" s="52"/>
      <c r="AA789" s="114">
        <v>2</v>
      </c>
      <c r="AB789" s="114"/>
      <c r="AC789" s="114">
        <v>2</v>
      </c>
      <c r="AD789" s="114"/>
    </row>
    <row r="790" spans="1:30" x14ac:dyDescent="0.2">
      <c r="A790" s="35" t="s">
        <v>426</v>
      </c>
      <c r="B790" s="35" t="s">
        <v>200</v>
      </c>
      <c r="C790" s="35" t="s">
        <v>42</v>
      </c>
      <c r="D790" s="31" t="str">
        <f t="shared" si="12"/>
        <v>B3-P6-C3</v>
      </c>
      <c r="E790" s="35" t="s">
        <v>11</v>
      </c>
      <c r="F790" s="35" t="s">
        <v>133</v>
      </c>
      <c r="G790" s="50" t="s">
        <v>1789</v>
      </c>
      <c r="H790" s="50">
        <v>812</v>
      </c>
      <c r="I790" s="52">
        <v>1</v>
      </c>
      <c r="J790" s="52"/>
      <c r="K790" s="52">
        <v>1</v>
      </c>
      <c r="L790" s="52"/>
      <c r="M790" s="52">
        <v>3</v>
      </c>
      <c r="N790" s="52"/>
      <c r="O790" s="52">
        <v>2</v>
      </c>
      <c r="P790" s="52"/>
      <c r="Q790" s="52">
        <v>1</v>
      </c>
      <c r="R790" s="52"/>
      <c r="S790" s="52">
        <v>2</v>
      </c>
      <c r="T790" s="52"/>
      <c r="U790" s="52">
        <v>1</v>
      </c>
      <c r="V790" s="52"/>
      <c r="W790" s="52">
        <v>1</v>
      </c>
      <c r="X790" s="52"/>
      <c r="Y790" s="52">
        <v>1</v>
      </c>
      <c r="Z790" s="52"/>
      <c r="AA790" s="114">
        <v>2</v>
      </c>
      <c r="AB790" s="114"/>
      <c r="AC790" s="114">
        <v>3</v>
      </c>
      <c r="AD790" s="114"/>
    </row>
    <row r="791" spans="1:30" x14ac:dyDescent="0.2">
      <c r="A791" s="35" t="s">
        <v>426</v>
      </c>
      <c r="B791" s="35" t="s">
        <v>200</v>
      </c>
      <c r="C791" s="35" t="s">
        <v>42</v>
      </c>
      <c r="D791" s="31" t="str">
        <f t="shared" si="12"/>
        <v>B3-P6-C3</v>
      </c>
      <c r="E791" s="35" t="s">
        <v>11</v>
      </c>
      <c r="F791" s="35" t="s">
        <v>133</v>
      </c>
      <c r="G791" s="50" t="s">
        <v>1791</v>
      </c>
      <c r="H791" s="50">
        <v>813</v>
      </c>
      <c r="I791" s="52">
        <v>1</v>
      </c>
      <c r="J791" s="52"/>
      <c r="K791" s="52">
        <v>1</v>
      </c>
      <c r="L791" s="52"/>
      <c r="M791" s="52">
        <v>2</v>
      </c>
      <c r="N791" s="52"/>
      <c r="O791" s="52">
        <v>2</v>
      </c>
      <c r="P791" s="52"/>
      <c r="Q791" s="52">
        <v>1.5</v>
      </c>
      <c r="R791" s="52"/>
      <c r="S791" s="52">
        <v>3</v>
      </c>
      <c r="T791" s="52"/>
      <c r="U791" s="52">
        <v>2</v>
      </c>
      <c r="V791" s="52"/>
      <c r="W791" s="52">
        <v>2</v>
      </c>
      <c r="X791" s="52"/>
      <c r="Y791" s="52">
        <v>3</v>
      </c>
      <c r="Z791" s="52"/>
      <c r="AA791" s="114">
        <v>2</v>
      </c>
      <c r="AB791" s="114"/>
      <c r="AC791" s="114">
        <v>3</v>
      </c>
      <c r="AD791" s="114"/>
    </row>
    <row r="792" spans="1:30" x14ac:dyDescent="0.2">
      <c r="A792" s="35" t="s">
        <v>426</v>
      </c>
      <c r="B792" s="35" t="s">
        <v>200</v>
      </c>
      <c r="C792" s="35" t="s">
        <v>42</v>
      </c>
      <c r="D792" s="31" t="str">
        <f t="shared" si="12"/>
        <v>B3-P6-C3</v>
      </c>
      <c r="E792" s="35" t="s">
        <v>11</v>
      </c>
      <c r="F792" s="35" t="s">
        <v>133</v>
      </c>
      <c r="G792" s="50" t="s">
        <v>1793</v>
      </c>
      <c r="H792" s="50">
        <v>814</v>
      </c>
      <c r="I792" s="52">
        <v>1</v>
      </c>
      <c r="J792" s="52"/>
      <c r="K792" s="52">
        <v>1</v>
      </c>
      <c r="L792" s="52"/>
      <c r="M792" s="52">
        <v>2</v>
      </c>
      <c r="N792" s="52"/>
      <c r="O792" s="52">
        <v>2</v>
      </c>
      <c r="P792" s="52"/>
      <c r="Q792" s="52">
        <v>1</v>
      </c>
      <c r="R792" s="52"/>
      <c r="S792" s="52">
        <v>2</v>
      </c>
      <c r="T792" s="52"/>
      <c r="U792" s="52">
        <v>1</v>
      </c>
      <c r="V792" s="52"/>
      <c r="W792" s="52">
        <v>1</v>
      </c>
      <c r="X792" s="52"/>
      <c r="Y792" s="52">
        <v>1</v>
      </c>
      <c r="Z792" s="52"/>
      <c r="AA792" s="114">
        <v>2</v>
      </c>
      <c r="AB792" s="114"/>
      <c r="AC792" s="114">
        <v>2</v>
      </c>
      <c r="AD792" s="114"/>
    </row>
    <row r="793" spans="1:30" x14ac:dyDescent="0.2">
      <c r="A793" s="35" t="s">
        <v>426</v>
      </c>
      <c r="B793" s="35" t="s">
        <v>200</v>
      </c>
      <c r="C793" s="35" t="s">
        <v>42</v>
      </c>
      <c r="D793" s="31" t="str">
        <f t="shared" si="12"/>
        <v>B3-P6-C3</v>
      </c>
      <c r="E793" s="35" t="s">
        <v>11</v>
      </c>
      <c r="F793" s="35" t="s">
        <v>133</v>
      </c>
      <c r="G793" s="50" t="s">
        <v>1795</v>
      </c>
      <c r="H793" s="50">
        <v>815</v>
      </c>
      <c r="I793" s="52">
        <v>1</v>
      </c>
      <c r="J793" s="52"/>
      <c r="K793" s="52">
        <v>1</v>
      </c>
      <c r="L793" s="52"/>
      <c r="M793" s="52">
        <v>3</v>
      </c>
      <c r="N793" s="52"/>
      <c r="O793" s="52">
        <v>3</v>
      </c>
      <c r="P793" s="52"/>
      <c r="Q793" s="52">
        <v>1</v>
      </c>
      <c r="R793" s="52"/>
      <c r="S793" s="52">
        <v>3</v>
      </c>
      <c r="T793" s="52"/>
      <c r="U793" s="52">
        <v>2</v>
      </c>
      <c r="V793" s="52"/>
      <c r="W793" s="52">
        <v>2</v>
      </c>
      <c r="X793" s="52"/>
      <c r="Y793" s="52">
        <v>1</v>
      </c>
      <c r="Z793" s="52"/>
      <c r="AA793" s="114">
        <v>1</v>
      </c>
      <c r="AB793" s="114"/>
      <c r="AC793" s="114">
        <v>2</v>
      </c>
      <c r="AD793" s="114"/>
    </row>
    <row r="794" spans="1:30" x14ac:dyDescent="0.2">
      <c r="A794" s="35" t="s">
        <v>426</v>
      </c>
      <c r="B794" s="35" t="s">
        <v>200</v>
      </c>
      <c r="C794" s="35" t="s">
        <v>42</v>
      </c>
      <c r="D794" s="31" t="str">
        <f t="shared" si="12"/>
        <v>B3-P6-C3</v>
      </c>
      <c r="E794" s="35" t="s">
        <v>11</v>
      </c>
      <c r="F794" s="35" t="s">
        <v>133</v>
      </c>
      <c r="G794" s="50" t="s">
        <v>1797</v>
      </c>
      <c r="H794" s="50">
        <v>816</v>
      </c>
      <c r="I794" s="52">
        <v>1</v>
      </c>
      <c r="J794" s="52"/>
      <c r="K794" s="52">
        <v>1</v>
      </c>
      <c r="L794" s="52"/>
      <c r="M794" s="52">
        <v>1</v>
      </c>
      <c r="N794" s="52"/>
      <c r="O794" s="52">
        <v>1</v>
      </c>
      <c r="P794" s="52"/>
      <c r="Q794" s="52">
        <v>1</v>
      </c>
      <c r="R794" s="52"/>
      <c r="S794" s="52">
        <v>3</v>
      </c>
      <c r="T794" s="52"/>
      <c r="U794" s="52">
        <v>2</v>
      </c>
      <c r="V794" s="52"/>
      <c r="W794" s="52">
        <v>3</v>
      </c>
      <c r="X794" s="52"/>
      <c r="Y794" s="52">
        <v>4</v>
      </c>
      <c r="Z794" s="52"/>
      <c r="AA794" s="114">
        <v>4</v>
      </c>
      <c r="AB794" s="114"/>
      <c r="AC794" s="114">
        <v>4</v>
      </c>
      <c r="AD794" s="114"/>
    </row>
    <row r="795" spans="1:30" x14ac:dyDescent="0.2">
      <c r="G795" s="117"/>
      <c r="H795" s="117"/>
      <c r="I795" s="117"/>
      <c r="J795" s="117"/>
      <c r="K795" s="117"/>
      <c r="L795" s="117"/>
    </row>
    <row r="796" spans="1:30" x14ac:dyDescent="0.2">
      <c r="G796" s="117"/>
      <c r="H796" s="117"/>
      <c r="I796" s="117"/>
      <c r="J796" s="117"/>
      <c r="K796" s="117"/>
      <c r="L796" s="117"/>
    </row>
    <row r="797" spans="1:30" x14ac:dyDescent="0.2">
      <c r="G797" s="117"/>
      <c r="H797" s="117"/>
      <c r="I797" s="117"/>
      <c r="J797" s="117"/>
      <c r="K797" s="117"/>
      <c r="L797" s="117"/>
    </row>
    <row r="798" spans="1:30" x14ac:dyDescent="0.2">
      <c r="G798" s="117"/>
      <c r="H798" s="117"/>
      <c r="I798" s="117"/>
      <c r="J798" s="117"/>
      <c r="K798" s="117"/>
      <c r="L798" s="117"/>
    </row>
    <row r="799" spans="1:30" x14ac:dyDescent="0.2">
      <c r="G799" s="117"/>
      <c r="H799" s="117"/>
      <c r="I799" s="117"/>
      <c r="J799" s="117"/>
      <c r="K799" s="117"/>
      <c r="L799" s="117"/>
    </row>
    <row r="800" spans="1:30" x14ac:dyDescent="0.2">
      <c r="G800" s="117"/>
      <c r="H800" s="117"/>
      <c r="I800" s="117"/>
      <c r="J800" s="117"/>
      <c r="K800" s="117"/>
      <c r="L800" s="117"/>
    </row>
    <row r="801" spans="7:12" x14ac:dyDescent="0.2">
      <c r="G801" s="117"/>
      <c r="H801" s="117"/>
      <c r="I801" s="117"/>
      <c r="J801" s="117"/>
      <c r="K801" s="117"/>
      <c r="L801" s="117"/>
    </row>
    <row r="802" spans="7:12" x14ac:dyDescent="0.2">
      <c r="G802" s="117"/>
      <c r="H802" s="117"/>
      <c r="I802" s="117"/>
      <c r="J802" s="117"/>
      <c r="K802" s="117"/>
      <c r="L802" s="117"/>
    </row>
    <row r="803" spans="7:12" x14ac:dyDescent="0.2">
      <c r="G803" s="117"/>
      <c r="H803" s="117"/>
      <c r="I803" s="117"/>
      <c r="J803" s="117"/>
      <c r="K803" s="117"/>
      <c r="L803" s="117"/>
    </row>
    <row r="804" spans="7:12" x14ac:dyDescent="0.2">
      <c r="G804" s="117"/>
      <c r="H804" s="117"/>
      <c r="I804" s="117"/>
      <c r="J804" s="117"/>
      <c r="K804" s="117"/>
      <c r="L804" s="117"/>
    </row>
    <row r="805" spans="7:12" x14ac:dyDescent="0.2">
      <c r="G805" s="117"/>
      <c r="H805" s="117"/>
      <c r="I805" s="117"/>
      <c r="J805" s="117"/>
      <c r="K805" s="117"/>
      <c r="L805" s="117"/>
    </row>
    <row r="806" spans="7:12" x14ac:dyDescent="0.2">
      <c r="G806" s="117"/>
      <c r="H806" s="117"/>
      <c r="I806" s="117"/>
      <c r="J806" s="117"/>
      <c r="K806" s="117"/>
      <c r="L806" s="117"/>
    </row>
    <row r="807" spans="7:12" x14ac:dyDescent="0.2">
      <c r="G807" s="117"/>
      <c r="H807" s="117"/>
      <c r="I807" s="117"/>
      <c r="J807" s="117"/>
      <c r="K807" s="117"/>
      <c r="L807" s="117"/>
    </row>
    <row r="808" spans="7:12" x14ac:dyDescent="0.2">
      <c r="G808" s="117"/>
      <c r="H808" s="117"/>
      <c r="I808" s="117"/>
      <c r="J808" s="117"/>
      <c r="K808" s="117"/>
      <c r="L808" s="117"/>
    </row>
    <row r="809" spans="7:12" x14ac:dyDescent="0.2">
      <c r="G809" s="117"/>
      <c r="H809" s="117"/>
      <c r="I809" s="117"/>
      <c r="J809" s="117"/>
      <c r="K809" s="117"/>
      <c r="L809" s="117"/>
    </row>
    <row r="810" spans="7:12" x14ac:dyDescent="0.2">
      <c r="G810" s="117"/>
      <c r="H810" s="117"/>
      <c r="I810" s="117"/>
      <c r="J810" s="117"/>
      <c r="K810" s="117"/>
      <c r="L810" s="117"/>
    </row>
    <row r="811" spans="7:12" x14ac:dyDescent="0.2">
      <c r="G811" s="117"/>
      <c r="H811" s="117"/>
      <c r="I811" s="117"/>
      <c r="J811" s="117"/>
      <c r="K811" s="117"/>
      <c r="L811" s="117"/>
    </row>
    <row r="812" spans="7:12" x14ac:dyDescent="0.2">
      <c r="G812" s="117"/>
      <c r="H812" s="117"/>
      <c r="I812" s="117"/>
      <c r="J812" s="117"/>
      <c r="K812" s="117"/>
      <c r="L812" s="117"/>
    </row>
    <row r="813" spans="7:12" x14ac:dyDescent="0.2">
      <c r="G813" s="117"/>
      <c r="H813" s="117"/>
      <c r="I813" s="117"/>
      <c r="J813" s="117"/>
      <c r="K813" s="117"/>
      <c r="L813" s="117"/>
    </row>
    <row r="814" spans="7:12" x14ac:dyDescent="0.2">
      <c r="G814" s="117"/>
      <c r="H814" s="117"/>
      <c r="I814" s="117"/>
      <c r="J814" s="117"/>
      <c r="K814" s="117"/>
      <c r="L814" s="117"/>
    </row>
    <row r="815" spans="7:12" x14ac:dyDescent="0.2">
      <c r="G815" s="117"/>
      <c r="H815" s="117"/>
      <c r="I815" s="117"/>
      <c r="J815" s="117"/>
      <c r="K815" s="117"/>
      <c r="L815" s="117"/>
    </row>
    <row r="816" spans="7:12" x14ac:dyDescent="0.2">
      <c r="G816" s="117"/>
      <c r="H816" s="117"/>
      <c r="I816" s="117"/>
      <c r="J816" s="117"/>
      <c r="K816" s="117"/>
      <c r="L816" s="117"/>
    </row>
    <row r="817" spans="7:12" x14ac:dyDescent="0.2">
      <c r="G817" s="117"/>
      <c r="H817" s="117"/>
      <c r="I817" s="117"/>
      <c r="J817" s="117"/>
      <c r="K817" s="117"/>
      <c r="L817" s="117"/>
    </row>
    <row r="818" spans="7:12" x14ac:dyDescent="0.2">
      <c r="G818" s="117"/>
      <c r="H818" s="117"/>
      <c r="I818" s="117"/>
      <c r="J818" s="117"/>
      <c r="K818" s="117"/>
      <c r="L818" s="117"/>
    </row>
    <row r="819" spans="7:12" x14ac:dyDescent="0.2">
      <c r="G819" s="117"/>
      <c r="H819" s="117"/>
      <c r="I819" s="117"/>
      <c r="J819" s="117"/>
      <c r="K819" s="117"/>
      <c r="L819" s="117"/>
    </row>
    <row r="820" spans="7:12" x14ac:dyDescent="0.2">
      <c r="G820" s="117"/>
      <c r="H820" s="117"/>
      <c r="I820" s="117"/>
      <c r="J820" s="117"/>
      <c r="K820" s="117"/>
      <c r="L820" s="117"/>
    </row>
    <row r="821" spans="7:12" x14ac:dyDescent="0.2">
      <c r="G821" s="117"/>
      <c r="H821" s="117"/>
      <c r="I821" s="117"/>
      <c r="J821" s="117"/>
      <c r="K821" s="117"/>
      <c r="L821" s="117"/>
    </row>
    <row r="822" spans="7:12" x14ac:dyDescent="0.2">
      <c r="G822" s="117"/>
      <c r="H822" s="117"/>
      <c r="I822" s="117"/>
      <c r="J822" s="117"/>
      <c r="K822" s="117"/>
      <c r="L822" s="117"/>
    </row>
    <row r="823" spans="7:12" x14ac:dyDescent="0.2">
      <c r="G823" s="117"/>
      <c r="H823" s="117"/>
      <c r="I823" s="117"/>
      <c r="J823" s="117"/>
      <c r="K823" s="117"/>
      <c r="L823" s="117"/>
    </row>
    <row r="824" spans="7:12" x14ac:dyDescent="0.2">
      <c r="G824" s="117"/>
      <c r="H824" s="117"/>
      <c r="I824" s="117"/>
      <c r="J824" s="117"/>
      <c r="K824" s="117"/>
      <c r="L824" s="117"/>
    </row>
    <row r="825" spans="7:12" x14ac:dyDescent="0.2">
      <c r="G825" s="117"/>
      <c r="H825" s="117"/>
      <c r="I825" s="117"/>
      <c r="J825" s="117"/>
      <c r="K825" s="117"/>
      <c r="L825" s="117"/>
    </row>
    <row r="826" spans="7:12" x14ac:dyDescent="0.2">
      <c r="G826" s="117"/>
      <c r="H826" s="117"/>
      <c r="I826" s="117"/>
      <c r="J826" s="117"/>
      <c r="K826" s="117"/>
      <c r="L826" s="117"/>
    </row>
    <row r="827" spans="7:12" x14ac:dyDescent="0.2">
      <c r="G827" s="117"/>
      <c r="H827" s="117"/>
      <c r="I827" s="117"/>
      <c r="J827" s="117"/>
      <c r="K827" s="117"/>
      <c r="L827" s="117"/>
    </row>
    <row r="828" spans="7:12" x14ac:dyDescent="0.2">
      <c r="G828" s="117"/>
      <c r="H828" s="117"/>
      <c r="I828" s="117"/>
      <c r="J828" s="117"/>
      <c r="K828" s="117"/>
      <c r="L828" s="117"/>
    </row>
    <row r="829" spans="7:12" x14ac:dyDescent="0.2">
      <c r="G829" s="117"/>
      <c r="H829" s="117"/>
      <c r="I829" s="117"/>
      <c r="J829" s="117"/>
      <c r="K829" s="117"/>
      <c r="L829" s="117"/>
    </row>
    <row r="830" spans="7:12" x14ac:dyDescent="0.2">
      <c r="G830" s="117"/>
      <c r="H830" s="117"/>
      <c r="I830" s="117"/>
      <c r="J830" s="117"/>
      <c r="K830" s="117"/>
      <c r="L830" s="117"/>
    </row>
    <row r="831" spans="7:12" x14ac:dyDescent="0.2">
      <c r="G831" s="117"/>
      <c r="H831" s="117"/>
      <c r="I831" s="117"/>
      <c r="J831" s="117"/>
      <c r="K831" s="117"/>
      <c r="L831" s="11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AA56C-162B-4AAD-B019-DFCA5DD3848D}">
  <dimension ref="A1:AP281"/>
  <sheetViews>
    <sheetView workbookViewId="0">
      <selection activeCell="B1" sqref="B1"/>
    </sheetView>
  </sheetViews>
  <sheetFormatPr baseColWidth="10" defaultColWidth="8.83203125" defaultRowHeight="16" x14ac:dyDescent="0.2"/>
  <cols>
    <col min="1" max="1" width="18" customWidth="1"/>
    <col min="3" max="42" width="14.33203125" customWidth="1"/>
  </cols>
  <sheetData>
    <row r="1" spans="1:42" s="8" customFormat="1" x14ac:dyDescent="0.2">
      <c r="A1" s="17" t="s">
        <v>9</v>
      </c>
      <c r="B1" s="131" t="s">
        <v>13</v>
      </c>
      <c r="C1" s="72" t="s">
        <v>1970</v>
      </c>
      <c r="D1" s="72" t="s">
        <v>1971</v>
      </c>
      <c r="E1" s="72" t="s">
        <v>1972</v>
      </c>
      <c r="F1" s="72" t="s">
        <v>1973</v>
      </c>
      <c r="G1" s="73" t="s">
        <v>1974</v>
      </c>
      <c r="H1" s="73" t="s">
        <v>1975</v>
      </c>
      <c r="I1" s="73" t="s">
        <v>1976</v>
      </c>
      <c r="J1" s="73" t="s">
        <v>1977</v>
      </c>
      <c r="K1" s="87" t="s">
        <v>1978</v>
      </c>
      <c r="L1" s="91" t="s">
        <v>1979</v>
      </c>
      <c r="M1" s="87" t="s">
        <v>1980</v>
      </c>
      <c r="N1" s="87" t="s">
        <v>1981</v>
      </c>
      <c r="O1" s="100" t="s">
        <v>1982</v>
      </c>
      <c r="P1" s="101" t="s">
        <v>1983</v>
      </c>
      <c r="Q1" s="100" t="s">
        <v>1984</v>
      </c>
      <c r="R1" s="100" t="s">
        <v>1985</v>
      </c>
      <c r="S1" s="104" t="s">
        <v>1986</v>
      </c>
      <c r="T1" s="105" t="s">
        <v>1987</v>
      </c>
      <c r="U1" s="104" t="s">
        <v>1988</v>
      </c>
      <c r="V1" s="104" t="s">
        <v>1989</v>
      </c>
      <c r="W1" s="110" t="s">
        <v>1990</v>
      </c>
      <c r="X1" s="111" t="s">
        <v>1991</v>
      </c>
      <c r="Y1" s="110" t="s">
        <v>1992</v>
      </c>
      <c r="Z1" s="110" t="s">
        <v>1993</v>
      </c>
      <c r="AA1" s="112" t="s">
        <v>1994</v>
      </c>
      <c r="AB1" s="113" t="s">
        <v>1995</v>
      </c>
      <c r="AC1" s="112" t="s">
        <v>1996</v>
      </c>
      <c r="AD1" s="112" t="s">
        <v>1997</v>
      </c>
      <c r="AE1" s="121" t="s">
        <v>1998</v>
      </c>
      <c r="AF1" s="122" t="s">
        <v>1999</v>
      </c>
      <c r="AG1" s="121" t="s">
        <v>2000</v>
      </c>
      <c r="AH1" s="121" t="s">
        <v>2001</v>
      </c>
      <c r="AI1" s="127" t="s">
        <v>2002</v>
      </c>
      <c r="AJ1" s="128" t="s">
        <v>2003</v>
      </c>
      <c r="AK1" s="127" t="s">
        <v>2004</v>
      </c>
      <c r="AL1" s="127" t="s">
        <v>2005</v>
      </c>
      <c r="AM1" s="129" t="s">
        <v>2006</v>
      </c>
      <c r="AN1" s="130" t="s">
        <v>2007</v>
      </c>
      <c r="AO1" s="129" t="s">
        <v>2008</v>
      </c>
      <c r="AP1" s="129" t="s">
        <v>1877</v>
      </c>
    </row>
    <row r="2" spans="1:42" x14ac:dyDescent="0.2">
      <c r="A2" s="19" t="s">
        <v>710</v>
      </c>
      <c r="B2" s="19">
        <v>1</v>
      </c>
      <c r="C2" s="37">
        <v>15</v>
      </c>
      <c r="D2" s="37">
        <v>11.1</v>
      </c>
      <c r="E2" s="37">
        <v>10.8</v>
      </c>
      <c r="F2" s="37"/>
      <c r="G2" s="37">
        <v>20</v>
      </c>
      <c r="H2" s="37">
        <v>10.8</v>
      </c>
      <c r="I2" s="37">
        <v>6.1</v>
      </c>
      <c r="J2" s="37"/>
      <c r="K2" s="88">
        <v>40</v>
      </c>
      <c r="L2" s="92">
        <v>7.9</v>
      </c>
      <c r="M2" s="88">
        <v>9.3000000000000007</v>
      </c>
      <c r="N2" s="88"/>
      <c r="O2" s="88">
        <v>50</v>
      </c>
      <c r="P2" s="92">
        <v>10.1</v>
      </c>
      <c r="Q2" s="88">
        <v>10.4</v>
      </c>
      <c r="R2" s="88"/>
      <c r="S2" s="88">
        <v>55</v>
      </c>
      <c r="T2" s="92">
        <v>7.6</v>
      </c>
      <c r="U2" s="88">
        <v>7.1</v>
      </c>
      <c r="V2" s="88"/>
      <c r="W2" s="88">
        <v>75</v>
      </c>
      <c r="X2" s="92">
        <v>5</v>
      </c>
      <c r="Y2" s="88">
        <v>6.1</v>
      </c>
      <c r="Z2" s="88"/>
      <c r="AA2" s="88">
        <v>80</v>
      </c>
      <c r="AB2" s="92">
        <v>4.5999999999999996</v>
      </c>
      <c r="AC2" s="88">
        <v>3.1</v>
      </c>
      <c r="AD2" s="88"/>
      <c r="AE2" s="88">
        <v>90</v>
      </c>
      <c r="AF2" s="92">
        <v>2.1</v>
      </c>
      <c r="AG2" s="88">
        <v>2.6</v>
      </c>
      <c r="AH2" s="88"/>
      <c r="AI2" s="88">
        <v>100</v>
      </c>
      <c r="AJ2" s="92"/>
      <c r="AK2" s="88"/>
      <c r="AL2" s="88"/>
      <c r="AM2" s="88">
        <v>100</v>
      </c>
      <c r="AN2" s="92"/>
      <c r="AO2" s="88"/>
      <c r="AP2" s="88"/>
    </row>
    <row r="3" spans="1:42" x14ac:dyDescent="0.2">
      <c r="A3" s="19" t="s">
        <v>711</v>
      </c>
      <c r="B3" s="19">
        <v>2</v>
      </c>
      <c r="C3" s="37">
        <v>15</v>
      </c>
      <c r="D3" s="37">
        <v>8.1</v>
      </c>
      <c r="E3" s="37">
        <v>7.7</v>
      </c>
      <c r="F3" s="37"/>
      <c r="G3" s="37">
        <v>15</v>
      </c>
      <c r="H3" s="37">
        <v>5.0999999999999996</v>
      </c>
      <c r="I3" s="37">
        <v>9</v>
      </c>
      <c r="J3" s="37"/>
      <c r="K3" s="88">
        <v>30</v>
      </c>
      <c r="L3" s="92">
        <v>5.5</v>
      </c>
      <c r="M3" s="88">
        <v>4.9000000000000004</v>
      </c>
      <c r="N3" s="88"/>
      <c r="O3" s="88">
        <v>30</v>
      </c>
      <c r="P3" s="92">
        <v>9.6999999999999993</v>
      </c>
      <c r="Q3" s="88">
        <v>6</v>
      </c>
      <c r="R3" s="88"/>
      <c r="S3" s="88">
        <v>40</v>
      </c>
      <c r="T3" s="92">
        <v>4.5999999999999996</v>
      </c>
      <c r="U3" s="88">
        <v>6.7</v>
      </c>
      <c r="V3" s="88"/>
      <c r="W3" s="88">
        <v>50</v>
      </c>
      <c r="X3" s="92">
        <v>4.8</v>
      </c>
      <c r="Y3" s="88">
        <v>5.4</v>
      </c>
      <c r="Z3" s="88"/>
      <c r="AA3" s="88">
        <v>60</v>
      </c>
      <c r="AB3" s="92">
        <v>3.5</v>
      </c>
      <c r="AC3" s="88">
        <v>4.3</v>
      </c>
      <c r="AD3" s="88"/>
      <c r="AE3" s="88">
        <v>70</v>
      </c>
      <c r="AF3" s="92">
        <v>2.4</v>
      </c>
      <c r="AG3" s="88">
        <v>2.8</v>
      </c>
      <c r="AH3" s="88"/>
      <c r="AI3" s="88">
        <v>95</v>
      </c>
      <c r="AJ3" s="92">
        <v>5.6</v>
      </c>
      <c r="AK3" s="88">
        <v>2.4</v>
      </c>
      <c r="AL3" s="88"/>
      <c r="AM3" s="88">
        <v>100</v>
      </c>
      <c r="AN3" s="92"/>
      <c r="AO3" s="88"/>
      <c r="AP3" s="88"/>
    </row>
    <row r="4" spans="1:42" x14ac:dyDescent="0.2">
      <c r="A4" s="19" t="s">
        <v>712</v>
      </c>
      <c r="B4" s="19">
        <v>3</v>
      </c>
      <c r="C4" s="37">
        <v>5</v>
      </c>
      <c r="D4" s="37">
        <v>5.6</v>
      </c>
      <c r="E4" s="37">
        <v>6.4</v>
      </c>
      <c r="F4" s="37"/>
      <c r="G4" s="37">
        <v>5</v>
      </c>
      <c r="H4" s="37">
        <v>5.5</v>
      </c>
      <c r="I4" s="37">
        <v>5.5</v>
      </c>
      <c r="J4" s="37"/>
      <c r="K4" s="88">
        <v>15</v>
      </c>
      <c r="L4" s="92">
        <v>3.4</v>
      </c>
      <c r="M4" s="88">
        <v>4.8</v>
      </c>
      <c r="N4" s="88"/>
      <c r="O4" s="88">
        <v>15</v>
      </c>
      <c r="P4" s="92">
        <v>6.1</v>
      </c>
      <c r="Q4" s="88">
        <v>4.8</v>
      </c>
      <c r="R4" s="88"/>
      <c r="S4" s="88">
        <v>25</v>
      </c>
      <c r="T4" s="92">
        <v>4.2</v>
      </c>
      <c r="U4" s="88">
        <v>2.7</v>
      </c>
      <c r="V4" s="88"/>
      <c r="W4" s="88">
        <v>40</v>
      </c>
      <c r="X4" s="92">
        <v>3.5</v>
      </c>
      <c r="Y4" s="88">
        <v>2.6</v>
      </c>
      <c r="Z4" s="88"/>
      <c r="AA4" s="88">
        <v>50</v>
      </c>
      <c r="AB4" s="92">
        <v>1.9</v>
      </c>
      <c r="AC4" s="88">
        <v>2.5</v>
      </c>
      <c r="AD4" s="88"/>
      <c r="AE4" s="88">
        <v>60</v>
      </c>
      <c r="AF4" s="92">
        <v>3.2</v>
      </c>
      <c r="AG4" s="88">
        <v>4.5999999999999996</v>
      </c>
      <c r="AH4" s="88"/>
      <c r="AI4" s="88">
        <v>85</v>
      </c>
      <c r="AJ4" s="92">
        <v>1.5</v>
      </c>
      <c r="AK4" s="88">
        <v>1.4</v>
      </c>
      <c r="AL4" s="88"/>
      <c r="AM4" s="88">
        <v>100</v>
      </c>
      <c r="AN4" s="92"/>
      <c r="AO4" s="88"/>
      <c r="AP4" s="88"/>
    </row>
    <row r="5" spans="1:42" x14ac:dyDescent="0.2">
      <c r="A5" s="19" t="s">
        <v>713</v>
      </c>
      <c r="B5" s="19">
        <v>4</v>
      </c>
      <c r="C5" s="37">
        <v>5</v>
      </c>
      <c r="D5" s="37">
        <v>8.6999999999999993</v>
      </c>
      <c r="E5" s="37">
        <v>9</v>
      </c>
      <c r="F5" s="37"/>
      <c r="G5" s="37">
        <v>5</v>
      </c>
      <c r="H5" s="37">
        <v>6.6</v>
      </c>
      <c r="I5" s="37">
        <v>6.5</v>
      </c>
      <c r="J5" s="37"/>
      <c r="K5" s="88">
        <v>10</v>
      </c>
      <c r="L5" s="92">
        <v>5.5</v>
      </c>
      <c r="M5" s="88">
        <v>6.8</v>
      </c>
      <c r="N5" s="88"/>
      <c r="O5" s="88">
        <v>15</v>
      </c>
      <c r="P5" s="92">
        <v>7.9</v>
      </c>
      <c r="Q5" s="88">
        <v>8</v>
      </c>
      <c r="R5" s="88"/>
      <c r="S5" s="88">
        <v>20</v>
      </c>
      <c r="T5" s="92">
        <v>4</v>
      </c>
      <c r="U5" s="88">
        <v>3.4</v>
      </c>
      <c r="V5" s="88"/>
      <c r="W5" s="88">
        <v>25</v>
      </c>
      <c r="X5" s="92">
        <v>4.2</v>
      </c>
      <c r="Y5" s="88">
        <v>3.5</v>
      </c>
      <c r="Z5" s="88"/>
      <c r="AA5" s="88">
        <v>35</v>
      </c>
      <c r="AB5" s="92">
        <v>3.5</v>
      </c>
      <c r="AC5" s="88">
        <v>6</v>
      </c>
      <c r="AD5" s="88"/>
      <c r="AE5" s="88">
        <v>40</v>
      </c>
      <c r="AF5" s="92">
        <v>4.0999999999999996</v>
      </c>
      <c r="AG5" s="88">
        <v>2.8</v>
      </c>
      <c r="AH5" s="88"/>
      <c r="AI5" s="88">
        <v>75</v>
      </c>
      <c r="AJ5" s="92">
        <v>1.6</v>
      </c>
      <c r="AK5" s="88">
        <v>1.9</v>
      </c>
      <c r="AL5" s="88"/>
      <c r="AM5" s="88">
        <v>100</v>
      </c>
      <c r="AN5" s="92"/>
      <c r="AO5" s="88"/>
      <c r="AP5" s="88"/>
    </row>
    <row r="6" spans="1:42" x14ac:dyDescent="0.2">
      <c r="A6" s="19" t="s">
        <v>714</v>
      </c>
      <c r="B6" s="19">
        <v>5</v>
      </c>
      <c r="C6" s="37">
        <v>5</v>
      </c>
      <c r="D6" s="37">
        <v>7.4</v>
      </c>
      <c r="E6" s="37">
        <v>7</v>
      </c>
      <c r="F6" s="37"/>
      <c r="G6" s="37">
        <v>5</v>
      </c>
      <c r="H6" s="37">
        <v>7.8</v>
      </c>
      <c r="I6" s="37">
        <v>7.2</v>
      </c>
      <c r="J6" s="37"/>
      <c r="K6" s="88">
        <v>25</v>
      </c>
      <c r="L6" s="92">
        <v>6.6</v>
      </c>
      <c r="M6" s="88">
        <v>6.9</v>
      </c>
      <c r="N6" s="88"/>
      <c r="O6" s="88">
        <v>35</v>
      </c>
      <c r="P6" s="92">
        <v>6</v>
      </c>
      <c r="Q6" s="88">
        <v>5.3</v>
      </c>
      <c r="R6" s="88"/>
      <c r="S6" s="88">
        <v>40</v>
      </c>
      <c r="T6" s="92">
        <v>5.4</v>
      </c>
      <c r="U6" s="88">
        <v>5.0999999999999996</v>
      </c>
      <c r="V6" s="88"/>
      <c r="W6" s="88">
        <v>50</v>
      </c>
      <c r="X6" s="92">
        <v>5.3</v>
      </c>
      <c r="Y6" s="88">
        <v>4.2</v>
      </c>
      <c r="Z6" s="88"/>
      <c r="AA6" s="88">
        <v>55</v>
      </c>
      <c r="AB6" s="92">
        <v>6.2</v>
      </c>
      <c r="AC6" s="88">
        <v>6</v>
      </c>
      <c r="AD6" s="88"/>
      <c r="AE6" s="88">
        <v>60</v>
      </c>
      <c r="AF6" s="92">
        <v>6.6</v>
      </c>
      <c r="AG6" s="88">
        <v>5.4</v>
      </c>
      <c r="AH6" s="88"/>
      <c r="AI6" s="88">
        <v>70</v>
      </c>
      <c r="AJ6" s="92">
        <v>2.2000000000000002</v>
      </c>
      <c r="AK6" s="88">
        <v>5.4</v>
      </c>
      <c r="AL6" s="88"/>
      <c r="AM6" s="88">
        <v>98</v>
      </c>
      <c r="AN6" s="92"/>
      <c r="AO6" s="88"/>
      <c r="AP6" s="88"/>
    </row>
    <row r="7" spans="1:42" x14ac:dyDescent="0.2">
      <c r="A7" s="19" t="s">
        <v>715</v>
      </c>
      <c r="B7" s="19">
        <v>6</v>
      </c>
      <c r="C7" s="37">
        <v>10</v>
      </c>
      <c r="D7" s="37">
        <v>6.5</v>
      </c>
      <c r="E7" s="37">
        <v>6.2</v>
      </c>
      <c r="F7" s="37"/>
      <c r="G7" s="37">
        <v>10</v>
      </c>
      <c r="H7" s="37">
        <v>6.5</v>
      </c>
      <c r="I7" s="37">
        <v>7.1</v>
      </c>
      <c r="J7" s="37"/>
      <c r="K7" s="88">
        <v>15</v>
      </c>
      <c r="L7" s="92">
        <v>5.3</v>
      </c>
      <c r="M7" s="88">
        <v>6.7</v>
      </c>
      <c r="N7" s="88"/>
      <c r="O7" s="88">
        <v>15</v>
      </c>
      <c r="P7" s="92">
        <v>5.8</v>
      </c>
      <c r="Q7" s="88">
        <v>6.2</v>
      </c>
      <c r="R7" s="88"/>
      <c r="S7" s="88">
        <v>20</v>
      </c>
      <c r="T7" s="92">
        <v>4</v>
      </c>
      <c r="U7" s="88">
        <v>5.9</v>
      </c>
      <c r="V7" s="88"/>
      <c r="W7" s="88">
        <v>25</v>
      </c>
      <c r="X7" s="92">
        <v>3.6</v>
      </c>
      <c r="Y7" s="88">
        <v>5.9</v>
      </c>
      <c r="Z7" s="88"/>
      <c r="AA7" s="88">
        <v>30</v>
      </c>
      <c r="AB7" s="92">
        <v>5.7</v>
      </c>
      <c r="AC7" s="88">
        <v>4</v>
      </c>
      <c r="AD7" s="88"/>
      <c r="AE7" s="88">
        <v>35</v>
      </c>
      <c r="AF7" s="92">
        <v>4.4000000000000004</v>
      </c>
      <c r="AG7" s="88">
        <v>5.2</v>
      </c>
      <c r="AH7" s="88"/>
      <c r="AI7" s="88">
        <v>45</v>
      </c>
      <c r="AJ7" s="92">
        <v>2.6</v>
      </c>
      <c r="AK7" s="88">
        <v>3.6</v>
      </c>
      <c r="AL7" s="88"/>
      <c r="AM7" s="88">
        <v>98</v>
      </c>
      <c r="AN7" s="92"/>
      <c r="AO7" s="88"/>
      <c r="AP7" s="88"/>
    </row>
    <row r="8" spans="1:42" x14ac:dyDescent="0.2">
      <c r="A8" s="19" t="s">
        <v>716</v>
      </c>
      <c r="B8" s="19">
        <v>7</v>
      </c>
      <c r="C8" s="37">
        <v>20</v>
      </c>
      <c r="D8" s="37">
        <v>5.3</v>
      </c>
      <c r="E8" s="37">
        <v>5.0999999999999996</v>
      </c>
      <c r="F8" s="37"/>
      <c r="G8" s="37">
        <v>20</v>
      </c>
      <c r="H8" s="37">
        <v>6.8</v>
      </c>
      <c r="I8" s="37">
        <v>4.9000000000000004</v>
      </c>
      <c r="J8" s="37"/>
      <c r="K8" s="88">
        <v>30</v>
      </c>
      <c r="L8" s="92">
        <v>4.7</v>
      </c>
      <c r="M8" s="88">
        <v>5</v>
      </c>
      <c r="N8" s="88"/>
      <c r="O8" s="88">
        <v>30</v>
      </c>
      <c r="P8" s="92">
        <v>4.5999999999999996</v>
      </c>
      <c r="Q8" s="88">
        <v>4.4000000000000004</v>
      </c>
      <c r="R8" s="88"/>
      <c r="S8" s="88">
        <v>35</v>
      </c>
      <c r="T8" s="92">
        <v>4.5</v>
      </c>
      <c r="U8" s="88">
        <v>3.1</v>
      </c>
      <c r="V8" s="88"/>
      <c r="W8" s="88">
        <v>60</v>
      </c>
      <c r="X8" s="92">
        <v>2.7</v>
      </c>
      <c r="Y8" s="88">
        <v>1.6</v>
      </c>
      <c r="Z8" s="88"/>
      <c r="AA8" s="88">
        <v>70</v>
      </c>
      <c r="AB8" s="92">
        <v>6.9</v>
      </c>
      <c r="AC8" s="88">
        <v>3.2</v>
      </c>
      <c r="AD8" s="88"/>
      <c r="AE8" s="88">
        <v>80</v>
      </c>
      <c r="AF8" s="92">
        <v>2.6</v>
      </c>
      <c r="AG8" s="88">
        <v>1.8</v>
      </c>
      <c r="AH8" s="88"/>
      <c r="AI8" s="88">
        <v>98</v>
      </c>
      <c r="AJ8" s="92"/>
      <c r="AK8" s="88"/>
      <c r="AL8" s="88"/>
      <c r="AM8" s="88">
        <v>100</v>
      </c>
      <c r="AN8" s="92"/>
      <c r="AO8" s="88"/>
      <c r="AP8" s="88"/>
    </row>
    <row r="9" spans="1:42" x14ac:dyDescent="0.2">
      <c r="A9" s="19" t="s">
        <v>717</v>
      </c>
      <c r="B9" s="19">
        <v>8</v>
      </c>
      <c r="C9" s="37">
        <v>40</v>
      </c>
      <c r="D9" s="37">
        <v>9.3000000000000007</v>
      </c>
      <c r="E9" s="37">
        <v>7.7</v>
      </c>
      <c r="F9" s="37"/>
      <c r="G9" s="37">
        <v>40</v>
      </c>
      <c r="H9" s="37">
        <v>8.5</v>
      </c>
      <c r="I9" s="37">
        <v>8.5</v>
      </c>
      <c r="J9" s="37"/>
      <c r="K9" s="88">
        <v>60</v>
      </c>
      <c r="L9" s="92">
        <v>7.5</v>
      </c>
      <c r="M9" s="88">
        <v>7.2</v>
      </c>
      <c r="N9" s="88"/>
      <c r="O9" s="88">
        <v>70</v>
      </c>
      <c r="P9" s="92">
        <v>6.9</v>
      </c>
      <c r="Q9" s="88">
        <v>7.4</v>
      </c>
      <c r="R9" s="88"/>
      <c r="S9" s="88">
        <v>75</v>
      </c>
      <c r="T9" s="92">
        <v>7.7</v>
      </c>
      <c r="U9" s="88">
        <v>5.4</v>
      </c>
      <c r="V9" s="88"/>
      <c r="W9" s="88">
        <v>80</v>
      </c>
      <c r="X9" s="92">
        <v>4.4000000000000004</v>
      </c>
      <c r="Y9" s="88">
        <v>5</v>
      </c>
      <c r="Z9" s="88"/>
      <c r="AA9" s="88">
        <v>80</v>
      </c>
      <c r="AB9" s="92">
        <v>7.3</v>
      </c>
      <c r="AC9" s="88">
        <v>5.0999999999999996</v>
      </c>
      <c r="AD9" s="88"/>
      <c r="AE9" s="88">
        <v>80</v>
      </c>
      <c r="AF9" s="92">
        <v>5.6</v>
      </c>
      <c r="AG9" s="88">
        <v>4.8</v>
      </c>
      <c r="AH9" s="88"/>
      <c r="AI9" s="88">
        <v>95</v>
      </c>
      <c r="AJ9" s="92">
        <v>3.1</v>
      </c>
      <c r="AK9" s="88">
        <v>1.9</v>
      </c>
      <c r="AL9" s="88"/>
      <c r="AM9" s="88">
        <v>100</v>
      </c>
      <c r="AN9" s="92"/>
      <c r="AO9" s="88"/>
      <c r="AP9" s="88"/>
    </row>
    <row r="10" spans="1:42" x14ac:dyDescent="0.2">
      <c r="A10" s="13" t="s">
        <v>719</v>
      </c>
      <c r="B10" s="13">
        <v>9</v>
      </c>
      <c r="C10" s="1">
        <v>20</v>
      </c>
      <c r="D10" s="1">
        <v>9.6</v>
      </c>
      <c r="E10" s="1">
        <v>9.9</v>
      </c>
      <c r="F10" s="1"/>
      <c r="G10" s="1">
        <v>25</v>
      </c>
      <c r="H10" s="1">
        <v>9.4</v>
      </c>
      <c r="I10" s="1">
        <v>10.1</v>
      </c>
      <c r="J10" s="1"/>
      <c r="K10" s="89">
        <v>30</v>
      </c>
      <c r="L10" s="93">
        <v>8.3000000000000007</v>
      </c>
      <c r="M10" s="89">
        <v>10.199999999999999</v>
      </c>
      <c r="N10" s="89"/>
      <c r="O10" s="89">
        <v>40</v>
      </c>
      <c r="P10" s="93">
        <v>3.6</v>
      </c>
      <c r="Q10" s="89">
        <v>6</v>
      </c>
      <c r="R10" s="89"/>
      <c r="S10" s="89">
        <v>45</v>
      </c>
      <c r="T10" s="93">
        <v>7.6</v>
      </c>
      <c r="U10" s="89">
        <v>8</v>
      </c>
      <c r="V10" s="89"/>
      <c r="W10" s="89">
        <v>60</v>
      </c>
      <c r="X10" s="93">
        <v>6</v>
      </c>
      <c r="Y10" s="89">
        <v>6.9</v>
      </c>
      <c r="Z10" s="89"/>
      <c r="AA10" s="89">
        <v>70</v>
      </c>
      <c r="AB10" s="93">
        <v>3</v>
      </c>
      <c r="AC10" s="89">
        <v>4.0999999999999996</v>
      </c>
      <c r="AD10" s="89"/>
      <c r="AE10" s="89">
        <v>75</v>
      </c>
      <c r="AF10" s="93">
        <v>3.2</v>
      </c>
      <c r="AG10" s="89">
        <v>1.8</v>
      </c>
      <c r="AH10" s="89"/>
      <c r="AI10" s="89">
        <v>95</v>
      </c>
      <c r="AJ10" s="93">
        <v>1.5</v>
      </c>
      <c r="AK10" s="89">
        <v>1.7</v>
      </c>
      <c r="AL10" s="89"/>
      <c r="AM10" s="89">
        <v>100</v>
      </c>
      <c r="AN10" s="93"/>
      <c r="AO10" s="89"/>
      <c r="AP10" s="89"/>
    </row>
    <row r="11" spans="1:42" x14ac:dyDescent="0.2">
      <c r="A11" s="13" t="s">
        <v>722</v>
      </c>
      <c r="B11" s="13">
        <v>12</v>
      </c>
      <c r="C11" s="1">
        <v>10</v>
      </c>
      <c r="D11" s="1">
        <v>15.1</v>
      </c>
      <c r="E11" s="1">
        <v>12.7</v>
      </c>
      <c r="F11" s="1"/>
      <c r="G11" s="1">
        <v>15</v>
      </c>
      <c r="H11" s="1">
        <v>15.1</v>
      </c>
      <c r="I11" s="1">
        <v>14.9</v>
      </c>
      <c r="J11" s="1"/>
      <c r="K11" s="89">
        <v>15</v>
      </c>
      <c r="L11" s="93">
        <v>12</v>
      </c>
      <c r="M11" s="89">
        <v>14</v>
      </c>
      <c r="N11" s="89"/>
      <c r="O11" s="89">
        <v>15</v>
      </c>
      <c r="P11" s="93">
        <v>12.1</v>
      </c>
      <c r="Q11" s="89">
        <v>15.1</v>
      </c>
      <c r="R11" s="89"/>
      <c r="S11" s="89">
        <v>20</v>
      </c>
      <c r="T11" s="93">
        <v>12.7</v>
      </c>
      <c r="U11" s="89">
        <v>13.1</v>
      </c>
      <c r="V11" s="89"/>
      <c r="W11" s="89">
        <v>30</v>
      </c>
      <c r="X11" s="93">
        <v>12.9</v>
      </c>
      <c r="Y11" s="89">
        <v>11.7</v>
      </c>
      <c r="Z11" s="89"/>
      <c r="AA11" s="89">
        <v>40</v>
      </c>
      <c r="AB11" s="93">
        <v>11.3</v>
      </c>
      <c r="AC11" s="89">
        <v>3.3</v>
      </c>
      <c r="AD11" s="89"/>
      <c r="AE11" s="89">
        <v>45</v>
      </c>
      <c r="AF11" s="93">
        <v>8.8000000000000007</v>
      </c>
      <c r="AG11" s="89">
        <v>8.1</v>
      </c>
      <c r="AH11" s="89"/>
      <c r="AI11" s="89">
        <v>55</v>
      </c>
      <c r="AJ11" s="93">
        <v>3.1</v>
      </c>
      <c r="AK11" s="89">
        <v>4.5999999999999996</v>
      </c>
      <c r="AL11" s="89"/>
      <c r="AM11" s="89">
        <v>90</v>
      </c>
      <c r="AN11" s="93">
        <v>6.3</v>
      </c>
      <c r="AO11" s="89">
        <v>3.1</v>
      </c>
      <c r="AP11" s="89"/>
    </row>
    <row r="12" spans="1:42" x14ac:dyDescent="0.2">
      <c r="A12" s="13" t="s">
        <v>723</v>
      </c>
      <c r="B12" s="13">
        <v>13</v>
      </c>
      <c r="C12" s="1">
        <v>10</v>
      </c>
      <c r="D12" s="1">
        <v>9.6</v>
      </c>
      <c r="E12" s="1">
        <v>10.8</v>
      </c>
      <c r="F12" s="1"/>
      <c r="G12" s="1">
        <v>10</v>
      </c>
      <c r="H12" s="1">
        <v>9.5</v>
      </c>
      <c r="I12" s="1">
        <v>8.8000000000000007</v>
      </c>
      <c r="J12" s="1"/>
      <c r="K12" s="89">
        <v>15</v>
      </c>
      <c r="L12" s="93">
        <v>7.4</v>
      </c>
      <c r="M12" s="89">
        <v>8.9</v>
      </c>
      <c r="N12" s="89"/>
      <c r="O12" s="89">
        <v>20</v>
      </c>
      <c r="P12" s="93">
        <v>9.1999999999999993</v>
      </c>
      <c r="Q12" s="89">
        <v>8.6</v>
      </c>
      <c r="R12" s="89"/>
      <c r="S12" s="89">
        <v>20</v>
      </c>
      <c r="T12" s="93">
        <v>6.5</v>
      </c>
      <c r="U12" s="89">
        <v>8.1999999999999993</v>
      </c>
      <c r="V12" s="89"/>
      <c r="W12" s="89">
        <v>25</v>
      </c>
      <c r="X12" s="93">
        <v>7.7</v>
      </c>
      <c r="Y12" s="89">
        <v>7.9</v>
      </c>
      <c r="Z12" s="89"/>
      <c r="AA12" s="89">
        <v>35</v>
      </c>
      <c r="AB12" s="93">
        <v>6.3</v>
      </c>
      <c r="AC12" s="89">
        <v>6.7</v>
      </c>
      <c r="AD12" s="89"/>
      <c r="AE12" s="89">
        <v>35</v>
      </c>
      <c r="AF12" s="93">
        <v>6.1</v>
      </c>
      <c r="AG12" s="89">
        <v>7.8</v>
      </c>
      <c r="AH12" s="89"/>
      <c r="AI12" s="89">
        <v>50</v>
      </c>
      <c r="AJ12" s="93">
        <v>6.1</v>
      </c>
      <c r="AK12" s="89">
        <v>6.4</v>
      </c>
      <c r="AL12" s="89"/>
      <c r="AM12" s="89">
        <v>98</v>
      </c>
      <c r="AN12" s="93"/>
      <c r="AO12" s="89"/>
      <c r="AP12" s="89"/>
    </row>
    <row r="13" spans="1:42" x14ac:dyDescent="0.2">
      <c r="A13" s="13" t="s">
        <v>726</v>
      </c>
      <c r="B13" s="13">
        <v>16</v>
      </c>
      <c r="C13" s="1">
        <v>30</v>
      </c>
      <c r="D13" s="1">
        <v>7.2</v>
      </c>
      <c r="E13" s="1">
        <v>8</v>
      </c>
      <c r="F13" s="1"/>
      <c r="G13" s="1">
        <v>30</v>
      </c>
      <c r="H13" s="1">
        <v>6.8</v>
      </c>
      <c r="I13" s="1">
        <v>7.9</v>
      </c>
      <c r="J13" s="1"/>
      <c r="K13" s="89">
        <v>60</v>
      </c>
      <c r="L13" s="93">
        <v>8.9</v>
      </c>
      <c r="M13" s="89">
        <v>6.6</v>
      </c>
      <c r="N13" s="89"/>
      <c r="O13" s="89">
        <v>60</v>
      </c>
      <c r="P13" s="93">
        <v>4.9000000000000004</v>
      </c>
      <c r="Q13" s="89">
        <v>4.5</v>
      </c>
      <c r="R13" s="89"/>
      <c r="S13" s="89">
        <v>70</v>
      </c>
      <c r="T13" s="93">
        <v>4.0999999999999996</v>
      </c>
      <c r="U13" s="89">
        <v>5.3</v>
      </c>
      <c r="V13" s="89"/>
      <c r="W13" s="89">
        <v>85</v>
      </c>
      <c r="X13" s="93">
        <v>4.4000000000000004</v>
      </c>
      <c r="Y13" s="89">
        <v>4.9000000000000004</v>
      </c>
      <c r="Z13" s="89"/>
      <c r="AA13" s="89">
        <v>85</v>
      </c>
      <c r="AB13" s="93">
        <v>3.1</v>
      </c>
      <c r="AC13" s="89">
        <v>6.3</v>
      </c>
      <c r="AD13" s="89"/>
      <c r="AE13" s="89">
        <v>90</v>
      </c>
      <c r="AF13" s="93">
        <v>3.1</v>
      </c>
      <c r="AG13" s="89">
        <v>4</v>
      </c>
      <c r="AH13" s="89"/>
      <c r="AI13" s="89">
        <v>95</v>
      </c>
      <c r="AJ13" s="93"/>
      <c r="AK13" s="89"/>
      <c r="AL13" s="89"/>
      <c r="AM13" s="89">
        <v>100</v>
      </c>
      <c r="AN13" s="93"/>
      <c r="AO13" s="89"/>
      <c r="AP13" s="89"/>
    </row>
    <row r="14" spans="1:42" x14ac:dyDescent="0.2">
      <c r="A14" s="19" t="s">
        <v>728</v>
      </c>
      <c r="B14" s="19">
        <v>17</v>
      </c>
      <c r="C14" s="37">
        <v>50</v>
      </c>
      <c r="D14" s="37">
        <v>10.3</v>
      </c>
      <c r="E14" s="37">
        <v>9.9</v>
      </c>
      <c r="F14" s="37" t="s">
        <v>1810</v>
      </c>
      <c r="G14" s="37">
        <v>50</v>
      </c>
      <c r="H14" s="37">
        <v>8.5</v>
      </c>
      <c r="I14" s="37">
        <v>8.6</v>
      </c>
      <c r="J14" s="37"/>
      <c r="K14" s="88">
        <v>70</v>
      </c>
      <c r="L14" s="92">
        <v>9.8000000000000007</v>
      </c>
      <c r="M14" s="88">
        <v>8.1999999999999993</v>
      </c>
      <c r="N14" s="88"/>
      <c r="O14" s="88">
        <v>70</v>
      </c>
      <c r="P14" s="92">
        <v>7.2</v>
      </c>
      <c r="Q14" s="88">
        <v>7.8</v>
      </c>
      <c r="R14" s="88"/>
      <c r="S14" s="88">
        <v>70</v>
      </c>
      <c r="T14" s="92">
        <v>6.6</v>
      </c>
      <c r="U14" s="88">
        <v>5.3</v>
      </c>
      <c r="V14" s="88"/>
      <c r="W14" s="88">
        <v>80</v>
      </c>
      <c r="X14" s="92">
        <v>6.8</v>
      </c>
      <c r="Y14" s="88">
        <v>5.8</v>
      </c>
      <c r="Z14" s="88"/>
      <c r="AA14" s="88">
        <v>85</v>
      </c>
      <c r="AB14" s="92">
        <v>4.9000000000000004</v>
      </c>
      <c r="AC14" s="88">
        <v>6.8</v>
      </c>
      <c r="AD14" s="88"/>
      <c r="AE14" s="88">
        <v>85</v>
      </c>
      <c r="AF14" s="92">
        <v>5.3</v>
      </c>
      <c r="AG14" s="88">
        <v>3.1</v>
      </c>
      <c r="AH14" s="88"/>
      <c r="AI14" s="88">
        <v>90</v>
      </c>
      <c r="AJ14" s="92">
        <v>3</v>
      </c>
      <c r="AK14" s="88">
        <v>5</v>
      </c>
      <c r="AL14" s="88"/>
      <c r="AM14" s="88">
        <v>100</v>
      </c>
      <c r="AN14" s="92"/>
      <c r="AO14" s="88"/>
      <c r="AP14" s="88"/>
    </row>
    <row r="15" spans="1:42" x14ac:dyDescent="0.2">
      <c r="A15" s="19" t="s">
        <v>731</v>
      </c>
      <c r="B15" s="19">
        <v>20</v>
      </c>
      <c r="C15" s="37">
        <v>20</v>
      </c>
      <c r="D15" s="37">
        <v>10.8</v>
      </c>
      <c r="E15" s="37">
        <v>9.5</v>
      </c>
      <c r="F15" s="37" t="s">
        <v>1810</v>
      </c>
      <c r="G15" s="37">
        <v>25</v>
      </c>
      <c r="H15" s="37">
        <v>10.4</v>
      </c>
      <c r="I15" s="37">
        <v>12</v>
      </c>
      <c r="J15" s="37"/>
      <c r="K15" s="88">
        <v>40</v>
      </c>
      <c r="L15" s="92">
        <v>10.199999999999999</v>
      </c>
      <c r="M15" s="88">
        <v>8.4</v>
      </c>
      <c r="N15" s="88"/>
      <c r="O15" s="88">
        <v>45</v>
      </c>
      <c r="P15" s="92">
        <v>12</v>
      </c>
      <c r="Q15" s="88">
        <v>10.5</v>
      </c>
      <c r="R15" s="88"/>
      <c r="S15" s="88">
        <v>50</v>
      </c>
      <c r="T15" s="92">
        <v>9.6</v>
      </c>
      <c r="U15" s="88">
        <v>11.3</v>
      </c>
      <c r="V15" s="88"/>
      <c r="W15" s="88">
        <v>55</v>
      </c>
      <c r="X15" s="92">
        <v>9.4</v>
      </c>
      <c r="Y15" s="88">
        <v>9.9</v>
      </c>
      <c r="Z15" s="88"/>
      <c r="AA15" s="88">
        <v>60</v>
      </c>
      <c r="AB15" s="92">
        <v>7.6</v>
      </c>
      <c r="AC15" s="88">
        <v>9</v>
      </c>
      <c r="AD15" s="88"/>
      <c r="AE15" s="88">
        <v>60</v>
      </c>
      <c r="AF15" s="92">
        <v>9</v>
      </c>
      <c r="AG15" s="88">
        <v>7.9</v>
      </c>
      <c r="AH15" s="88"/>
      <c r="AI15" s="88">
        <v>70</v>
      </c>
      <c r="AJ15" s="92">
        <v>7.9</v>
      </c>
      <c r="AK15" s="88">
        <v>3.3</v>
      </c>
      <c r="AL15" s="88"/>
      <c r="AM15" s="88">
        <v>95</v>
      </c>
      <c r="AN15" s="92">
        <v>2.8</v>
      </c>
      <c r="AO15" s="88">
        <v>3.9</v>
      </c>
      <c r="AP15" s="88"/>
    </row>
    <row r="16" spans="1:42" x14ac:dyDescent="0.2">
      <c r="A16" s="19" t="s">
        <v>732</v>
      </c>
      <c r="B16" s="19">
        <v>21</v>
      </c>
      <c r="C16" s="37">
        <v>10</v>
      </c>
      <c r="D16" s="37">
        <v>13.7</v>
      </c>
      <c r="E16" s="37">
        <v>13.4</v>
      </c>
      <c r="F16" s="37"/>
      <c r="G16" s="37">
        <v>10</v>
      </c>
      <c r="H16" s="37">
        <v>14.2</v>
      </c>
      <c r="I16" s="37">
        <v>12.2</v>
      </c>
      <c r="J16" s="37"/>
      <c r="K16" s="88">
        <v>30</v>
      </c>
      <c r="L16" s="92">
        <v>12.7</v>
      </c>
      <c r="M16" s="88">
        <v>8</v>
      </c>
      <c r="N16" s="88" t="s">
        <v>1810</v>
      </c>
      <c r="O16" s="88">
        <v>40</v>
      </c>
      <c r="P16" s="92">
        <v>10.7</v>
      </c>
      <c r="Q16" s="88">
        <v>9.5</v>
      </c>
      <c r="R16" s="88"/>
      <c r="S16" s="88">
        <v>40</v>
      </c>
      <c r="T16" s="92">
        <v>7.6</v>
      </c>
      <c r="U16" s="88">
        <v>7.8</v>
      </c>
      <c r="V16" s="88"/>
      <c r="W16" s="88">
        <v>40</v>
      </c>
      <c r="X16" s="92">
        <v>6.8</v>
      </c>
      <c r="Y16" s="88">
        <v>6.5</v>
      </c>
      <c r="Z16" s="88"/>
      <c r="AA16" s="88">
        <v>45</v>
      </c>
      <c r="AB16" s="92">
        <v>7</v>
      </c>
      <c r="AC16" s="88">
        <v>4.5</v>
      </c>
      <c r="AD16" s="88"/>
      <c r="AE16" s="88">
        <v>60</v>
      </c>
      <c r="AF16" s="92">
        <v>7.9</v>
      </c>
      <c r="AG16" s="88">
        <v>6.1</v>
      </c>
      <c r="AH16" s="88"/>
      <c r="AI16" s="88">
        <v>95</v>
      </c>
      <c r="AJ16" s="92"/>
      <c r="AK16" s="88"/>
      <c r="AL16" s="88"/>
      <c r="AM16" s="88">
        <v>100</v>
      </c>
      <c r="AN16" s="92"/>
      <c r="AO16" s="88"/>
      <c r="AP16" s="88"/>
    </row>
    <row r="17" spans="1:42" x14ac:dyDescent="0.2">
      <c r="A17" s="19" t="s">
        <v>735</v>
      </c>
      <c r="B17" s="19">
        <v>24</v>
      </c>
      <c r="C17" s="37">
        <v>30</v>
      </c>
      <c r="D17" s="37">
        <v>8.1999999999999993</v>
      </c>
      <c r="E17" s="37">
        <v>8.6999999999999993</v>
      </c>
      <c r="F17" s="37"/>
      <c r="G17" s="37">
        <v>30</v>
      </c>
      <c r="H17" s="37">
        <v>7.1</v>
      </c>
      <c r="I17" s="37">
        <v>7.5</v>
      </c>
      <c r="J17" s="37"/>
      <c r="K17" s="88">
        <v>30</v>
      </c>
      <c r="L17" s="92">
        <v>8</v>
      </c>
      <c r="M17" s="88">
        <v>9.1999999999999993</v>
      </c>
      <c r="N17" s="88" t="s">
        <v>1810</v>
      </c>
      <c r="O17" s="88">
        <v>30</v>
      </c>
      <c r="P17" s="92">
        <v>8</v>
      </c>
      <c r="Q17" s="88">
        <v>6.5</v>
      </c>
      <c r="R17" s="88"/>
      <c r="S17" s="88">
        <v>30</v>
      </c>
      <c r="T17" s="92">
        <v>6.4</v>
      </c>
      <c r="U17" s="88">
        <v>2.7</v>
      </c>
      <c r="V17" s="88"/>
      <c r="W17" s="88">
        <v>35</v>
      </c>
      <c r="X17" s="92">
        <v>5.5</v>
      </c>
      <c r="Y17" s="88">
        <v>5.4</v>
      </c>
      <c r="Z17" s="88"/>
      <c r="AA17" s="88">
        <v>40</v>
      </c>
      <c r="AB17" s="92">
        <v>6.6</v>
      </c>
      <c r="AC17" s="88">
        <v>7.7</v>
      </c>
      <c r="AD17" s="88"/>
      <c r="AE17" s="88">
        <v>45</v>
      </c>
      <c r="AF17" s="92">
        <v>6.3</v>
      </c>
      <c r="AG17" s="88">
        <v>6.6</v>
      </c>
      <c r="AH17" s="88"/>
      <c r="AI17" s="88">
        <v>50</v>
      </c>
      <c r="AJ17" s="92">
        <v>4.0999999999999996</v>
      </c>
      <c r="AK17" s="88">
        <v>4.3</v>
      </c>
      <c r="AL17" s="88"/>
      <c r="AM17" s="88">
        <v>90</v>
      </c>
      <c r="AN17" s="92">
        <v>3.1</v>
      </c>
      <c r="AO17" s="88">
        <v>4.8</v>
      </c>
      <c r="AP17" s="88"/>
    </row>
    <row r="18" spans="1:42" x14ac:dyDescent="0.2">
      <c r="A18" s="13" t="s">
        <v>755</v>
      </c>
      <c r="B18" s="13">
        <v>41</v>
      </c>
      <c r="C18" s="1">
        <v>5</v>
      </c>
      <c r="D18" s="1">
        <v>7.4</v>
      </c>
      <c r="E18" s="1">
        <v>8.1</v>
      </c>
      <c r="F18" s="1"/>
      <c r="G18" s="1">
        <v>10</v>
      </c>
      <c r="H18" s="1">
        <v>8.3000000000000007</v>
      </c>
      <c r="I18" s="1">
        <v>9.3000000000000007</v>
      </c>
      <c r="J18" s="1"/>
      <c r="K18" s="89">
        <v>10</v>
      </c>
      <c r="L18" s="93">
        <v>7.2</v>
      </c>
      <c r="M18" s="89">
        <v>7.4</v>
      </c>
      <c r="N18" s="89"/>
      <c r="O18" s="89">
        <v>15</v>
      </c>
      <c r="P18" s="93">
        <v>6.9</v>
      </c>
      <c r="Q18" s="89">
        <v>7.3</v>
      </c>
      <c r="R18" s="89"/>
      <c r="S18" s="89">
        <v>20</v>
      </c>
      <c r="T18" s="93">
        <v>7.2</v>
      </c>
      <c r="U18" s="89">
        <v>5.9</v>
      </c>
      <c r="V18" s="89"/>
      <c r="W18" s="89">
        <v>35</v>
      </c>
      <c r="X18" s="93">
        <v>6.7</v>
      </c>
      <c r="Y18" s="89">
        <v>5.3</v>
      </c>
      <c r="Z18" s="89"/>
      <c r="AA18" s="89">
        <v>35</v>
      </c>
      <c r="AB18" s="93">
        <v>5.3</v>
      </c>
      <c r="AC18" s="89">
        <v>5.7</v>
      </c>
      <c r="AD18" s="89"/>
      <c r="AE18" s="89">
        <v>45</v>
      </c>
      <c r="AF18" s="93">
        <v>2.2999999999999998</v>
      </c>
      <c r="AG18" s="89">
        <v>3.6</v>
      </c>
      <c r="AH18" s="89"/>
      <c r="AI18" s="89">
        <v>65</v>
      </c>
      <c r="AJ18" s="93">
        <v>4.5999999999999996</v>
      </c>
      <c r="AK18" s="89">
        <v>2.6</v>
      </c>
      <c r="AL18" s="89"/>
      <c r="AM18" s="89">
        <v>98</v>
      </c>
      <c r="AN18" s="93"/>
      <c r="AO18" s="89"/>
      <c r="AP18" s="89"/>
    </row>
    <row r="19" spans="1:42" x14ac:dyDescent="0.2">
      <c r="A19" s="13" t="s">
        <v>758</v>
      </c>
      <c r="B19" s="13">
        <v>44</v>
      </c>
      <c r="C19" s="1">
        <v>5</v>
      </c>
      <c r="D19" s="1">
        <v>13.2</v>
      </c>
      <c r="E19" s="1">
        <v>15.6</v>
      </c>
      <c r="F19" s="1"/>
      <c r="G19" s="1">
        <v>5</v>
      </c>
      <c r="H19" s="1">
        <v>14.6</v>
      </c>
      <c r="I19" s="1">
        <v>13.7</v>
      </c>
      <c r="J19" s="1"/>
      <c r="K19" s="89">
        <v>5</v>
      </c>
      <c r="L19" s="93">
        <v>14</v>
      </c>
      <c r="M19" s="89">
        <v>13.7</v>
      </c>
      <c r="N19" s="89"/>
      <c r="O19" s="89">
        <v>5</v>
      </c>
      <c r="P19" s="93">
        <v>12.5</v>
      </c>
      <c r="Q19" s="89">
        <v>14.6</v>
      </c>
      <c r="R19" s="89"/>
      <c r="S19" s="89">
        <v>5</v>
      </c>
      <c r="T19" s="93">
        <v>13.3</v>
      </c>
      <c r="U19" s="89">
        <v>14.7</v>
      </c>
      <c r="V19" s="89"/>
      <c r="W19" s="89">
        <v>5</v>
      </c>
      <c r="X19" s="93">
        <v>13</v>
      </c>
      <c r="Y19" s="89">
        <v>10.9</v>
      </c>
      <c r="Z19" s="89"/>
      <c r="AA19" s="89">
        <v>10</v>
      </c>
      <c r="AB19" s="93">
        <v>12.5</v>
      </c>
      <c r="AC19" s="89">
        <v>13</v>
      </c>
      <c r="AD19" s="89"/>
      <c r="AE19" s="89">
        <v>15</v>
      </c>
      <c r="AF19" s="93">
        <v>8.9</v>
      </c>
      <c r="AG19" s="89">
        <v>10.8</v>
      </c>
      <c r="AH19" s="89"/>
      <c r="AI19" s="89">
        <v>30</v>
      </c>
      <c r="AJ19" s="93">
        <v>3.1</v>
      </c>
      <c r="AK19" s="89">
        <v>3.2</v>
      </c>
      <c r="AL19" s="89"/>
      <c r="AM19" s="89">
        <v>100</v>
      </c>
      <c r="AN19" s="93"/>
      <c r="AO19" s="89"/>
      <c r="AP19" s="89"/>
    </row>
    <row r="20" spans="1:42" x14ac:dyDescent="0.2">
      <c r="A20" s="13" t="s">
        <v>759</v>
      </c>
      <c r="B20" s="13">
        <v>45</v>
      </c>
      <c r="C20" s="1">
        <v>5</v>
      </c>
      <c r="D20" s="1">
        <v>14.7</v>
      </c>
      <c r="E20" s="1">
        <v>13.1</v>
      </c>
      <c r="F20" s="1"/>
      <c r="G20" s="1">
        <v>5</v>
      </c>
      <c r="H20" s="1">
        <v>9</v>
      </c>
      <c r="I20" s="1">
        <v>11</v>
      </c>
      <c r="J20" s="1"/>
      <c r="K20" s="89">
        <v>5</v>
      </c>
      <c r="L20" s="93">
        <v>8.8000000000000007</v>
      </c>
      <c r="M20" s="89">
        <v>12.9</v>
      </c>
      <c r="N20" s="89"/>
      <c r="O20" s="89">
        <v>5</v>
      </c>
      <c r="P20" s="93">
        <v>9.1999999999999993</v>
      </c>
      <c r="Q20" s="89">
        <v>10.4</v>
      </c>
      <c r="R20" s="89"/>
      <c r="S20" s="89">
        <v>5</v>
      </c>
      <c r="T20" s="93">
        <v>7.7</v>
      </c>
      <c r="U20" s="89">
        <v>12.1</v>
      </c>
      <c r="V20" s="89"/>
      <c r="W20" s="89">
        <v>10</v>
      </c>
      <c r="X20" s="93">
        <v>7.4</v>
      </c>
      <c r="Y20" s="89">
        <v>9.4</v>
      </c>
      <c r="Z20" s="89"/>
      <c r="AA20" s="89">
        <v>15</v>
      </c>
      <c r="AB20" s="93">
        <v>9.4</v>
      </c>
      <c r="AC20" s="89">
        <v>10.8</v>
      </c>
      <c r="AD20" s="89"/>
      <c r="AE20" s="89">
        <v>15</v>
      </c>
      <c r="AF20" s="93">
        <v>10.5</v>
      </c>
      <c r="AG20" s="89">
        <v>8.3000000000000007</v>
      </c>
      <c r="AH20" s="89"/>
      <c r="AI20" s="89">
        <v>35</v>
      </c>
      <c r="AJ20" s="93">
        <v>7.4</v>
      </c>
      <c r="AK20" s="89">
        <v>7</v>
      </c>
      <c r="AL20" s="89"/>
      <c r="AM20" s="89">
        <v>100</v>
      </c>
      <c r="AN20" s="93"/>
      <c r="AO20" s="89"/>
      <c r="AP20" s="89"/>
    </row>
    <row r="21" spans="1:42" x14ac:dyDescent="0.2">
      <c r="A21" s="13" t="s">
        <v>762</v>
      </c>
      <c r="B21" s="13">
        <v>48</v>
      </c>
      <c r="C21" s="1">
        <v>2</v>
      </c>
      <c r="D21" s="1">
        <v>9.9</v>
      </c>
      <c r="E21" s="1">
        <v>13.1</v>
      </c>
      <c r="F21" s="1"/>
      <c r="G21" s="1">
        <v>2</v>
      </c>
      <c r="H21" s="1">
        <v>10.5</v>
      </c>
      <c r="I21" s="1">
        <v>10.3</v>
      </c>
      <c r="J21" s="1"/>
      <c r="K21" s="89">
        <v>5</v>
      </c>
      <c r="L21" s="93">
        <v>10</v>
      </c>
      <c r="M21" s="89">
        <v>9.3000000000000007</v>
      </c>
      <c r="N21" s="89"/>
      <c r="O21" s="89">
        <v>10</v>
      </c>
      <c r="P21" s="93">
        <v>10.6</v>
      </c>
      <c r="Q21" s="89">
        <v>11.3</v>
      </c>
      <c r="R21" s="89"/>
      <c r="S21" s="89">
        <v>10</v>
      </c>
      <c r="T21" s="93">
        <v>8</v>
      </c>
      <c r="U21" s="89">
        <v>8.1999999999999993</v>
      </c>
      <c r="V21" s="89"/>
      <c r="W21" s="89">
        <v>15</v>
      </c>
      <c r="X21" s="93">
        <v>8.3000000000000007</v>
      </c>
      <c r="Y21" s="89">
        <v>7</v>
      </c>
      <c r="Z21" s="89"/>
      <c r="AA21" s="89">
        <v>25</v>
      </c>
      <c r="AB21" s="93">
        <v>5.4</v>
      </c>
      <c r="AC21" s="89">
        <v>6.8</v>
      </c>
      <c r="AD21" s="89"/>
      <c r="AE21" s="89">
        <v>45</v>
      </c>
      <c r="AF21" s="93">
        <v>7.8</v>
      </c>
      <c r="AG21" s="89">
        <v>6.8</v>
      </c>
      <c r="AH21" s="89"/>
      <c r="AI21" s="89">
        <v>80</v>
      </c>
      <c r="AJ21" s="93">
        <v>6.5</v>
      </c>
      <c r="AK21" s="89">
        <v>2.7</v>
      </c>
      <c r="AL21" s="89"/>
      <c r="AM21" s="89">
        <v>100</v>
      </c>
      <c r="AN21" s="93"/>
      <c r="AO21" s="89"/>
      <c r="AP21" s="89"/>
    </row>
    <row r="22" spans="1:42" x14ac:dyDescent="0.2">
      <c r="A22" s="19" t="s">
        <v>764</v>
      </c>
      <c r="B22" s="19">
        <v>49</v>
      </c>
      <c r="C22" s="37">
        <v>90</v>
      </c>
      <c r="D22" s="37">
        <v>8.8000000000000007</v>
      </c>
      <c r="E22" s="37">
        <v>8</v>
      </c>
      <c r="F22" s="37" t="s">
        <v>1811</v>
      </c>
      <c r="G22" s="37">
        <v>90</v>
      </c>
      <c r="H22" s="37">
        <v>9.1999999999999993</v>
      </c>
      <c r="I22" s="37">
        <v>7.7</v>
      </c>
      <c r="J22" s="37"/>
      <c r="K22" s="88">
        <v>95</v>
      </c>
      <c r="L22" s="92">
        <v>6.3</v>
      </c>
      <c r="M22" s="88">
        <v>8.8000000000000007</v>
      </c>
      <c r="N22" s="88"/>
      <c r="O22" s="88">
        <v>95</v>
      </c>
      <c r="P22" s="92">
        <v>9</v>
      </c>
      <c r="Q22" s="88">
        <v>6</v>
      </c>
      <c r="R22" s="88"/>
      <c r="S22" s="88">
        <v>95</v>
      </c>
      <c r="T22" s="92"/>
      <c r="U22" s="88"/>
      <c r="V22" s="88"/>
      <c r="W22" s="88">
        <v>95</v>
      </c>
      <c r="X22" s="92"/>
      <c r="Y22" s="88"/>
      <c r="Z22" s="88"/>
      <c r="AA22" s="88">
        <v>95</v>
      </c>
      <c r="AB22" s="92"/>
      <c r="AC22" s="88"/>
      <c r="AD22" s="88"/>
      <c r="AE22" s="88">
        <v>98</v>
      </c>
      <c r="AF22" s="92"/>
      <c r="AG22" s="88"/>
      <c r="AH22" s="88"/>
      <c r="AI22" s="88">
        <v>98</v>
      </c>
      <c r="AJ22" s="92"/>
      <c r="AK22" s="88"/>
      <c r="AL22" s="88"/>
      <c r="AM22" s="88">
        <v>100</v>
      </c>
      <c r="AN22" s="92"/>
      <c r="AO22" s="88"/>
      <c r="AP22" s="88"/>
    </row>
    <row r="23" spans="1:42" x14ac:dyDescent="0.2">
      <c r="A23" s="19" t="s">
        <v>765</v>
      </c>
      <c r="B23" s="19">
        <v>50</v>
      </c>
      <c r="C23" s="37">
        <v>95</v>
      </c>
      <c r="D23" s="37"/>
      <c r="E23" s="37"/>
      <c r="F23" s="37" t="s">
        <v>1810</v>
      </c>
      <c r="G23" s="37">
        <v>95</v>
      </c>
      <c r="H23" s="37"/>
      <c r="I23" s="37"/>
      <c r="J23" s="37"/>
      <c r="K23" s="88">
        <v>98</v>
      </c>
      <c r="L23" s="92"/>
      <c r="M23" s="88"/>
      <c r="N23" s="88"/>
      <c r="O23" s="88">
        <v>98</v>
      </c>
      <c r="P23" s="92"/>
      <c r="Q23" s="88"/>
      <c r="R23" s="88"/>
      <c r="S23" s="88">
        <v>98</v>
      </c>
      <c r="T23" s="92"/>
      <c r="U23" s="88"/>
      <c r="V23" s="88"/>
      <c r="W23" s="88">
        <v>98</v>
      </c>
      <c r="X23" s="92"/>
      <c r="Y23" s="88"/>
      <c r="Z23" s="88"/>
      <c r="AA23" s="88">
        <v>98</v>
      </c>
      <c r="AB23" s="92"/>
      <c r="AC23" s="88"/>
      <c r="AD23" s="88"/>
      <c r="AE23" s="88">
        <v>100</v>
      </c>
      <c r="AF23" s="92"/>
      <c r="AG23" s="88"/>
      <c r="AH23" s="88"/>
      <c r="AI23" s="88">
        <v>100</v>
      </c>
      <c r="AJ23" s="92"/>
      <c r="AK23" s="88"/>
      <c r="AL23" s="88"/>
      <c r="AM23" s="88">
        <v>98</v>
      </c>
      <c r="AN23" s="92"/>
      <c r="AO23" s="88"/>
      <c r="AP23" s="88"/>
    </row>
    <row r="24" spans="1:42" x14ac:dyDescent="0.2">
      <c r="A24" s="19" t="s">
        <v>766</v>
      </c>
      <c r="B24" s="19">
        <v>51</v>
      </c>
      <c r="C24" s="37">
        <v>60</v>
      </c>
      <c r="D24" s="37">
        <v>10.7</v>
      </c>
      <c r="E24" s="37">
        <v>9.6</v>
      </c>
      <c r="F24" s="37" t="s">
        <v>1810</v>
      </c>
      <c r="G24" s="37">
        <v>60</v>
      </c>
      <c r="H24" s="37">
        <v>8.8000000000000007</v>
      </c>
      <c r="I24" s="37">
        <v>9.3000000000000007</v>
      </c>
      <c r="J24" s="37"/>
      <c r="K24" s="88">
        <v>90</v>
      </c>
      <c r="L24" s="92">
        <v>10.3</v>
      </c>
      <c r="M24" s="88">
        <v>8</v>
      </c>
      <c r="N24" s="88"/>
      <c r="O24" s="88">
        <v>90</v>
      </c>
      <c r="P24" s="92">
        <v>10.1</v>
      </c>
      <c r="Q24" s="88">
        <v>7.5</v>
      </c>
      <c r="R24" s="88"/>
      <c r="S24" s="88">
        <v>90</v>
      </c>
      <c r="T24" s="92">
        <v>9.3000000000000007</v>
      </c>
      <c r="U24" s="88">
        <v>10.8</v>
      </c>
      <c r="V24" s="88"/>
      <c r="W24" s="88">
        <v>90</v>
      </c>
      <c r="X24" s="92">
        <v>8.8000000000000007</v>
      </c>
      <c r="Y24" s="88">
        <v>6.4</v>
      </c>
      <c r="Z24" s="88"/>
      <c r="AA24" s="88">
        <v>90</v>
      </c>
      <c r="AB24" s="92">
        <v>5.6</v>
      </c>
      <c r="AC24" s="88">
        <v>10.6</v>
      </c>
      <c r="AD24" s="88"/>
      <c r="AE24" s="88">
        <v>90</v>
      </c>
      <c r="AF24" s="92">
        <v>9.1</v>
      </c>
      <c r="AG24" s="88">
        <v>7.2</v>
      </c>
      <c r="AH24" s="88"/>
      <c r="AI24" s="88">
        <v>90</v>
      </c>
      <c r="AJ24" s="92">
        <v>6.5</v>
      </c>
      <c r="AK24" s="88">
        <v>7.8</v>
      </c>
      <c r="AL24" s="88"/>
      <c r="AM24" s="88">
        <v>100</v>
      </c>
      <c r="AN24" s="92"/>
      <c r="AO24" s="88"/>
      <c r="AP24" s="88"/>
    </row>
    <row r="25" spans="1:42" x14ac:dyDescent="0.2">
      <c r="A25" s="19" t="s">
        <v>767</v>
      </c>
      <c r="B25" s="19">
        <v>52</v>
      </c>
      <c r="C25" s="37">
        <v>95</v>
      </c>
      <c r="D25" s="37">
        <v>9</v>
      </c>
      <c r="E25" s="37">
        <v>9.9</v>
      </c>
      <c r="F25" s="37" t="s">
        <v>1811</v>
      </c>
      <c r="G25" s="37">
        <v>95</v>
      </c>
      <c r="H25" s="37">
        <v>8</v>
      </c>
      <c r="I25" s="37">
        <v>7.2</v>
      </c>
      <c r="J25" s="37"/>
      <c r="K25" s="88">
        <v>95</v>
      </c>
      <c r="L25" s="92">
        <v>8.4</v>
      </c>
      <c r="M25" s="88">
        <v>8.8000000000000007</v>
      </c>
      <c r="N25" s="88"/>
      <c r="O25" s="88">
        <v>95</v>
      </c>
      <c r="P25" s="92">
        <v>5</v>
      </c>
      <c r="Q25" s="88">
        <v>7.3</v>
      </c>
      <c r="R25" s="88"/>
      <c r="S25" s="88">
        <v>98</v>
      </c>
      <c r="T25" s="92"/>
      <c r="U25" s="88"/>
      <c r="V25" s="88"/>
      <c r="W25" s="88">
        <v>98</v>
      </c>
      <c r="X25" s="92"/>
      <c r="Y25" s="88"/>
      <c r="Z25" s="88"/>
      <c r="AA25" s="88">
        <v>98</v>
      </c>
      <c r="AB25" s="92"/>
      <c r="AC25" s="88"/>
      <c r="AD25" s="88"/>
      <c r="AE25" s="88">
        <v>98</v>
      </c>
      <c r="AF25" s="92"/>
      <c r="AG25" s="88"/>
      <c r="AH25" s="88"/>
      <c r="AI25" s="88">
        <v>100</v>
      </c>
      <c r="AJ25" s="92"/>
      <c r="AK25" s="88"/>
      <c r="AL25" s="88"/>
      <c r="AM25" s="88">
        <v>100</v>
      </c>
      <c r="AN25" s="92"/>
      <c r="AO25" s="88"/>
      <c r="AP25" s="88"/>
    </row>
    <row r="26" spans="1:42" x14ac:dyDescent="0.2">
      <c r="A26" s="19" t="s">
        <v>768</v>
      </c>
      <c r="B26" s="19">
        <v>53</v>
      </c>
      <c r="C26" s="37">
        <v>98</v>
      </c>
      <c r="D26" s="37"/>
      <c r="E26" s="37"/>
      <c r="F26" s="37" t="s">
        <v>1810</v>
      </c>
      <c r="G26" s="37">
        <v>98</v>
      </c>
      <c r="H26" s="37"/>
      <c r="I26" s="37"/>
      <c r="J26" s="37"/>
      <c r="K26" s="88">
        <v>100</v>
      </c>
      <c r="L26" s="92"/>
      <c r="M26" s="88"/>
      <c r="N26" s="88"/>
      <c r="O26" s="88">
        <v>100</v>
      </c>
      <c r="P26" s="92"/>
      <c r="Q26" s="88"/>
      <c r="R26" s="88"/>
      <c r="S26" s="88">
        <v>100</v>
      </c>
      <c r="T26" s="92"/>
      <c r="U26" s="88"/>
      <c r="V26" s="88"/>
      <c r="W26" s="88">
        <v>100</v>
      </c>
      <c r="X26" s="92"/>
      <c r="Y26" s="88"/>
      <c r="Z26" s="88"/>
      <c r="AA26" s="88">
        <v>100</v>
      </c>
      <c r="AB26" s="92"/>
      <c r="AC26" s="88"/>
      <c r="AD26" s="88"/>
      <c r="AE26" s="88">
        <v>100</v>
      </c>
      <c r="AF26" s="92"/>
      <c r="AG26" s="88"/>
      <c r="AH26" s="88"/>
      <c r="AI26" s="88">
        <v>100</v>
      </c>
      <c r="AJ26" s="92"/>
      <c r="AK26" s="88"/>
      <c r="AL26" s="88"/>
      <c r="AM26" s="88">
        <v>100</v>
      </c>
      <c r="AN26" s="92"/>
      <c r="AO26" s="88"/>
      <c r="AP26" s="88"/>
    </row>
    <row r="27" spans="1:42" x14ac:dyDescent="0.2">
      <c r="A27" s="19" t="s">
        <v>769</v>
      </c>
      <c r="B27" s="19">
        <v>54</v>
      </c>
      <c r="C27" s="37">
        <v>75</v>
      </c>
      <c r="D27" s="37">
        <v>6.8</v>
      </c>
      <c r="E27" s="37">
        <v>6.3</v>
      </c>
      <c r="F27" s="37" t="s">
        <v>1810</v>
      </c>
      <c r="G27" s="37">
        <v>75</v>
      </c>
      <c r="H27" s="37">
        <v>6.2</v>
      </c>
      <c r="I27" s="37">
        <v>6.6</v>
      </c>
      <c r="J27" s="37"/>
      <c r="K27" s="88">
        <v>95</v>
      </c>
      <c r="L27" s="92">
        <v>6</v>
      </c>
      <c r="M27" s="88">
        <v>6.2</v>
      </c>
      <c r="N27" s="88"/>
      <c r="O27" s="88">
        <v>95</v>
      </c>
      <c r="P27" s="92">
        <v>5.3</v>
      </c>
      <c r="Q27" s="88">
        <v>5</v>
      </c>
      <c r="R27" s="88"/>
      <c r="S27" s="88">
        <v>95</v>
      </c>
      <c r="T27" s="92">
        <v>6.2</v>
      </c>
      <c r="U27" s="88">
        <v>5.3</v>
      </c>
      <c r="V27" s="88"/>
      <c r="W27" s="88">
        <v>95</v>
      </c>
      <c r="X27" s="92">
        <v>5.8</v>
      </c>
      <c r="Y27" s="88">
        <v>6.8</v>
      </c>
      <c r="Z27" s="88"/>
      <c r="AA27" s="88">
        <v>95</v>
      </c>
      <c r="AB27" s="92">
        <v>5</v>
      </c>
      <c r="AC27" s="88">
        <v>5.6</v>
      </c>
      <c r="AD27" s="88"/>
      <c r="AE27" s="88">
        <v>95</v>
      </c>
      <c r="AF27" s="92">
        <v>4.8</v>
      </c>
      <c r="AG27" s="88">
        <v>3.3</v>
      </c>
      <c r="AH27" s="88"/>
      <c r="AI27" s="88">
        <v>98</v>
      </c>
      <c r="AJ27" s="92"/>
      <c r="AK27" s="88"/>
      <c r="AL27" s="88"/>
      <c r="AM27" s="88">
        <v>100</v>
      </c>
      <c r="AN27" s="92"/>
      <c r="AO27" s="88"/>
      <c r="AP27" s="88"/>
    </row>
    <row r="28" spans="1:42" x14ac:dyDescent="0.2">
      <c r="A28" s="19" t="s">
        <v>770</v>
      </c>
      <c r="B28" s="19">
        <v>55</v>
      </c>
      <c r="C28" s="37">
        <v>100</v>
      </c>
      <c r="D28" s="37"/>
      <c r="E28" s="37"/>
      <c r="F28" s="37" t="s">
        <v>1810</v>
      </c>
      <c r="G28" s="37">
        <v>100</v>
      </c>
      <c r="H28" s="37"/>
      <c r="I28" s="37"/>
      <c r="J28" s="37"/>
      <c r="K28" s="88">
        <v>100</v>
      </c>
      <c r="L28" s="92"/>
      <c r="M28" s="88"/>
      <c r="N28" s="88"/>
      <c r="O28" s="88">
        <v>100</v>
      </c>
      <c r="P28" s="92"/>
      <c r="Q28" s="88"/>
      <c r="R28" s="88"/>
      <c r="S28" s="88">
        <v>100</v>
      </c>
      <c r="T28" s="92"/>
      <c r="U28" s="88"/>
      <c r="V28" s="88"/>
      <c r="W28" s="88">
        <v>100</v>
      </c>
      <c r="X28" s="92"/>
      <c r="Y28" s="88"/>
      <c r="Z28" s="88"/>
      <c r="AA28" s="88">
        <v>100</v>
      </c>
      <c r="AB28" s="92"/>
      <c r="AC28" s="88"/>
      <c r="AD28" s="88"/>
      <c r="AE28" s="88">
        <v>100</v>
      </c>
      <c r="AF28" s="92"/>
      <c r="AG28" s="88"/>
      <c r="AH28" s="88"/>
      <c r="AI28" s="88">
        <v>100</v>
      </c>
      <c r="AJ28" s="92"/>
      <c r="AK28" s="88"/>
      <c r="AL28" s="88"/>
      <c r="AM28" s="88">
        <v>100</v>
      </c>
      <c r="AN28" s="92"/>
      <c r="AO28" s="88"/>
      <c r="AP28" s="88"/>
    </row>
    <row r="29" spans="1:42" x14ac:dyDescent="0.2">
      <c r="A29" s="19" t="s">
        <v>771</v>
      </c>
      <c r="B29" s="19">
        <v>56</v>
      </c>
      <c r="C29" s="37">
        <v>95</v>
      </c>
      <c r="D29" s="37">
        <v>4.5</v>
      </c>
      <c r="E29" s="37">
        <v>4.7</v>
      </c>
      <c r="F29" s="37" t="s">
        <v>1810</v>
      </c>
      <c r="G29" s="37">
        <v>95</v>
      </c>
      <c r="H29" s="37">
        <v>4.9000000000000004</v>
      </c>
      <c r="I29" s="37">
        <v>4.5999999999999996</v>
      </c>
      <c r="J29" s="37"/>
      <c r="K29" s="88">
        <v>98</v>
      </c>
      <c r="L29" s="92">
        <v>4.9000000000000004</v>
      </c>
      <c r="M29" s="88">
        <v>4.5999999999999996</v>
      </c>
      <c r="N29" s="88"/>
      <c r="O29" s="88">
        <v>98</v>
      </c>
      <c r="P29" s="92"/>
      <c r="Q29" s="88"/>
      <c r="R29" s="88"/>
      <c r="S29" s="88">
        <v>98</v>
      </c>
      <c r="T29" s="92"/>
      <c r="U29" s="88"/>
      <c r="V29" s="88"/>
      <c r="W29" s="88">
        <v>98</v>
      </c>
      <c r="X29" s="92"/>
      <c r="Y29" s="88"/>
      <c r="Z29" s="88"/>
      <c r="AA29" s="88">
        <v>98</v>
      </c>
      <c r="AB29" s="92"/>
      <c r="AC29" s="88"/>
      <c r="AD29" s="88"/>
      <c r="AE29" s="88">
        <v>100</v>
      </c>
      <c r="AF29" s="92"/>
      <c r="AG29" s="88"/>
      <c r="AH29" s="88"/>
      <c r="AI29" s="88">
        <v>100</v>
      </c>
      <c r="AJ29" s="92"/>
      <c r="AK29" s="88"/>
      <c r="AL29" s="88"/>
      <c r="AM29" s="88">
        <v>100</v>
      </c>
      <c r="AN29" s="92"/>
      <c r="AO29" s="88"/>
      <c r="AP29" s="88"/>
    </row>
    <row r="30" spans="1:42" x14ac:dyDescent="0.2">
      <c r="A30" s="13" t="s">
        <v>791</v>
      </c>
      <c r="B30" s="13">
        <v>73</v>
      </c>
      <c r="C30" s="1">
        <v>5</v>
      </c>
      <c r="D30" s="1">
        <v>6.5</v>
      </c>
      <c r="E30" s="1">
        <v>5.8</v>
      </c>
      <c r="F30" s="1"/>
      <c r="G30" s="1">
        <v>5</v>
      </c>
      <c r="H30" s="1">
        <v>7.1</v>
      </c>
      <c r="I30" s="1">
        <v>7.4</v>
      </c>
      <c r="J30" s="1"/>
      <c r="K30" s="89">
        <v>5</v>
      </c>
      <c r="L30" s="93">
        <v>7.4</v>
      </c>
      <c r="M30" s="89">
        <v>6.4</v>
      </c>
      <c r="N30" s="89"/>
      <c r="O30" s="89">
        <v>10</v>
      </c>
      <c r="P30" s="93">
        <v>7.3</v>
      </c>
      <c r="Q30" s="89">
        <v>6.7</v>
      </c>
      <c r="R30" s="89"/>
      <c r="S30" s="89">
        <v>15</v>
      </c>
      <c r="T30" s="93">
        <v>6.5</v>
      </c>
      <c r="U30" s="89">
        <v>5.7</v>
      </c>
      <c r="V30" s="89"/>
      <c r="W30" s="89">
        <v>35</v>
      </c>
      <c r="X30" s="93">
        <v>5.4</v>
      </c>
      <c r="Y30" s="89">
        <v>6.8</v>
      </c>
      <c r="Z30" s="89"/>
      <c r="AA30" s="89">
        <v>40</v>
      </c>
      <c r="AB30" s="93">
        <v>5.8</v>
      </c>
      <c r="AC30" s="89">
        <v>4.5999999999999996</v>
      </c>
      <c r="AD30" s="89"/>
      <c r="AE30" s="89">
        <v>50</v>
      </c>
      <c r="AF30" s="93">
        <v>3.8</v>
      </c>
      <c r="AG30" s="89">
        <v>4.5999999999999996</v>
      </c>
      <c r="AH30" s="89"/>
      <c r="AI30" s="89">
        <v>90</v>
      </c>
      <c r="AJ30" s="93">
        <v>3.7</v>
      </c>
      <c r="AK30" s="89">
        <v>2.4</v>
      </c>
      <c r="AL30" s="89"/>
      <c r="AM30" s="89">
        <v>100</v>
      </c>
      <c r="AN30" s="93"/>
      <c r="AO30" s="89"/>
      <c r="AP30" s="89"/>
    </row>
    <row r="31" spans="1:42" x14ac:dyDescent="0.2">
      <c r="A31" s="13" t="s">
        <v>792</v>
      </c>
      <c r="B31" s="13">
        <v>74</v>
      </c>
      <c r="C31" s="1">
        <v>10</v>
      </c>
      <c r="D31" s="1">
        <v>6.8</v>
      </c>
      <c r="E31" s="1">
        <v>6.6</v>
      </c>
      <c r="F31" s="1"/>
      <c r="G31" s="1">
        <v>10</v>
      </c>
      <c r="H31" s="1">
        <v>6.6</v>
      </c>
      <c r="I31" s="1">
        <v>7.7</v>
      </c>
      <c r="J31" s="1"/>
      <c r="K31" s="89">
        <v>15</v>
      </c>
      <c r="L31" s="93">
        <v>5.7</v>
      </c>
      <c r="M31" s="89">
        <v>6.7</v>
      </c>
      <c r="N31" s="89"/>
      <c r="O31" s="89">
        <v>20</v>
      </c>
      <c r="P31" s="93">
        <v>5.4</v>
      </c>
      <c r="Q31" s="89">
        <v>5.0999999999999996</v>
      </c>
      <c r="R31" s="89"/>
      <c r="S31" s="89">
        <v>30</v>
      </c>
      <c r="T31" s="93">
        <v>5.4</v>
      </c>
      <c r="U31" s="89">
        <v>4.5</v>
      </c>
      <c r="V31" s="89"/>
      <c r="W31" s="89">
        <v>40</v>
      </c>
      <c r="X31" s="93">
        <v>3.8</v>
      </c>
      <c r="Y31" s="89">
        <v>4.7</v>
      </c>
      <c r="Z31" s="89"/>
      <c r="AA31" s="89">
        <v>45</v>
      </c>
      <c r="AB31" s="93">
        <v>4</v>
      </c>
      <c r="AC31" s="89">
        <v>3.6</v>
      </c>
      <c r="AD31" s="89"/>
      <c r="AE31" s="89">
        <v>70</v>
      </c>
      <c r="AF31" s="93">
        <v>3.1</v>
      </c>
      <c r="AG31" s="89">
        <v>4.0999999999999996</v>
      </c>
      <c r="AH31" s="89"/>
      <c r="AI31" s="89">
        <v>95</v>
      </c>
      <c r="AJ31" s="93"/>
      <c r="AK31" s="89"/>
      <c r="AL31" s="89"/>
      <c r="AM31" s="89">
        <v>100</v>
      </c>
      <c r="AN31" s="93"/>
      <c r="AO31" s="89"/>
      <c r="AP31" s="89"/>
    </row>
    <row r="32" spans="1:42" x14ac:dyDescent="0.2">
      <c r="A32" s="13" t="s">
        <v>793</v>
      </c>
      <c r="B32" s="13">
        <v>75</v>
      </c>
      <c r="C32" s="1">
        <v>10</v>
      </c>
      <c r="D32" s="1">
        <v>5</v>
      </c>
      <c r="E32" s="1">
        <v>5.3</v>
      </c>
      <c r="F32" s="1"/>
      <c r="G32" s="1">
        <v>10</v>
      </c>
      <c r="H32" s="1">
        <v>7.6</v>
      </c>
      <c r="I32" s="1">
        <v>6.9</v>
      </c>
      <c r="J32" s="1"/>
      <c r="K32" s="89">
        <v>15</v>
      </c>
      <c r="L32" s="93">
        <v>5.9</v>
      </c>
      <c r="M32" s="89">
        <v>5.6</v>
      </c>
      <c r="N32" s="89"/>
      <c r="O32" s="89">
        <v>25</v>
      </c>
      <c r="P32" s="93">
        <v>8</v>
      </c>
      <c r="Q32" s="89">
        <v>5</v>
      </c>
      <c r="R32" s="89"/>
      <c r="S32" s="89">
        <v>30</v>
      </c>
      <c r="T32" s="93">
        <v>5.3</v>
      </c>
      <c r="U32" s="89">
        <v>5.2</v>
      </c>
      <c r="V32" s="89"/>
      <c r="W32" s="89">
        <v>40</v>
      </c>
      <c r="X32" s="93">
        <v>4.5999999999999996</v>
      </c>
      <c r="Y32" s="89">
        <v>4.2</v>
      </c>
      <c r="Z32" s="89"/>
      <c r="AA32" s="89">
        <v>50</v>
      </c>
      <c r="AB32" s="93">
        <v>3.8</v>
      </c>
      <c r="AC32" s="89">
        <v>5.9</v>
      </c>
      <c r="AD32" s="89"/>
      <c r="AE32" s="89">
        <v>55</v>
      </c>
      <c r="AF32" s="93">
        <v>2.2000000000000002</v>
      </c>
      <c r="AG32" s="89">
        <v>3.4</v>
      </c>
      <c r="AH32" s="89"/>
      <c r="AI32" s="89">
        <v>90</v>
      </c>
      <c r="AJ32" s="93">
        <v>2</v>
      </c>
      <c r="AK32" s="89">
        <v>3.6</v>
      </c>
      <c r="AL32" s="89"/>
      <c r="AM32" s="89">
        <v>100</v>
      </c>
      <c r="AN32" s="93"/>
      <c r="AO32" s="89"/>
      <c r="AP32" s="89"/>
    </row>
    <row r="33" spans="1:42" x14ac:dyDescent="0.2">
      <c r="A33" s="13" t="s">
        <v>794</v>
      </c>
      <c r="B33" s="13">
        <v>76</v>
      </c>
      <c r="C33" s="1">
        <v>10</v>
      </c>
      <c r="D33" s="1">
        <v>5</v>
      </c>
      <c r="E33" s="1">
        <v>6.8</v>
      </c>
      <c r="F33" s="1"/>
      <c r="G33" s="1">
        <v>15</v>
      </c>
      <c r="H33" s="1">
        <v>7.2</v>
      </c>
      <c r="I33" s="1">
        <v>7.6</v>
      </c>
      <c r="J33" s="1"/>
      <c r="K33" s="89">
        <v>20</v>
      </c>
      <c r="L33" s="93">
        <v>6.2</v>
      </c>
      <c r="M33" s="89">
        <v>7.9</v>
      </c>
      <c r="N33" s="89"/>
      <c r="O33" s="89">
        <v>35</v>
      </c>
      <c r="P33" s="93">
        <v>7.8</v>
      </c>
      <c r="Q33" s="89">
        <v>11.4</v>
      </c>
      <c r="R33" s="89"/>
      <c r="S33" s="89">
        <v>40</v>
      </c>
      <c r="T33" s="93">
        <v>3.8</v>
      </c>
      <c r="U33" s="89">
        <v>4.8</v>
      </c>
      <c r="V33" s="89"/>
      <c r="W33" s="89">
        <v>75</v>
      </c>
      <c r="X33" s="93">
        <v>4.4000000000000004</v>
      </c>
      <c r="Y33" s="89">
        <v>3.1</v>
      </c>
      <c r="Z33" s="89"/>
      <c r="AA33" s="89">
        <v>85</v>
      </c>
      <c r="AB33" s="93">
        <v>2.5</v>
      </c>
      <c r="AC33" s="89">
        <v>2.7</v>
      </c>
      <c r="AD33" s="89"/>
      <c r="AE33" s="89">
        <v>90</v>
      </c>
      <c r="AF33" s="93">
        <v>1.4</v>
      </c>
      <c r="AG33" s="89">
        <v>1.4</v>
      </c>
      <c r="AH33" s="89"/>
      <c r="AI33" s="89">
        <v>100</v>
      </c>
      <c r="AJ33" s="93"/>
      <c r="AK33" s="89"/>
      <c r="AL33" s="89"/>
      <c r="AM33" s="89">
        <v>100</v>
      </c>
      <c r="AN33" s="93"/>
      <c r="AO33" s="89"/>
      <c r="AP33" s="89"/>
    </row>
    <row r="34" spans="1:42" x14ac:dyDescent="0.2">
      <c r="A34" s="13" t="s">
        <v>795</v>
      </c>
      <c r="B34" s="13">
        <v>77</v>
      </c>
      <c r="C34" s="1">
        <v>5</v>
      </c>
      <c r="D34" s="1">
        <v>6.8</v>
      </c>
      <c r="E34" s="1">
        <v>8.8000000000000007</v>
      </c>
      <c r="F34" s="1"/>
      <c r="G34" s="1">
        <v>10</v>
      </c>
      <c r="H34" s="1">
        <v>9.6</v>
      </c>
      <c r="I34" s="1">
        <v>11</v>
      </c>
      <c r="J34" s="1"/>
      <c r="K34" s="89">
        <v>20</v>
      </c>
      <c r="L34" s="93">
        <v>5.6</v>
      </c>
      <c r="M34" s="89">
        <v>7.1</v>
      </c>
      <c r="N34" s="89"/>
      <c r="O34" s="89">
        <v>40</v>
      </c>
      <c r="P34" s="93">
        <v>6.8</v>
      </c>
      <c r="Q34" s="89">
        <v>5.3</v>
      </c>
      <c r="R34" s="89"/>
      <c r="S34" s="89">
        <v>60</v>
      </c>
      <c r="T34" s="93">
        <v>5.6</v>
      </c>
      <c r="U34" s="89">
        <v>4.5999999999999996</v>
      </c>
      <c r="V34" s="89"/>
      <c r="W34" s="89">
        <v>70</v>
      </c>
      <c r="X34" s="93">
        <v>3.5</v>
      </c>
      <c r="Y34" s="89">
        <v>6.3</v>
      </c>
      <c r="Z34" s="89"/>
      <c r="AA34" s="89">
        <v>75</v>
      </c>
      <c r="AB34" s="93">
        <v>7.4</v>
      </c>
      <c r="AC34" s="89">
        <v>8.1</v>
      </c>
      <c r="AD34" s="89"/>
      <c r="AE34" s="89">
        <v>80</v>
      </c>
      <c r="AF34" s="93">
        <v>6.4</v>
      </c>
      <c r="AG34" s="89">
        <v>5.9</v>
      </c>
      <c r="AH34" s="89"/>
      <c r="AI34" s="89">
        <v>100</v>
      </c>
      <c r="AJ34" s="93"/>
      <c r="AK34" s="89"/>
      <c r="AL34" s="89"/>
      <c r="AM34" s="89">
        <v>100</v>
      </c>
      <c r="AN34" s="93"/>
      <c r="AO34" s="89"/>
      <c r="AP34" s="89"/>
    </row>
    <row r="35" spans="1:42" x14ac:dyDescent="0.2">
      <c r="A35" s="13" t="s">
        <v>796</v>
      </c>
      <c r="B35" s="13">
        <v>78</v>
      </c>
      <c r="C35" s="1">
        <v>2</v>
      </c>
      <c r="D35" s="1">
        <v>10.8</v>
      </c>
      <c r="E35" s="1">
        <v>10.7</v>
      </c>
      <c r="F35" s="1"/>
      <c r="G35" s="1">
        <v>2</v>
      </c>
      <c r="H35" s="1">
        <v>10.8</v>
      </c>
      <c r="I35" s="1">
        <v>10.5</v>
      </c>
      <c r="J35" s="1"/>
      <c r="K35" s="89">
        <v>2</v>
      </c>
      <c r="L35" s="93">
        <v>9</v>
      </c>
      <c r="M35" s="89">
        <v>10.199999999999999</v>
      </c>
      <c r="N35" s="89"/>
      <c r="O35" s="89">
        <v>5</v>
      </c>
      <c r="P35" s="93">
        <v>6.8</v>
      </c>
      <c r="Q35" s="89">
        <v>9.3000000000000007</v>
      </c>
      <c r="R35" s="89"/>
      <c r="S35" s="89">
        <v>5</v>
      </c>
      <c r="T35" s="93">
        <v>7.5</v>
      </c>
      <c r="U35" s="89">
        <v>11.9</v>
      </c>
      <c r="V35" s="89"/>
      <c r="W35" s="89">
        <v>15</v>
      </c>
      <c r="X35" s="93">
        <v>6.7</v>
      </c>
      <c r="Y35" s="89">
        <v>5.5</v>
      </c>
      <c r="Z35" s="89"/>
      <c r="AA35" s="89">
        <v>25</v>
      </c>
      <c r="AB35" s="93">
        <v>9</v>
      </c>
      <c r="AC35" s="89">
        <v>6.4</v>
      </c>
      <c r="AD35" s="89"/>
      <c r="AE35" s="89">
        <v>35</v>
      </c>
      <c r="AF35" s="93">
        <v>8.1</v>
      </c>
      <c r="AG35" s="89">
        <v>3.9</v>
      </c>
      <c r="AH35" s="89"/>
      <c r="AI35" s="89">
        <v>75</v>
      </c>
      <c r="AJ35" s="93">
        <v>4.3</v>
      </c>
      <c r="AK35" s="89">
        <v>3.7</v>
      </c>
      <c r="AL35" s="89"/>
      <c r="AM35" s="89">
        <v>100</v>
      </c>
      <c r="AN35" s="93"/>
      <c r="AO35" s="89"/>
      <c r="AP35" s="89"/>
    </row>
    <row r="36" spans="1:42" x14ac:dyDescent="0.2">
      <c r="A36" s="13" t="s">
        <v>797</v>
      </c>
      <c r="B36" s="13">
        <v>79</v>
      </c>
      <c r="C36" s="1">
        <v>5</v>
      </c>
      <c r="D36" s="1">
        <v>7.3</v>
      </c>
      <c r="E36" s="1">
        <v>9.1</v>
      </c>
      <c r="F36" s="1"/>
      <c r="G36" s="1">
        <v>15</v>
      </c>
      <c r="H36" s="1">
        <v>6</v>
      </c>
      <c r="I36" s="1">
        <v>7</v>
      </c>
      <c r="J36" s="1"/>
      <c r="K36" s="89">
        <v>20</v>
      </c>
      <c r="L36" s="93">
        <v>7.6</v>
      </c>
      <c r="M36" s="89">
        <v>6.8</v>
      </c>
      <c r="N36" s="89"/>
      <c r="O36" s="89">
        <v>40</v>
      </c>
      <c r="P36" s="93">
        <v>5.2</v>
      </c>
      <c r="Q36" s="89">
        <v>5.4</v>
      </c>
      <c r="R36" s="89"/>
      <c r="S36" s="89">
        <v>45</v>
      </c>
      <c r="T36" s="93">
        <v>4.3</v>
      </c>
      <c r="U36" s="89">
        <v>5.9</v>
      </c>
      <c r="V36" s="89"/>
      <c r="W36" s="89">
        <v>55</v>
      </c>
      <c r="X36" s="93">
        <v>4.5999999999999996</v>
      </c>
      <c r="Y36" s="89">
        <v>4.5</v>
      </c>
      <c r="Z36" s="89"/>
      <c r="AA36" s="89">
        <v>55</v>
      </c>
      <c r="AB36" s="93">
        <v>4.8</v>
      </c>
      <c r="AC36" s="89">
        <v>5.7</v>
      </c>
      <c r="AD36" s="89"/>
      <c r="AE36" s="89">
        <v>65</v>
      </c>
      <c r="AF36" s="93">
        <v>3</v>
      </c>
      <c r="AG36" s="89">
        <v>2.7</v>
      </c>
      <c r="AH36" s="89"/>
      <c r="AI36" s="89">
        <v>95</v>
      </c>
      <c r="AJ36" s="93"/>
      <c r="AK36" s="89"/>
      <c r="AL36" s="89"/>
      <c r="AM36" s="89">
        <v>100</v>
      </c>
      <c r="AN36" s="93"/>
      <c r="AO36" s="89"/>
      <c r="AP36" s="89"/>
    </row>
    <row r="37" spans="1:42" x14ac:dyDescent="0.2">
      <c r="A37" s="13" t="s">
        <v>798</v>
      </c>
      <c r="B37" s="13">
        <v>80</v>
      </c>
      <c r="C37" s="1">
        <v>15</v>
      </c>
      <c r="D37" s="1">
        <v>7.2</v>
      </c>
      <c r="E37" s="1">
        <v>6.1</v>
      </c>
      <c r="F37" s="1"/>
      <c r="G37" s="1">
        <v>5</v>
      </c>
      <c r="H37" s="1">
        <v>9.6</v>
      </c>
      <c r="I37" s="1">
        <v>7.7</v>
      </c>
      <c r="J37" s="1"/>
      <c r="K37" s="89">
        <v>15</v>
      </c>
      <c r="L37" s="93">
        <v>5.4</v>
      </c>
      <c r="M37" s="89">
        <v>7.5</v>
      </c>
      <c r="N37" s="89"/>
      <c r="O37" s="89">
        <v>20</v>
      </c>
      <c r="P37" s="93">
        <v>4</v>
      </c>
      <c r="Q37" s="89">
        <v>4.5</v>
      </c>
      <c r="R37" s="89"/>
      <c r="S37" s="89">
        <v>20</v>
      </c>
      <c r="T37" s="93">
        <v>6.2</v>
      </c>
      <c r="U37" s="89">
        <v>5.6</v>
      </c>
      <c r="V37" s="89"/>
      <c r="W37" s="89">
        <v>35</v>
      </c>
      <c r="X37" s="93">
        <v>6.2</v>
      </c>
      <c r="Y37" s="89">
        <v>6.1</v>
      </c>
      <c r="Z37" s="89"/>
      <c r="AA37" s="89">
        <v>40</v>
      </c>
      <c r="AB37" s="93">
        <v>3.7</v>
      </c>
      <c r="AC37" s="89">
        <v>4.2</v>
      </c>
      <c r="AD37" s="89"/>
      <c r="AE37" s="89">
        <v>50</v>
      </c>
      <c r="AF37" s="93">
        <v>3.3</v>
      </c>
      <c r="AG37" s="89">
        <v>2.7</v>
      </c>
      <c r="AH37" s="89"/>
      <c r="AI37" s="89">
        <v>90</v>
      </c>
      <c r="AJ37" s="93">
        <v>3.6</v>
      </c>
      <c r="AK37" s="89">
        <v>3.1</v>
      </c>
      <c r="AL37" s="89"/>
      <c r="AM37" s="89">
        <v>100</v>
      </c>
      <c r="AN37" s="93"/>
      <c r="AO37" s="89"/>
      <c r="AP37" s="89"/>
    </row>
    <row r="38" spans="1:42" x14ac:dyDescent="0.2">
      <c r="A38" s="19" t="s">
        <v>800</v>
      </c>
      <c r="B38" s="19">
        <v>81</v>
      </c>
      <c r="C38" s="37">
        <v>100</v>
      </c>
      <c r="D38" s="37"/>
      <c r="E38" s="37"/>
      <c r="F38" s="37" t="s">
        <v>1810</v>
      </c>
      <c r="G38" s="37">
        <v>100</v>
      </c>
      <c r="H38" s="37"/>
      <c r="I38" s="37"/>
      <c r="J38" s="37"/>
      <c r="K38" s="88">
        <v>100</v>
      </c>
      <c r="L38" s="92"/>
      <c r="M38" s="88"/>
      <c r="N38" s="88"/>
      <c r="O38" s="88">
        <v>100</v>
      </c>
      <c r="P38" s="92"/>
      <c r="Q38" s="88"/>
      <c r="R38" s="88"/>
      <c r="S38" s="88">
        <v>100</v>
      </c>
      <c r="T38" s="92"/>
      <c r="U38" s="88"/>
      <c r="V38" s="88"/>
      <c r="W38" s="88">
        <v>100</v>
      </c>
      <c r="X38" s="92"/>
      <c r="Y38" s="88"/>
      <c r="Z38" s="88"/>
      <c r="AA38" s="88">
        <v>100</v>
      </c>
      <c r="AB38" s="92"/>
      <c r="AC38" s="88"/>
      <c r="AD38" s="88"/>
      <c r="AE38" s="88">
        <v>100</v>
      </c>
      <c r="AF38" s="92"/>
      <c r="AG38" s="88"/>
      <c r="AH38" s="88"/>
      <c r="AI38" s="88">
        <v>100</v>
      </c>
      <c r="AJ38" s="92"/>
      <c r="AK38" s="88"/>
      <c r="AL38" s="88"/>
      <c r="AM38" s="88">
        <v>100</v>
      </c>
      <c r="AN38" s="92"/>
      <c r="AO38" s="88"/>
      <c r="AP38" s="88"/>
    </row>
    <row r="39" spans="1:42" x14ac:dyDescent="0.2">
      <c r="A39" s="19" t="s">
        <v>803</v>
      </c>
      <c r="B39" s="19">
        <v>84</v>
      </c>
      <c r="C39" s="37">
        <v>100</v>
      </c>
      <c r="D39" s="37"/>
      <c r="E39" s="37"/>
      <c r="F39" s="37" t="s">
        <v>1810</v>
      </c>
      <c r="G39" s="37">
        <v>100</v>
      </c>
      <c r="H39" s="37"/>
      <c r="I39" s="37"/>
      <c r="J39" s="37"/>
      <c r="K39" s="88">
        <v>100</v>
      </c>
      <c r="L39" s="92"/>
      <c r="M39" s="88"/>
      <c r="N39" s="88"/>
      <c r="O39" s="88">
        <v>100</v>
      </c>
      <c r="P39" s="92"/>
      <c r="Q39" s="88"/>
      <c r="R39" s="88"/>
      <c r="S39" s="88">
        <v>100</v>
      </c>
      <c r="T39" s="92"/>
      <c r="U39" s="88"/>
      <c r="V39" s="88"/>
      <c r="W39" s="88">
        <v>100</v>
      </c>
      <c r="X39" s="92"/>
      <c r="Y39" s="88"/>
      <c r="Z39" s="88"/>
      <c r="AA39" s="88">
        <v>100</v>
      </c>
      <c r="AB39" s="92"/>
      <c r="AC39" s="88"/>
      <c r="AD39" s="88"/>
      <c r="AE39" s="88">
        <v>100</v>
      </c>
      <c r="AF39" s="92"/>
      <c r="AG39" s="88"/>
      <c r="AH39" s="88"/>
      <c r="AI39" s="88">
        <v>100</v>
      </c>
      <c r="AJ39" s="92"/>
      <c r="AK39" s="88"/>
      <c r="AL39" s="88"/>
      <c r="AM39" s="88">
        <v>100</v>
      </c>
      <c r="AN39" s="92"/>
      <c r="AO39" s="88"/>
      <c r="AP39" s="88"/>
    </row>
    <row r="40" spans="1:42" x14ac:dyDescent="0.2">
      <c r="A40" s="19" t="s">
        <v>804</v>
      </c>
      <c r="B40" s="19">
        <v>85</v>
      </c>
      <c r="C40" s="37">
        <v>100</v>
      </c>
      <c r="D40" s="37"/>
      <c r="E40" s="37"/>
      <c r="F40" s="37" t="s">
        <v>1810</v>
      </c>
      <c r="G40" s="37">
        <v>100</v>
      </c>
      <c r="H40" s="37"/>
      <c r="I40" s="37"/>
      <c r="J40" s="37"/>
      <c r="K40" s="88">
        <v>100</v>
      </c>
      <c r="L40" s="92"/>
      <c r="M40" s="88"/>
      <c r="N40" s="88"/>
      <c r="O40" s="88">
        <v>100</v>
      </c>
      <c r="P40" s="92"/>
      <c r="Q40" s="88"/>
      <c r="R40" s="88"/>
      <c r="S40" s="88">
        <v>100</v>
      </c>
      <c r="T40" s="92"/>
      <c r="U40" s="88"/>
      <c r="V40" s="88"/>
      <c r="W40" s="88">
        <v>100</v>
      </c>
      <c r="X40" s="92"/>
      <c r="Y40" s="88"/>
      <c r="Z40" s="88"/>
      <c r="AA40" s="88">
        <v>100</v>
      </c>
      <c r="AB40" s="92"/>
      <c r="AC40" s="88"/>
      <c r="AD40" s="88"/>
      <c r="AE40" s="88">
        <v>100</v>
      </c>
      <c r="AF40" s="92"/>
      <c r="AG40" s="88"/>
      <c r="AH40" s="88"/>
      <c r="AI40" s="88">
        <v>100</v>
      </c>
      <c r="AJ40" s="92"/>
      <c r="AK40" s="88"/>
      <c r="AL40" s="88"/>
      <c r="AM40" s="88">
        <v>100</v>
      </c>
      <c r="AN40" s="92"/>
      <c r="AO40" s="88"/>
      <c r="AP40" s="88"/>
    </row>
    <row r="41" spans="1:42" x14ac:dyDescent="0.2">
      <c r="A41" s="19" t="s">
        <v>807</v>
      </c>
      <c r="B41" s="19">
        <v>88</v>
      </c>
      <c r="C41" s="37">
        <v>100</v>
      </c>
      <c r="D41" s="37"/>
      <c r="E41" s="37"/>
      <c r="F41" s="37" t="s">
        <v>1810</v>
      </c>
      <c r="G41" s="37">
        <v>100</v>
      </c>
      <c r="H41" s="37"/>
      <c r="I41" s="37"/>
      <c r="J41" s="37"/>
      <c r="K41" s="88">
        <v>100</v>
      </c>
      <c r="L41" s="92"/>
      <c r="M41" s="88"/>
      <c r="N41" s="88"/>
      <c r="O41" s="88">
        <v>100</v>
      </c>
      <c r="P41" s="92"/>
      <c r="Q41" s="88"/>
      <c r="R41" s="88"/>
      <c r="S41" s="88">
        <v>100</v>
      </c>
      <c r="T41" s="92"/>
      <c r="U41" s="88"/>
      <c r="V41" s="88"/>
      <c r="W41" s="88">
        <v>100</v>
      </c>
      <c r="X41" s="92"/>
      <c r="Y41" s="88"/>
      <c r="Z41" s="88"/>
      <c r="AA41" s="88">
        <v>100</v>
      </c>
      <c r="AB41" s="92"/>
      <c r="AC41" s="88"/>
      <c r="AD41" s="88"/>
      <c r="AE41" s="88">
        <v>100</v>
      </c>
      <c r="AF41" s="92"/>
      <c r="AG41" s="88"/>
      <c r="AH41" s="88"/>
      <c r="AI41" s="88">
        <v>100</v>
      </c>
      <c r="AJ41" s="92"/>
      <c r="AK41" s="88"/>
      <c r="AL41" s="88"/>
      <c r="AM41" s="88">
        <v>100</v>
      </c>
      <c r="AN41" s="92"/>
      <c r="AO41" s="88"/>
      <c r="AP41" s="88"/>
    </row>
    <row r="42" spans="1:42" x14ac:dyDescent="0.2">
      <c r="A42" s="13" t="s">
        <v>809</v>
      </c>
      <c r="B42" s="13">
        <v>89</v>
      </c>
      <c r="C42" s="1">
        <v>100</v>
      </c>
      <c r="D42" s="1"/>
      <c r="E42" s="1"/>
      <c r="F42" s="1" t="s">
        <v>1810</v>
      </c>
      <c r="G42" s="1">
        <v>100</v>
      </c>
      <c r="H42" s="1"/>
      <c r="I42" s="1"/>
      <c r="J42" s="1"/>
      <c r="K42" s="89">
        <v>100</v>
      </c>
      <c r="L42" s="93"/>
      <c r="M42" s="89"/>
      <c r="N42" s="89"/>
      <c r="O42" s="89">
        <v>100</v>
      </c>
      <c r="P42" s="93"/>
      <c r="Q42" s="89"/>
      <c r="R42" s="89"/>
      <c r="S42" s="89">
        <v>100</v>
      </c>
      <c r="T42" s="93"/>
      <c r="U42" s="89"/>
      <c r="V42" s="89"/>
      <c r="W42" s="89">
        <v>100</v>
      </c>
      <c r="X42" s="93"/>
      <c r="Y42" s="89"/>
      <c r="Z42" s="89"/>
      <c r="AA42" s="89">
        <v>100</v>
      </c>
      <c r="AB42" s="93"/>
      <c r="AC42" s="89"/>
      <c r="AD42" s="89"/>
      <c r="AE42" s="89">
        <v>100</v>
      </c>
      <c r="AF42" s="93"/>
      <c r="AG42" s="89"/>
      <c r="AH42" s="89"/>
      <c r="AI42" s="89">
        <v>100</v>
      </c>
      <c r="AJ42" s="93"/>
      <c r="AK42" s="89"/>
      <c r="AL42" s="89"/>
      <c r="AM42" s="89">
        <v>100</v>
      </c>
      <c r="AN42" s="93"/>
      <c r="AO42" s="89"/>
      <c r="AP42" s="89"/>
    </row>
    <row r="43" spans="1:42" x14ac:dyDescent="0.2">
      <c r="A43" s="13" t="s">
        <v>810</v>
      </c>
      <c r="B43" s="13">
        <v>90</v>
      </c>
      <c r="C43" s="1">
        <v>100</v>
      </c>
      <c r="D43" s="1"/>
      <c r="E43" s="1"/>
      <c r="F43" s="1" t="s">
        <v>1810</v>
      </c>
      <c r="G43" s="1">
        <v>100</v>
      </c>
      <c r="H43" s="1"/>
      <c r="I43" s="1"/>
      <c r="J43" s="1"/>
      <c r="K43" s="89">
        <v>100</v>
      </c>
      <c r="L43" s="93"/>
      <c r="M43" s="89"/>
      <c r="N43" s="89"/>
      <c r="O43" s="89">
        <v>100</v>
      </c>
      <c r="P43" s="93"/>
      <c r="Q43" s="89"/>
      <c r="R43" s="89"/>
      <c r="S43" s="89">
        <v>100</v>
      </c>
      <c r="T43" s="93"/>
      <c r="U43" s="89"/>
      <c r="V43" s="89"/>
      <c r="W43" s="89">
        <v>100</v>
      </c>
      <c r="X43" s="93"/>
      <c r="Y43" s="89"/>
      <c r="Z43" s="89"/>
      <c r="AA43" s="89">
        <v>100</v>
      </c>
      <c r="AB43" s="93"/>
      <c r="AC43" s="89"/>
      <c r="AD43" s="89"/>
      <c r="AE43" s="89">
        <v>100</v>
      </c>
      <c r="AF43" s="93"/>
      <c r="AG43" s="89"/>
      <c r="AH43" s="89"/>
      <c r="AI43" s="89">
        <v>100</v>
      </c>
      <c r="AJ43" s="93"/>
      <c r="AK43" s="89"/>
      <c r="AL43" s="89"/>
      <c r="AM43" s="89">
        <v>100</v>
      </c>
      <c r="AN43" s="93"/>
      <c r="AO43" s="89"/>
      <c r="AP43" s="89"/>
    </row>
    <row r="44" spans="1:42" x14ac:dyDescent="0.2">
      <c r="A44" s="13" t="s">
        <v>811</v>
      </c>
      <c r="B44" s="13">
        <v>91</v>
      </c>
      <c r="C44" s="1">
        <v>100</v>
      </c>
      <c r="D44" s="1"/>
      <c r="E44" s="1"/>
      <c r="F44" s="1" t="s">
        <v>1810</v>
      </c>
      <c r="G44" s="1">
        <v>100</v>
      </c>
      <c r="H44" s="1"/>
      <c r="I44" s="1"/>
      <c r="J44" s="1"/>
      <c r="K44" s="89">
        <v>100</v>
      </c>
      <c r="L44" s="93"/>
      <c r="M44" s="89"/>
      <c r="N44" s="89"/>
      <c r="O44" s="89">
        <v>100</v>
      </c>
      <c r="P44" s="93"/>
      <c r="Q44" s="89"/>
      <c r="R44" s="89"/>
      <c r="S44" s="89">
        <v>100</v>
      </c>
      <c r="T44" s="93"/>
      <c r="U44" s="89"/>
      <c r="V44" s="89"/>
      <c r="W44" s="89">
        <v>100</v>
      </c>
      <c r="X44" s="93"/>
      <c r="Y44" s="89"/>
      <c r="Z44" s="89"/>
      <c r="AA44" s="89">
        <v>100</v>
      </c>
      <c r="AB44" s="93"/>
      <c r="AC44" s="89"/>
      <c r="AD44" s="89"/>
      <c r="AE44" s="89">
        <v>100</v>
      </c>
      <c r="AF44" s="93"/>
      <c r="AG44" s="89"/>
      <c r="AH44" s="89"/>
      <c r="AI44" s="89">
        <v>100</v>
      </c>
      <c r="AJ44" s="93"/>
      <c r="AK44" s="89"/>
      <c r="AL44" s="89"/>
      <c r="AM44" s="89">
        <v>100</v>
      </c>
      <c r="AN44" s="93"/>
      <c r="AO44" s="89"/>
      <c r="AP44" s="89"/>
    </row>
    <row r="45" spans="1:42" x14ac:dyDescent="0.2">
      <c r="A45" s="13" t="s">
        <v>812</v>
      </c>
      <c r="B45" s="13">
        <v>92</v>
      </c>
      <c r="C45" s="1">
        <v>100</v>
      </c>
      <c r="D45" s="1"/>
      <c r="E45" s="1"/>
      <c r="F45" s="1" t="s">
        <v>1810</v>
      </c>
      <c r="G45" s="1">
        <v>100</v>
      </c>
      <c r="H45" s="1"/>
      <c r="I45" s="1"/>
      <c r="J45" s="1"/>
      <c r="K45" s="89">
        <v>100</v>
      </c>
      <c r="L45" s="93"/>
      <c r="M45" s="89"/>
      <c r="N45" s="89"/>
      <c r="O45" s="89">
        <v>100</v>
      </c>
      <c r="P45" s="93"/>
      <c r="Q45" s="89"/>
      <c r="R45" s="89"/>
      <c r="S45" s="89">
        <v>100</v>
      </c>
      <c r="T45" s="93"/>
      <c r="U45" s="89"/>
      <c r="V45" s="89"/>
      <c r="W45" s="89">
        <v>100</v>
      </c>
      <c r="X45" s="93"/>
      <c r="Y45" s="89"/>
      <c r="Z45" s="89"/>
      <c r="AA45" s="89">
        <v>100</v>
      </c>
      <c r="AB45" s="93"/>
      <c r="AC45" s="89"/>
      <c r="AD45" s="89"/>
      <c r="AE45" s="89">
        <v>100</v>
      </c>
      <c r="AF45" s="93"/>
      <c r="AG45" s="89"/>
      <c r="AH45" s="89"/>
      <c r="AI45" s="89">
        <v>100</v>
      </c>
      <c r="AJ45" s="93"/>
      <c r="AK45" s="89"/>
      <c r="AL45" s="89"/>
      <c r="AM45" s="89">
        <v>100</v>
      </c>
      <c r="AN45" s="93"/>
      <c r="AO45" s="89"/>
      <c r="AP45" s="89"/>
    </row>
    <row r="46" spans="1:42" x14ac:dyDescent="0.2">
      <c r="A46" s="13" t="s">
        <v>813</v>
      </c>
      <c r="B46" s="13">
        <v>93</v>
      </c>
      <c r="C46" s="1">
        <v>100</v>
      </c>
      <c r="D46" s="1"/>
      <c r="E46" s="1"/>
      <c r="F46" s="1" t="s">
        <v>1810</v>
      </c>
      <c r="G46" s="1">
        <v>100</v>
      </c>
      <c r="H46" s="1"/>
      <c r="I46" s="1"/>
      <c r="J46" s="1"/>
      <c r="K46" s="89">
        <v>100</v>
      </c>
      <c r="L46" s="93"/>
      <c r="M46" s="89"/>
      <c r="N46" s="89"/>
      <c r="O46" s="89">
        <v>100</v>
      </c>
      <c r="P46" s="93"/>
      <c r="Q46" s="89"/>
      <c r="R46" s="89"/>
      <c r="S46" s="89">
        <v>100</v>
      </c>
      <c r="T46" s="93"/>
      <c r="U46" s="89"/>
      <c r="V46" s="89"/>
      <c r="W46" s="89">
        <v>100</v>
      </c>
      <c r="X46" s="93"/>
      <c r="Y46" s="89"/>
      <c r="Z46" s="89"/>
      <c r="AA46" s="89">
        <v>100</v>
      </c>
      <c r="AB46" s="93"/>
      <c r="AC46" s="89"/>
      <c r="AD46" s="89"/>
      <c r="AE46" s="89">
        <v>100</v>
      </c>
      <c r="AF46" s="93"/>
      <c r="AG46" s="89"/>
      <c r="AH46" s="89"/>
      <c r="AI46" s="89">
        <v>100</v>
      </c>
      <c r="AJ46" s="93"/>
      <c r="AK46" s="89"/>
      <c r="AL46" s="89"/>
      <c r="AM46" s="89">
        <v>100</v>
      </c>
      <c r="AN46" s="93"/>
      <c r="AO46" s="89"/>
      <c r="AP46" s="89"/>
    </row>
    <row r="47" spans="1:42" x14ac:dyDescent="0.2">
      <c r="A47" s="13" t="s">
        <v>814</v>
      </c>
      <c r="B47" s="13">
        <v>94</v>
      </c>
      <c r="C47" s="1">
        <v>100</v>
      </c>
      <c r="D47" s="1"/>
      <c r="E47" s="1"/>
      <c r="F47" s="1" t="s">
        <v>1810</v>
      </c>
      <c r="G47" s="1">
        <v>100</v>
      </c>
      <c r="H47" s="1"/>
      <c r="I47" s="1"/>
      <c r="J47" s="1"/>
      <c r="K47" s="89">
        <v>100</v>
      </c>
      <c r="L47" s="93"/>
      <c r="M47" s="89"/>
      <c r="N47" s="89"/>
      <c r="O47" s="89">
        <v>100</v>
      </c>
      <c r="P47" s="93"/>
      <c r="Q47" s="89"/>
      <c r="R47" s="89"/>
      <c r="S47" s="89">
        <v>100</v>
      </c>
      <c r="T47" s="93"/>
      <c r="U47" s="89"/>
      <c r="V47" s="89"/>
      <c r="W47" s="89">
        <v>100</v>
      </c>
      <c r="X47" s="93"/>
      <c r="Y47" s="89"/>
      <c r="Z47" s="89"/>
      <c r="AA47" s="89">
        <v>100</v>
      </c>
      <c r="AB47" s="93"/>
      <c r="AC47" s="89"/>
      <c r="AD47" s="89"/>
      <c r="AE47" s="89">
        <v>100</v>
      </c>
      <c r="AF47" s="93"/>
      <c r="AG47" s="89"/>
      <c r="AH47" s="89"/>
      <c r="AI47" s="89">
        <v>100</v>
      </c>
      <c r="AJ47" s="93"/>
      <c r="AK47" s="89"/>
      <c r="AL47" s="89"/>
      <c r="AM47" s="89">
        <v>100</v>
      </c>
      <c r="AN47" s="93"/>
      <c r="AO47" s="89"/>
      <c r="AP47" s="89"/>
    </row>
    <row r="48" spans="1:42" x14ac:dyDescent="0.2">
      <c r="A48" s="13" t="s">
        <v>815</v>
      </c>
      <c r="B48" s="13">
        <v>95</v>
      </c>
      <c r="C48" s="1">
        <v>100</v>
      </c>
      <c r="D48" s="1"/>
      <c r="E48" s="1"/>
      <c r="F48" s="1" t="s">
        <v>1810</v>
      </c>
      <c r="G48" s="1">
        <v>100</v>
      </c>
      <c r="H48" s="1"/>
      <c r="I48" s="1"/>
      <c r="J48" s="1"/>
      <c r="K48" s="89">
        <v>100</v>
      </c>
      <c r="L48" s="93"/>
      <c r="M48" s="89"/>
      <c r="N48" s="89"/>
      <c r="O48" s="89">
        <v>100</v>
      </c>
      <c r="P48" s="93"/>
      <c r="Q48" s="89"/>
      <c r="R48" s="89"/>
      <c r="S48" s="89">
        <v>100</v>
      </c>
      <c r="T48" s="93"/>
      <c r="U48" s="89"/>
      <c r="V48" s="89"/>
      <c r="W48" s="89">
        <v>100</v>
      </c>
      <c r="X48" s="93"/>
      <c r="Y48" s="89"/>
      <c r="Z48" s="89"/>
      <c r="AA48" s="89">
        <v>100</v>
      </c>
      <c r="AB48" s="93"/>
      <c r="AC48" s="89"/>
      <c r="AD48" s="89"/>
      <c r="AE48" s="89">
        <v>100</v>
      </c>
      <c r="AF48" s="93"/>
      <c r="AG48" s="89"/>
      <c r="AH48" s="89"/>
      <c r="AI48" s="89">
        <v>100</v>
      </c>
      <c r="AJ48" s="93"/>
      <c r="AK48" s="89"/>
      <c r="AL48" s="89"/>
      <c r="AM48" s="89">
        <v>100</v>
      </c>
      <c r="AN48" s="93"/>
      <c r="AO48" s="89"/>
      <c r="AP48" s="89"/>
    </row>
    <row r="49" spans="1:42" x14ac:dyDescent="0.2">
      <c r="A49" s="13" t="s">
        <v>816</v>
      </c>
      <c r="B49" s="13">
        <v>96</v>
      </c>
      <c r="C49" s="1">
        <v>100</v>
      </c>
      <c r="D49" s="1"/>
      <c r="E49" s="1"/>
      <c r="F49" s="1" t="s">
        <v>1810</v>
      </c>
      <c r="G49" s="1">
        <v>100</v>
      </c>
      <c r="H49" s="1"/>
      <c r="I49" s="1"/>
      <c r="J49" s="1"/>
      <c r="K49" s="89">
        <v>100</v>
      </c>
      <c r="L49" s="93"/>
      <c r="M49" s="89"/>
      <c r="N49" s="89"/>
      <c r="O49" s="89">
        <v>100</v>
      </c>
      <c r="P49" s="93"/>
      <c r="Q49" s="89"/>
      <c r="R49" s="89"/>
      <c r="S49" s="89">
        <v>100</v>
      </c>
      <c r="T49" s="93"/>
      <c r="U49" s="89"/>
      <c r="V49" s="89"/>
      <c r="W49" s="89">
        <v>100</v>
      </c>
      <c r="X49" s="93"/>
      <c r="Y49" s="89"/>
      <c r="Z49" s="89"/>
      <c r="AA49" s="89">
        <v>100</v>
      </c>
      <c r="AB49" s="93"/>
      <c r="AC49" s="89"/>
      <c r="AD49" s="89"/>
      <c r="AE49" s="89">
        <v>100</v>
      </c>
      <c r="AF49" s="93"/>
      <c r="AG49" s="89"/>
      <c r="AH49" s="89"/>
      <c r="AI49" s="89">
        <v>100</v>
      </c>
      <c r="AJ49" s="93"/>
      <c r="AK49" s="89"/>
      <c r="AL49" s="89"/>
      <c r="AM49" s="89">
        <v>100</v>
      </c>
      <c r="AN49" s="93"/>
      <c r="AO49" s="89"/>
      <c r="AP49" s="89"/>
    </row>
    <row r="50" spans="1:42" x14ac:dyDescent="0.2">
      <c r="A50" s="19" t="s">
        <v>818</v>
      </c>
      <c r="B50" s="19">
        <v>97</v>
      </c>
      <c r="C50" s="37">
        <v>5</v>
      </c>
      <c r="D50" s="37">
        <v>8.9</v>
      </c>
      <c r="E50" s="37">
        <v>10.9</v>
      </c>
      <c r="F50" s="37"/>
      <c r="G50" s="37">
        <v>5</v>
      </c>
      <c r="H50" s="37">
        <v>10.3</v>
      </c>
      <c r="I50" s="37">
        <v>12.3</v>
      </c>
      <c r="J50" s="37"/>
      <c r="K50" s="88">
        <v>20</v>
      </c>
      <c r="L50" s="92">
        <v>8</v>
      </c>
      <c r="M50" s="88">
        <v>10.3</v>
      </c>
      <c r="N50" s="88"/>
      <c r="O50" s="88">
        <v>20</v>
      </c>
      <c r="P50" s="92">
        <v>6.8</v>
      </c>
      <c r="Q50" s="88">
        <v>9</v>
      </c>
      <c r="R50" s="88"/>
      <c r="S50" s="88">
        <v>30</v>
      </c>
      <c r="T50" s="92">
        <v>7.4</v>
      </c>
      <c r="U50" s="88">
        <v>10</v>
      </c>
      <c r="V50" s="88"/>
      <c r="W50" s="88">
        <v>40</v>
      </c>
      <c r="X50" s="92">
        <v>9.1999999999999993</v>
      </c>
      <c r="Y50" s="88">
        <v>7.4</v>
      </c>
      <c r="Z50" s="88"/>
      <c r="AA50" s="88">
        <v>45</v>
      </c>
      <c r="AB50" s="92">
        <v>4.0999999999999996</v>
      </c>
      <c r="AC50" s="88">
        <v>7.4</v>
      </c>
      <c r="AD50" s="88"/>
      <c r="AE50" s="88">
        <v>70</v>
      </c>
      <c r="AF50" s="92">
        <v>4.4000000000000004</v>
      </c>
      <c r="AG50" s="88">
        <v>3.7</v>
      </c>
      <c r="AH50" s="88"/>
      <c r="AI50" s="88">
        <v>95</v>
      </c>
      <c r="AJ50" s="92"/>
      <c r="AK50" s="88"/>
      <c r="AL50" s="88"/>
      <c r="AM50" s="88">
        <v>100</v>
      </c>
      <c r="AN50" s="92"/>
      <c r="AO50" s="88"/>
      <c r="AP50" s="88"/>
    </row>
    <row r="51" spans="1:42" x14ac:dyDescent="0.2">
      <c r="A51" s="19" t="s">
        <v>821</v>
      </c>
      <c r="B51" s="19">
        <v>100</v>
      </c>
      <c r="C51" s="37">
        <v>5</v>
      </c>
      <c r="D51" s="37">
        <v>13.2</v>
      </c>
      <c r="E51" s="37">
        <v>11.6</v>
      </c>
      <c r="F51" s="37"/>
      <c r="G51" s="37">
        <v>5</v>
      </c>
      <c r="H51" s="37">
        <v>13.6</v>
      </c>
      <c r="I51" s="37">
        <v>13.7</v>
      </c>
      <c r="J51" s="37"/>
      <c r="K51" s="88">
        <v>5</v>
      </c>
      <c r="L51" s="92">
        <v>9.6</v>
      </c>
      <c r="M51" s="88">
        <v>10.8</v>
      </c>
      <c r="N51" s="88"/>
      <c r="O51" s="88">
        <v>5</v>
      </c>
      <c r="P51" s="92">
        <v>11.8</v>
      </c>
      <c r="Q51" s="88">
        <v>12.5</v>
      </c>
      <c r="R51" s="88"/>
      <c r="S51" s="88">
        <v>15</v>
      </c>
      <c r="T51" s="92">
        <v>5.8</v>
      </c>
      <c r="U51" s="88">
        <v>9.1</v>
      </c>
      <c r="V51" s="88"/>
      <c r="W51" s="88">
        <v>20</v>
      </c>
      <c r="X51" s="92">
        <v>5.3</v>
      </c>
      <c r="Y51" s="88">
        <v>9.4</v>
      </c>
      <c r="Z51" s="88"/>
      <c r="AA51" s="88">
        <v>20</v>
      </c>
      <c r="AB51" s="92">
        <v>10.5</v>
      </c>
      <c r="AC51" s="88">
        <v>7.3</v>
      </c>
      <c r="AD51" s="88"/>
      <c r="AE51" s="88">
        <v>25</v>
      </c>
      <c r="AF51" s="92">
        <v>7.9</v>
      </c>
      <c r="AG51" s="88">
        <v>7.6</v>
      </c>
      <c r="AH51" s="88"/>
      <c r="AI51" s="88">
        <v>35</v>
      </c>
      <c r="AJ51" s="92">
        <v>7.8</v>
      </c>
      <c r="AK51" s="88">
        <v>8.6999999999999993</v>
      </c>
      <c r="AL51" s="88"/>
      <c r="AM51" s="88">
        <v>98</v>
      </c>
      <c r="AN51" s="92"/>
      <c r="AO51" s="88"/>
      <c r="AP51" s="88"/>
    </row>
    <row r="52" spans="1:42" x14ac:dyDescent="0.2">
      <c r="A52" s="19" t="s">
        <v>822</v>
      </c>
      <c r="B52" s="19">
        <v>101</v>
      </c>
      <c r="C52" s="37">
        <v>10</v>
      </c>
      <c r="D52" s="37">
        <v>12.1</v>
      </c>
      <c r="E52" s="37">
        <v>13.4</v>
      </c>
      <c r="F52" s="37"/>
      <c r="G52" s="37">
        <v>10</v>
      </c>
      <c r="H52" s="37">
        <v>13.1</v>
      </c>
      <c r="I52" s="37">
        <v>10.199999999999999</v>
      </c>
      <c r="J52" s="37"/>
      <c r="K52" s="88">
        <v>10</v>
      </c>
      <c r="L52" s="92">
        <v>12.2</v>
      </c>
      <c r="M52" s="88">
        <v>7.5</v>
      </c>
      <c r="N52" s="88"/>
      <c r="O52" s="88">
        <v>20</v>
      </c>
      <c r="P52" s="92">
        <v>6.8</v>
      </c>
      <c r="Q52" s="88">
        <v>13.6</v>
      </c>
      <c r="R52" s="88"/>
      <c r="S52" s="88">
        <v>25</v>
      </c>
      <c r="T52" s="92">
        <v>11.8</v>
      </c>
      <c r="U52" s="88">
        <v>11.4</v>
      </c>
      <c r="V52" s="88"/>
      <c r="W52" s="88">
        <v>60</v>
      </c>
      <c r="X52" s="92">
        <v>11.4</v>
      </c>
      <c r="Y52" s="88">
        <v>9.1</v>
      </c>
      <c r="Z52" s="88"/>
      <c r="AA52" s="88">
        <v>65</v>
      </c>
      <c r="AB52" s="92">
        <v>10.8</v>
      </c>
      <c r="AC52" s="88">
        <v>6.3</v>
      </c>
      <c r="AD52" s="88"/>
      <c r="AE52" s="88">
        <v>65</v>
      </c>
      <c r="AF52" s="92">
        <v>8.5</v>
      </c>
      <c r="AG52" s="88">
        <v>6.2</v>
      </c>
      <c r="AH52" s="88"/>
      <c r="AI52" s="88">
        <v>65</v>
      </c>
      <c r="AJ52" s="92">
        <v>9.3000000000000007</v>
      </c>
      <c r="AK52" s="88">
        <v>8.3000000000000007</v>
      </c>
      <c r="AL52" s="88"/>
      <c r="AM52" s="88">
        <v>90</v>
      </c>
      <c r="AN52" s="92">
        <v>8.6999999999999993</v>
      </c>
      <c r="AO52" s="88">
        <v>7.5</v>
      </c>
      <c r="AP52" s="88"/>
    </row>
    <row r="53" spans="1:42" x14ac:dyDescent="0.2">
      <c r="A53" s="19" t="s">
        <v>825</v>
      </c>
      <c r="B53" s="19">
        <v>104</v>
      </c>
      <c r="C53" s="37">
        <v>10</v>
      </c>
      <c r="D53" s="37">
        <v>12.2</v>
      </c>
      <c r="E53" s="37">
        <v>11.8</v>
      </c>
      <c r="F53" s="37"/>
      <c r="G53" s="37">
        <v>15</v>
      </c>
      <c r="H53" s="37">
        <v>12.7</v>
      </c>
      <c r="I53" s="37">
        <v>11.6</v>
      </c>
      <c r="J53" s="37"/>
      <c r="K53" s="88">
        <v>15</v>
      </c>
      <c r="L53" s="92">
        <v>9</v>
      </c>
      <c r="M53" s="88">
        <v>12.8</v>
      </c>
      <c r="N53" s="88"/>
      <c r="O53" s="88">
        <v>25</v>
      </c>
      <c r="P53" s="92">
        <v>8.1999999999999993</v>
      </c>
      <c r="Q53" s="88">
        <v>10.6</v>
      </c>
      <c r="R53" s="88"/>
      <c r="S53" s="88">
        <v>45</v>
      </c>
      <c r="T53" s="92">
        <v>9.5</v>
      </c>
      <c r="U53" s="88">
        <v>10</v>
      </c>
      <c r="V53" s="88"/>
      <c r="W53" s="88">
        <v>70</v>
      </c>
      <c r="X53" s="92">
        <v>8</v>
      </c>
      <c r="Y53" s="88">
        <v>7</v>
      </c>
      <c r="Z53" s="88"/>
      <c r="AA53" s="88">
        <v>75</v>
      </c>
      <c r="AB53" s="92">
        <v>7.6</v>
      </c>
      <c r="AC53" s="88">
        <v>7.8</v>
      </c>
      <c r="AD53" s="88"/>
      <c r="AE53" s="88">
        <v>80</v>
      </c>
      <c r="AF53" s="92">
        <v>8</v>
      </c>
      <c r="AG53" s="88">
        <v>8</v>
      </c>
      <c r="AH53" s="88"/>
      <c r="AI53" s="88">
        <v>90</v>
      </c>
      <c r="AJ53" s="92">
        <v>9.9</v>
      </c>
      <c r="AK53" s="88">
        <v>5.3</v>
      </c>
      <c r="AL53" s="88"/>
      <c r="AM53" s="88">
        <v>100</v>
      </c>
      <c r="AN53" s="92"/>
      <c r="AO53" s="88"/>
      <c r="AP53" s="88"/>
    </row>
    <row r="54" spans="1:42" x14ac:dyDescent="0.2">
      <c r="A54" s="13" t="s">
        <v>827</v>
      </c>
      <c r="B54" s="13">
        <v>105</v>
      </c>
      <c r="C54" s="1">
        <v>95</v>
      </c>
      <c r="D54" s="1">
        <v>6.8</v>
      </c>
      <c r="E54" s="1">
        <v>9</v>
      </c>
      <c r="F54" s="1" t="s">
        <v>1810</v>
      </c>
      <c r="G54" s="1">
        <v>98</v>
      </c>
      <c r="H54" s="1"/>
      <c r="I54" s="1"/>
      <c r="J54" s="1"/>
      <c r="K54" s="89">
        <v>98</v>
      </c>
      <c r="L54" s="93"/>
      <c r="M54" s="89"/>
      <c r="N54" s="89"/>
      <c r="O54" s="89">
        <v>98</v>
      </c>
      <c r="P54" s="93"/>
      <c r="Q54" s="89"/>
      <c r="R54" s="89"/>
      <c r="S54" s="89">
        <v>98</v>
      </c>
      <c r="T54" s="93"/>
      <c r="U54" s="89"/>
      <c r="V54" s="89"/>
      <c r="W54" s="89">
        <v>98</v>
      </c>
      <c r="X54" s="93"/>
      <c r="Y54" s="89"/>
      <c r="Z54" s="89"/>
      <c r="AA54" s="89">
        <v>98</v>
      </c>
      <c r="AB54" s="93"/>
      <c r="AC54" s="89"/>
      <c r="AD54" s="89"/>
      <c r="AE54" s="89">
        <v>98</v>
      </c>
      <c r="AF54" s="93"/>
      <c r="AG54" s="89"/>
      <c r="AH54" s="89"/>
      <c r="AI54" s="89">
        <v>100</v>
      </c>
      <c r="AJ54" s="93"/>
      <c r="AK54" s="89"/>
      <c r="AL54" s="89"/>
      <c r="AM54" s="89">
        <v>100</v>
      </c>
      <c r="AN54" s="93"/>
      <c r="AO54" s="89"/>
      <c r="AP54" s="89"/>
    </row>
    <row r="55" spans="1:42" x14ac:dyDescent="0.2">
      <c r="A55" s="13" t="s">
        <v>828</v>
      </c>
      <c r="B55" s="13">
        <v>106</v>
      </c>
      <c r="C55" s="1">
        <v>100</v>
      </c>
      <c r="D55" s="1"/>
      <c r="E55" s="1"/>
      <c r="F55" s="1" t="s">
        <v>1810</v>
      </c>
      <c r="G55" s="1">
        <v>100</v>
      </c>
      <c r="H55" s="1"/>
      <c r="I55" s="1"/>
      <c r="J55" s="1"/>
      <c r="K55" s="89">
        <v>100</v>
      </c>
      <c r="L55" s="93"/>
      <c r="M55" s="89"/>
      <c r="N55" s="89"/>
      <c r="O55" s="89">
        <v>100</v>
      </c>
      <c r="P55" s="93"/>
      <c r="Q55" s="89"/>
      <c r="R55" s="89"/>
      <c r="S55" s="89">
        <v>100</v>
      </c>
      <c r="T55" s="93"/>
      <c r="U55" s="89"/>
      <c r="V55" s="89"/>
      <c r="W55" s="89">
        <v>100</v>
      </c>
      <c r="X55" s="93"/>
      <c r="Y55" s="89"/>
      <c r="Z55" s="89"/>
      <c r="AA55" s="89">
        <v>100</v>
      </c>
      <c r="AB55" s="93"/>
      <c r="AC55" s="89"/>
      <c r="AD55" s="89"/>
      <c r="AE55" s="89">
        <v>100</v>
      </c>
      <c r="AF55" s="93"/>
      <c r="AG55" s="89"/>
      <c r="AH55" s="89"/>
      <c r="AI55" s="89">
        <v>100</v>
      </c>
      <c r="AJ55" s="93"/>
      <c r="AK55" s="89"/>
      <c r="AL55" s="89"/>
      <c r="AM55" s="89">
        <v>100</v>
      </c>
      <c r="AN55" s="93"/>
      <c r="AO55" s="89"/>
      <c r="AP55" s="89"/>
    </row>
    <row r="56" spans="1:42" x14ac:dyDescent="0.2">
      <c r="A56" s="13" t="s">
        <v>829</v>
      </c>
      <c r="B56" s="13">
        <v>107</v>
      </c>
      <c r="C56" s="1">
        <v>98</v>
      </c>
      <c r="D56" s="1"/>
      <c r="E56" s="1"/>
      <c r="F56" s="1" t="s">
        <v>1810</v>
      </c>
      <c r="G56" s="1">
        <v>98</v>
      </c>
      <c r="H56" s="1"/>
      <c r="I56" s="1"/>
      <c r="J56" s="1"/>
      <c r="K56" s="89">
        <v>100</v>
      </c>
      <c r="L56" s="93"/>
      <c r="M56" s="89"/>
      <c r="N56" s="89"/>
      <c r="O56" s="89">
        <v>100</v>
      </c>
      <c r="P56" s="93"/>
      <c r="Q56" s="89"/>
      <c r="R56" s="89"/>
      <c r="S56" s="89">
        <v>100</v>
      </c>
      <c r="T56" s="93"/>
      <c r="U56" s="89"/>
      <c r="V56" s="89"/>
      <c r="W56" s="89">
        <v>100</v>
      </c>
      <c r="X56" s="93"/>
      <c r="Y56" s="89"/>
      <c r="Z56" s="89"/>
      <c r="AA56" s="89">
        <v>100</v>
      </c>
      <c r="AB56" s="93"/>
      <c r="AC56" s="89"/>
      <c r="AD56" s="89"/>
      <c r="AE56" s="89">
        <v>100</v>
      </c>
      <c r="AF56" s="93"/>
      <c r="AG56" s="89"/>
      <c r="AH56" s="89"/>
      <c r="AI56" s="89">
        <v>100</v>
      </c>
      <c r="AJ56" s="93"/>
      <c r="AK56" s="89"/>
      <c r="AL56" s="89"/>
      <c r="AM56" s="89">
        <v>100</v>
      </c>
      <c r="AN56" s="93"/>
      <c r="AO56" s="89"/>
      <c r="AP56" s="89"/>
    </row>
    <row r="57" spans="1:42" x14ac:dyDescent="0.2">
      <c r="A57" s="13" t="s">
        <v>830</v>
      </c>
      <c r="B57" s="13">
        <v>108</v>
      </c>
      <c r="C57" s="1">
        <v>95</v>
      </c>
      <c r="D57" s="1">
        <v>9.6</v>
      </c>
      <c r="E57" s="1">
        <v>11.6</v>
      </c>
      <c r="F57" s="1" t="s">
        <v>1810</v>
      </c>
      <c r="G57" s="1">
        <v>95</v>
      </c>
      <c r="H57" s="1"/>
      <c r="I57" s="1"/>
      <c r="J57" s="1"/>
      <c r="K57" s="89">
        <v>95</v>
      </c>
      <c r="L57" s="93"/>
      <c r="M57" s="89"/>
      <c r="N57" s="89"/>
      <c r="O57" s="89">
        <v>95</v>
      </c>
      <c r="P57" s="93"/>
      <c r="Q57" s="89"/>
      <c r="R57" s="89"/>
      <c r="S57" s="89">
        <v>98</v>
      </c>
      <c r="T57" s="93"/>
      <c r="U57" s="89"/>
      <c r="V57" s="89"/>
      <c r="W57" s="89">
        <v>98</v>
      </c>
      <c r="X57" s="93"/>
      <c r="Y57" s="89"/>
      <c r="Z57" s="89"/>
      <c r="AA57" s="89">
        <v>98</v>
      </c>
      <c r="AB57" s="93"/>
      <c r="AC57" s="89"/>
      <c r="AD57" s="89"/>
      <c r="AE57" s="89">
        <v>98</v>
      </c>
      <c r="AF57" s="93"/>
      <c r="AG57" s="89"/>
      <c r="AH57" s="89"/>
      <c r="AI57" s="89">
        <v>100</v>
      </c>
      <c r="AJ57" s="93"/>
      <c r="AK57" s="89"/>
      <c r="AL57" s="89"/>
      <c r="AM57" s="89">
        <v>100</v>
      </c>
      <c r="AN57" s="93"/>
      <c r="AO57" s="89"/>
      <c r="AP57" s="89"/>
    </row>
    <row r="58" spans="1:42" x14ac:dyDescent="0.2">
      <c r="A58" s="13" t="s">
        <v>831</v>
      </c>
      <c r="B58" s="13">
        <v>109</v>
      </c>
      <c r="C58" s="1">
        <v>95</v>
      </c>
      <c r="D58" s="1">
        <v>9.8000000000000007</v>
      </c>
      <c r="E58" s="1">
        <v>9.1999999999999993</v>
      </c>
      <c r="F58" s="1" t="s">
        <v>1810</v>
      </c>
      <c r="G58" s="1">
        <v>95</v>
      </c>
      <c r="H58" s="1"/>
      <c r="I58" s="1"/>
      <c r="J58" s="1"/>
      <c r="K58" s="89">
        <v>98</v>
      </c>
      <c r="L58" s="93"/>
      <c r="M58" s="89"/>
      <c r="N58" s="89"/>
      <c r="O58" s="89">
        <v>98</v>
      </c>
      <c r="P58" s="93"/>
      <c r="Q58" s="89"/>
      <c r="R58" s="89"/>
      <c r="S58" s="89">
        <v>98</v>
      </c>
      <c r="T58" s="93"/>
      <c r="U58" s="89"/>
      <c r="V58" s="89"/>
      <c r="W58" s="89">
        <v>98</v>
      </c>
      <c r="X58" s="93"/>
      <c r="Y58" s="89"/>
      <c r="Z58" s="89"/>
      <c r="AA58" s="89">
        <v>100</v>
      </c>
      <c r="AB58" s="93"/>
      <c r="AC58" s="89"/>
      <c r="AD58" s="89"/>
      <c r="AE58" s="89">
        <v>100</v>
      </c>
      <c r="AF58" s="93"/>
      <c r="AG58" s="89"/>
      <c r="AH58" s="89"/>
      <c r="AI58" s="89">
        <v>100</v>
      </c>
      <c r="AJ58" s="93"/>
      <c r="AK58" s="89"/>
      <c r="AL58" s="89"/>
      <c r="AM58" s="89">
        <v>100</v>
      </c>
      <c r="AN58" s="93"/>
      <c r="AO58" s="89"/>
      <c r="AP58" s="89"/>
    </row>
    <row r="59" spans="1:42" x14ac:dyDescent="0.2">
      <c r="A59" s="13" t="s">
        <v>832</v>
      </c>
      <c r="B59" s="13">
        <v>110</v>
      </c>
      <c r="C59" s="1">
        <v>100</v>
      </c>
      <c r="D59" s="1"/>
      <c r="E59" s="1"/>
      <c r="F59" s="1" t="s">
        <v>1810</v>
      </c>
      <c r="G59" s="1">
        <v>100</v>
      </c>
      <c r="H59" s="1"/>
      <c r="I59" s="1"/>
      <c r="J59" s="1"/>
      <c r="K59" s="89">
        <v>100</v>
      </c>
      <c r="L59" s="93"/>
      <c r="M59" s="89"/>
      <c r="N59" s="89"/>
      <c r="O59" s="89">
        <v>100</v>
      </c>
      <c r="P59" s="93"/>
      <c r="Q59" s="89"/>
      <c r="R59" s="89"/>
      <c r="S59" s="89">
        <v>100</v>
      </c>
      <c r="T59" s="93"/>
      <c r="U59" s="89"/>
      <c r="V59" s="89"/>
      <c r="W59" s="89">
        <v>100</v>
      </c>
      <c r="X59" s="93"/>
      <c r="Y59" s="89"/>
      <c r="Z59" s="89"/>
      <c r="AA59" s="89">
        <v>100</v>
      </c>
      <c r="AB59" s="93"/>
      <c r="AC59" s="89"/>
      <c r="AD59" s="89"/>
      <c r="AE59" s="89">
        <v>100</v>
      </c>
      <c r="AF59" s="93"/>
      <c r="AG59" s="89"/>
      <c r="AH59" s="89"/>
      <c r="AI59" s="89">
        <v>100</v>
      </c>
      <c r="AJ59" s="93"/>
      <c r="AK59" s="89"/>
      <c r="AL59" s="89"/>
      <c r="AM59" s="89">
        <v>100</v>
      </c>
      <c r="AN59" s="93"/>
      <c r="AO59" s="89"/>
      <c r="AP59" s="89"/>
    </row>
    <row r="60" spans="1:42" x14ac:dyDescent="0.2">
      <c r="A60" s="13" t="s">
        <v>833</v>
      </c>
      <c r="B60" s="13">
        <v>111</v>
      </c>
      <c r="C60" s="1">
        <v>100</v>
      </c>
      <c r="D60" s="1"/>
      <c r="E60" s="1"/>
      <c r="F60" s="1" t="s">
        <v>1810</v>
      </c>
      <c r="G60" s="1">
        <v>100</v>
      </c>
      <c r="H60" s="1"/>
      <c r="I60" s="1"/>
      <c r="J60" s="1"/>
      <c r="K60" s="89">
        <v>100</v>
      </c>
      <c r="L60" s="93"/>
      <c r="M60" s="89"/>
      <c r="N60" s="89"/>
      <c r="O60" s="89">
        <v>100</v>
      </c>
      <c r="P60" s="93"/>
      <c r="Q60" s="89"/>
      <c r="R60" s="89"/>
      <c r="S60" s="89">
        <v>100</v>
      </c>
      <c r="T60" s="93"/>
      <c r="U60" s="89"/>
      <c r="V60" s="89"/>
      <c r="W60" s="89">
        <v>100</v>
      </c>
      <c r="X60" s="93"/>
      <c r="Y60" s="89"/>
      <c r="Z60" s="89"/>
      <c r="AA60" s="89">
        <v>100</v>
      </c>
      <c r="AB60" s="93"/>
      <c r="AC60" s="89"/>
      <c r="AD60" s="89"/>
      <c r="AE60" s="89">
        <v>100</v>
      </c>
      <c r="AF60" s="93"/>
      <c r="AG60" s="89"/>
      <c r="AH60" s="89"/>
      <c r="AI60" s="89">
        <v>100</v>
      </c>
      <c r="AJ60" s="93"/>
      <c r="AK60" s="89"/>
      <c r="AL60" s="89"/>
      <c r="AM60" s="89">
        <v>100</v>
      </c>
      <c r="AN60" s="93"/>
      <c r="AO60" s="89"/>
      <c r="AP60" s="89"/>
    </row>
    <row r="61" spans="1:42" x14ac:dyDescent="0.2">
      <c r="A61" s="13" t="s">
        <v>834</v>
      </c>
      <c r="B61" s="13">
        <v>112</v>
      </c>
      <c r="C61" s="1">
        <v>100</v>
      </c>
      <c r="D61" s="1"/>
      <c r="E61" s="1"/>
      <c r="F61" s="1" t="s">
        <v>1810</v>
      </c>
      <c r="G61" s="1">
        <v>100</v>
      </c>
      <c r="H61" s="1"/>
      <c r="I61" s="1"/>
      <c r="J61" s="1"/>
      <c r="K61" s="89">
        <v>100</v>
      </c>
      <c r="L61" s="93"/>
      <c r="M61" s="89"/>
      <c r="N61" s="89"/>
      <c r="O61" s="89">
        <v>100</v>
      </c>
      <c r="P61" s="93"/>
      <c r="Q61" s="89"/>
      <c r="R61" s="89"/>
      <c r="S61" s="89">
        <v>100</v>
      </c>
      <c r="T61" s="93"/>
      <c r="U61" s="89"/>
      <c r="V61" s="89"/>
      <c r="W61" s="89">
        <v>98</v>
      </c>
      <c r="X61" s="93"/>
      <c r="Y61" s="89"/>
      <c r="Z61" s="89" t="s">
        <v>1868</v>
      </c>
      <c r="AA61" s="89">
        <v>98</v>
      </c>
      <c r="AB61" s="93"/>
      <c r="AC61" s="89"/>
      <c r="AD61" s="89"/>
      <c r="AE61" s="89">
        <v>98</v>
      </c>
      <c r="AF61" s="93"/>
      <c r="AG61" s="89"/>
      <c r="AH61" s="89"/>
      <c r="AI61" s="89">
        <v>98</v>
      </c>
      <c r="AJ61" s="93"/>
      <c r="AK61" s="89"/>
      <c r="AL61" s="89"/>
      <c r="AM61" s="89">
        <v>98</v>
      </c>
      <c r="AN61" s="93"/>
      <c r="AO61" s="89"/>
      <c r="AP61" s="89"/>
    </row>
    <row r="62" spans="1:42" x14ac:dyDescent="0.2">
      <c r="A62" s="19" t="s">
        <v>845</v>
      </c>
      <c r="B62" s="19">
        <v>121</v>
      </c>
      <c r="C62" s="37">
        <v>100</v>
      </c>
      <c r="D62" s="37"/>
      <c r="E62" s="37"/>
      <c r="F62" s="37" t="s">
        <v>1810</v>
      </c>
      <c r="G62" s="37">
        <v>100</v>
      </c>
      <c r="H62" s="37"/>
      <c r="I62" s="37"/>
      <c r="J62" s="37"/>
      <c r="K62" s="88">
        <v>100</v>
      </c>
      <c r="L62" s="92"/>
      <c r="M62" s="88"/>
      <c r="N62" s="88"/>
      <c r="O62" s="88">
        <v>100</v>
      </c>
      <c r="P62" s="92"/>
      <c r="Q62" s="88"/>
      <c r="R62" s="88"/>
      <c r="S62" s="88">
        <v>100</v>
      </c>
      <c r="T62" s="92"/>
      <c r="U62" s="88"/>
      <c r="V62" s="88"/>
      <c r="W62" s="88">
        <v>100</v>
      </c>
      <c r="X62" s="92"/>
      <c r="Y62" s="88"/>
      <c r="Z62" s="88"/>
      <c r="AA62" s="88">
        <v>100</v>
      </c>
      <c r="AB62" s="92"/>
      <c r="AC62" s="88"/>
      <c r="AD62" s="88"/>
      <c r="AE62" s="88">
        <v>100</v>
      </c>
      <c r="AF62" s="92"/>
      <c r="AG62" s="88"/>
      <c r="AH62" s="88"/>
      <c r="AI62" s="88">
        <v>100</v>
      </c>
      <c r="AJ62" s="92"/>
      <c r="AK62" s="88"/>
      <c r="AL62" s="88"/>
      <c r="AM62" s="88">
        <v>100</v>
      </c>
      <c r="AN62" s="92"/>
      <c r="AO62" s="88"/>
      <c r="AP62" s="88"/>
    </row>
    <row r="63" spans="1:42" x14ac:dyDescent="0.2">
      <c r="A63" s="19" t="s">
        <v>848</v>
      </c>
      <c r="B63" s="19">
        <v>124</v>
      </c>
      <c r="C63" s="37">
        <v>100</v>
      </c>
      <c r="D63" s="37"/>
      <c r="E63" s="37"/>
      <c r="F63" s="37" t="s">
        <v>1810</v>
      </c>
      <c r="G63" s="37">
        <v>100</v>
      </c>
      <c r="H63" s="37"/>
      <c r="I63" s="37"/>
      <c r="J63" s="37"/>
      <c r="K63" s="88">
        <v>100</v>
      </c>
      <c r="L63" s="92"/>
      <c r="M63" s="88"/>
      <c r="N63" s="88"/>
      <c r="O63" s="88">
        <v>100</v>
      </c>
      <c r="P63" s="92"/>
      <c r="Q63" s="88"/>
      <c r="R63" s="88"/>
      <c r="S63" s="88">
        <v>100</v>
      </c>
      <c r="T63" s="92"/>
      <c r="U63" s="88"/>
      <c r="V63" s="88"/>
      <c r="W63" s="88">
        <v>100</v>
      </c>
      <c r="X63" s="92"/>
      <c r="Y63" s="88"/>
      <c r="Z63" s="88"/>
      <c r="AA63" s="88">
        <v>100</v>
      </c>
      <c r="AB63" s="92"/>
      <c r="AC63" s="88"/>
      <c r="AD63" s="88"/>
      <c r="AE63" s="88">
        <v>100</v>
      </c>
      <c r="AF63" s="92"/>
      <c r="AG63" s="88"/>
      <c r="AH63" s="88"/>
      <c r="AI63" s="88">
        <v>100</v>
      </c>
      <c r="AJ63" s="92"/>
      <c r="AK63" s="88"/>
      <c r="AL63" s="88"/>
      <c r="AM63" s="88">
        <v>100</v>
      </c>
      <c r="AN63" s="92"/>
      <c r="AO63" s="88"/>
      <c r="AP63" s="88"/>
    </row>
    <row r="64" spans="1:42" x14ac:dyDescent="0.2">
      <c r="A64" s="19" t="s">
        <v>849</v>
      </c>
      <c r="B64" s="19">
        <v>125</v>
      </c>
      <c r="C64" s="37">
        <v>85</v>
      </c>
      <c r="D64" s="37">
        <v>12.9</v>
      </c>
      <c r="E64" s="37">
        <v>13.1</v>
      </c>
      <c r="F64" s="37" t="s">
        <v>1810</v>
      </c>
      <c r="G64" s="37">
        <v>85</v>
      </c>
      <c r="H64" s="37"/>
      <c r="I64" s="37"/>
      <c r="J64" s="37"/>
      <c r="K64" s="88">
        <v>90</v>
      </c>
      <c r="L64" s="92">
        <v>13</v>
      </c>
      <c r="M64" s="88">
        <v>13</v>
      </c>
      <c r="N64" s="88"/>
      <c r="O64" s="88">
        <v>95</v>
      </c>
      <c r="P64" s="92">
        <v>5.8</v>
      </c>
      <c r="Q64" s="88">
        <v>6</v>
      </c>
      <c r="R64" s="88"/>
      <c r="S64" s="88">
        <v>95</v>
      </c>
      <c r="T64" s="92">
        <v>11</v>
      </c>
      <c r="U64" s="88">
        <v>13.7</v>
      </c>
      <c r="V64" s="88"/>
      <c r="W64" s="88">
        <v>98</v>
      </c>
      <c r="X64" s="92"/>
      <c r="Y64" s="88"/>
      <c r="Z64" s="88"/>
      <c r="AA64" s="88">
        <v>98</v>
      </c>
      <c r="AB64" s="92"/>
      <c r="AC64" s="88"/>
      <c r="AD64" s="88"/>
      <c r="AE64" s="88">
        <v>98</v>
      </c>
      <c r="AF64" s="92"/>
      <c r="AG64" s="88"/>
      <c r="AH64" s="88"/>
      <c r="AI64" s="88">
        <v>98</v>
      </c>
      <c r="AJ64" s="92"/>
      <c r="AK64" s="88"/>
      <c r="AL64" s="88"/>
      <c r="AM64" s="88">
        <v>100</v>
      </c>
      <c r="AN64" s="92"/>
      <c r="AO64" s="88"/>
      <c r="AP64" s="88"/>
    </row>
    <row r="65" spans="1:42" x14ac:dyDescent="0.2">
      <c r="A65" s="19" t="s">
        <v>852</v>
      </c>
      <c r="B65" s="19">
        <v>128</v>
      </c>
      <c r="C65" s="37">
        <v>100</v>
      </c>
      <c r="D65" s="37"/>
      <c r="E65" s="37"/>
      <c r="F65" s="37" t="s">
        <v>1810</v>
      </c>
      <c r="G65" s="37">
        <v>100</v>
      </c>
      <c r="H65" s="37"/>
      <c r="I65" s="37"/>
      <c r="J65" s="37"/>
      <c r="K65" s="88">
        <v>100</v>
      </c>
      <c r="L65" s="92"/>
      <c r="M65" s="88"/>
      <c r="N65" s="88"/>
      <c r="O65" s="88">
        <v>100</v>
      </c>
      <c r="P65" s="92"/>
      <c r="Q65" s="88"/>
      <c r="R65" s="88"/>
      <c r="S65" s="88">
        <v>100</v>
      </c>
      <c r="T65" s="92"/>
      <c r="U65" s="88"/>
      <c r="V65" s="88"/>
      <c r="W65" s="88">
        <v>100</v>
      </c>
      <c r="X65" s="92"/>
      <c r="Y65" s="88"/>
      <c r="Z65" s="88"/>
      <c r="AA65" s="88">
        <v>100</v>
      </c>
      <c r="AB65" s="92"/>
      <c r="AC65" s="88"/>
      <c r="AD65" s="88"/>
      <c r="AE65" s="88">
        <v>100</v>
      </c>
      <c r="AF65" s="92"/>
      <c r="AG65" s="88"/>
      <c r="AH65" s="88"/>
      <c r="AI65" s="88">
        <v>100</v>
      </c>
      <c r="AJ65" s="92"/>
      <c r="AK65" s="88"/>
      <c r="AL65" s="88"/>
      <c r="AM65" s="88">
        <v>100</v>
      </c>
      <c r="AN65" s="92"/>
      <c r="AO65" s="88"/>
      <c r="AP65" s="88"/>
    </row>
    <row r="66" spans="1:42" x14ac:dyDescent="0.2">
      <c r="A66" s="13" t="s">
        <v>863</v>
      </c>
      <c r="B66" s="13">
        <v>137</v>
      </c>
      <c r="C66" s="1">
        <v>100</v>
      </c>
      <c r="D66" s="1"/>
      <c r="E66" s="1"/>
      <c r="F66" s="1" t="s">
        <v>1810</v>
      </c>
      <c r="G66" s="1">
        <v>100</v>
      </c>
      <c r="H66" s="1"/>
      <c r="I66" s="1"/>
      <c r="J66" s="1"/>
      <c r="K66" s="89">
        <v>100</v>
      </c>
      <c r="L66" s="93"/>
      <c r="M66" s="89"/>
      <c r="N66" s="89"/>
      <c r="O66" s="89">
        <v>100</v>
      </c>
      <c r="P66" s="93"/>
      <c r="Q66" s="89"/>
      <c r="R66" s="89"/>
      <c r="S66" s="89">
        <v>100</v>
      </c>
      <c r="T66" s="93"/>
      <c r="U66" s="89"/>
      <c r="V66" s="89"/>
      <c r="W66" s="89">
        <v>100</v>
      </c>
      <c r="X66" s="93"/>
      <c r="Y66" s="89"/>
      <c r="Z66" s="89"/>
      <c r="AA66" s="89">
        <v>100</v>
      </c>
      <c r="AB66" s="93"/>
      <c r="AC66" s="89"/>
      <c r="AD66" s="89"/>
      <c r="AE66" s="89">
        <v>100</v>
      </c>
      <c r="AF66" s="93"/>
      <c r="AG66" s="89"/>
      <c r="AH66" s="89"/>
      <c r="AI66" s="89">
        <v>100</v>
      </c>
      <c r="AJ66" s="93"/>
      <c r="AK66" s="89"/>
      <c r="AL66" s="89"/>
      <c r="AM66" s="89">
        <v>100</v>
      </c>
      <c r="AN66" s="93"/>
      <c r="AO66" s="89"/>
      <c r="AP66" s="89"/>
    </row>
    <row r="67" spans="1:42" x14ac:dyDescent="0.2">
      <c r="A67" s="13" t="s">
        <v>866</v>
      </c>
      <c r="B67" s="13">
        <v>140</v>
      </c>
      <c r="C67" s="1">
        <v>100</v>
      </c>
      <c r="D67" s="1"/>
      <c r="E67" s="1"/>
      <c r="F67" s="1" t="s">
        <v>1810</v>
      </c>
      <c r="G67" s="1">
        <v>100</v>
      </c>
      <c r="H67" s="1"/>
      <c r="I67" s="1"/>
      <c r="J67" s="1"/>
      <c r="K67" s="89">
        <v>100</v>
      </c>
      <c r="L67" s="93"/>
      <c r="M67" s="89"/>
      <c r="N67" s="89"/>
      <c r="O67" s="89">
        <v>100</v>
      </c>
      <c r="P67" s="93"/>
      <c r="Q67" s="89"/>
      <c r="R67" s="89"/>
      <c r="S67" s="89">
        <v>100</v>
      </c>
      <c r="T67" s="93"/>
      <c r="U67" s="89"/>
      <c r="V67" s="89"/>
      <c r="W67" s="89">
        <v>100</v>
      </c>
      <c r="X67" s="93"/>
      <c r="Y67" s="89"/>
      <c r="Z67" s="89"/>
      <c r="AA67" s="89">
        <v>100</v>
      </c>
      <c r="AB67" s="93"/>
      <c r="AC67" s="89"/>
      <c r="AD67" s="89"/>
      <c r="AE67" s="89">
        <v>100</v>
      </c>
      <c r="AF67" s="93"/>
      <c r="AG67" s="89"/>
      <c r="AH67" s="89"/>
      <c r="AI67" s="89">
        <v>100</v>
      </c>
      <c r="AJ67" s="93"/>
      <c r="AK67" s="89"/>
      <c r="AL67" s="89"/>
      <c r="AM67" s="89">
        <v>100</v>
      </c>
      <c r="AN67" s="93"/>
      <c r="AO67" s="89"/>
      <c r="AP67" s="89"/>
    </row>
    <row r="68" spans="1:42" x14ac:dyDescent="0.2">
      <c r="A68" s="13" t="s">
        <v>867</v>
      </c>
      <c r="B68" s="13">
        <v>141</v>
      </c>
      <c r="C68" s="1">
        <v>100</v>
      </c>
      <c r="D68" s="1"/>
      <c r="E68" s="1"/>
      <c r="F68" s="1" t="s">
        <v>1810</v>
      </c>
      <c r="G68" s="1">
        <v>100</v>
      </c>
      <c r="H68" s="1"/>
      <c r="I68" s="1"/>
      <c r="J68" s="1"/>
      <c r="K68" s="89">
        <v>98</v>
      </c>
      <c r="L68" s="93"/>
      <c r="M68" s="89"/>
      <c r="N68" s="89"/>
      <c r="O68" s="89">
        <v>90</v>
      </c>
      <c r="P68" s="93"/>
      <c r="Q68" s="89"/>
      <c r="R68" s="103" t="s">
        <v>1868</v>
      </c>
      <c r="S68" s="89">
        <v>90</v>
      </c>
      <c r="T68" s="93"/>
      <c r="U68" s="89"/>
      <c r="V68" s="103"/>
      <c r="W68" s="89">
        <v>90</v>
      </c>
      <c r="X68" s="93"/>
      <c r="Y68" s="89"/>
      <c r="Z68" s="103"/>
      <c r="AA68" s="89">
        <v>90</v>
      </c>
      <c r="AB68" s="93"/>
      <c r="AC68" s="89"/>
      <c r="AD68" s="103"/>
      <c r="AE68" s="89">
        <v>90</v>
      </c>
      <c r="AF68" s="93"/>
      <c r="AG68" s="89"/>
      <c r="AH68" s="103"/>
      <c r="AI68" s="89">
        <v>90</v>
      </c>
      <c r="AJ68" s="93"/>
      <c r="AK68" s="89"/>
      <c r="AL68" s="103"/>
      <c r="AM68" s="89">
        <v>90</v>
      </c>
      <c r="AN68" s="93"/>
      <c r="AO68" s="89"/>
      <c r="AP68" s="103"/>
    </row>
    <row r="69" spans="1:42" x14ac:dyDescent="0.2">
      <c r="A69" s="13" t="s">
        <v>870</v>
      </c>
      <c r="B69" s="13">
        <v>144</v>
      </c>
      <c r="C69" s="1">
        <v>100</v>
      </c>
      <c r="D69" s="1"/>
      <c r="E69" s="1"/>
      <c r="F69" s="1" t="s">
        <v>1810</v>
      </c>
      <c r="G69" s="1">
        <v>100</v>
      </c>
      <c r="H69" s="1"/>
      <c r="I69" s="1"/>
      <c r="J69" s="1"/>
      <c r="K69" s="89">
        <v>100</v>
      </c>
      <c r="L69" s="93"/>
      <c r="M69" s="89"/>
      <c r="N69" s="89"/>
      <c r="O69" s="89">
        <v>100</v>
      </c>
      <c r="P69" s="93"/>
      <c r="Q69" s="89"/>
      <c r="R69" s="89"/>
      <c r="S69" s="89">
        <v>100</v>
      </c>
      <c r="T69" s="93"/>
      <c r="U69" s="89"/>
      <c r="V69" s="89"/>
      <c r="W69" s="89">
        <v>100</v>
      </c>
      <c r="X69" s="93"/>
      <c r="Y69" s="89"/>
      <c r="Z69" s="89"/>
      <c r="AA69" s="89">
        <v>100</v>
      </c>
      <c r="AB69" s="93"/>
      <c r="AC69" s="89"/>
      <c r="AD69" s="89"/>
      <c r="AE69" s="89">
        <v>100</v>
      </c>
      <c r="AF69" s="93"/>
      <c r="AG69" s="89"/>
      <c r="AH69" s="89"/>
      <c r="AI69" s="89">
        <v>100</v>
      </c>
      <c r="AJ69" s="93"/>
      <c r="AK69" s="89"/>
      <c r="AL69" s="89"/>
      <c r="AM69" s="89">
        <v>100</v>
      </c>
      <c r="AN69" s="93"/>
      <c r="AO69" s="89"/>
      <c r="AP69" s="89"/>
    </row>
    <row r="70" spans="1:42" x14ac:dyDescent="0.2">
      <c r="A70" s="19" t="s">
        <v>872</v>
      </c>
      <c r="B70" s="19">
        <v>145</v>
      </c>
      <c r="C70" s="37">
        <v>5</v>
      </c>
      <c r="D70" s="37">
        <v>8.9</v>
      </c>
      <c r="E70" s="37">
        <v>8.5</v>
      </c>
      <c r="F70" s="37"/>
      <c r="G70" s="37">
        <v>10</v>
      </c>
      <c r="H70" s="37">
        <v>11</v>
      </c>
      <c r="I70" s="37">
        <v>12.4</v>
      </c>
      <c r="J70" s="37"/>
      <c r="K70" s="88">
        <v>10</v>
      </c>
      <c r="L70" s="92">
        <v>10</v>
      </c>
      <c r="M70" s="88">
        <v>9.6999999999999993</v>
      </c>
      <c r="N70" s="88"/>
      <c r="O70" s="88">
        <v>10</v>
      </c>
      <c r="P70" s="92">
        <v>9</v>
      </c>
      <c r="Q70" s="88">
        <v>10.3</v>
      </c>
      <c r="R70" s="88"/>
      <c r="S70" s="88">
        <v>15</v>
      </c>
      <c r="T70" s="92">
        <v>10</v>
      </c>
      <c r="U70" s="88">
        <v>6.1</v>
      </c>
      <c r="V70" s="88"/>
      <c r="W70" s="88">
        <v>25</v>
      </c>
      <c r="X70" s="92">
        <v>8.1</v>
      </c>
      <c r="Y70" s="88">
        <v>7.7</v>
      </c>
      <c r="Z70" s="88"/>
      <c r="AA70" s="88">
        <v>35</v>
      </c>
      <c r="AB70" s="92">
        <v>8.5</v>
      </c>
      <c r="AC70" s="88">
        <v>8</v>
      </c>
      <c r="AD70" s="88"/>
      <c r="AE70" s="88">
        <v>60</v>
      </c>
      <c r="AF70" s="92">
        <v>5.2</v>
      </c>
      <c r="AG70" s="88">
        <v>6.9</v>
      </c>
      <c r="AH70" s="88"/>
      <c r="AI70" s="88">
        <v>90</v>
      </c>
      <c r="AJ70" s="92">
        <v>6.6</v>
      </c>
      <c r="AK70" s="88">
        <v>7.8</v>
      </c>
      <c r="AL70" s="88"/>
      <c r="AM70" s="88">
        <v>100</v>
      </c>
      <c r="AN70" s="92"/>
      <c r="AO70" s="88"/>
      <c r="AP70" s="88"/>
    </row>
    <row r="71" spans="1:42" x14ac:dyDescent="0.2">
      <c r="A71" s="19" t="s">
        <v>873</v>
      </c>
      <c r="B71" s="19">
        <v>146</v>
      </c>
      <c r="C71" s="37">
        <v>10</v>
      </c>
      <c r="D71" s="37">
        <v>11.9</v>
      </c>
      <c r="E71" s="37">
        <v>14</v>
      </c>
      <c r="F71" s="37"/>
      <c r="G71" s="37">
        <v>10</v>
      </c>
      <c r="H71" s="37">
        <v>12.7</v>
      </c>
      <c r="I71" s="37">
        <v>12.6</v>
      </c>
      <c r="J71" s="37"/>
      <c r="K71" s="88">
        <v>10</v>
      </c>
      <c r="L71" s="92">
        <v>12.4</v>
      </c>
      <c r="M71" s="88">
        <v>11.6</v>
      </c>
      <c r="N71" s="88"/>
      <c r="O71" s="88">
        <v>20</v>
      </c>
      <c r="P71" s="92">
        <v>13.1</v>
      </c>
      <c r="Q71" s="88">
        <v>11.5</v>
      </c>
      <c r="R71" s="88"/>
      <c r="S71" s="88">
        <v>30</v>
      </c>
      <c r="T71" s="92">
        <v>11.1</v>
      </c>
      <c r="U71" s="88">
        <v>9.9</v>
      </c>
      <c r="V71" s="88"/>
      <c r="W71" s="88">
        <v>40</v>
      </c>
      <c r="X71" s="92">
        <v>7.7</v>
      </c>
      <c r="Y71" s="88">
        <v>8.1</v>
      </c>
      <c r="Z71" s="88"/>
      <c r="AA71" s="88">
        <v>65</v>
      </c>
      <c r="AB71" s="92">
        <v>6.7</v>
      </c>
      <c r="AC71" s="88">
        <v>6.3</v>
      </c>
      <c r="AD71" s="88"/>
      <c r="AE71" s="88">
        <v>80</v>
      </c>
      <c r="AF71" s="92">
        <v>5.8</v>
      </c>
      <c r="AG71" s="88">
        <v>4.0999999999999996</v>
      </c>
      <c r="AH71" s="88"/>
      <c r="AI71" s="88">
        <v>98</v>
      </c>
      <c r="AJ71" s="92"/>
      <c r="AK71" s="88"/>
      <c r="AL71" s="88"/>
      <c r="AM71" s="88">
        <v>100</v>
      </c>
      <c r="AN71" s="92"/>
      <c r="AO71" s="88"/>
      <c r="AP71" s="88"/>
    </row>
    <row r="72" spans="1:42" x14ac:dyDescent="0.2">
      <c r="A72" s="19" t="s">
        <v>874</v>
      </c>
      <c r="B72" s="19">
        <v>147</v>
      </c>
      <c r="C72" s="37">
        <v>5</v>
      </c>
      <c r="D72" s="37">
        <v>12.5</v>
      </c>
      <c r="E72" s="37">
        <v>15.9</v>
      </c>
      <c r="F72" s="37"/>
      <c r="G72" s="37">
        <v>5</v>
      </c>
      <c r="H72" s="37">
        <v>15.7</v>
      </c>
      <c r="I72" s="37">
        <v>14.2</v>
      </c>
      <c r="J72" s="37"/>
      <c r="K72" s="88">
        <v>15</v>
      </c>
      <c r="L72" s="92">
        <v>16.600000000000001</v>
      </c>
      <c r="M72" s="88">
        <v>12.2</v>
      </c>
      <c r="N72" s="88"/>
      <c r="O72" s="88">
        <v>15</v>
      </c>
      <c r="P72" s="92">
        <v>10.4</v>
      </c>
      <c r="Q72" s="88">
        <v>16.5</v>
      </c>
      <c r="R72" s="88"/>
      <c r="S72" s="88">
        <v>15</v>
      </c>
      <c r="T72" s="92">
        <v>12.1</v>
      </c>
      <c r="U72" s="88">
        <v>15.1</v>
      </c>
      <c r="V72" s="88"/>
      <c r="W72" s="88">
        <v>15</v>
      </c>
      <c r="X72" s="92">
        <v>10.8</v>
      </c>
      <c r="Y72" s="88">
        <v>9.4</v>
      </c>
      <c r="Z72" s="88"/>
      <c r="AA72" s="88">
        <v>15</v>
      </c>
      <c r="AB72" s="92">
        <v>9.6999999999999993</v>
      </c>
      <c r="AC72" s="88">
        <v>11.9</v>
      </c>
      <c r="AD72" s="88"/>
      <c r="AE72" s="88">
        <v>15</v>
      </c>
      <c r="AF72" s="92">
        <v>11.3</v>
      </c>
      <c r="AG72" s="88">
        <v>9.1</v>
      </c>
      <c r="AH72" s="88"/>
      <c r="AI72" s="88">
        <v>25</v>
      </c>
      <c r="AJ72" s="92">
        <v>5.5</v>
      </c>
      <c r="AK72" s="88">
        <v>7.7</v>
      </c>
      <c r="AL72" s="88"/>
      <c r="AM72" s="88">
        <v>95</v>
      </c>
      <c r="AN72" s="92">
        <v>4.7</v>
      </c>
      <c r="AO72" s="88">
        <v>6.9</v>
      </c>
      <c r="AP72" s="88"/>
    </row>
    <row r="73" spans="1:42" x14ac:dyDescent="0.2">
      <c r="A73" s="19" t="s">
        <v>875</v>
      </c>
      <c r="B73" s="19">
        <v>148</v>
      </c>
      <c r="C73" s="37">
        <v>10</v>
      </c>
      <c r="D73" s="37">
        <v>8.6999999999999993</v>
      </c>
      <c r="E73" s="37">
        <v>12.5</v>
      </c>
      <c r="F73" s="37"/>
      <c r="G73" s="37">
        <v>10</v>
      </c>
      <c r="H73" s="37">
        <v>11.7</v>
      </c>
      <c r="I73" s="37">
        <v>15.7</v>
      </c>
      <c r="J73" s="37"/>
      <c r="K73" s="88">
        <v>10</v>
      </c>
      <c r="L73" s="92">
        <v>12.6</v>
      </c>
      <c r="M73" s="88">
        <v>11.6</v>
      </c>
      <c r="N73" s="88"/>
      <c r="O73" s="88">
        <v>10</v>
      </c>
      <c r="P73" s="92">
        <v>11.6</v>
      </c>
      <c r="Q73" s="88">
        <v>9.3000000000000007</v>
      </c>
      <c r="R73" s="88"/>
      <c r="S73" s="88">
        <v>10</v>
      </c>
      <c r="T73" s="92">
        <v>8.1999999999999993</v>
      </c>
      <c r="U73" s="88">
        <v>9</v>
      </c>
      <c r="V73" s="88"/>
      <c r="W73" s="88">
        <v>15</v>
      </c>
      <c r="X73" s="92">
        <v>10.4</v>
      </c>
      <c r="Y73" s="88">
        <v>11.7</v>
      </c>
      <c r="Z73" s="88"/>
      <c r="AA73" s="88">
        <v>15</v>
      </c>
      <c r="AB73" s="92">
        <v>12.8</v>
      </c>
      <c r="AC73" s="88">
        <v>9.1</v>
      </c>
      <c r="AD73" s="88"/>
      <c r="AE73" s="88">
        <v>25</v>
      </c>
      <c r="AF73" s="92">
        <v>7.7</v>
      </c>
      <c r="AG73" s="88">
        <v>11.3</v>
      </c>
      <c r="AH73" s="88"/>
      <c r="AI73" s="88">
        <v>50</v>
      </c>
      <c r="AJ73" s="92">
        <v>8.9</v>
      </c>
      <c r="AK73" s="88">
        <v>10.199999999999999</v>
      </c>
      <c r="AL73" s="88"/>
      <c r="AM73" s="88">
        <v>98</v>
      </c>
      <c r="AN73" s="92"/>
      <c r="AO73" s="88"/>
      <c r="AP73" s="88"/>
    </row>
    <row r="74" spans="1:42" x14ac:dyDescent="0.2">
      <c r="A74" s="19" t="s">
        <v>876</v>
      </c>
      <c r="B74" s="19">
        <v>149</v>
      </c>
      <c r="C74" s="37">
        <v>5</v>
      </c>
      <c r="D74" s="37">
        <v>15.4</v>
      </c>
      <c r="E74" s="37">
        <v>13.9</v>
      </c>
      <c r="F74" s="37"/>
      <c r="G74" s="37">
        <v>5</v>
      </c>
      <c r="H74" s="37">
        <v>15.1</v>
      </c>
      <c r="I74" s="37">
        <v>12.9</v>
      </c>
      <c r="J74" s="37"/>
      <c r="K74" s="88">
        <v>5</v>
      </c>
      <c r="L74" s="92">
        <v>13.1</v>
      </c>
      <c r="M74" s="88">
        <v>13.5</v>
      </c>
      <c r="N74" s="88"/>
      <c r="O74" s="88">
        <v>10</v>
      </c>
      <c r="P74" s="92">
        <v>13.3</v>
      </c>
      <c r="Q74" s="88">
        <v>7.7</v>
      </c>
      <c r="R74" s="88"/>
      <c r="S74" s="88">
        <v>10</v>
      </c>
      <c r="T74" s="92">
        <v>12.3</v>
      </c>
      <c r="U74" s="88">
        <v>12.8</v>
      </c>
      <c r="V74" s="88"/>
      <c r="W74" s="88">
        <v>15</v>
      </c>
      <c r="X74" s="92">
        <v>12.6</v>
      </c>
      <c r="Y74" s="88">
        <v>11.5</v>
      </c>
      <c r="Z74" s="88"/>
      <c r="AA74" s="88">
        <v>15</v>
      </c>
      <c r="AB74" s="92">
        <v>10.6</v>
      </c>
      <c r="AC74" s="88">
        <v>12.2</v>
      </c>
      <c r="AD74" s="88"/>
      <c r="AE74" s="88">
        <v>15</v>
      </c>
      <c r="AF74" s="92">
        <v>11.9</v>
      </c>
      <c r="AG74" s="88">
        <v>11.3</v>
      </c>
      <c r="AH74" s="88"/>
      <c r="AI74" s="88">
        <v>20</v>
      </c>
      <c r="AJ74" s="92">
        <v>13.4</v>
      </c>
      <c r="AK74" s="88">
        <v>11.1</v>
      </c>
      <c r="AL74" s="88"/>
      <c r="AM74" s="88">
        <v>95</v>
      </c>
      <c r="AN74" s="92">
        <v>7.3</v>
      </c>
      <c r="AO74" s="88">
        <v>7.3</v>
      </c>
      <c r="AP74" s="88"/>
    </row>
    <row r="75" spans="1:42" x14ac:dyDescent="0.2">
      <c r="A75" s="19" t="s">
        <v>877</v>
      </c>
      <c r="B75" s="19">
        <v>150</v>
      </c>
      <c r="C75" s="37">
        <v>5</v>
      </c>
      <c r="D75" s="37">
        <v>9.9</v>
      </c>
      <c r="E75" s="37">
        <v>14.7</v>
      </c>
      <c r="F75" s="37"/>
      <c r="G75" s="37">
        <v>5</v>
      </c>
      <c r="H75" s="37">
        <v>14.6</v>
      </c>
      <c r="I75" s="37">
        <v>12.4</v>
      </c>
      <c r="J75" s="37"/>
      <c r="K75" s="88">
        <v>20</v>
      </c>
      <c r="L75" s="92">
        <v>11.4</v>
      </c>
      <c r="M75" s="88">
        <v>9.1</v>
      </c>
      <c r="N75" s="88"/>
      <c r="O75" s="102">
        <v>25</v>
      </c>
      <c r="P75" s="92">
        <v>8.6999999999999993</v>
      </c>
      <c r="Q75" s="88">
        <v>9.9</v>
      </c>
      <c r="R75" s="88"/>
      <c r="S75" s="102">
        <v>30</v>
      </c>
      <c r="T75" s="92">
        <v>9</v>
      </c>
      <c r="U75" s="88">
        <v>8</v>
      </c>
      <c r="V75" s="88"/>
      <c r="W75" s="102">
        <v>40</v>
      </c>
      <c r="X75" s="92">
        <v>8.6</v>
      </c>
      <c r="Y75" s="88">
        <v>7</v>
      </c>
      <c r="Z75" s="88"/>
      <c r="AA75" s="102">
        <v>55</v>
      </c>
      <c r="AB75" s="92">
        <v>8.1</v>
      </c>
      <c r="AC75" s="88">
        <v>6.5</v>
      </c>
      <c r="AD75" s="88"/>
      <c r="AE75" s="102">
        <v>55</v>
      </c>
      <c r="AF75" s="92">
        <v>6.4</v>
      </c>
      <c r="AG75" s="88">
        <v>6.6</v>
      </c>
      <c r="AH75" s="88"/>
      <c r="AI75" s="102">
        <v>65</v>
      </c>
      <c r="AJ75" s="92">
        <v>5.5</v>
      </c>
      <c r="AK75" s="88">
        <v>8.6</v>
      </c>
      <c r="AL75" s="88"/>
      <c r="AM75" s="102">
        <v>98</v>
      </c>
      <c r="AN75" s="92"/>
      <c r="AO75" s="88"/>
      <c r="AP75" s="88"/>
    </row>
    <row r="76" spans="1:42" x14ac:dyDescent="0.2">
      <c r="A76" s="19" t="s">
        <v>878</v>
      </c>
      <c r="B76" s="19">
        <v>151</v>
      </c>
      <c r="C76" s="37">
        <v>10</v>
      </c>
      <c r="D76" s="37">
        <v>10.199999999999999</v>
      </c>
      <c r="E76" s="37">
        <v>7.6</v>
      </c>
      <c r="F76" s="37"/>
      <c r="G76" s="37">
        <v>10</v>
      </c>
      <c r="H76" s="37">
        <v>14</v>
      </c>
      <c r="I76" s="37">
        <v>13.3</v>
      </c>
      <c r="J76" s="37"/>
      <c r="K76" s="88">
        <v>20</v>
      </c>
      <c r="L76" s="92">
        <v>7.7</v>
      </c>
      <c r="M76" s="88">
        <v>7.7</v>
      </c>
      <c r="N76" s="88"/>
      <c r="O76" s="88">
        <v>20</v>
      </c>
      <c r="P76" s="92">
        <v>7.4</v>
      </c>
      <c r="Q76" s="88">
        <v>10</v>
      </c>
      <c r="R76" s="88"/>
      <c r="S76" s="88">
        <v>30</v>
      </c>
      <c r="T76" s="92">
        <v>7.5</v>
      </c>
      <c r="U76" s="88">
        <v>7.7</v>
      </c>
      <c r="V76" s="88"/>
      <c r="W76" s="88">
        <v>50</v>
      </c>
      <c r="X76" s="92">
        <v>6.2</v>
      </c>
      <c r="Y76" s="88">
        <v>7.4</v>
      </c>
      <c r="Z76" s="88"/>
      <c r="AA76" s="88">
        <v>55</v>
      </c>
      <c r="AB76" s="92">
        <v>7</v>
      </c>
      <c r="AC76" s="88">
        <v>5.3</v>
      </c>
      <c r="AD76" s="88"/>
      <c r="AE76" s="88">
        <v>55</v>
      </c>
      <c r="AF76" s="92">
        <v>3.6</v>
      </c>
      <c r="AG76" s="88">
        <v>3.9</v>
      </c>
      <c r="AH76" s="88"/>
      <c r="AI76" s="88">
        <v>75</v>
      </c>
      <c r="AJ76" s="92">
        <v>3.2</v>
      </c>
      <c r="AK76" s="88">
        <v>2.4</v>
      </c>
      <c r="AL76" s="88"/>
      <c r="AM76" s="88">
        <v>100</v>
      </c>
      <c r="AN76" s="92"/>
      <c r="AO76" s="88"/>
      <c r="AP76" s="88"/>
    </row>
    <row r="77" spans="1:42" x14ac:dyDescent="0.2">
      <c r="A77" s="19" t="s">
        <v>879</v>
      </c>
      <c r="B77" s="19">
        <v>152</v>
      </c>
      <c r="C77" s="37">
        <v>5</v>
      </c>
      <c r="D77" s="37">
        <v>7.5</v>
      </c>
      <c r="E77" s="37">
        <v>12</v>
      </c>
      <c r="F77" s="37"/>
      <c r="G77" s="37">
        <v>10</v>
      </c>
      <c r="H77" s="37">
        <v>11.8</v>
      </c>
      <c r="I77" s="37">
        <v>14</v>
      </c>
      <c r="J77" s="37"/>
      <c r="K77" s="88">
        <v>20</v>
      </c>
      <c r="L77" s="92">
        <v>12.7</v>
      </c>
      <c r="M77" s="88">
        <v>10</v>
      </c>
      <c r="N77" s="88"/>
      <c r="O77" s="88">
        <v>30</v>
      </c>
      <c r="P77" s="92">
        <v>15.2</v>
      </c>
      <c r="Q77" s="88">
        <v>8.1</v>
      </c>
      <c r="R77" s="88"/>
      <c r="S77" s="88">
        <v>40</v>
      </c>
      <c r="T77" s="92">
        <v>9.9</v>
      </c>
      <c r="U77" s="88">
        <v>9.1</v>
      </c>
      <c r="V77" s="88"/>
      <c r="W77" s="88">
        <v>70</v>
      </c>
      <c r="X77" s="92">
        <v>8.1999999999999993</v>
      </c>
      <c r="Y77" s="88">
        <v>8</v>
      </c>
      <c r="Z77" s="88"/>
      <c r="AA77" s="88">
        <v>75</v>
      </c>
      <c r="AB77" s="92">
        <v>9.1</v>
      </c>
      <c r="AC77" s="88">
        <v>7.3</v>
      </c>
      <c r="AD77" s="88"/>
      <c r="AE77" s="88">
        <v>80</v>
      </c>
      <c r="AF77" s="92">
        <v>6.4</v>
      </c>
      <c r="AG77" s="88">
        <v>5.4</v>
      </c>
      <c r="AH77" s="88"/>
      <c r="AI77" s="88">
        <v>85</v>
      </c>
      <c r="AJ77" s="92">
        <v>4.9000000000000004</v>
      </c>
      <c r="AK77" s="88">
        <v>7.4</v>
      </c>
      <c r="AL77" s="88"/>
      <c r="AM77" s="88">
        <v>100</v>
      </c>
      <c r="AN77" s="92"/>
      <c r="AO77" s="88"/>
      <c r="AP77" s="88"/>
    </row>
    <row r="78" spans="1:42" x14ac:dyDescent="0.2">
      <c r="A78" s="13" t="s">
        <v>890</v>
      </c>
      <c r="B78" s="13">
        <v>161</v>
      </c>
      <c r="C78" s="1">
        <v>5</v>
      </c>
      <c r="D78" s="1">
        <v>10.3</v>
      </c>
      <c r="E78" s="1">
        <v>11.5</v>
      </c>
      <c r="F78" s="1"/>
      <c r="G78" s="1">
        <v>5</v>
      </c>
      <c r="H78" s="1">
        <v>10</v>
      </c>
      <c r="I78" s="1">
        <v>10.7</v>
      </c>
      <c r="J78" s="1"/>
      <c r="K78" s="89">
        <v>10</v>
      </c>
      <c r="L78" s="93">
        <v>9.9</v>
      </c>
      <c r="M78" s="89">
        <v>8.9</v>
      </c>
      <c r="N78" s="89"/>
      <c r="O78" s="89">
        <v>10</v>
      </c>
      <c r="P78" s="93">
        <v>8.3000000000000007</v>
      </c>
      <c r="Q78" s="89">
        <v>9.4</v>
      </c>
      <c r="R78" s="89"/>
      <c r="S78" s="89">
        <v>20</v>
      </c>
      <c r="T78" s="93">
        <v>8.9</v>
      </c>
      <c r="U78" s="89">
        <v>6.7</v>
      </c>
      <c r="V78" s="89"/>
      <c r="W78" s="89">
        <v>30</v>
      </c>
      <c r="X78" s="93">
        <v>6.6</v>
      </c>
      <c r="Y78" s="89">
        <v>6.6</v>
      </c>
      <c r="Z78" s="89"/>
      <c r="AA78" s="89">
        <v>35</v>
      </c>
      <c r="AB78" s="93">
        <v>7.5</v>
      </c>
      <c r="AC78" s="89">
        <v>9.4</v>
      </c>
      <c r="AD78" s="89"/>
      <c r="AE78" s="89">
        <v>40</v>
      </c>
      <c r="AF78" s="93">
        <v>7.6</v>
      </c>
      <c r="AG78" s="89">
        <v>7.1</v>
      </c>
      <c r="AH78" s="89"/>
      <c r="AI78" s="89">
        <v>70</v>
      </c>
      <c r="AJ78" s="93">
        <v>3.8</v>
      </c>
      <c r="AK78" s="89">
        <v>5.2</v>
      </c>
      <c r="AL78" s="89"/>
      <c r="AM78" s="89">
        <v>98</v>
      </c>
      <c r="AN78" s="93"/>
      <c r="AO78" s="89"/>
      <c r="AP78" s="89"/>
    </row>
    <row r="79" spans="1:42" x14ac:dyDescent="0.2">
      <c r="A79" s="13" t="s">
        <v>891</v>
      </c>
      <c r="B79" s="13">
        <v>162</v>
      </c>
      <c r="C79" s="1">
        <v>15</v>
      </c>
      <c r="D79" s="1">
        <v>11.1</v>
      </c>
      <c r="E79" s="1">
        <v>12.2</v>
      </c>
      <c r="F79" s="1"/>
      <c r="G79" s="1">
        <v>15</v>
      </c>
      <c r="H79" s="1">
        <v>9.3000000000000007</v>
      </c>
      <c r="I79" s="1">
        <v>9.9</v>
      </c>
      <c r="J79" s="1"/>
      <c r="K79" s="89">
        <v>15</v>
      </c>
      <c r="L79" s="93">
        <v>5.3</v>
      </c>
      <c r="M79" s="89">
        <v>9.8000000000000007</v>
      </c>
      <c r="N79" s="89"/>
      <c r="O79" s="89">
        <v>20</v>
      </c>
      <c r="P79" s="93">
        <v>5.3</v>
      </c>
      <c r="Q79" s="89">
        <v>8.1999999999999993</v>
      </c>
      <c r="R79" s="89"/>
      <c r="S79" s="89">
        <v>25</v>
      </c>
      <c r="T79" s="93">
        <v>6.8</v>
      </c>
      <c r="U79" s="89">
        <v>9.4</v>
      </c>
      <c r="V79" s="89"/>
      <c r="W79" s="89">
        <v>45</v>
      </c>
      <c r="X79" s="93">
        <v>4.4000000000000004</v>
      </c>
      <c r="Y79" s="89">
        <v>5.6</v>
      </c>
      <c r="Z79" s="89"/>
      <c r="AA79" s="89">
        <v>55</v>
      </c>
      <c r="AB79" s="93">
        <v>6.7</v>
      </c>
      <c r="AC79" s="89">
        <v>5</v>
      </c>
      <c r="AD79" s="89"/>
      <c r="AE79" s="89">
        <v>70</v>
      </c>
      <c r="AF79" s="93">
        <v>5</v>
      </c>
      <c r="AG79" s="89">
        <v>4.5</v>
      </c>
      <c r="AH79" s="89"/>
      <c r="AI79" s="89">
        <v>98</v>
      </c>
      <c r="AJ79" s="93"/>
      <c r="AK79" s="89"/>
      <c r="AL79" s="89"/>
      <c r="AM79" s="89">
        <v>100</v>
      </c>
      <c r="AN79" s="93"/>
      <c r="AO79" s="89"/>
      <c r="AP79" s="89"/>
    </row>
    <row r="80" spans="1:42" x14ac:dyDescent="0.2">
      <c r="A80" s="13" t="s">
        <v>892</v>
      </c>
      <c r="B80" s="13">
        <v>163</v>
      </c>
      <c r="C80" s="1">
        <v>10</v>
      </c>
      <c r="D80" s="1">
        <v>9.1999999999999993</v>
      </c>
      <c r="E80" s="1">
        <v>9.6999999999999993</v>
      </c>
      <c r="F80" s="1"/>
      <c r="G80" s="1">
        <v>10</v>
      </c>
      <c r="H80" s="1">
        <v>10.7</v>
      </c>
      <c r="I80" s="1">
        <v>10.8</v>
      </c>
      <c r="J80" s="1"/>
      <c r="K80" s="89">
        <v>25</v>
      </c>
      <c r="L80" s="93">
        <v>7.6</v>
      </c>
      <c r="M80" s="89">
        <v>7.9</v>
      </c>
      <c r="N80" s="89"/>
      <c r="O80" s="89">
        <v>25</v>
      </c>
      <c r="P80" s="93">
        <v>7.7</v>
      </c>
      <c r="Q80" s="89">
        <v>6.3</v>
      </c>
      <c r="R80" s="89"/>
      <c r="S80" s="89">
        <v>30</v>
      </c>
      <c r="T80" s="93">
        <v>4</v>
      </c>
      <c r="U80" s="89">
        <v>7.3</v>
      </c>
      <c r="V80" s="89"/>
      <c r="W80" s="89">
        <v>45</v>
      </c>
      <c r="X80" s="93">
        <v>7</v>
      </c>
      <c r="Y80" s="89">
        <v>6.8</v>
      </c>
      <c r="Z80" s="89"/>
      <c r="AA80" s="89">
        <v>45</v>
      </c>
      <c r="AB80" s="93">
        <v>6.7</v>
      </c>
      <c r="AC80" s="89">
        <v>3.4</v>
      </c>
      <c r="AD80" s="89"/>
      <c r="AE80" s="89">
        <v>65</v>
      </c>
      <c r="AF80" s="93">
        <v>5.6</v>
      </c>
      <c r="AG80" s="89">
        <v>2.7</v>
      </c>
      <c r="AH80" s="89"/>
      <c r="AI80" s="89">
        <v>95</v>
      </c>
      <c r="AJ80" s="93"/>
      <c r="AK80" s="89"/>
      <c r="AL80" s="89"/>
      <c r="AM80" s="89">
        <v>100</v>
      </c>
      <c r="AN80" s="93"/>
      <c r="AO80" s="89"/>
      <c r="AP80" s="89"/>
    </row>
    <row r="81" spans="1:42" x14ac:dyDescent="0.2">
      <c r="A81" s="13" t="s">
        <v>893</v>
      </c>
      <c r="B81" s="13">
        <v>164</v>
      </c>
      <c r="C81" s="1">
        <v>10</v>
      </c>
      <c r="D81" s="1">
        <v>9.5</v>
      </c>
      <c r="E81" s="1">
        <v>9.5</v>
      </c>
      <c r="F81" s="1"/>
      <c r="G81" s="1">
        <v>10</v>
      </c>
      <c r="H81" s="1">
        <v>8.4</v>
      </c>
      <c r="I81" s="1">
        <v>8</v>
      </c>
      <c r="J81" s="1"/>
      <c r="K81" s="89">
        <v>20</v>
      </c>
      <c r="L81" s="93">
        <v>8.6</v>
      </c>
      <c r="M81" s="89">
        <v>8.5</v>
      </c>
      <c r="N81" s="89"/>
      <c r="O81" s="89">
        <v>20</v>
      </c>
      <c r="P81" s="93">
        <v>8.8000000000000007</v>
      </c>
      <c r="Q81" s="89">
        <v>8.4</v>
      </c>
      <c r="R81" s="89"/>
      <c r="S81" s="89">
        <v>30</v>
      </c>
      <c r="T81" s="93">
        <v>9.1999999999999993</v>
      </c>
      <c r="U81" s="89">
        <v>8</v>
      </c>
      <c r="V81" s="89"/>
      <c r="W81" s="89">
        <v>60</v>
      </c>
      <c r="X81" s="93">
        <v>7.1</v>
      </c>
      <c r="Y81" s="89">
        <v>5.9</v>
      </c>
      <c r="Z81" s="89"/>
      <c r="AA81" s="89">
        <v>70</v>
      </c>
      <c r="AB81" s="93">
        <v>7.9</v>
      </c>
      <c r="AC81" s="89">
        <v>5.6</v>
      </c>
      <c r="AD81" s="89"/>
      <c r="AE81" s="89">
        <v>90</v>
      </c>
      <c r="AF81" s="93">
        <v>5.6</v>
      </c>
      <c r="AG81" s="89">
        <v>2.6</v>
      </c>
      <c r="AH81" s="89"/>
      <c r="AI81" s="89">
        <v>100</v>
      </c>
      <c r="AJ81" s="93"/>
      <c r="AK81" s="89"/>
      <c r="AL81" s="89"/>
      <c r="AM81" s="89">
        <v>100</v>
      </c>
      <c r="AN81" s="93"/>
      <c r="AO81" s="89"/>
      <c r="AP81" s="89"/>
    </row>
    <row r="82" spans="1:42" x14ac:dyDescent="0.2">
      <c r="A82" s="13" t="s">
        <v>894</v>
      </c>
      <c r="B82" s="13">
        <v>165</v>
      </c>
      <c r="C82" s="1">
        <v>5</v>
      </c>
      <c r="D82" s="1">
        <v>8.6999999999999993</v>
      </c>
      <c r="E82" s="1">
        <v>9.1999999999999993</v>
      </c>
      <c r="F82" s="1"/>
      <c r="G82" s="1">
        <v>10</v>
      </c>
      <c r="H82" s="1">
        <v>7.3</v>
      </c>
      <c r="I82" s="1">
        <v>6.8</v>
      </c>
      <c r="J82" s="1"/>
      <c r="K82" s="89">
        <v>25</v>
      </c>
      <c r="L82" s="93">
        <v>6.5</v>
      </c>
      <c r="M82" s="89">
        <v>8.4</v>
      </c>
      <c r="N82" s="89"/>
      <c r="O82" s="89">
        <v>30</v>
      </c>
      <c r="P82" s="93">
        <v>7.6</v>
      </c>
      <c r="Q82" s="89">
        <v>7.6</v>
      </c>
      <c r="R82" s="89"/>
      <c r="S82" s="89">
        <v>50</v>
      </c>
      <c r="T82" s="93">
        <v>7.1</v>
      </c>
      <c r="U82" s="89">
        <v>6.6</v>
      </c>
      <c r="V82" s="89"/>
      <c r="W82" s="89">
        <v>60</v>
      </c>
      <c r="X82" s="93">
        <v>7.3</v>
      </c>
      <c r="Y82" s="89">
        <v>5.3</v>
      </c>
      <c r="Z82" s="89"/>
      <c r="AA82" s="89">
        <v>65</v>
      </c>
      <c r="AB82" s="93">
        <v>5.4</v>
      </c>
      <c r="AC82" s="89">
        <v>6.6</v>
      </c>
      <c r="AD82" s="89"/>
      <c r="AE82" s="89">
        <v>70</v>
      </c>
      <c r="AF82" s="93">
        <v>3.6</v>
      </c>
      <c r="AG82" s="89">
        <v>5</v>
      </c>
      <c r="AH82" s="89"/>
      <c r="AI82" s="89">
        <v>90</v>
      </c>
      <c r="AJ82" s="93">
        <v>5.4</v>
      </c>
      <c r="AK82" s="89">
        <v>4</v>
      </c>
      <c r="AL82" s="89"/>
      <c r="AM82" s="89">
        <v>100</v>
      </c>
      <c r="AN82" s="93"/>
      <c r="AO82" s="89"/>
      <c r="AP82" s="89"/>
    </row>
    <row r="83" spans="1:42" x14ac:dyDescent="0.2">
      <c r="A83" s="13" t="s">
        <v>895</v>
      </c>
      <c r="B83" s="13">
        <v>166</v>
      </c>
      <c r="C83" s="1">
        <v>5</v>
      </c>
      <c r="D83" s="1">
        <v>9.9</v>
      </c>
      <c r="E83" s="1">
        <v>10</v>
      </c>
      <c r="F83" s="1"/>
      <c r="G83" s="1">
        <v>5</v>
      </c>
      <c r="H83" s="1">
        <v>9.4</v>
      </c>
      <c r="I83" s="1">
        <v>10.9</v>
      </c>
      <c r="J83" s="1"/>
      <c r="K83" s="89">
        <v>15</v>
      </c>
      <c r="L83" s="93">
        <v>9</v>
      </c>
      <c r="M83" s="89">
        <v>9.4</v>
      </c>
      <c r="N83" s="89"/>
      <c r="O83" s="89">
        <v>20</v>
      </c>
      <c r="P83" s="93">
        <v>9</v>
      </c>
      <c r="Q83" s="89">
        <v>9.5</v>
      </c>
      <c r="R83" s="89"/>
      <c r="S83" s="89">
        <v>30</v>
      </c>
      <c r="T83" s="93">
        <v>8.9</v>
      </c>
      <c r="U83" s="89">
        <v>8.4</v>
      </c>
      <c r="V83" s="89"/>
      <c r="W83" s="89">
        <v>45</v>
      </c>
      <c r="X83" s="93">
        <v>8</v>
      </c>
      <c r="Y83" s="89">
        <v>7.7</v>
      </c>
      <c r="Z83" s="89"/>
      <c r="AA83" s="89">
        <v>45</v>
      </c>
      <c r="AB83" s="93">
        <v>6.8</v>
      </c>
      <c r="AC83" s="89">
        <v>8</v>
      </c>
      <c r="AD83" s="89"/>
      <c r="AE83" s="89">
        <v>50</v>
      </c>
      <c r="AF83" s="93">
        <v>6.5</v>
      </c>
      <c r="AG83" s="89">
        <v>7.5</v>
      </c>
      <c r="AH83" s="89"/>
      <c r="AI83" s="89">
        <v>75</v>
      </c>
      <c r="AJ83" s="93">
        <v>6.8</v>
      </c>
      <c r="AK83" s="89">
        <v>8</v>
      </c>
      <c r="AL83" s="89"/>
      <c r="AM83" s="89">
        <v>100</v>
      </c>
      <c r="AN83" s="93"/>
      <c r="AO83" s="89"/>
      <c r="AP83" s="89"/>
    </row>
    <row r="84" spans="1:42" x14ac:dyDescent="0.2">
      <c r="A84" s="13" t="s">
        <v>896</v>
      </c>
      <c r="B84" s="13">
        <v>167</v>
      </c>
      <c r="C84" s="1">
        <v>5</v>
      </c>
      <c r="D84" s="1">
        <v>13.1</v>
      </c>
      <c r="E84" s="1">
        <v>14.4</v>
      </c>
      <c r="F84" s="1"/>
      <c r="G84" s="1">
        <v>5</v>
      </c>
      <c r="H84" s="1">
        <v>10.3</v>
      </c>
      <c r="I84" s="1">
        <v>11.4</v>
      </c>
      <c r="J84" s="1"/>
      <c r="K84" s="89">
        <v>10</v>
      </c>
      <c r="L84" s="93">
        <v>9.4</v>
      </c>
      <c r="M84" s="89">
        <v>10.9</v>
      </c>
      <c r="N84" s="89"/>
      <c r="O84" s="89">
        <v>15</v>
      </c>
      <c r="P84" s="93">
        <v>10.8</v>
      </c>
      <c r="Q84" s="89">
        <v>6.8</v>
      </c>
      <c r="R84" s="89"/>
      <c r="S84" s="89">
        <v>15</v>
      </c>
      <c r="T84" s="93">
        <v>6.9</v>
      </c>
      <c r="U84" s="89">
        <v>9.5</v>
      </c>
      <c r="V84" s="89"/>
      <c r="W84" s="89">
        <v>20</v>
      </c>
      <c r="X84" s="93">
        <v>7.7</v>
      </c>
      <c r="Y84" s="89">
        <v>12.1</v>
      </c>
      <c r="Z84" s="89"/>
      <c r="AA84" s="89">
        <v>30</v>
      </c>
      <c r="AB84" s="93">
        <v>6.3</v>
      </c>
      <c r="AC84" s="89">
        <v>5.3</v>
      </c>
      <c r="AD84" s="89"/>
      <c r="AE84" s="89">
        <v>45</v>
      </c>
      <c r="AF84" s="93">
        <v>6.7</v>
      </c>
      <c r="AG84" s="89">
        <v>3.1</v>
      </c>
      <c r="AH84" s="89"/>
      <c r="AI84" s="89">
        <v>90</v>
      </c>
      <c r="AJ84" s="93">
        <v>1.9</v>
      </c>
      <c r="AK84" s="89">
        <v>3.7</v>
      </c>
      <c r="AL84" s="89"/>
      <c r="AM84" s="89">
        <v>100</v>
      </c>
      <c r="AN84" s="93"/>
      <c r="AO84" s="89"/>
      <c r="AP84" s="89"/>
    </row>
    <row r="85" spans="1:42" x14ac:dyDescent="0.2">
      <c r="A85" s="13" t="s">
        <v>897</v>
      </c>
      <c r="B85" s="13">
        <v>168</v>
      </c>
      <c r="C85" s="1">
        <v>20</v>
      </c>
      <c r="D85" s="59">
        <v>15.9</v>
      </c>
      <c r="E85" s="1">
        <v>16.5</v>
      </c>
      <c r="F85" s="1"/>
      <c r="G85" s="1">
        <v>25</v>
      </c>
      <c r="H85" s="59">
        <v>12.8</v>
      </c>
      <c r="I85" s="1">
        <v>10.6</v>
      </c>
      <c r="J85" s="1"/>
      <c r="K85" s="89">
        <v>40</v>
      </c>
      <c r="L85" s="94">
        <v>10</v>
      </c>
      <c r="M85" s="89">
        <v>11.9</v>
      </c>
      <c r="N85" s="89"/>
      <c r="O85" s="89">
        <v>60</v>
      </c>
      <c r="P85" s="94">
        <v>12.1</v>
      </c>
      <c r="Q85" s="89">
        <v>9.5</v>
      </c>
      <c r="R85" s="89"/>
      <c r="S85" s="89">
        <v>70</v>
      </c>
      <c r="T85" s="94">
        <v>10.6</v>
      </c>
      <c r="U85" s="89">
        <v>13.4</v>
      </c>
      <c r="V85" s="89"/>
      <c r="W85" s="89">
        <v>80</v>
      </c>
      <c r="X85" s="94">
        <v>6.2</v>
      </c>
      <c r="Y85" s="89">
        <v>8.1</v>
      </c>
      <c r="Z85" s="89"/>
      <c r="AA85" s="89">
        <v>85</v>
      </c>
      <c r="AB85" s="94">
        <v>8.5</v>
      </c>
      <c r="AC85" s="89">
        <v>9.9</v>
      </c>
      <c r="AD85" s="89"/>
      <c r="AE85" s="89">
        <v>90</v>
      </c>
      <c r="AF85" s="94">
        <v>9</v>
      </c>
      <c r="AG85" s="89">
        <v>5.8</v>
      </c>
      <c r="AH85" s="89"/>
      <c r="AI85" s="89">
        <v>98</v>
      </c>
      <c r="AJ85" s="94"/>
      <c r="AK85" s="89"/>
      <c r="AL85" s="89"/>
      <c r="AM85" s="89">
        <v>100</v>
      </c>
      <c r="AN85" s="94"/>
      <c r="AO85" s="89"/>
      <c r="AP85" s="89"/>
    </row>
    <row r="86" spans="1:42" x14ac:dyDescent="0.2">
      <c r="A86" s="19" t="s">
        <v>908</v>
      </c>
      <c r="B86" s="19">
        <v>177</v>
      </c>
      <c r="C86" s="37">
        <v>5</v>
      </c>
      <c r="D86" s="37">
        <v>8.3000000000000007</v>
      </c>
      <c r="E86" s="37">
        <v>10</v>
      </c>
      <c r="F86" s="37"/>
      <c r="G86" s="37">
        <v>5</v>
      </c>
      <c r="H86" s="37">
        <v>10.9</v>
      </c>
      <c r="I86" s="37">
        <v>10.8</v>
      </c>
      <c r="J86" s="37"/>
      <c r="K86" s="88">
        <v>5</v>
      </c>
      <c r="L86" s="92">
        <v>9</v>
      </c>
      <c r="M86" s="88">
        <v>8.3000000000000007</v>
      </c>
      <c r="N86" s="88"/>
      <c r="O86" s="88">
        <v>10</v>
      </c>
      <c r="P86" s="92">
        <v>8.9</v>
      </c>
      <c r="Q86" s="88">
        <v>9.9</v>
      </c>
      <c r="R86" s="88"/>
      <c r="S86" s="88">
        <v>10</v>
      </c>
      <c r="T86" s="92">
        <v>7.7</v>
      </c>
      <c r="U86" s="88">
        <v>6.7</v>
      </c>
      <c r="V86" s="88"/>
      <c r="W86" s="88">
        <v>20</v>
      </c>
      <c r="X86" s="92">
        <v>8</v>
      </c>
      <c r="Y86" s="88">
        <v>8.5</v>
      </c>
      <c r="Z86" s="88"/>
      <c r="AA86" s="88">
        <v>30</v>
      </c>
      <c r="AB86" s="92">
        <v>5.3</v>
      </c>
      <c r="AC86" s="88">
        <v>5.7</v>
      </c>
      <c r="AD86" s="88"/>
      <c r="AE86" s="88">
        <v>40</v>
      </c>
      <c r="AF86" s="92">
        <v>4.3</v>
      </c>
      <c r="AG86" s="88">
        <v>3.6</v>
      </c>
      <c r="AH86" s="88"/>
      <c r="AI86" s="88">
        <v>75</v>
      </c>
      <c r="AJ86" s="92">
        <v>5.5</v>
      </c>
      <c r="AK86" s="88">
        <v>5</v>
      </c>
      <c r="AL86" s="88"/>
      <c r="AM86" s="88">
        <v>98</v>
      </c>
      <c r="AN86" s="92"/>
      <c r="AO86" s="88"/>
      <c r="AP86" s="88"/>
    </row>
    <row r="87" spans="1:42" x14ac:dyDescent="0.2">
      <c r="A87" s="19" t="s">
        <v>911</v>
      </c>
      <c r="B87" s="19">
        <v>180</v>
      </c>
      <c r="C87" s="37">
        <v>5</v>
      </c>
      <c r="D87" s="37">
        <v>10.1</v>
      </c>
      <c r="E87" s="37">
        <v>11</v>
      </c>
      <c r="F87" s="37"/>
      <c r="G87" s="37">
        <v>5</v>
      </c>
      <c r="H87" s="37">
        <v>11.6</v>
      </c>
      <c r="I87" s="37">
        <v>10.9</v>
      </c>
      <c r="J87" s="37"/>
      <c r="K87" s="88">
        <v>10</v>
      </c>
      <c r="L87" s="92">
        <v>9.3000000000000007</v>
      </c>
      <c r="M87" s="88">
        <v>9.6</v>
      </c>
      <c r="N87" s="88"/>
      <c r="O87" s="88">
        <v>10</v>
      </c>
      <c r="P87" s="92">
        <v>10</v>
      </c>
      <c r="Q87" s="88">
        <v>7.9</v>
      </c>
      <c r="R87" s="88"/>
      <c r="S87" s="88">
        <v>10</v>
      </c>
      <c r="T87" s="92">
        <v>7.1</v>
      </c>
      <c r="U87" s="88">
        <v>8.8000000000000007</v>
      </c>
      <c r="V87" s="88"/>
      <c r="W87" s="88">
        <v>15</v>
      </c>
      <c r="X87" s="92">
        <v>6.8</v>
      </c>
      <c r="Y87" s="88">
        <v>6.7</v>
      </c>
      <c r="Z87" s="88"/>
      <c r="AA87" s="88">
        <v>15</v>
      </c>
      <c r="AB87" s="92">
        <v>9.9</v>
      </c>
      <c r="AC87" s="88">
        <v>9.3000000000000007</v>
      </c>
      <c r="AD87" s="88"/>
      <c r="AE87" s="88">
        <v>20</v>
      </c>
      <c r="AF87" s="92">
        <v>5.2</v>
      </c>
      <c r="AG87" s="88">
        <v>5.2</v>
      </c>
      <c r="AH87" s="88"/>
      <c r="AI87" s="88">
        <v>75</v>
      </c>
      <c r="AJ87" s="92">
        <v>5.3</v>
      </c>
      <c r="AK87" s="88">
        <v>5.9</v>
      </c>
      <c r="AL87" s="88"/>
      <c r="AM87" s="88">
        <v>100</v>
      </c>
      <c r="AN87" s="92"/>
      <c r="AO87" s="88"/>
      <c r="AP87" s="88"/>
    </row>
    <row r="88" spans="1:42" x14ac:dyDescent="0.2">
      <c r="A88" s="19" t="s">
        <v>912</v>
      </c>
      <c r="B88" s="19">
        <v>181</v>
      </c>
      <c r="C88" s="37">
        <v>5</v>
      </c>
      <c r="D88" s="37">
        <v>10.3</v>
      </c>
      <c r="E88" s="37">
        <v>11.5</v>
      </c>
      <c r="F88" s="37"/>
      <c r="G88" s="37">
        <v>5</v>
      </c>
      <c r="H88" s="37">
        <v>10.5</v>
      </c>
      <c r="I88" s="37">
        <v>14.6</v>
      </c>
      <c r="J88" s="37"/>
      <c r="K88" s="88">
        <v>5</v>
      </c>
      <c r="L88" s="92">
        <v>9.8000000000000007</v>
      </c>
      <c r="M88" s="88">
        <v>9.8000000000000007</v>
      </c>
      <c r="N88" s="88"/>
      <c r="O88" s="88">
        <v>5</v>
      </c>
      <c r="P88" s="92">
        <v>10.5</v>
      </c>
      <c r="Q88" s="88">
        <v>11.5</v>
      </c>
      <c r="R88" s="88"/>
      <c r="S88" s="88">
        <v>5</v>
      </c>
      <c r="T88" s="92">
        <v>10</v>
      </c>
      <c r="U88" s="88">
        <v>9.4</v>
      </c>
      <c r="V88" s="88"/>
      <c r="W88" s="88">
        <v>10</v>
      </c>
      <c r="X88" s="92">
        <v>9</v>
      </c>
      <c r="Y88" s="88">
        <v>9.5</v>
      </c>
      <c r="Z88" s="88"/>
      <c r="AA88" s="88">
        <v>10</v>
      </c>
      <c r="AB88" s="92">
        <v>7.6</v>
      </c>
      <c r="AC88" s="88">
        <v>7.5</v>
      </c>
      <c r="AD88" s="88"/>
      <c r="AE88" s="88">
        <v>15</v>
      </c>
      <c r="AF88" s="92">
        <v>7</v>
      </c>
      <c r="AG88" s="88">
        <v>7.1</v>
      </c>
      <c r="AH88" s="88"/>
      <c r="AI88" s="88">
        <v>20</v>
      </c>
      <c r="AJ88" s="92">
        <v>6.1</v>
      </c>
      <c r="AK88" s="88">
        <v>7.4</v>
      </c>
      <c r="AL88" s="88"/>
      <c r="AM88" s="88">
        <v>95</v>
      </c>
      <c r="AN88" s="92">
        <v>5.3</v>
      </c>
      <c r="AO88" s="88">
        <v>4.5999999999999996</v>
      </c>
      <c r="AP88" s="88"/>
    </row>
    <row r="89" spans="1:42" x14ac:dyDescent="0.2">
      <c r="A89" s="19" t="s">
        <v>915</v>
      </c>
      <c r="B89" s="19">
        <v>184</v>
      </c>
      <c r="C89" s="37">
        <v>10</v>
      </c>
      <c r="D89" s="37">
        <v>7.3</v>
      </c>
      <c r="E89" s="37">
        <v>9.6</v>
      </c>
      <c r="F89" s="37"/>
      <c r="G89" s="37">
        <v>10</v>
      </c>
      <c r="H89" s="37">
        <v>11.6</v>
      </c>
      <c r="I89" s="37">
        <v>11.7</v>
      </c>
      <c r="J89" s="37"/>
      <c r="K89" s="88">
        <v>15</v>
      </c>
      <c r="L89" s="92">
        <v>7.7</v>
      </c>
      <c r="M89" s="88">
        <v>8</v>
      </c>
      <c r="N89" s="88"/>
      <c r="O89" s="88">
        <v>20</v>
      </c>
      <c r="P89" s="92">
        <v>8</v>
      </c>
      <c r="Q89" s="88">
        <v>6.1</v>
      </c>
      <c r="R89" s="88"/>
      <c r="S89" s="88">
        <v>30</v>
      </c>
      <c r="T89" s="92">
        <v>7.4</v>
      </c>
      <c r="U89" s="88">
        <v>9</v>
      </c>
      <c r="V89" s="88"/>
      <c r="W89" s="88">
        <v>50</v>
      </c>
      <c r="X89" s="92">
        <v>5.6</v>
      </c>
      <c r="Y89" s="88">
        <v>7</v>
      </c>
      <c r="Z89" s="88"/>
      <c r="AA89" s="88">
        <v>50</v>
      </c>
      <c r="AB89" s="92">
        <v>7.8</v>
      </c>
      <c r="AC89" s="88">
        <v>8</v>
      </c>
      <c r="AD89" s="88"/>
      <c r="AE89" s="88">
        <v>55</v>
      </c>
      <c r="AF89" s="92">
        <v>5.0999999999999996</v>
      </c>
      <c r="AG89" s="88">
        <v>7.1</v>
      </c>
      <c r="AH89" s="88"/>
      <c r="AI89" s="88">
        <v>65</v>
      </c>
      <c r="AJ89" s="92">
        <v>8.6</v>
      </c>
      <c r="AK89" s="88">
        <v>5.7</v>
      </c>
      <c r="AL89" s="88"/>
      <c r="AM89" s="88">
        <v>98</v>
      </c>
      <c r="AN89" s="92"/>
      <c r="AO89" s="88"/>
      <c r="AP89" s="88"/>
    </row>
    <row r="90" spans="1:42" x14ac:dyDescent="0.2">
      <c r="A90" s="13" t="s">
        <v>926</v>
      </c>
      <c r="B90" s="13">
        <v>193</v>
      </c>
      <c r="C90" s="1">
        <v>100</v>
      </c>
      <c r="D90" s="1"/>
      <c r="E90" s="1"/>
      <c r="F90" s="1" t="s">
        <v>1810</v>
      </c>
      <c r="G90" s="1">
        <v>100</v>
      </c>
      <c r="H90" s="1"/>
      <c r="I90" s="1"/>
      <c r="J90" s="1"/>
      <c r="K90" s="89">
        <v>100</v>
      </c>
      <c r="L90" s="93"/>
      <c r="M90" s="89"/>
      <c r="N90" s="89"/>
      <c r="O90" s="89">
        <v>100</v>
      </c>
      <c r="P90" s="93"/>
      <c r="Q90" s="89"/>
      <c r="R90" s="89"/>
      <c r="S90" s="89">
        <v>100</v>
      </c>
      <c r="T90" s="93"/>
      <c r="U90" s="89"/>
      <c r="V90" s="89"/>
      <c r="W90" s="89">
        <v>100</v>
      </c>
      <c r="X90" s="93"/>
      <c r="Y90" s="89"/>
      <c r="Z90" s="89"/>
      <c r="AA90" s="89">
        <v>100</v>
      </c>
      <c r="AB90" s="93"/>
      <c r="AC90" s="89"/>
      <c r="AD90" s="89"/>
      <c r="AE90" s="89">
        <v>100</v>
      </c>
      <c r="AF90" s="93"/>
      <c r="AG90" s="89"/>
      <c r="AH90" s="89"/>
      <c r="AI90" s="89">
        <v>100</v>
      </c>
      <c r="AJ90" s="93"/>
      <c r="AK90" s="89"/>
      <c r="AL90" s="89"/>
      <c r="AM90" s="89">
        <v>100</v>
      </c>
      <c r="AN90" s="93"/>
      <c r="AO90" s="89"/>
      <c r="AP90" s="89"/>
    </row>
    <row r="91" spans="1:42" x14ac:dyDescent="0.2">
      <c r="A91" s="13" t="s">
        <v>927</v>
      </c>
      <c r="B91" s="13">
        <v>194</v>
      </c>
      <c r="C91" s="1">
        <v>95</v>
      </c>
      <c r="D91" s="1">
        <v>9</v>
      </c>
      <c r="E91" s="1">
        <v>8</v>
      </c>
      <c r="F91" s="1" t="s">
        <v>1810</v>
      </c>
      <c r="G91" s="1">
        <v>95</v>
      </c>
      <c r="H91" s="1">
        <v>7.5</v>
      </c>
      <c r="I91" s="1">
        <v>6.4</v>
      </c>
      <c r="J91" s="1"/>
      <c r="K91" s="89">
        <v>98</v>
      </c>
      <c r="L91" s="93"/>
      <c r="M91" s="89"/>
      <c r="N91" s="89"/>
      <c r="O91" s="89">
        <v>98</v>
      </c>
      <c r="P91" s="93"/>
      <c r="Q91" s="89"/>
      <c r="R91" s="89"/>
      <c r="S91" s="89">
        <v>98</v>
      </c>
      <c r="T91" s="93"/>
      <c r="U91" s="89"/>
      <c r="V91" s="89"/>
      <c r="W91" s="89">
        <v>98</v>
      </c>
      <c r="X91" s="93"/>
      <c r="Y91" s="89"/>
      <c r="Z91" s="89"/>
      <c r="AA91" s="89">
        <v>100</v>
      </c>
      <c r="AB91" s="93"/>
      <c r="AC91" s="89"/>
      <c r="AD91" s="89"/>
      <c r="AE91" s="89">
        <v>100</v>
      </c>
      <c r="AF91" s="93"/>
      <c r="AG91" s="89"/>
      <c r="AH91" s="89"/>
      <c r="AI91" s="89">
        <v>100</v>
      </c>
      <c r="AJ91" s="93"/>
      <c r="AK91" s="89"/>
      <c r="AL91" s="89"/>
      <c r="AM91" s="89">
        <v>100</v>
      </c>
      <c r="AN91" s="93"/>
      <c r="AO91" s="89"/>
      <c r="AP91" s="89"/>
    </row>
    <row r="92" spans="1:42" x14ac:dyDescent="0.2">
      <c r="A92" s="13" t="s">
        <v>928</v>
      </c>
      <c r="B92" s="13">
        <v>195</v>
      </c>
      <c r="C92" s="1">
        <v>100</v>
      </c>
      <c r="D92" s="1"/>
      <c r="E92" s="1"/>
      <c r="F92" s="1" t="s">
        <v>1810</v>
      </c>
      <c r="G92" s="1">
        <v>100</v>
      </c>
      <c r="H92" s="1"/>
      <c r="I92" s="1"/>
      <c r="J92" s="1"/>
      <c r="K92" s="89">
        <v>100</v>
      </c>
      <c r="L92" s="93"/>
      <c r="M92" s="89"/>
      <c r="N92" s="89"/>
      <c r="O92" s="89">
        <v>100</v>
      </c>
      <c r="P92" s="93"/>
      <c r="Q92" s="89"/>
      <c r="R92" s="89"/>
      <c r="S92" s="89">
        <v>100</v>
      </c>
      <c r="T92" s="93"/>
      <c r="U92" s="89"/>
      <c r="V92" s="89"/>
      <c r="W92" s="89">
        <v>100</v>
      </c>
      <c r="X92" s="93"/>
      <c r="Y92" s="89"/>
      <c r="Z92" s="89"/>
      <c r="AA92" s="89">
        <v>100</v>
      </c>
      <c r="AB92" s="93"/>
      <c r="AC92" s="89"/>
      <c r="AD92" s="89"/>
      <c r="AE92" s="89">
        <v>100</v>
      </c>
      <c r="AF92" s="93"/>
      <c r="AG92" s="89"/>
      <c r="AH92" s="89"/>
      <c r="AI92" s="89">
        <v>100</v>
      </c>
      <c r="AJ92" s="93"/>
      <c r="AK92" s="89"/>
      <c r="AL92" s="89"/>
      <c r="AM92" s="89">
        <v>100</v>
      </c>
      <c r="AN92" s="93"/>
      <c r="AO92" s="89"/>
      <c r="AP92" s="89"/>
    </row>
    <row r="93" spans="1:42" x14ac:dyDescent="0.2">
      <c r="A93" s="13" t="s">
        <v>929</v>
      </c>
      <c r="B93" s="13">
        <v>196</v>
      </c>
      <c r="C93" s="1">
        <v>100</v>
      </c>
      <c r="D93" s="1"/>
      <c r="E93" s="1"/>
      <c r="F93" s="1" t="s">
        <v>1810</v>
      </c>
      <c r="G93" s="1">
        <v>100</v>
      </c>
      <c r="H93" s="1"/>
      <c r="I93" s="1"/>
      <c r="J93" s="1"/>
      <c r="K93" s="89">
        <v>100</v>
      </c>
      <c r="L93" s="93"/>
      <c r="M93" s="89"/>
      <c r="N93" s="89"/>
      <c r="O93" s="89">
        <v>100</v>
      </c>
      <c r="P93" s="93"/>
      <c r="Q93" s="89"/>
      <c r="R93" s="89"/>
      <c r="S93" s="89">
        <v>100</v>
      </c>
      <c r="T93" s="93"/>
      <c r="U93" s="89"/>
      <c r="V93" s="89"/>
      <c r="W93" s="89">
        <v>100</v>
      </c>
      <c r="X93" s="93"/>
      <c r="Y93" s="89"/>
      <c r="Z93" s="89"/>
      <c r="AA93" s="89">
        <v>100</v>
      </c>
      <c r="AB93" s="93"/>
      <c r="AC93" s="89"/>
      <c r="AD93" s="89"/>
      <c r="AE93" s="89">
        <v>100</v>
      </c>
      <c r="AF93" s="93"/>
      <c r="AG93" s="89"/>
      <c r="AH93" s="89"/>
      <c r="AI93" s="89">
        <v>100</v>
      </c>
      <c r="AJ93" s="93"/>
      <c r="AK93" s="89"/>
      <c r="AL93" s="89"/>
      <c r="AM93" s="89">
        <v>100</v>
      </c>
      <c r="AN93" s="93"/>
      <c r="AO93" s="89"/>
      <c r="AP93" s="89"/>
    </row>
    <row r="94" spans="1:42" x14ac:dyDescent="0.2">
      <c r="A94" s="13" t="s">
        <v>930</v>
      </c>
      <c r="B94" s="13">
        <v>197</v>
      </c>
      <c r="C94" s="1">
        <v>100</v>
      </c>
      <c r="D94" s="1"/>
      <c r="E94" s="1"/>
      <c r="F94" s="1" t="s">
        <v>1810</v>
      </c>
      <c r="G94" s="1">
        <v>100</v>
      </c>
      <c r="H94" s="1"/>
      <c r="I94" s="1"/>
      <c r="J94" s="1"/>
      <c r="K94" s="89">
        <v>100</v>
      </c>
      <c r="L94" s="93"/>
      <c r="M94" s="89"/>
      <c r="N94" s="89"/>
      <c r="O94" s="89">
        <v>100</v>
      </c>
      <c r="P94" s="93"/>
      <c r="Q94" s="89"/>
      <c r="R94" s="89"/>
      <c r="S94" s="89">
        <v>100</v>
      </c>
      <c r="T94" s="93"/>
      <c r="U94" s="89"/>
      <c r="V94" s="89"/>
      <c r="W94" s="89">
        <v>100</v>
      </c>
      <c r="X94" s="93"/>
      <c r="Y94" s="89"/>
      <c r="Z94" s="89"/>
      <c r="AA94" s="89">
        <v>100</v>
      </c>
      <c r="AB94" s="93"/>
      <c r="AC94" s="89"/>
      <c r="AD94" s="89"/>
      <c r="AE94" s="89">
        <v>100</v>
      </c>
      <c r="AF94" s="93"/>
      <c r="AG94" s="89"/>
      <c r="AH94" s="89"/>
      <c r="AI94" s="89">
        <v>10</v>
      </c>
      <c r="AJ94" s="93"/>
      <c r="AK94" s="89"/>
      <c r="AL94" s="89"/>
      <c r="AM94" s="89">
        <v>100</v>
      </c>
      <c r="AN94" s="93"/>
      <c r="AO94" s="89"/>
      <c r="AP94" s="89"/>
    </row>
    <row r="95" spans="1:42" x14ac:dyDescent="0.2">
      <c r="A95" s="13" t="s">
        <v>931</v>
      </c>
      <c r="B95" s="13">
        <v>198</v>
      </c>
      <c r="C95" s="1">
        <v>90</v>
      </c>
      <c r="D95" s="1">
        <v>5.3</v>
      </c>
      <c r="E95" s="1">
        <v>7.7</v>
      </c>
      <c r="F95" s="1" t="s">
        <v>1810</v>
      </c>
      <c r="G95" s="1">
        <v>95</v>
      </c>
      <c r="H95" s="1">
        <v>7.5</v>
      </c>
      <c r="I95" s="1">
        <v>7.2</v>
      </c>
      <c r="J95" s="1"/>
      <c r="K95" s="89">
        <v>98</v>
      </c>
      <c r="L95" s="93"/>
      <c r="M95" s="89"/>
      <c r="N95" s="89"/>
      <c r="O95" s="89">
        <v>98</v>
      </c>
      <c r="P95" s="93"/>
      <c r="Q95" s="89"/>
      <c r="R95" s="89"/>
      <c r="S95" s="89">
        <v>98</v>
      </c>
      <c r="T95" s="93"/>
      <c r="U95" s="89"/>
      <c r="V95" s="89" t="s">
        <v>1868</v>
      </c>
      <c r="W95" s="89">
        <v>98</v>
      </c>
      <c r="X95" s="93"/>
      <c r="Y95" s="89"/>
      <c r="Z95" s="89"/>
      <c r="AA95" s="89">
        <v>98</v>
      </c>
      <c r="AB95" s="93"/>
      <c r="AC95" s="89"/>
      <c r="AD95" s="89"/>
      <c r="AE95" s="89">
        <v>100</v>
      </c>
      <c r="AF95" s="93"/>
      <c r="AG95" s="89"/>
      <c r="AH95" s="89"/>
      <c r="AI95" s="89">
        <v>100</v>
      </c>
      <c r="AJ95" s="93"/>
      <c r="AK95" s="89"/>
      <c r="AL95" s="89"/>
      <c r="AM95" s="89">
        <v>100</v>
      </c>
      <c r="AN95" s="93"/>
      <c r="AO95" s="89"/>
      <c r="AP95" s="89"/>
    </row>
    <row r="96" spans="1:42" x14ac:dyDescent="0.2">
      <c r="A96" s="13" t="s">
        <v>932</v>
      </c>
      <c r="B96" s="13">
        <v>199</v>
      </c>
      <c r="C96" s="1">
        <v>100</v>
      </c>
      <c r="D96" s="1"/>
      <c r="E96" s="1"/>
      <c r="F96" s="1" t="s">
        <v>1810</v>
      </c>
      <c r="G96" s="1">
        <v>100</v>
      </c>
      <c r="H96" s="1"/>
      <c r="I96" s="1"/>
      <c r="J96" s="1"/>
      <c r="K96" s="89">
        <v>100</v>
      </c>
      <c r="L96" s="93"/>
      <c r="M96" s="89"/>
      <c r="N96" s="89"/>
      <c r="O96" s="89">
        <v>100</v>
      </c>
      <c r="P96" s="93"/>
      <c r="Q96" s="89"/>
      <c r="R96" s="89"/>
      <c r="S96" s="89">
        <v>100</v>
      </c>
      <c r="T96" s="93"/>
      <c r="U96" s="89"/>
      <c r="V96" s="89"/>
      <c r="W96" s="89">
        <v>100</v>
      </c>
      <c r="X96" s="93"/>
      <c r="Y96" s="89"/>
      <c r="Z96" s="89"/>
      <c r="AA96" s="89">
        <v>100</v>
      </c>
      <c r="AB96" s="93"/>
      <c r="AC96" s="89"/>
      <c r="AD96" s="89"/>
      <c r="AE96" s="89">
        <v>100</v>
      </c>
      <c r="AF96" s="93"/>
      <c r="AG96" s="89"/>
      <c r="AH96" s="89"/>
      <c r="AI96" s="89">
        <v>100</v>
      </c>
      <c r="AJ96" s="93"/>
      <c r="AK96" s="89"/>
      <c r="AL96" s="89"/>
      <c r="AM96" s="89">
        <v>100</v>
      </c>
      <c r="AN96" s="93"/>
      <c r="AO96" s="89"/>
      <c r="AP96" s="89"/>
    </row>
    <row r="97" spans="1:42" x14ac:dyDescent="0.2">
      <c r="A97" s="13" t="s">
        <v>933</v>
      </c>
      <c r="B97" s="13">
        <v>200</v>
      </c>
      <c r="C97" s="1">
        <v>100</v>
      </c>
      <c r="D97" s="1"/>
      <c r="E97" s="1"/>
      <c r="F97" s="1" t="s">
        <v>1810</v>
      </c>
      <c r="G97" s="1">
        <v>100</v>
      </c>
      <c r="H97" s="1"/>
      <c r="I97" s="1"/>
      <c r="J97" s="1"/>
      <c r="K97" s="89">
        <v>100</v>
      </c>
      <c r="L97" s="93"/>
      <c r="M97" s="89"/>
      <c r="N97" s="89"/>
      <c r="O97" s="89">
        <v>100</v>
      </c>
      <c r="P97" s="93"/>
      <c r="Q97" s="89"/>
      <c r="R97" s="89"/>
      <c r="S97" s="89">
        <v>100</v>
      </c>
      <c r="T97" s="93"/>
      <c r="U97" s="89"/>
      <c r="V97" s="89"/>
      <c r="W97" s="89">
        <v>100</v>
      </c>
      <c r="X97" s="93"/>
      <c r="Y97" s="89"/>
      <c r="Z97" s="89"/>
      <c r="AA97" s="89">
        <v>100</v>
      </c>
      <c r="AB97" s="93"/>
      <c r="AC97" s="89"/>
      <c r="AD97" s="89"/>
      <c r="AE97" s="89">
        <v>100</v>
      </c>
      <c r="AF97" s="93"/>
      <c r="AG97" s="89"/>
      <c r="AH97" s="89"/>
      <c r="AI97" s="89">
        <v>100</v>
      </c>
      <c r="AJ97" s="93"/>
      <c r="AK97" s="89"/>
      <c r="AL97" s="89"/>
      <c r="AM97" s="89">
        <v>100</v>
      </c>
      <c r="AN97" s="93"/>
      <c r="AO97" s="89"/>
      <c r="AP97" s="89"/>
    </row>
    <row r="98" spans="1:42" x14ac:dyDescent="0.2">
      <c r="A98" s="19" t="s">
        <v>935</v>
      </c>
      <c r="B98" s="19">
        <v>201</v>
      </c>
      <c r="C98" s="37">
        <v>5</v>
      </c>
      <c r="D98" s="37">
        <v>13.4</v>
      </c>
      <c r="E98" s="37">
        <v>14.6</v>
      </c>
      <c r="F98" s="37"/>
      <c r="G98" s="37">
        <v>5</v>
      </c>
      <c r="H98" s="37">
        <v>13.7</v>
      </c>
      <c r="I98" s="37">
        <v>14</v>
      </c>
      <c r="J98" s="37"/>
      <c r="K98" s="88">
        <v>5</v>
      </c>
      <c r="L98" s="92">
        <v>12.3</v>
      </c>
      <c r="M98" s="88">
        <v>13.8</v>
      </c>
      <c r="N98" s="88"/>
      <c r="O98" s="88">
        <v>5</v>
      </c>
      <c r="P98" s="92">
        <v>12.9</v>
      </c>
      <c r="Q98" s="88">
        <v>13.5</v>
      </c>
      <c r="R98" s="88"/>
      <c r="S98" s="88">
        <v>5</v>
      </c>
      <c r="T98" s="92">
        <v>12.2</v>
      </c>
      <c r="U98" s="88">
        <v>10.1</v>
      </c>
      <c r="V98" s="88"/>
      <c r="W98" s="88">
        <v>10</v>
      </c>
      <c r="X98" s="92">
        <v>9.4</v>
      </c>
      <c r="Y98" s="88">
        <v>11.4</v>
      </c>
      <c r="Z98" s="88"/>
      <c r="AA98" s="88">
        <v>20</v>
      </c>
      <c r="AB98" s="92">
        <v>9.9</v>
      </c>
      <c r="AC98" s="88">
        <v>8</v>
      </c>
      <c r="AD98" s="88"/>
      <c r="AE98" s="88">
        <v>30</v>
      </c>
      <c r="AF98" s="92">
        <v>5.5</v>
      </c>
      <c r="AG98" s="88">
        <v>7.4</v>
      </c>
      <c r="AH98" s="88"/>
      <c r="AI98" s="88">
        <v>45</v>
      </c>
      <c r="AJ98" s="92">
        <v>7.8</v>
      </c>
      <c r="AK98" s="88">
        <v>4.8</v>
      </c>
      <c r="AL98" s="88"/>
      <c r="AM98" s="88">
        <v>100</v>
      </c>
      <c r="AN98" s="92"/>
      <c r="AO98" s="88"/>
      <c r="AP98" s="88"/>
    </row>
    <row r="99" spans="1:42" x14ac:dyDescent="0.2">
      <c r="A99" s="19" t="s">
        <v>936</v>
      </c>
      <c r="B99" s="19">
        <v>202</v>
      </c>
      <c r="C99" s="37">
        <v>5</v>
      </c>
      <c r="D99" s="37">
        <v>15.6</v>
      </c>
      <c r="E99" s="37">
        <v>13.4</v>
      </c>
      <c r="F99" s="37"/>
      <c r="G99" s="37">
        <v>5</v>
      </c>
      <c r="H99" s="37">
        <v>15.5</v>
      </c>
      <c r="I99" s="37">
        <v>14.9</v>
      </c>
      <c r="J99" s="37"/>
      <c r="K99" s="88">
        <v>5</v>
      </c>
      <c r="L99" s="92">
        <v>13.1</v>
      </c>
      <c r="M99" s="88">
        <v>14.5</v>
      </c>
      <c r="N99" s="88"/>
      <c r="O99" s="88">
        <v>5</v>
      </c>
      <c r="P99" s="92">
        <v>17.399999999999999</v>
      </c>
      <c r="Q99" s="88">
        <v>16.100000000000001</v>
      </c>
      <c r="R99" s="88"/>
      <c r="S99" s="88">
        <v>5</v>
      </c>
      <c r="T99" s="92">
        <v>14.4</v>
      </c>
      <c r="U99" s="88">
        <v>13.3</v>
      </c>
      <c r="V99" s="88"/>
      <c r="W99" s="88">
        <v>15</v>
      </c>
      <c r="X99" s="92">
        <v>12.2</v>
      </c>
      <c r="Y99" s="88">
        <v>11.4</v>
      </c>
      <c r="Z99" s="88"/>
      <c r="AA99" s="88">
        <v>20</v>
      </c>
      <c r="AB99" s="92">
        <v>9.9</v>
      </c>
      <c r="AC99" s="88">
        <v>9.1999999999999993</v>
      </c>
      <c r="AD99" s="88"/>
      <c r="AE99" s="88">
        <v>30</v>
      </c>
      <c r="AF99" s="92">
        <v>8.1999999999999993</v>
      </c>
      <c r="AG99" s="88">
        <v>10.199999999999999</v>
      </c>
      <c r="AH99" s="88"/>
      <c r="AI99" s="88">
        <v>50</v>
      </c>
      <c r="AJ99" s="92">
        <v>4.7</v>
      </c>
      <c r="AK99" s="88">
        <v>8.1</v>
      </c>
      <c r="AL99" s="88"/>
      <c r="AM99" s="88">
        <v>100</v>
      </c>
      <c r="AN99" s="92"/>
      <c r="AO99" s="88"/>
      <c r="AP99" s="88"/>
    </row>
    <row r="100" spans="1:42" x14ac:dyDescent="0.2">
      <c r="A100" s="19" t="s">
        <v>937</v>
      </c>
      <c r="B100" s="19">
        <v>203</v>
      </c>
      <c r="C100" s="37">
        <v>5</v>
      </c>
      <c r="D100" s="37">
        <v>14.2</v>
      </c>
      <c r="E100" s="37">
        <v>10.4</v>
      </c>
      <c r="F100" s="37"/>
      <c r="G100" s="37">
        <v>5</v>
      </c>
      <c r="H100" s="37">
        <v>13.4</v>
      </c>
      <c r="I100" s="37">
        <v>13.1</v>
      </c>
      <c r="J100" s="37"/>
      <c r="K100" s="88">
        <v>5</v>
      </c>
      <c r="L100" s="92">
        <v>10.8</v>
      </c>
      <c r="M100" s="88">
        <v>12.3</v>
      </c>
      <c r="N100" s="88"/>
      <c r="O100" s="88">
        <v>5</v>
      </c>
      <c r="P100" s="92">
        <v>8</v>
      </c>
      <c r="Q100" s="88">
        <v>12.2</v>
      </c>
      <c r="R100" s="88"/>
      <c r="S100" s="88">
        <v>5</v>
      </c>
      <c r="T100" s="92">
        <v>8.1999999999999993</v>
      </c>
      <c r="U100" s="88">
        <v>12.8</v>
      </c>
      <c r="V100" s="88"/>
      <c r="W100" s="88">
        <v>10</v>
      </c>
      <c r="X100" s="92">
        <v>9.8000000000000007</v>
      </c>
      <c r="Y100" s="88">
        <v>8.6</v>
      </c>
      <c r="Z100" s="88"/>
      <c r="AA100" s="88">
        <v>10</v>
      </c>
      <c r="AB100" s="92">
        <v>7.3</v>
      </c>
      <c r="AC100" s="88">
        <v>9.4</v>
      </c>
      <c r="AD100" s="88"/>
      <c r="AE100" s="88">
        <v>15</v>
      </c>
      <c r="AF100" s="92">
        <v>5.3</v>
      </c>
      <c r="AG100" s="88">
        <v>5.8</v>
      </c>
      <c r="AH100" s="88"/>
      <c r="AI100" s="88">
        <v>25</v>
      </c>
      <c r="AJ100" s="92">
        <v>5.5</v>
      </c>
      <c r="AK100" s="88">
        <v>4.8</v>
      </c>
      <c r="AL100" s="88"/>
      <c r="AM100" s="88">
        <v>95</v>
      </c>
      <c r="AN100" s="92">
        <v>5.5</v>
      </c>
      <c r="AO100" s="88">
        <v>5</v>
      </c>
      <c r="AP100" s="88"/>
    </row>
    <row r="101" spans="1:42" x14ac:dyDescent="0.2">
      <c r="A101" s="19" t="s">
        <v>938</v>
      </c>
      <c r="B101" s="19">
        <v>204</v>
      </c>
      <c r="C101" s="37">
        <v>5</v>
      </c>
      <c r="D101" s="37">
        <v>15.9</v>
      </c>
      <c r="E101" s="37">
        <v>14.1</v>
      </c>
      <c r="F101" s="37"/>
      <c r="G101" s="37">
        <v>5</v>
      </c>
      <c r="H101" s="37">
        <v>11.8</v>
      </c>
      <c r="I101" s="37">
        <v>15</v>
      </c>
      <c r="J101" s="37"/>
      <c r="K101" s="88">
        <v>5</v>
      </c>
      <c r="L101" s="92">
        <v>15.2</v>
      </c>
      <c r="M101" s="88">
        <v>13.4</v>
      </c>
      <c r="N101" s="88"/>
      <c r="O101" s="88">
        <v>5</v>
      </c>
      <c r="P101" s="92">
        <v>8.5</v>
      </c>
      <c r="Q101" s="88">
        <v>14.5</v>
      </c>
      <c r="R101" s="88"/>
      <c r="S101" s="88">
        <v>5</v>
      </c>
      <c r="T101" s="92">
        <v>15.7</v>
      </c>
      <c r="U101" s="88">
        <v>12.8</v>
      </c>
      <c r="V101" s="88"/>
      <c r="W101" s="88">
        <v>10</v>
      </c>
      <c r="X101" s="92">
        <v>14.4</v>
      </c>
      <c r="Y101" s="88">
        <v>13.3</v>
      </c>
      <c r="Z101" s="88"/>
      <c r="AA101" s="88">
        <v>10</v>
      </c>
      <c r="AB101" s="92">
        <v>10</v>
      </c>
      <c r="AC101" s="88">
        <v>10.8</v>
      </c>
      <c r="AD101" s="88"/>
      <c r="AE101" s="88">
        <v>15</v>
      </c>
      <c r="AF101" s="92">
        <v>9.6</v>
      </c>
      <c r="AG101" s="88">
        <v>10</v>
      </c>
      <c r="AH101" s="88"/>
      <c r="AI101" s="88">
        <v>25</v>
      </c>
      <c r="AJ101" s="92">
        <v>7.1</v>
      </c>
      <c r="AK101" s="88">
        <v>5</v>
      </c>
      <c r="AL101" s="88"/>
      <c r="AM101" s="88">
        <v>95</v>
      </c>
      <c r="AN101" s="92">
        <v>6.2</v>
      </c>
      <c r="AO101" s="88">
        <v>5</v>
      </c>
      <c r="AP101" s="88"/>
    </row>
    <row r="102" spans="1:42" x14ac:dyDescent="0.2">
      <c r="A102" s="19" t="s">
        <v>939</v>
      </c>
      <c r="B102" s="19">
        <v>205</v>
      </c>
      <c r="C102" s="37">
        <v>5</v>
      </c>
      <c r="D102" s="37">
        <v>17</v>
      </c>
      <c r="E102" s="37">
        <v>19</v>
      </c>
      <c r="F102" s="37"/>
      <c r="G102" s="37">
        <v>5</v>
      </c>
      <c r="H102" s="37">
        <v>19.2</v>
      </c>
      <c r="I102" s="37">
        <v>18.899999999999999</v>
      </c>
      <c r="J102" s="37"/>
      <c r="K102" s="88">
        <v>5</v>
      </c>
      <c r="L102" s="92">
        <v>18.600000000000001</v>
      </c>
      <c r="M102" s="88">
        <v>15.6</v>
      </c>
      <c r="N102" s="88"/>
      <c r="O102" s="88">
        <v>5</v>
      </c>
      <c r="P102" s="92">
        <v>17.600000000000001</v>
      </c>
      <c r="Q102" s="88">
        <v>17.2</v>
      </c>
      <c r="R102" s="88"/>
      <c r="S102" s="88">
        <v>5</v>
      </c>
      <c r="T102" s="92">
        <v>19.600000000000001</v>
      </c>
      <c r="U102" s="88">
        <v>19.399999999999999</v>
      </c>
      <c r="V102" s="88"/>
      <c r="W102" s="88">
        <v>5</v>
      </c>
      <c r="X102" s="92">
        <v>14.8</v>
      </c>
      <c r="Y102" s="88">
        <v>16.5</v>
      </c>
      <c r="Z102" s="88"/>
      <c r="AA102" s="88">
        <v>5</v>
      </c>
      <c r="AB102" s="92">
        <v>16</v>
      </c>
      <c r="AC102" s="88">
        <v>17.8</v>
      </c>
      <c r="AD102" s="88"/>
      <c r="AE102" s="88">
        <v>5</v>
      </c>
      <c r="AF102" s="92">
        <v>14.6</v>
      </c>
      <c r="AG102" s="88">
        <v>17.5</v>
      </c>
      <c r="AH102" s="88"/>
      <c r="AI102" s="88">
        <v>10</v>
      </c>
      <c r="AJ102" s="92">
        <v>14</v>
      </c>
      <c r="AK102" s="88">
        <v>14</v>
      </c>
      <c r="AL102" s="88"/>
      <c r="AM102" s="88">
        <v>35</v>
      </c>
      <c r="AN102" s="92">
        <v>15</v>
      </c>
      <c r="AO102" s="88">
        <v>13.6</v>
      </c>
      <c r="AP102" s="88"/>
    </row>
    <row r="103" spans="1:42" x14ac:dyDescent="0.2">
      <c r="A103" s="19" t="s">
        <v>940</v>
      </c>
      <c r="B103" s="19">
        <v>206</v>
      </c>
      <c r="C103" s="37">
        <v>5</v>
      </c>
      <c r="D103" s="37">
        <v>11.5</v>
      </c>
      <c r="E103" s="37">
        <v>13.8</v>
      </c>
      <c r="F103" s="37"/>
      <c r="G103" s="37">
        <v>5</v>
      </c>
      <c r="H103" s="37">
        <v>14</v>
      </c>
      <c r="I103" s="37">
        <v>11.5</v>
      </c>
      <c r="J103" s="37"/>
      <c r="K103" s="88">
        <v>5</v>
      </c>
      <c r="L103" s="92">
        <v>9.9</v>
      </c>
      <c r="M103" s="88">
        <v>12.5</v>
      </c>
      <c r="N103" s="88"/>
      <c r="O103" s="88">
        <v>5</v>
      </c>
      <c r="P103" s="92">
        <v>13.1</v>
      </c>
      <c r="Q103" s="88">
        <v>10.8</v>
      </c>
      <c r="R103" s="88"/>
      <c r="S103" s="88">
        <v>5</v>
      </c>
      <c r="T103" s="92">
        <v>10.4</v>
      </c>
      <c r="U103" s="88">
        <v>10.199999999999999</v>
      </c>
      <c r="V103" s="88"/>
      <c r="W103" s="88">
        <v>10</v>
      </c>
      <c r="X103" s="92">
        <v>8.9</v>
      </c>
      <c r="Y103" s="88">
        <v>9.6999999999999993</v>
      </c>
      <c r="Z103" s="88"/>
      <c r="AA103" s="88">
        <v>10</v>
      </c>
      <c r="AB103" s="92">
        <v>8</v>
      </c>
      <c r="AC103" s="88">
        <v>9.3000000000000007</v>
      </c>
      <c r="AD103" s="88"/>
      <c r="AE103" s="88">
        <v>15</v>
      </c>
      <c r="AF103" s="92">
        <v>6.2</v>
      </c>
      <c r="AG103" s="88">
        <v>10.4</v>
      </c>
      <c r="AH103" s="88"/>
      <c r="AI103" s="88">
        <v>25</v>
      </c>
      <c r="AJ103" s="92">
        <v>7.5</v>
      </c>
      <c r="AK103" s="88">
        <v>7</v>
      </c>
      <c r="AL103" s="88"/>
      <c r="AM103" s="88">
        <v>90</v>
      </c>
      <c r="AN103" s="92">
        <v>7.5</v>
      </c>
      <c r="AO103" s="88">
        <v>4.4000000000000004</v>
      </c>
      <c r="AP103" s="88"/>
    </row>
    <row r="104" spans="1:42" x14ac:dyDescent="0.2">
      <c r="A104" s="19" t="s">
        <v>941</v>
      </c>
      <c r="B104" s="19">
        <v>207</v>
      </c>
      <c r="C104" s="37">
        <v>5</v>
      </c>
      <c r="D104" s="37">
        <v>11.6</v>
      </c>
      <c r="E104" s="37">
        <v>10.5</v>
      </c>
      <c r="F104" s="37"/>
      <c r="G104" s="37">
        <v>5</v>
      </c>
      <c r="H104" s="37">
        <v>12.2</v>
      </c>
      <c r="I104" s="37">
        <v>13.7</v>
      </c>
      <c r="J104" s="37"/>
      <c r="K104" s="88">
        <v>5</v>
      </c>
      <c r="L104" s="92">
        <v>8.5</v>
      </c>
      <c r="M104" s="88">
        <v>9.3000000000000007</v>
      </c>
      <c r="N104" s="88"/>
      <c r="O104" s="88">
        <v>10</v>
      </c>
      <c r="P104" s="92">
        <v>13.9</v>
      </c>
      <c r="Q104" s="88">
        <v>10.5</v>
      </c>
      <c r="R104" s="88"/>
      <c r="S104" s="88">
        <v>10</v>
      </c>
      <c r="T104" s="92">
        <v>10.6</v>
      </c>
      <c r="U104" s="88">
        <v>11.1</v>
      </c>
      <c r="V104" s="88"/>
      <c r="W104" s="88">
        <v>15</v>
      </c>
      <c r="X104" s="92">
        <v>10</v>
      </c>
      <c r="Y104" s="88">
        <v>8.6999999999999993</v>
      </c>
      <c r="Z104" s="88"/>
      <c r="AA104" s="88">
        <v>15</v>
      </c>
      <c r="AB104" s="92">
        <v>8.6999999999999993</v>
      </c>
      <c r="AC104" s="88">
        <v>8.6</v>
      </c>
      <c r="AD104" s="88"/>
      <c r="AE104" s="88">
        <v>15</v>
      </c>
      <c r="AF104" s="92">
        <v>6.8</v>
      </c>
      <c r="AG104" s="88">
        <v>8.6999999999999993</v>
      </c>
      <c r="AH104" s="88"/>
      <c r="AI104" s="88">
        <v>30</v>
      </c>
      <c r="AJ104" s="92">
        <v>5.3</v>
      </c>
      <c r="AK104" s="88">
        <v>7.5</v>
      </c>
      <c r="AL104" s="88"/>
      <c r="AM104" s="88">
        <v>98</v>
      </c>
      <c r="AN104" s="92"/>
      <c r="AO104" s="88"/>
      <c r="AP104" s="88"/>
    </row>
    <row r="105" spans="1:42" x14ac:dyDescent="0.2">
      <c r="A105" s="19" t="s">
        <v>942</v>
      </c>
      <c r="B105" s="19">
        <v>208</v>
      </c>
      <c r="C105" s="37">
        <v>5</v>
      </c>
      <c r="D105" s="37">
        <v>12.9</v>
      </c>
      <c r="E105" s="37">
        <v>12.8</v>
      </c>
      <c r="F105" s="37"/>
      <c r="G105" s="37">
        <v>5</v>
      </c>
      <c r="H105" s="37">
        <v>13.4</v>
      </c>
      <c r="I105" s="37">
        <v>12</v>
      </c>
      <c r="J105" s="37"/>
      <c r="K105" s="88">
        <v>5</v>
      </c>
      <c r="L105" s="92">
        <v>13.4</v>
      </c>
      <c r="M105" s="88">
        <v>13.9</v>
      </c>
      <c r="N105" s="88"/>
      <c r="O105" s="88">
        <v>5</v>
      </c>
      <c r="P105" s="92">
        <v>10.9</v>
      </c>
      <c r="Q105" s="88">
        <v>11.8</v>
      </c>
      <c r="R105" s="88"/>
      <c r="S105" s="88">
        <v>5</v>
      </c>
      <c r="T105" s="92">
        <v>11.3</v>
      </c>
      <c r="U105" s="88">
        <v>11.7</v>
      </c>
      <c r="V105" s="88"/>
      <c r="W105" s="88">
        <v>15</v>
      </c>
      <c r="X105" s="92">
        <v>10</v>
      </c>
      <c r="Y105" s="88">
        <v>9.4</v>
      </c>
      <c r="Z105" s="88"/>
      <c r="AA105" s="88">
        <v>20</v>
      </c>
      <c r="AB105" s="92">
        <v>11.6</v>
      </c>
      <c r="AC105" s="88">
        <v>9.4</v>
      </c>
      <c r="AD105" s="88"/>
      <c r="AE105" s="88">
        <v>30</v>
      </c>
      <c r="AF105" s="92">
        <v>7</v>
      </c>
      <c r="AG105" s="88">
        <v>9.4</v>
      </c>
      <c r="AH105" s="88"/>
      <c r="AI105" s="88">
        <v>75</v>
      </c>
      <c r="AJ105" s="92">
        <v>7</v>
      </c>
      <c r="AK105" s="88">
        <v>4.3</v>
      </c>
      <c r="AL105" s="88"/>
      <c r="AM105" s="88">
        <v>100</v>
      </c>
      <c r="AN105" s="92"/>
      <c r="AO105" s="88"/>
      <c r="AP105" s="88"/>
    </row>
    <row r="106" spans="1:42" x14ac:dyDescent="0.2">
      <c r="A106" s="13" t="s">
        <v>944</v>
      </c>
      <c r="B106" s="13">
        <v>209</v>
      </c>
      <c r="C106" s="1">
        <v>100</v>
      </c>
      <c r="D106" s="1"/>
      <c r="E106" s="1"/>
      <c r="F106" s="1" t="s">
        <v>1810</v>
      </c>
      <c r="G106" s="1">
        <v>100</v>
      </c>
      <c r="H106" s="1"/>
      <c r="I106" s="1"/>
      <c r="J106" s="1"/>
      <c r="K106" s="89">
        <v>100</v>
      </c>
      <c r="L106" s="93"/>
      <c r="M106" s="89"/>
      <c r="N106" s="89"/>
      <c r="O106" s="89">
        <v>100</v>
      </c>
      <c r="P106" s="93"/>
      <c r="Q106" s="89"/>
      <c r="R106" s="89"/>
      <c r="S106" s="89">
        <v>100</v>
      </c>
      <c r="T106" s="93"/>
      <c r="U106" s="89"/>
      <c r="V106" s="89"/>
      <c r="W106" s="89">
        <v>100</v>
      </c>
      <c r="X106" s="93"/>
      <c r="Y106" s="89"/>
      <c r="Z106" s="89"/>
      <c r="AA106" s="89">
        <v>100</v>
      </c>
      <c r="AB106" s="93"/>
      <c r="AC106" s="89"/>
      <c r="AD106" s="89"/>
      <c r="AE106" s="89">
        <v>100</v>
      </c>
      <c r="AF106" s="93"/>
      <c r="AG106" s="89"/>
      <c r="AH106" s="89"/>
      <c r="AI106" s="89">
        <v>100</v>
      </c>
      <c r="AJ106" s="93"/>
      <c r="AK106" s="89"/>
      <c r="AL106" s="89"/>
      <c r="AM106" s="89">
        <v>100</v>
      </c>
      <c r="AN106" s="93"/>
      <c r="AO106" s="89"/>
      <c r="AP106" s="89"/>
    </row>
    <row r="107" spans="1:42" x14ac:dyDescent="0.2">
      <c r="A107" s="13" t="s">
        <v>947</v>
      </c>
      <c r="B107" s="13">
        <v>212</v>
      </c>
      <c r="C107" s="1">
        <v>100</v>
      </c>
      <c r="D107" s="1"/>
      <c r="E107" s="1"/>
      <c r="F107" s="1" t="s">
        <v>1810</v>
      </c>
      <c r="G107" s="1">
        <v>100</v>
      </c>
      <c r="H107" s="1"/>
      <c r="I107" s="1"/>
      <c r="J107" s="1"/>
      <c r="K107" s="89">
        <v>100</v>
      </c>
      <c r="L107" s="93"/>
      <c r="M107" s="89"/>
      <c r="N107" s="89"/>
      <c r="O107" s="89">
        <v>100</v>
      </c>
      <c r="P107" s="93"/>
      <c r="Q107" s="89"/>
      <c r="R107" s="89"/>
      <c r="S107" s="89">
        <v>100</v>
      </c>
      <c r="T107" s="93"/>
      <c r="U107" s="89"/>
      <c r="V107" s="89"/>
      <c r="W107" s="89">
        <v>100</v>
      </c>
      <c r="X107" s="93"/>
      <c r="Y107" s="89"/>
      <c r="Z107" s="89"/>
      <c r="AA107" s="89">
        <v>100</v>
      </c>
      <c r="AB107" s="93"/>
      <c r="AC107" s="89"/>
      <c r="AD107" s="89"/>
      <c r="AE107" s="89">
        <v>100</v>
      </c>
      <c r="AF107" s="93"/>
      <c r="AG107" s="89"/>
      <c r="AH107" s="89"/>
      <c r="AI107" s="89">
        <v>100</v>
      </c>
      <c r="AJ107" s="93"/>
      <c r="AK107" s="89"/>
      <c r="AL107" s="89"/>
      <c r="AM107" s="89">
        <v>100</v>
      </c>
      <c r="AN107" s="93"/>
      <c r="AO107" s="89"/>
      <c r="AP107" s="89"/>
    </row>
    <row r="108" spans="1:42" x14ac:dyDescent="0.2">
      <c r="A108" s="13" t="s">
        <v>948</v>
      </c>
      <c r="B108" s="13">
        <v>213</v>
      </c>
      <c r="C108" s="1">
        <v>100</v>
      </c>
      <c r="D108" s="1"/>
      <c r="E108" s="1"/>
      <c r="F108" s="1" t="s">
        <v>1810</v>
      </c>
      <c r="G108" s="1">
        <v>100</v>
      </c>
      <c r="H108" s="1"/>
      <c r="I108" s="1"/>
      <c r="J108" s="1"/>
      <c r="K108" s="89">
        <v>100</v>
      </c>
      <c r="L108" s="93"/>
      <c r="M108" s="89"/>
      <c r="N108" s="89"/>
      <c r="O108" s="89">
        <v>100</v>
      </c>
      <c r="P108" s="93"/>
      <c r="Q108" s="89"/>
      <c r="R108" s="89"/>
      <c r="S108" s="89">
        <v>100</v>
      </c>
      <c r="T108" s="93"/>
      <c r="U108" s="89"/>
      <c r="V108" s="89"/>
      <c r="W108" s="89">
        <v>100</v>
      </c>
      <c r="X108" s="93"/>
      <c r="Y108" s="89"/>
      <c r="Z108" s="89"/>
      <c r="AA108" s="89">
        <v>100</v>
      </c>
      <c r="AB108" s="93"/>
      <c r="AC108" s="89"/>
      <c r="AD108" s="89"/>
      <c r="AE108" s="89">
        <v>100</v>
      </c>
      <c r="AF108" s="93"/>
      <c r="AG108" s="89"/>
      <c r="AH108" s="89"/>
      <c r="AI108" s="89">
        <v>100</v>
      </c>
      <c r="AJ108" s="93"/>
      <c r="AK108" s="89"/>
      <c r="AL108" s="89"/>
      <c r="AM108" s="89">
        <v>100</v>
      </c>
      <c r="AN108" s="93"/>
      <c r="AO108" s="89"/>
      <c r="AP108" s="89"/>
    </row>
    <row r="109" spans="1:42" x14ac:dyDescent="0.2">
      <c r="A109" s="13" t="s">
        <v>951</v>
      </c>
      <c r="B109" s="13">
        <v>216</v>
      </c>
      <c r="C109" s="1">
        <v>100</v>
      </c>
      <c r="D109" s="1"/>
      <c r="E109" s="1"/>
      <c r="F109" s="1" t="s">
        <v>1810</v>
      </c>
      <c r="G109" s="1">
        <v>100</v>
      </c>
      <c r="H109" s="1"/>
      <c r="I109" s="1"/>
      <c r="J109" s="1"/>
      <c r="K109" s="89">
        <v>100</v>
      </c>
      <c r="L109" s="93"/>
      <c r="M109" s="89"/>
      <c r="N109" s="89"/>
      <c r="O109" s="89">
        <v>100</v>
      </c>
      <c r="P109" s="93"/>
      <c r="Q109" s="89"/>
      <c r="R109" s="89"/>
      <c r="S109" s="89">
        <v>100</v>
      </c>
      <c r="T109" s="93"/>
      <c r="U109" s="89"/>
      <c r="V109" s="89"/>
      <c r="W109" s="89">
        <v>100</v>
      </c>
      <c r="X109" s="93"/>
      <c r="Y109" s="89"/>
      <c r="Z109" s="89"/>
      <c r="AA109" s="89">
        <v>100</v>
      </c>
      <c r="AB109" s="93"/>
      <c r="AC109" s="89"/>
      <c r="AD109" s="89"/>
      <c r="AE109" s="89">
        <v>100</v>
      </c>
      <c r="AF109" s="93"/>
      <c r="AG109" s="89"/>
      <c r="AH109" s="89"/>
      <c r="AI109" s="89">
        <v>100</v>
      </c>
      <c r="AJ109" s="93"/>
      <c r="AK109" s="89"/>
      <c r="AL109" s="89"/>
      <c r="AM109" s="89">
        <v>100</v>
      </c>
      <c r="AN109" s="93"/>
      <c r="AO109" s="89"/>
      <c r="AP109" s="89"/>
    </row>
    <row r="110" spans="1:42" x14ac:dyDescent="0.2">
      <c r="A110" s="19" t="s">
        <v>953</v>
      </c>
      <c r="B110" s="19">
        <v>217</v>
      </c>
      <c r="C110" s="37">
        <v>5</v>
      </c>
      <c r="D110" s="37">
        <v>17.899999999999999</v>
      </c>
      <c r="E110" s="37">
        <v>18</v>
      </c>
      <c r="F110" s="37"/>
      <c r="G110" s="37">
        <v>5</v>
      </c>
      <c r="H110" s="37">
        <v>18.5</v>
      </c>
      <c r="I110" s="37">
        <v>14.1</v>
      </c>
      <c r="J110" s="37"/>
      <c r="K110" s="88">
        <v>5</v>
      </c>
      <c r="L110" s="92">
        <v>18.3</v>
      </c>
      <c r="M110" s="88">
        <v>17.8</v>
      </c>
      <c r="N110" s="88"/>
      <c r="O110" s="88">
        <v>5</v>
      </c>
      <c r="P110" s="92">
        <v>16.3</v>
      </c>
      <c r="Q110" s="88">
        <v>16.7</v>
      </c>
      <c r="R110" s="88"/>
      <c r="S110" s="88">
        <v>10</v>
      </c>
      <c r="T110" s="92">
        <v>13</v>
      </c>
      <c r="U110" s="88">
        <v>18</v>
      </c>
      <c r="V110" s="88"/>
      <c r="W110" s="88">
        <v>15</v>
      </c>
      <c r="X110" s="92">
        <v>17.399999999999999</v>
      </c>
      <c r="Y110" s="88">
        <v>14.1</v>
      </c>
      <c r="Z110" s="88"/>
      <c r="AA110" s="88">
        <v>15</v>
      </c>
      <c r="AB110" s="92">
        <v>14</v>
      </c>
      <c r="AC110" s="88">
        <v>16.5</v>
      </c>
      <c r="AD110" s="88"/>
      <c r="AE110" s="88">
        <v>15</v>
      </c>
      <c r="AF110" s="92">
        <v>13.3</v>
      </c>
      <c r="AG110" s="88">
        <v>11.1</v>
      </c>
      <c r="AH110" s="88"/>
      <c r="AI110" s="88">
        <v>20</v>
      </c>
      <c r="AJ110" s="92">
        <v>9.4</v>
      </c>
      <c r="AK110" s="88">
        <v>9</v>
      </c>
      <c r="AL110" s="88"/>
      <c r="AM110" s="88">
        <v>90</v>
      </c>
      <c r="AN110" s="92">
        <v>4</v>
      </c>
      <c r="AO110" s="88">
        <v>8.5</v>
      </c>
      <c r="AP110" s="88"/>
    </row>
    <row r="111" spans="1:42" x14ac:dyDescent="0.2">
      <c r="A111" s="19" t="s">
        <v>956</v>
      </c>
      <c r="B111" s="19">
        <v>220</v>
      </c>
      <c r="C111" s="37">
        <v>5</v>
      </c>
      <c r="D111" s="37">
        <v>14.1</v>
      </c>
      <c r="E111" s="37">
        <v>13</v>
      </c>
      <c r="F111" s="37"/>
      <c r="G111" s="37">
        <v>5</v>
      </c>
      <c r="H111" s="37">
        <v>14.7</v>
      </c>
      <c r="I111" s="37">
        <v>13.1</v>
      </c>
      <c r="J111" s="37"/>
      <c r="K111" s="88">
        <v>5</v>
      </c>
      <c r="L111" s="92">
        <v>11.6</v>
      </c>
      <c r="M111" s="88">
        <v>11.6</v>
      </c>
      <c r="N111" s="88"/>
      <c r="O111" s="88">
        <v>5</v>
      </c>
      <c r="P111" s="92">
        <v>14.4</v>
      </c>
      <c r="Q111" s="88">
        <v>15.1</v>
      </c>
      <c r="R111" s="88"/>
      <c r="S111" s="88">
        <v>5</v>
      </c>
      <c r="T111" s="92">
        <v>15</v>
      </c>
      <c r="U111" s="88">
        <v>11.5</v>
      </c>
      <c r="V111" s="88"/>
      <c r="W111" s="88">
        <v>5</v>
      </c>
      <c r="X111" s="92">
        <v>10.8</v>
      </c>
      <c r="Y111" s="88">
        <v>10.5</v>
      </c>
      <c r="Z111" s="88"/>
      <c r="AA111" s="88">
        <v>10</v>
      </c>
      <c r="AB111" s="92">
        <v>10.199999999999999</v>
      </c>
      <c r="AC111" s="88">
        <v>8.6999999999999993</v>
      </c>
      <c r="AD111" s="88"/>
      <c r="AE111" s="88">
        <v>15</v>
      </c>
      <c r="AF111" s="92">
        <v>10.5</v>
      </c>
      <c r="AG111" s="88">
        <v>10.4</v>
      </c>
      <c r="AH111" s="88"/>
      <c r="AI111" s="88">
        <v>20</v>
      </c>
      <c r="AJ111" s="92">
        <v>10.8</v>
      </c>
      <c r="AK111" s="88">
        <v>9</v>
      </c>
      <c r="AL111" s="88"/>
      <c r="AM111" s="88">
        <v>90</v>
      </c>
      <c r="AN111" s="92">
        <v>4</v>
      </c>
      <c r="AO111" s="88">
        <v>5.6</v>
      </c>
      <c r="AP111" s="88"/>
    </row>
    <row r="112" spans="1:42" x14ac:dyDescent="0.2">
      <c r="A112" s="19" t="s">
        <v>957</v>
      </c>
      <c r="B112" s="19">
        <v>221</v>
      </c>
      <c r="C112" s="37">
        <v>5</v>
      </c>
      <c r="D112" s="37">
        <v>11.9</v>
      </c>
      <c r="E112" s="37">
        <v>11.8</v>
      </c>
      <c r="F112" s="37"/>
      <c r="G112" s="37">
        <v>5</v>
      </c>
      <c r="H112" s="37">
        <v>10.9</v>
      </c>
      <c r="I112" s="37">
        <v>13.8</v>
      </c>
      <c r="J112" s="37"/>
      <c r="K112" s="88">
        <v>5</v>
      </c>
      <c r="L112" s="92">
        <v>7.7</v>
      </c>
      <c r="M112" s="88">
        <v>10.5</v>
      </c>
      <c r="N112" s="88"/>
      <c r="O112" s="88">
        <v>5</v>
      </c>
      <c r="P112" s="92">
        <v>11.5</v>
      </c>
      <c r="Q112" s="88">
        <v>10.5</v>
      </c>
      <c r="R112" s="88"/>
      <c r="S112" s="88">
        <v>5</v>
      </c>
      <c r="T112" s="92">
        <v>11.2</v>
      </c>
      <c r="U112" s="88">
        <v>11.5</v>
      </c>
      <c r="V112" s="88"/>
      <c r="W112" s="88">
        <v>10</v>
      </c>
      <c r="X112" s="92">
        <v>8.5</v>
      </c>
      <c r="Y112" s="88">
        <v>10.8</v>
      </c>
      <c r="Z112" s="88"/>
      <c r="AA112" s="88">
        <v>15</v>
      </c>
      <c r="AB112" s="92">
        <v>9.1999999999999993</v>
      </c>
      <c r="AC112" s="88">
        <v>9.3000000000000007</v>
      </c>
      <c r="AD112" s="88"/>
      <c r="AE112" s="88">
        <v>20</v>
      </c>
      <c r="AF112" s="92">
        <v>8.6999999999999993</v>
      </c>
      <c r="AG112" s="88">
        <v>7.4</v>
      </c>
      <c r="AH112" s="88"/>
      <c r="AI112" s="88">
        <v>50</v>
      </c>
      <c r="AJ112" s="92">
        <v>7</v>
      </c>
      <c r="AK112" s="88">
        <v>8</v>
      </c>
      <c r="AL112" s="88"/>
      <c r="AM112" s="88">
        <v>100</v>
      </c>
      <c r="AN112" s="92"/>
      <c r="AO112" s="88"/>
      <c r="AP112" s="88"/>
    </row>
    <row r="113" spans="1:42" x14ac:dyDescent="0.2">
      <c r="A113" s="19" t="s">
        <v>960</v>
      </c>
      <c r="B113" s="19">
        <v>224</v>
      </c>
      <c r="C113" s="37">
        <v>5</v>
      </c>
      <c r="D113" s="37">
        <v>14.2</v>
      </c>
      <c r="E113" s="37">
        <v>17.8</v>
      </c>
      <c r="F113" s="37"/>
      <c r="G113" s="37">
        <v>5</v>
      </c>
      <c r="H113" s="37">
        <v>14.7</v>
      </c>
      <c r="I113" s="37">
        <v>11.5</v>
      </c>
      <c r="J113" s="37"/>
      <c r="K113" s="88">
        <v>5</v>
      </c>
      <c r="L113" s="92">
        <v>11.7</v>
      </c>
      <c r="M113" s="88">
        <v>12.5</v>
      </c>
      <c r="N113" s="88"/>
      <c r="O113" s="88">
        <v>5</v>
      </c>
      <c r="P113" s="92">
        <v>11.9</v>
      </c>
      <c r="Q113" s="88">
        <v>12</v>
      </c>
      <c r="R113" s="88"/>
      <c r="S113" s="88">
        <v>10</v>
      </c>
      <c r="T113" s="92">
        <v>12.3</v>
      </c>
      <c r="U113" s="88">
        <v>11.5</v>
      </c>
      <c r="V113" s="88"/>
      <c r="W113" s="88">
        <v>15</v>
      </c>
      <c r="X113" s="92">
        <v>9.9</v>
      </c>
      <c r="Y113" s="88">
        <v>8.1</v>
      </c>
      <c r="Z113" s="88"/>
      <c r="AA113" s="88">
        <v>25</v>
      </c>
      <c r="AB113" s="92">
        <v>7.9</v>
      </c>
      <c r="AC113" s="88">
        <v>13</v>
      </c>
      <c r="AD113" s="88"/>
      <c r="AE113" s="88">
        <v>25</v>
      </c>
      <c r="AF113" s="92">
        <v>10.8</v>
      </c>
      <c r="AG113" s="88">
        <v>6.5</v>
      </c>
      <c r="AH113" s="88"/>
      <c r="AI113" s="88">
        <v>55</v>
      </c>
      <c r="AJ113" s="92">
        <v>9.1999999999999993</v>
      </c>
      <c r="AK113" s="88">
        <v>10</v>
      </c>
      <c r="AL113" s="88"/>
      <c r="AM113" s="88">
        <v>85</v>
      </c>
      <c r="AN113" s="92">
        <v>5</v>
      </c>
      <c r="AO113" s="88">
        <v>8.1999999999999993</v>
      </c>
      <c r="AP113" s="88"/>
    </row>
    <row r="114" spans="1:42" x14ac:dyDescent="0.2">
      <c r="A114" s="13" t="s">
        <v>962</v>
      </c>
      <c r="B114" s="13">
        <v>225</v>
      </c>
      <c r="C114" s="1">
        <v>40</v>
      </c>
      <c r="D114" s="1">
        <v>7.6</v>
      </c>
      <c r="E114" s="1">
        <v>10.4</v>
      </c>
      <c r="F114" s="1" t="s">
        <v>1810</v>
      </c>
      <c r="G114" s="1">
        <v>40</v>
      </c>
      <c r="H114" s="1">
        <v>5.9</v>
      </c>
      <c r="I114" s="1">
        <v>10.3</v>
      </c>
      <c r="J114" s="1"/>
      <c r="K114" s="89">
        <v>65</v>
      </c>
      <c r="L114" s="93">
        <v>10.6</v>
      </c>
      <c r="M114" s="89">
        <v>8.1999999999999993</v>
      </c>
      <c r="N114" s="89"/>
      <c r="O114" s="89">
        <v>70</v>
      </c>
      <c r="P114" s="93">
        <v>7.3</v>
      </c>
      <c r="Q114" s="89">
        <v>6.7</v>
      </c>
      <c r="R114" s="89"/>
      <c r="S114" s="89">
        <v>70</v>
      </c>
      <c r="T114" s="93">
        <v>6.8</v>
      </c>
      <c r="U114" s="89">
        <v>8.1</v>
      </c>
      <c r="V114" s="89"/>
      <c r="W114" s="89">
        <v>75</v>
      </c>
      <c r="X114" s="93">
        <v>6.6</v>
      </c>
      <c r="Y114" s="89">
        <v>6.1</v>
      </c>
      <c r="Z114" s="89"/>
      <c r="AA114" s="89">
        <v>80</v>
      </c>
      <c r="AB114" s="93">
        <v>7.4</v>
      </c>
      <c r="AC114" s="89">
        <v>7.1</v>
      </c>
      <c r="AD114" s="89"/>
      <c r="AE114" s="89">
        <v>85</v>
      </c>
      <c r="AF114" s="93">
        <v>7.7</v>
      </c>
      <c r="AG114" s="89">
        <v>3.1</v>
      </c>
      <c r="AH114" s="89"/>
      <c r="AI114" s="89">
        <v>95</v>
      </c>
      <c r="AJ114" s="93"/>
      <c r="AK114" s="89"/>
      <c r="AL114" s="89"/>
      <c r="AM114" s="89">
        <v>100</v>
      </c>
      <c r="AN114" s="93"/>
      <c r="AO114" s="89"/>
      <c r="AP114" s="89"/>
    </row>
    <row r="115" spans="1:42" x14ac:dyDescent="0.2">
      <c r="A115" s="13" t="s">
        <v>963</v>
      </c>
      <c r="B115" s="13">
        <v>226</v>
      </c>
      <c r="C115" s="1">
        <v>70</v>
      </c>
      <c r="D115" s="1">
        <v>13.7</v>
      </c>
      <c r="E115" s="1">
        <v>13.6</v>
      </c>
      <c r="F115" s="1" t="s">
        <v>1810</v>
      </c>
      <c r="G115" s="1">
        <v>75</v>
      </c>
      <c r="H115" s="1">
        <v>10.3</v>
      </c>
      <c r="I115" s="1">
        <v>12.8</v>
      </c>
      <c r="J115" s="1"/>
      <c r="K115" s="89">
        <v>75</v>
      </c>
      <c r="L115" s="93">
        <v>9.6999999999999993</v>
      </c>
      <c r="M115" s="89">
        <v>8.3000000000000007</v>
      </c>
      <c r="N115" s="89"/>
      <c r="O115" s="89">
        <v>80</v>
      </c>
      <c r="P115" s="93">
        <v>8.6999999999999993</v>
      </c>
      <c r="Q115" s="89">
        <v>11</v>
      </c>
      <c r="R115" s="89"/>
      <c r="S115" s="89">
        <v>85</v>
      </c>
      <c r="T115" s="93">
        <v>12.6</v>
      </c>
      <c r="U115" s="89">
        <v>7.9</v>
      </c>
      <c r="V115" s="89"/>
      <c r="W115" s="89">
        <v>90</v>
      </c>
      <c r="X115" s="93">
        <v>7.4</v>
      </c>
      <c r="Y115" s="89">
        <v>10.1</v>
      </c>
      <c r="Z115" s="89"/>
      <c r="AA115" s="89">
        <v>95</v>
      </c>
      <c r="AB115" s="93">
        <v>7.4</v>
      </c>
      <c r="AC115" s="89">
        <v>6.5</v>
      </c>
      <c r="AD115" s="89"/>
      <c r="AE115" s="89">
        <v>98</v>
      </c>
      <c r="AF115" s="93"/>
      <c r="AG115" s="89"/>
      <c r="AH115" s="89"/>
      <c r="AI115" s="89">
        <v>100</v>
      </c>
      <c r="AJ115" s="93"/>
      <c r="AK115" s="89"/>
      <c r="AL115" s="89"/>
      <c r="AM115" s="89">
        <v>100</v>
      </c>
      <c r="AN115" s="93"/>
      <c r="AO115" s="89"/>
      <c r="AP115" s="89"/>
    </row>
    <row r="116" spans="1:42" x14ac:dyDescent="0.2">
      <c r="A116" s="13" t="s">
        <v>964</v>
      </c>
      <c r="B116" s="13">
        <v>227</v>
      </c>
      <c r="C116" s="1">
        <v>45</v>
      </c>
      <c r="D116" s="1">
        <v>11.1</v>
      </c>
      <c r="E116" s="1">
        <v>9.9</v>
      </c>
      <c r="F116" s="1" t="s">
        <v>1810</v>
      </c>
      <c r="G116" s="1">
        <v>45</v>
      </c>
      <c r="H116" s="1">
        <v>8.6</v>
      </c>
      <c r="I116" s="1">
        <v>8.5</v>
      </c>
      <c r="J116" s="1"/>
      <c r="K116" s="89">
        <v>70</v>
      </c>
      <c r="L116" s="93">
        <v>8.4</v>
      </c>
      <c r="M116" s="89">
        <v>8.6999999999999993</v>
      </c>
      <c r="N116" s="89"/>
      <c r="O116" s="89">
        <v>75</v>
      </c>
      <c r="P116" s="93">
        <v>6.9</v>
      </c>
      <c r="Q116" s="89">
        <v>6.5</v>
      </c>
      <c r="R116" s="89"/>
      <c r="S116" s="89">
        <v>75</v>
      </c>
      <c r="T116" s="93">
        <v>6.1</v>
      </c>
      <c r="U116" s="89">
        <v>6</v>
      </c>
      <c r="V116" s="89"/>
      <c r="W116" s="89">
        <v>80</v>
      </c>
      <c r="X116" s="93">
        <v>6</v>
      </c>
      <c r="Y116" s="89">
        <v>4.5999999999999996</v>
      </c>
      <c r="Z116" s="89"/>
      <c r="AA116" s="89">
        <v>85</v>
      </c>
      <c r="AB116" s="93">
        <v>6.2</v>
      </c>
      <c r="AC116" s="89">
        <v>5.9</v>
      </c>
      <c r="AD116" s="89"/>
      <c r="AE116" s="89">
        <v>95</v>
      </c>
      <c r="AF116" s="93">
        <v>1.9</v>
      </c>
      <c r="AG116" s="89">
        <v>2.5</v>
      </c>
      <c r="AH116" s="89"/>
      <c r="AI116" s="89">
        <v>98</v>
      </c>
      <c r="AJ116" s="93"/>
      <c r="AK116" s="89"/>
      <c r="AL116" s="89"/>
      <c r="AM116" s="89">
        <v>100</v>
      </c>
      <c r="AN116" s="93"/>
      <c r="AO116" s="89"/>
      <c r="AP116" s="89"/>
    </row>
    <row r="117" spans="1:42" x14ac:dyDescent="0.2">
      <c r="A117" s="13" t="s">
        <v>965</v>
      </c>
      <c r="B117" s="13">
        <v>228</v>
      </c>
      <c r="C117" s="1">
        <v>70</v>
      </c>
      <c r="D117" s="1">
        <v>6.9</v>
      </c>
      <c r="E117" s="1">
        <v>7</v>
      </c>
      <c r="F117" s="1" t="s">
        <v>1810</v>
      </c>
      <c r="G117" s="1">
        <v>70</v>
      </c>
      <c r="H117" s="1">
        <v>8.5</v>
      </c>
      <c r="I117" s="1">
        <v>6.3</v>
      </c>
      <c r="J117" s="1"/>
      <c r="K117" s="89">
        <v>75</v>
      </c>
      <c r="L117" s="93">
        <v>6.6</v>
      </c>
      <c r="M117" s="89">
        <v>5.7</v>
      </c>
      <c r="N117" s="89"/>
      <c r="O117" s="89">
        <v>85</v>
      </c>
      <c r="P117" s="93">
        <v>5.8</v>
      </c>
      <c r="Q117" s="89">
        <v>6</v>
      </c>
      <c r="R117" s="89"/>
      <c r="S117" s="89">
        <v>85</v>
      </c>
      <c r="T117" s="93">
        <v>6.2</v>
      </c>
      <c r="U117" s="89">
        <v>5.2</v>
      </c>
      <c r="V117" s="89"/>
      <c r="W117" s="89">
        <v>90</v>
      </c>
      <c r="X117" s="93">
        <v>3.5</v>
      </c>
      <c r="Y117" s="89">
        <v>4.4000000000000004</v>
      </c>
      <c r="Z117" s="89"/>
      <c r="AA117" s="89">
        <v>95</v>
      </c>
      <c r="AB117" s="93">
        <v>2.7</v>
      </c>
      <c r="AC117" s="89">
        <v>5.4</v>
      </c>
      <c r="AD117" s="89"/>
      <c r="AE117" s="89">
        <v>95</v>
      </c>
      <c r="AF117" s="93">
        <v>1.6</v>
      </c>
      <c r="AG117" s="89">
        <v>2.5</v>
      </c>
      <c r="AH117" s="89"/>
      <c r="AI117" s="89">
        <v>100</v>
      </c>
      <c r="AJ117" s="93"/>
      <c r="AK117" s="89"/>
      <c r="AL117" s="89"/>
      <c r="AM117" s="89">
        <v>100</v>
      </c>
      <c r="AN117" s="93"/>
      <c r="AO117" s="89"/>
      <c r="AP117" s="89"/>
    </row>
    <row r="118" spans="1:42" x14ac:dyDescent="0.2">
      <c r="A118" s="13" t="s">
        <v>966</v>
      </c>
      <c r="B118" s="13">
        <v>229</v>
      </c>
      <c r="C118" s="1">
        <v>75</v>
      </c>
      <c r="D118" s="1">
        <v>7.5</v>
      </c>
      <c r="E118" s="1">
        <v>6.4</v>
      </c>
      <c r="F118" s="1" t="s">
        <v>1810</v>
      </c>
      <c r="G118" s="1">
        <v>80</v>
      </c>
      <c r="H118" s="1">
        <v>6.1</v>
      </c>
      <c r="I118" s="1">
        <v>7.2</v>
      </c>
      <c r="J118" s="1"/>
      <c r="K118" s="89">
        <v>80</v>
      </c>
      <c r="L118" s="93">
        <v>6.6</v>
      </c>
      <c r="M118" s="89">
        <v>5.4</v>
      </c>
      <c r="N118" s="89"/>
      <c r="O118" s="89">
        <v>90</v>
      </c>
      <c r="P118" s="93">
        <v>5</v>
      </c>
      <c r="Q118" s="89">
        <v>5.4</v>
      </c>
      <c r="R118" s="89"/>
      <c r="S118" s="89">
        <v>90</v>
      </c>
      <c r="T118" s="93">
        <v>5.4</v>
      </c>
      <c r="U118" s="89">
        <v>6</v>
      </c>
      <c r="V118" s="89"/>
      <c r="W118" s="89">
        <v>90</v>
      </c>
      <c r="X118" s="93">
        <v>4</v>
      </c>
      <c r="Y118" s="89">
        <v>4.8</v>
      </c>
      <c r="Z118" s="89"/>
      <c r="AA118" s="89">
        <v>95</v>
      </c>
      <c r="AB118" s="93">
        <v>4.2</v>
      </c>
      <c r="AC118" s="89">
        <v>4.3</v>
      </c>
      <c r="AD118" s="89"/>
      <c r="AE118" s="89">
        <v>98</v>
      </c>
      <c r="AF118" s="93"/>
      <c r="AG118" s="89"/>
      <c r="AH118" s="89"/>
      <c r="AI118" s="89">
        <v>100</v>
      </c>
      <c r="AJ118" s="93"/>
      <c r="AK118" s="89"/>
      <c r="AL118" s="89"/>
      <c r="AM118" s="89">
        <v>100</v>
      </c>
      <c r="AN118" s="93"/>
      <c r="AO118" s="89"/>
      <c r="AP118" s="89"/>
    </row>
    <row r="119" spans="1:42" x14ac:dyDescent="0.2">
      <c r="A119" s="13" t="s">
        <v>967</v>
      </c>
      <c r="B119" s="13">
        <v>230</v>
      </c>
      <c r="C119" s="1">
        <v>85</v>
      </c>
      <c r="D119" s="1">
        <v>10.199999999999999</v>
      </c>
      <c r="E119" s="1">
        <v>9.8000000000000007</v>
      </c>
      <c r="F119" s="1" t="s">
        <v>1810</v>
      </c>
      <c r="G119" s="1">
        <v>85</v>
      </c>
      <c r="H119" s="1"/>
      <c r="I119" s="1"/>
      <c r="J119" s="1"/>
      <c r="K119" s="89">
        <v>95</v>
      </c>
      <c r="L119" s="93"/>
      <c r="M119" s="89"/>
      <c r="N119" s="89"/>
      <c r="O119" s="89">
        <v>98</v>
      </c>
      <c r="P119" s="93"/>
      <c r="Q119" s="89"/>
      <c r="R119" s="89"/>
      <c r="S119" s="89">
        <v>98</v>
      </c>
      <c r="T119" s="93"/>
      <c r="U119" s="89"/>
      <c r="V119" s="89"/>
      <c r="W119" s="89">
        <v>98</v>
      </c>
      <c r="X119" s="93"/>
      <c r="Y119" s="89"/>
      <c r="Z119" s="89"/>
      <c r="AA119" s="89">
        <v>98</v>
      </c>
      <c r="AB119" s="93"/>
      <c r="AC119" s="89"/>
      <c r="AD119" s="89"/>
      <c r="AE119" s="89">
        <v>98</v>
      </c>
      <c r="AF119" s="93"/>
      <c r="AG119" s="89"/>
      <c r="AH119" s="89"/>
      <c r="AI119" s="89">
        <v>100</v>
      </c>
      <c r="AJ119" s="93"/>
      <c r="AK119" s="89"/>
      <c r="AL119" s="89"/>
      <c r="AM119" s="89">
        <v>100</v>
      </c>
      <c r="AN119" s="93"/>
      <c r="AO119" s="89"/>
      <c r="AP119" s="89"/>
    </row>
    <row r="120" spans="1:42" x14ac:dyDescent="0.2">
      <c r="A120" s="13" t="s">
        <v>968</v>
      </c>
      <c r="B120" s="13">
        <v>231</v>
      </c>
      <c r="C120" s="1">
        <v>70</v>
      </c>
      <c r="D120" s="1">
        <v>10.8</v>
      </c>
      <c r="E120" s="1">
        <v>10.6</v>
      </c>
      <c r="F120" s="1" t="s">
        <v>1810</v>
      </c>
      <c r="G120" s="1">
        <v>70</v>
      </c>
      <c r="H120" s="1">
        <v>10.9</v>
      </c>
      <c r="I120" s="1">
        <v>9</v>
      </c>
      <c r="J120" s="1"/>
      <c r="K120" s="89">
        <v>95</v>
      </c>
      <c r="L120" s="93"/>
      <c r="M120" s="89"/>
      <c r="N120" s="89"/>
      <c r="O120" s="89">
        <v>95</v>
      </c>
      <c r="P120" s="93"/>
      <c r="Q120" s="89"/>
      <c r="R120" s="89"/>
      <c r="S120" s="89">
        <v>95</v>
      </c>
      <c r="T120" s="93">
        <v>8.9</v>
      </c>
      <c r="U120" s="89">
        <v>10</v>
      </c>
      <c r="V120" s="89"/>
      <c r="W120" s="89">
        <v>95</v>
      </c>
      <c r="X120" s="93">
        <v>8.5</v>
      </c>
      <c r="Y120" s="89">
        <v>8.9</v>
      </c>
      <c r="Z120" s="89"/>
      <c r="AA120" s="89">
        <v>95</v>
      </c>
      <c r="AB120" s="93">
        <v>6.4</v>
      </c>
      <c r="AC120" s="89">
        <v>8.6999999999999993</v>
      </c>
      <c r="AD120" s="89"/>
      <c r="AE120" s="89">
        <v>95</v>
      </c>
      <c r="AF120" s="93">
        <v>2.2999999999999998</v>
      </c>
      <c r="AG120" s="89">
        <v>5.3</v>
      </c>
      <c r="AH120" s="89"/>
      <c r="AI120" s="89">
        <v>100</v>
      </c>
      <c r="AJ120" s="93"/>
      <c r="AK120" s="89"/>
      <c r="AL120" s="89"/>
      <c r="AM120" s="89">
        <v>100</v>
      </c>
      <c r="AN120" s="93"/>
      <c r="AO120" s="89"/>
      <c r="AP120" s="89"/>
    </row>
    <row r="121" spans="1:42" x14ac:dyDescent="0.2">
      <c r="A121" s="13" t="s">
        <v>969</v>
      </c>
      <c r="B121" s="13">
        <v>232</v>
      </c>
      <c r="C121" s="1">
        <v>95</v>
      </c>
      <c r="D121" s="1">
        <v>11.3</v>
      </c>
      <c r="E121" s="1">
        <v>10.8</v>
      </c>
      <c r="F121" s="1" t="s">
        <v>1810</v>
      </c>
      <c r="G121" s="1">
        <v>98</v>
      </c>
      <c r="H121" s="1"/>
      <c r="I121" s="1"/>
      <c r="J121" s="1"/>
      <c r="K121" s="89">
        <v>98</v>
      </c>
      <c r="L121" s="93"/>
      <c r="M121" s="89"/>
      <c r="N121" s="89"/>
      <c r="O121" s="89">
        <v>98</v>
      </c>
      <c r="P121" s="93"/>
      <c r="Q121" s="89"/>
      <c r="R121" s="89"/>
      <c r="S121" s="89">
        <v>98</v>
      </c>
      <c r="T121" s="93"/>
      <c r="U121" s="89"/>
      <c r="V121" s="89"/>
      <c r="W121" s="89">
        <v>100</v>
      </c>
      <c r="X121" s="93"/>
      <c r="Y121" s="89"/>
      <c r="Z121" s="89"/>
      <c r="AA121" s="89">
        <v>100</v>
      </c>
      <c r="AB121" s="93"/>
      <c r="AC121" s="89"/>
      <c r="AD121" s="89"/>
      <c r="AE121" s="89">
        <v>100</v>
      </c>
      <c r="AF121" s="93"/>
      <c r="AG121" s="89"/>
      <c r="AH121" s="89"/>
      <c r="AI121" s="89">
        <v>100</v>
      </c>
      <c r="AJ121" s="93"/>
      <c r="AK121" s="89"/>
      <c r="AL121" s="89"/>
      <c r="AM121" s="89">
        <v>100</v>
      </c>
      <c r="AN121" s="93"/>
      <c r="AO121" s="89"/>
      <c r="AP121" s="89"/>
    </row>
    <row r="122" spans="1:42" x14ac:dyDescent="0.2">
      <c r="A122" s="19" t="s">
        <v>971</v>
      </c>
      <c r="B122" s="19">
        <v>233</v>
      </c>
      <c r="C122" s="37">
        <v>98</v>
      </c>
      <c r="D122" s="37">
        <v>11</v>
      </c>
      <c r="E122" s="37">
        <v>11.5</v>
      </c>
      <c r="F122" s="37"/>
      <c r="G122" s="37">
        <v>98</v>
      </c>
      <c r="H122" s="37"/>
      <c r="I122" s="37"/>
      <c r="J122" s="37"/>
      <c r="K122" s="88">
        <v>95</v>
      </c>
      <c r="L122" s="92">
        <v>9.6</v>
      </c>
      <c r="M122" s="88">
        <v>8.8000000000000007</v>
      </c>
      <c r="N122" s="88"/>
      <c r="O122" s="88">
        <v>98</v>
      </c>
      <c r="P122" s="92"/>
      <c r="Q122" s="88"/>
      <c r="R122" s="88"/>
      <c r="S122" s="88">
        <v>98</v>
      </c>
      <c r="T122" s="92"/>
      <c r="U122" s="88"/>
      <c r="V122" s="88"/>
      <c r="W122" s="88">
        <v>100</v>
      </c>
      <c r="X122" s="92"/>
      <c r="Y122" s="88"/>
      <c r="Z122" s="88"/>
      <c r="AA122" s="88">
        <v>100</v>
      </c>
      <c r="AB122" s="92"/>
      <c r="AC122" s="88"/>
      <c r="AD122" s="88"/>
      <c r="AE122" s="88">
        <v>100</v>
      </c>
      <c r="AF122" s="92"/>
      <c r="AG122" s="88"/>
      <c r="AH122" s="88"/>
      <c r="AI122" s="88">
        <v>100</v>
      </c>
      <c r="AJ122" s="92"/>
      <c r="AK122" s="88"/>
      <c r="AL122" s="88"/>
      <c r="AM122" s="88">
        <v>100</v>
      </c>
      <c r="AN122" s="92"/>
      <c r="AO122" s="88"/>
      <c r="AP122" s="88"/>
    </row>
    <row r="123" spans="1:42" x14ac:dyDescent="0.2">
      <c r="A123" s="19" t="s">
        <v>974</v>
      </c>
      <c r="B123" s="19">
        <v>236</v>
      </c>
      <c r="C123" s="37">
        <v>95</v>
      </c>
      <c r="D123" s="37">
        <v>10.7</v>
      </c>
      <c r="E123" s="37">
        <v>10.4</v>
      </c>
      <c r="F123" s="37"/>
      <c r="G123" s="37">
        <v>98</v>
      </c>
      <c r="H123" s="37">
        <v>9.9</v>
      </c>
      <c r="I123" s="37">
        <v>9.9</v>
      </c>
      <c r="J123" s="37"/>
      <c r="K123" s="88">
        <v>100</v>
      </c>
      <c r="L123" s="92"/>
      <c r="M123" s="88"/>
      <c r="N123" s="88"/>
      <c r="O123" s="88">
        <v>100</v>
      </c>
      <c r="P123" s="92"/>
      <c r="Q123" s="88"/>
      <c r="R123" s="88"/>
      <c r="S123" s="88">
        <v>98</v>
      </c>
      <c r="T123" s="92"/>
      <c r="U123" s="88"/>
      <c r="V123" s="88"/>
      <c r="W123" s="88">
        <v>98</v>
      </c>
      <c r="X123" s="92"/>
      <c r="Y123" s="88"/>
      <c r="Z123" s="88"/>
      <c r="AA123" s="88">
        <v>98</v>
      </c>
      <c r="AB123" s="92"/>
      <c r="AC123" s="88"/>
      <c r="AD123" s="88"/>
      <c r="AE123" s="88">
        <v>100</v>
      </c>
      <c r="AF123" s="92"/>
      <c r="AG123" s="88"/>
      <c r="AH123" s="88"/>
      <c r="AI123" s="88">
        <v>100</v>
      </c>
      <c r="AJ123" s="92"/>
      <c r="AK123" s="88"/>
      <c r="AL123" s="88"/>
      <c r="AM123" s="88">
        <v>100</v>
      </c>
      <c r="AN123" s="92"/>
      <c r="AO123" s="88"/>
      <c r="AP123" s="88"/>
    </row>
    <row r="124" spans="1:42" x14ac:dyDescent="0.2">
      <c r="A124" s="19" t="s">
        <v>975</v>
      </c>
      <c r="B124" s="19">
        <v>237</v>
      </c>
      <c r="C124" s="37">
        <v>98</v>
      </c>
      <c r="D124" s="37"/>
      <c r="E124" s="37"/>
      <c r="F124" s="37"/>
      <c r="G124" s="37">
        <v>98</v>
      </c>
      <c r="H124" s="37"/>
      <c r="I124" s="37"/>
      <c r="J124" s="37"/>
      <c r="K124" s="88">
        <v>100</v>
      </c>
      <c r="L124" s="92"/>
      <c r="M124" s="88"/>
      <c r="N124" s="88"/>
      <c r="O124" s="88">
        <v>100</v>
      </c>
      <c r="P124" s="92"/>
      <c r="Q124" s="88"/>
      <c r="R124" s="88"/>
      <c r="S124" s="88">
        <v>100</v>
      </c>
      <c r="T124" s="92"/>
      <c r="U124" s="88"/>
      <c r="V124" s="88"/>
      <c r="W124" s="88">
        <v>100</v>
      </c>
      <c r="X124" s="92"/>
      <c r="Y124" s="88"/>
      <c r="Z124" s="88"/>
      <c r="AA124" s="88">
        <v>100</v>
      </c>
      <c r="AB124" s="92"/>
      <c r="AC124" s="88"/>
      <c r="AD124" s="88"/>
      <c r="AE124" s="88">
        <v>100</v>
      </c>
      <c r="AF124" s="92"/>
      <c r="AG124" s="88"/>
      <c r="AH124" s="88"/>
      <c r="AI124" s="88">
        <v>100</v>
      </c>
      <c r="AJ124" s="92"/>
      <c r="AK124" s="88"/>
      <c r="AL124" s="88"/>
      <c r="AM124" s="88">
        <v>100</v>
      </c>
      <c r="AN124" s="92"/>
      <c r="AO124" s="88"/>
      <c r="AP124" s="88"/>
    </row>
    <row r="125" spans="1:42" x14ac:dyDescent="0.2">
      <c r="A125" s="19" t="s">
        <v>978</v>
      </c>
      <c r="B125" s="19">
        <v>240</v>
      </c>
      <c r="C125" s="37">
        <v>100</v>
      </c>
      <c r="D125" s="37"/>
      <c r="E125" s="37"/>
      <c r="F125" s="37"/>
      <c r="G125" s="37">
        <v>100</v>
      </c>
      <c r="H125" s="37"/>
      <c r="I125" s="37"/>
      <c r="J125" s="37"/>
      <c r="K125" s="88">
        <v>100</v>
      </c>
      <c r="L125" s="92"/>
      <c r="M125" s="88"/>
      <c r="N125" s="88"/>
      <c r="O125" s="88">
        <v>100</v>
      </c>
      <c r="P125" s="92"/>
      <c r="Q125" s="88"/>
      <c r="R125" s="88"/>
      <c r="S125" s="88">
        <v>100</v>
      </c>
      <c r="T125" s="92"/>
      <c r="U125" s="88"/>
      <c r="V125" s="88"/>
      <c r="W125" s="88">
        <v>100</v>
      </c>
      <c r="X125" s="92"/>
      <c r="Y125" s="88"/>
      <c r="Z125" s="88"/>
      <c r="AA125" s="88">
        <v>100</v>
      </c>
      <c r="AB125" s="92"/>
      <c r="AC125" s="88"/>
      <c r="AD125" s="88"/>
      <c r="AE125" s="88">
        <v>100</v>
      </c>
      <c r="AF125" s="92"/>
      <c r="AG125" s="88"/>
      <c r="AH125" s="88"/>
      <c r="AI125" s="88">
        <v>100</v>
      </c>
      <c r="AJ125" s="92"/>
      <c r="AK125" s="88"/>
      <c r="AL125" s="88"/>
      <c r="AM125" s="88">
        <v>100</v>
      </c>
      <c r="AN125" s="92"/>
      <c r="AO125" s="88"/>
      <c r="AP125" s="88"/>
    </row>
    <row r="126" spans="1:42" x14ac:dyDescent="0.2">
      <c r="A126" s="13" t="s">
        <v>980</v>
      </c>
      <c r="B126" s="13">
        <v>241</v>
      </c>
      <c r="C126" s="1">
        <v>10</v>
      </c>
      <c r="D126" s="1">
        <v>16.8</v>
      </c>
      <c r="E126" s="1">
        <v>13.2</v>
      </c>
      <c r="F126" s="1"/>
      <c r="G126" s="1">
        <v>15</v>
      </c>
      <c r="H126" s="1">
        <v>15.3</v>
      </c>
      <c r="I126" s="1">
        <v>16.100000000000001</v>
      </c>
      <c r="J126" s="1"/>
      <c r="K126" s="89">
        <v>15</v>
      </c>
      <c r="L126" s="93">
        <v>11.1</v>
      </c>
      <c r="M126" s="89">
        <v>11</v>
      </c>
      <c r="N126" s="89"/>
      <c r="O126" s="89">
        <v>15</v>
      </c>
      <c r="P126" s="93">
        <v>17</v>
      </c>
      <c r="Q126" s="89">
        <v>18.3</v>
      </c>
      <c r="R126" s="89"/>
      <c r="S126" s="89">
        <v>10</v>
      </c>
      <c r="T126" s="93">
        <v>10.7</v>
      </c>
      <c r="U126" s="89">
        <v>13.6</v>
      </c>
      <c r="V126" s="89"/>
      <c r="W126" s="89">
        <v>15</v>
      </c>
      <c r="X126" s="93">
        <v>13.7</v>
      </c>
      <c r="Y126" s="89">
        <v>12.7</v>
      </c>
      <c r="Z126" s="89"/>
      <c r="AA126" s="89">
        <v>25</v>
      </c>
      <c r="AB126" s="93">
        <v>7.4</v>
      </c>
      <c r="AC126" s="89">
        <v>11.5</v>
      </c>
      <c r="AD126" s="89"/>
      <c r="AE126" s="89">
        <v>30</v>
      </c>
      <c r="AF126" s="93">
        <v>11.4</v>
      </c>
      <c r="AG126" s="89">
        <v>11.1</v>
      </c>
      <c r="AH126" s="89"/>
      <c r="AI126" s="89">
        <v>70</v>
      </c>
      <c r="AJ126" s="93">
        <v>9.4</v>
      </c>
      <c r="AK126" s="89">
        <v>10.8</v>
      </c>
      <c r="AL126" s="89"/>
      <c r="AM126" s="89">
        <v>95</v>
      </c>
      <c r="AN126" s="93">
        <v>5.7</v>
      </c>
      <c r="AO126" s="89">
        <v>6.6</v>
      </c>
      <c r="AP126" s="89"/>
    </row>
    <row r="127" spans="1:42" x14ac:dyDescent="0.2">
      <c r="A127" s="13" t="s">
        <v>983</v>
      </c>
      <c r="B127" s="13">
        <v>244</v>
      </c>
      <c r="C127" s="1">
        <v>5</v>
      </c>
      <c r="D127" s="1">
        <v>10.5</v>
      </c>
      <c r="E127" s="1">
        <v>15.5</v>
      </c>
      <c r="F127" s="1"/>
      <c r="G127" s="1">
        <v>5</v>
      </c>
      <c r="H127" s="1">
        <v>15.4</v>
      </c>
      <c r="I127" s="1">
        <v>11.2</v>
      </c>
      <c r="J127" s="1"/>
      <c r="K127" s="89">
        <v>5</v>
      </c>
      <c r="L127" s="93">
        <v>10.1</v>
      </c>
      <c r="M127" s="89">
        <v>9.9</v>
      </c>
      <c r="N127" s="89"/>
      <c r="O127" s="89">
        <v>5</v>
      </c>
      <c r="P127" s="93">
        <v>14.6</v>
      </c>
      <c r="Q127" s="89">
        <v>11.3</v>
      </c>
      <c r="R127" s="89"/>
      <c r="S127" s="89">
        <v>5</v>
      </c>
      <c r="T127" s="93">
        <v>9</v>
      </c>
      <c r="U127" s="89">
        <v>10.6</v>
      </c>
      <c r="V127" s="89"/>
      <c r="W127" s="89">
        <v>5</v>
      </c>
      <c r="X127" s="93">
        <v>8.8000000000000007</v>
      </c>
      <c r="Y127" s="89">
        <v>9.6</v>
      </c>
      <c r="Z127" s="89"/>
      <c r="AA127" s="89">
        <v>5</v>
      </c>
      <c r="AB127" s="93">
        <v>8.8000000000000007</v>
      </c>
      <c r="AC127" s="89">
        <v>12.6</v>
      </c>
      <c r="AD127" s="89"/>
      <c r="AE127" s="89">
        <v>5</v>
      </c>
      <c r="AF127" s="93">
        <v>7</v>
      </c>
      <c r="AG127" s="89">
        <v>8</v>
      </c>
      <c r="AH127" s="89"/>
      <c r="AI127" s="89">
        <v>30</v>
      </c>
      <c r="AJ127" s="93">
        <v>8</v>
      </c>
      <c r="AK127" s="89">
        <v>9.8000000000000007</v>
      </c>
      <c r="AL127" s="89"/>
      <c r="AM127" s="89">
        <v>95</v>
      </c>
      <c r="AN127" s="93">
        <v>7.5</v>
      </c>
      <c r="AO127" s="89">
        <v>8.8000000000000007</v>
      </c>
      <c r="AP127" s="89"/>
    </row>
    <row r="128" spans="1:42" x14ac:dyDescent="0.2">
      <c r="A128" s="13" t="s">
        <v>984</v>
      </c>
      <c r="B128" s="13">
        <v>245</v>
      </c>
      <c r="C128" s="1">
        <v>10</v>
      </c>
      <c r="D128" s="1">
        <v>11.6</v>
      </c>
      <c r="E128" s="1">
        <v>16.8</v>
      </c>
      <c r="F128" s="1"/>
      <c r="G128" s="1">
        <v>10</v>
      </c>
      <c r="H128" s="1">
        <v>15.7</v>
      </c>
      <c r="I128" s="1">
        <v>15.8</v>
      </c>
      <c r="J128" s="1"/>
      <c r="K128" s="89">
        <v>10</v>
      </c>
      <c r="L128" s="93">
        <v>11</v>
      </c>
      <c r="M128" s="89">
        <v>9.6</v>
      </c>
      <c r="N128" s="89"/>
      <c r="O128" s="89">
        <v>10</v>
      </c>
      <c r="P128" s="93">
        <v>9.8000000000000007</v>
      </c>
      <c r="Q128" s="89">
        <v>6.9</v>
      </c>
      <c r="R128" s="89"/>
      <c r="S128" s="89">
        <v>10</v>
      </c>
      <c r="T128" s="93">
        <v>10</v>
      </c>
      <c r="U128" s="89">
        <v>11.6</v>
      </c>
      <c r="V128" s="89"/>
      <c r="W128" s="89">
        <v>25</v>
      </c>
      <c r="X128" s="93">
        <v>9.1</v>
      </c>
      <c r="Y128" s="89">
        <v>11.2</v>
      </c>
      <c r="Z128" s="89"/>
      <c r="AA128" s="89">
        <v>30</v>
      </c>
      <c r="AB128" s="93">
        <v>9.3000000000000007</v>
      </c>
      <c r="AC128" s="89">
        <v>9.1</v>
      </c>
      <c r="AD128" s="89"/>
      <c r="AE128" s="89">
        <v>35</v>
      </c>
      <c r="AF128" s="93">
        <v>3.6</v>
      </c>
      <c r="AG128" s="89">
        <v>8.1999999999999993</v>
      </c>
      <c r="AH128" s="89"/>
      <c r="AI128" s="89">
        <v>70</v>
      </c>
      <c r="AJ128" s="93">
        <v>7.2</v>
      </c>
      <c r="AK128" s="89">
        <v>4.5999999999999996</v>
      </c>
      <c r="AL128" s="89"/>
      <c r="AM128" s="89">
        <v>98</v>
      </c>
      <c r="AN128" s="93"/>
      <c r="AO128" s="89"/>
      <c r="AP128" s="89"/>
    </row>
    <row r="129" spans="1:42" x14ac:dyDescent="0.2">
      <c r="A129" s="13" t="s">
        <v>987</v>
      </c>
      <c r="B129" s="13">
        <v>248</v>
      </c>
      <c r="C129" s="1">
        <v>10</v>
      </c>
      <c r="D129" s="1">
        <v>12.2</v>
      </c>
      <c r="E129" s="1">
        <v>10.8</v>
      </c>
      <c r="F129" s="1"/>
      <c r="G129" s="1">
        <v>10</v>
      </c>
      <c r="H129" s="1">
        <v>11.5</v>
      </c>
      <c r="I129" s="1">
        <v>11</v>
      </c>
      <c r="J129" s="1"/>
      <c r="K129" s="89">
        <v>10</v>
      </c>
      <c r="L129" s="93">
        <v>9.8000000000000007</v>
      </c>
      <c r="M129" s="89">
        <v>10.3</v>
      </c>
      <c r="N129" s="89"/>
      <c r="O129" s="89">
        <v>15</v>
      </c>
      <c r="P129" s="93">
        <v>9.5</v>
      </c>
      <c r="Q129" s="89">
        <v>5.4</v>
      </c>
      <c r="R129" s="89"/>
      <c r="S129" s="89">
        <v>15</v>
      </c>
      <c r="T129" s="93">
        <v>9.6</v>
      </c>
      <c r="U129" s="89">
        <v>10.199999999999999</v>
      </c>
      <c r="V129" s="89"/>
      <c r="W129" s="89">
        <v>25</v>
      </c>
      <c r="X129" s="93">
        <v>8.6</v>
      </c>
      <c r="Y129" s="89">
        <v>9.6</v>
      </c>
      <c r="Z129" s="89"/>
      <c r="AA129" s="89">
        <v>30</v>
      </c>
      <c r="AB129" s="93">
        <v>8.1</v>
      </c>
      <c r="AC129" s="89">
        <v>8.8000000000000007</v>
      </c>
      <c r="AD129" s="89"/>
      <c r="AE129" s="89">
        <v>30</v>
      </c>
      <c r="AF129" s="93">
        <v>7</v>
      </c>
      <c r="AG129" s="89">
        <v>8.1999999999999993</v>
      </c>
      <c r="AH129" s="89"/>
      <c r="AI129" s="89">
        <v>45</v>
      </c>
      <c r="AJ129" s="93">
        <v>5.3</v>
      </c>
      <c r="AK129" s="89">
        <v>5.5</v>
      </c>
      <c r="AL129" s="89"/>
      <c r="AM129" s="89">
        <v>95</v>
      </c>
      <c r="AN129" s="93">
        <v>3.1</v>
      </c>
      <c r="AO129" s="89">
        <v>5.7</v>
      </c>
      <c r="AP129" s="89"/>
    </row>
    <row r="130" spans="1:42" x14ac:dyDescent="0.2">
      <c r="A130" s="19" t="s">
        <v>1016</v>
      </c>
      <c r="B130" s="19">
        <v>273</v>
      </c>
      <c r="C130" s="37">
        <v>2</v>
      </c>
      <c r="D130" s="37">
        <v>9.9</v>
      </c>
      <c r="E130" s="37">
        <v>11.5</v>
      </c>
      <c r="F130" s="37"/>
      <c r="G130" s="37">
        <v>2</v>
      </c>
      <c r="H130" s="37">
        <v>10.5</v>
      </c>
      <c r="I130" s="37">
        <v>12.7</v>
      </c>
      <c r="J130" s="37"/>
      <c r="K130" s="88">
        <v>2</v>
      </c>
      <c r="L130" s="92">
        <v>7.1</v>
      </c>
      <c r="M130" s="88">
        <v>7.2</v>
      </c>
      <c r="N130" s="88"/>
      <c r="O130" s="88">
        <v>5</v>
      </c>
      <c r="P130" s="92">
        <v>9.9</v>
      </c>
      <c r="Q130" s="88">
        <v>7.8</v>
      </c>
      <c r="R130" s="88"/>
      <c r="S130" s="88">
        <v>5</v>
      </c>
      <c r="T130" s="92">
        <v>8.3000000000000007</v>
      </c>
      <c r="U130" s="88">
        <v>7.8</v>
      </c>
      <c r="V130" s="88"/>
      <c r="W130" s="88">
        <v>20</v>
      </c>
      <c r="X130" s="92">
        <v>7.4</v>
      </c>
      <c r="Y130" s="88">
        <v>9.8000000000000007</v>
      </c>
      <c r="Z130" s="88"/>
      <c r="AA130" s="88">
        <v>35</v>
      </c>
      <c r="AB130" s="92">
        <v>6.5</v>
      </c>
      <c r="AC130" s="88">
        <v>6.8</v>
      </c>
      <c r="AD130" s="88"/>
      <c r="AE130" s="88">
        <v>45</v>
      </c>
      <c r="AF130" s="92">
        <v>2.9</v>
      </c>
      <c r="AG130" s="88">
        <v>5.8</v>
      </c>
      <c r="AH130" s="88"/>
      <c r="AI130" s="88">
        <v>90</v>
      </c>
      <c r="AJ130" s="92"/>
      <c r="AK130" s="88"/>
      <c r="AL130" s="88"/>
      <c r="AM130" s="88">
        <v>100</v>
      </c>
      <c r="AN130" s="92"/>
      <c r="AO130" s="88"/>
      <c r="AP130" s="88"/>
    </row>
    <row r="131" spans="1:42" x14ac:dyDescent="0.2">
      <c r="A131" s="19" t="s">
        <v>1017</v>
      </c>
      <c r="B131" s="19">
        <v>274</v>
      </c>
      <c r="C131" s="37">
        <v>5</v>
      </c>
      <c r="D131" s="37">
        <v>13.8</v>
      </c>
      <c r="E131" s="37">
        <v>16.600000000000001</v>
      </c>
      <c r="F131" s="37"/>
      <c r="G131" s="37">
        <v>5</v>
      </c>
      <c r="H131" s="37">
        <v>15.2</v>
      </c>
      <c r="I131" s="37">
        <v>15.6</v>
      </c>
      <c r="J131" s="37"/>
      <c r="K131" s="88">
        <v>5</v>
      </c>
      <c r="L131" s="92">
        <v>13</v>
      </c>
      <c r="M131" s="88">
        <v>15.3</v>
      </c>
      <c r="N131" s="88"/>
      <c r="O131" s="88">
        <v>5</v>
      </c>
      <c r="P131" s="92">
        <v>13.8</v>
      </c>
      <c r="Q131" s="88">
        <v>12.5</v>
      </c>
      <c r="R131" s="88"/>
      <c r="S131" s="88">
        <v>5</v>
      </c>
      <c r="T131" s="92">
        <v>14.2</v>
      </c>
      <c r="U131" s="88">
        <v>8.1</v>
      </c>
      <c r="V131" s="88"/>
      <c r="W131" s="88">
        <v>20</v>
      </c>
      <c r="X131" s="92">
        <v>11.4</v>
      </c>
      <c r="Y131" s="88">
        <v>10.9</v>
      </c>
      <c r="Z131" s="88"/>
      <c r="AA131" s="88">
        <v>40</v>
      </c>
      <c r="AB131" s="92">
        <v>9.3000000000000007</v>
      </c>
      <c r="AC131" s="88">
        <v>9.6999999999999993</v>
      </c>
      <c r="AD131" s="88"/>
      <c r="AE131" s="88">
        <v>70</v>
      </c>
      <c r="AF131" s="92">
        <v>8</v>
      </c>
      <c r="AG131" s="88">
        <v>5.4</v>
      </c>
      <c r="AH131" s="88"/>
      <c r="AI131" s="88">
        <v>95</v>
      </c>
      <c r="AJ131" s="92"/>
      <c r="AK131" s="88"/>
      <c r="AL131" s="88"/>
      <c r="AM131" s="88">
        <v>100</v>
      </c>
      <c r="AN131" s="92"/>
      <c r="AO131" s="88"/>
      <c r="AP131" s="88"/>
    </row>
    <row r="132" spans="1:42" x14ac:dyDescent="0.2">
      <c r="A132" s="19" t="s">
        <v>1019</v>
      </c>
      <c r="B132" s="19">
        <v>275</v>
      </c>
      <c r="C132" s="37">
        <v>2</v>
      </c>
      <c r="D132" s="37">
        <v>14.9</v>
      </c>
      <c r="E132" s="37">
        <v>13.9</v>
      </c>
      <c r="F132" s="37"/>
      <c r="G132" s="37">
        <v>2</v>
      </c>
      <c r="H132" s="37">
        <v>13.1</v>
      </c>
      <c r="I132" s="37">
        <v>12.2</v>
      </c>
      <c r="J132" s="37"/>
      <c r="K132" s="88">
        <v>2</v>
      </c>
      <c r="L132" s="92">
        <v>12.2</v>
      </c>
      <c r="M132" s="88">
        <v>11.8</v>
      </c>
      <c r="N132" s="88"/>
      <c r="O132" s="88">
        <v>2</v>
      </c>
      <c r="P132" s="92">
        <v>6.5</v>
      </c>
      <c r="Q132" s="88">
        <v>10.199999999999999</v>
      </c>
      <c r="R132" s="88"/>
      <c r="S132" s="88">
        <v>5</v>
      </c>
      <c r="T132" s="92">
        <v>12.5</v>
      </c>
      <c r="U132" s="88">
        <v>10.5</v>
      </c>
      <c r="V132" s="88"/>
      <c r="W132" s="88">
        <v>15</v>
      </c>
      <c r="X132" s="92">
        <v>10.8</v>
      </c>
      <c r="Y132" s="88">
        <v>9.9</v>
      </c>
      <c r="Z132" s="88"/>
      <c r="AA132" s="88">
        <v>20</v>
      </c>
      <c r="AB132" s="92">
        <v>10.7</v>
      </c>
      <c r="AC132" s="88">
        <v>8.5</v>
      </c>
      <c r="AD132" s="88"/>
      <c r="AE132" s="88">
        <v>35</v>
      </c>
      <c r="AF132" s="92">
        <v>7.7</v>
      </c>
      <c r="AG132" s="88">
        <v>8.6999999999999993</v>
      </c>
      <c r="AH132" s="88"/>
      <c r="AI132" s="88">
        <v>75</v>
      </c>
      <c r="AJ132" s="92">
        <v>5.6</v>
      </c>
      <c r="AK132" s="88">
        <v>2.8</v>
      </c>
      <c r="AL132" s="88"/>
      <c r="AM132" s="88">
        <v>10</v>
      </c>
      <c r="AN132" s="92"/>
      <c r="AO132" s="88"/>
      <c r="AP132" s="88"/>
    </row>
    <row r="133" spans="1:42" x14ac:dyDescent="0.2">
      <c r="A133" s="19" t="s">
        <v>1020</v>
      </c>
      <c r="B133" s="19">
        <v>276</v>
      </c>
      <c r="C133" s="37">
        <v>5</v>
      </c>
      <c r="D133" s="37">
        <v>14</v>
      </c>
      <c r="E133" s="37">
        <v>18.100000000000001</v>
      </c>
      <c r="F133" s="37"/>
      <c r="G133" s="37">
        <v>5</v>
      </c>
      <c r="H133" s="37">
        <v>9.6</v>
      </c>
      <c r="I133" s="37">
        <v>18.899999999999999</v>
      </c>
      <c r="J133" s="37"/>
      <c r="K133" s="88">
        <v>5</v>
      </c>
      <c r="L133" s="92">
        <v>13.1</v>
      </c>
      <c r="M133" s="88">
        <v>16.3</v>
      </c>
      <c r="N133" s="88"/>
      <c r="O133" s="88">
        <v>5</v>
      </c>
      <c r="P133" s="92">
        <v>14.9</v>
      </c>
      <c r="Q133" s="88">
        <v>15.6</v>
      </c>
      <c r="R133" s="88"/>
      <c r="S133" s="88">
        <v>5</v>
      </c>
      <c r="T133" s="92">
        <v>11.9</v>
      </c>
      <c r="U133" s="88">
        <v>14</v>
      </c>
      <c r="V133" s="88"/>
      <c r="W133" s="88">
        <v>15</v>
      </c>
      <c r="X133" s="92">
        <v>11.4</v>
      </c>
      <c r="Y133" s="88">
        <v>12.8</v>
      </c>
      <c r="Z133" s="88"/>
      <c r="AA133" s="88">
        <v>15</v>
      </c>
      <c r="AB133" s="92">
        <v>11.2</v>
      </c>
      <c r="AC133" s="88">
        <v>14.6</v>
      </c>
      <c r="AD133" s="88"/>
      <c r="AE133" s="88">
        <v>15</v>
      </c>
      <c r="AF133" s="92">
        <v>9.5</v>
      </c>
      <c r="AG133" s="88">
        <v>6.6</v>
      </c>
      <c r="AH133" s="88"/>
      <c r="AI133" s="88">
        <v>20</v>
      </c>
      <c r="AJ133" s="92">
        <v>4.7</v>
      </c>
      <c r="AK133" s="88">
        <v>7.3</v>
      </c>
      <c r="AL133" s="88"/>
      <c r="AM133" s="88">
        <v>95</v>
      </c>
      <c r="AN133" s="92">
        <v>6.5</v>
      </c>
      <c r="AO133" s="88">
        <v>5.8</v>
      </c>
      <c r="AP133" s="88"/>
    </row>
    <row r="134" spans="1:42" x14ac:dyDescent="0.2">
      <c r="A134" s="19" t="s">
        <v>1022</v>
      </c>
      <c r="B134" s="19">
        <v>277</v>
      </c>
      <c r="C134" s="37">
        <v>5</v>
      </c>
      <c r="D134" s="37">
        <v>12.6</v>
      </c>
      <c r="E134" s="37">
        <v>14.2</v>
      </c>
      <c r="F134" s="37"/>
      <c r="G134" s="37">
        <v>5</v>
      </c>
      <c r="H134" s="37">
        <v>11.3</v>
      </c>
      <c r="I134" s="37">
        <v>14.3</v>
      </c>
      <c r="J134" s="37"/>
      <c r="K134" s="88">
        <v>5</v>
      </c>
      <c r="L134" s="92">
        <v>11.5</v>
      </c>
      <c r="M134" s="88">
        <v>12.9</v>
      </c>
      <c r="N134" s="88"/>
      <c r="O134" s="88">
        <v>5</v>
      </c>
      <c r="P134" s="92">
        <v>9.9</v>
      </c>
      <c r="Q134" s="88">
        <v>12.3</v>
      </c>
      <c r="R134" s="88"/>
      <c r="S134" s="88">
        <v>5</v>
      </c>
      <c r="T134" s="92">
        <v>11.9</v>
      </c>
      <c r="U134" s="88">
        <v>10.4</v>
      </c>
      <c r="V134" s="88"/>
      <c r="W134" s="88">
        <v>15</v>
      </c>
      <c r="X134" s="92">
        <v>9.9</v>
      </c>
      <c r="Y134" s="88">
        <v>9.6999999999999993</v>
      </c>
      <c r="Z134" s="88"/>
      <c r="AA134" s="88">
        <v>20</v>
      </c>
      <c r="AB134" s="92">
        <v>9.6999999999999993</v>
      </c>
      <c r="AC134" s="88">
        <v>10</v>
      </c>
      <c r="AD134" s="88"/>
      <c r="AE134" s="88">
        <v>30</v>
      </c>
      <c r="AF134" s="92">
        <v>8.4</v>
      </c>
      <c r="AG134" s="88">
        <v>7.9</v>
      </c>
      <c r="AH134" s="88"/>
      <c r="AI134" s="88">
        <v>55</v>
      </c>
      <c r="AJ134" s="92">
        <v>6</v>
      </c>
      <c r="AK134" s="88">
        <v>5.3</v>
      </c>
      <c r="AL134" s="88"/>
      <c r="AM134" s="88">
        <v>100</v>
      </c>
      <c r="AN134" s="92"/>
      <c r="AO134" s="88"/>
      <c r="AP134" s="88"/>
    </row>
    <row r="135" spans="1:42" x14ac:dyDescent="0.2">
      <c r="A135" s="19" t="s">
        <v>1023</v>
      </c>
      <c r="B135" s="19">
        <v>278</v>
      </c>
      <c r="C135" s="37">
        <v>2</v>
      </c>
      <c r="D135" s="37">
        <v>12.3</v>
      </c>
      <c r="E135" s="37">
        <v>16</v>
      </c>
      <c r="F135" s="37"/>
      <c r="G135" s="37">
        <v>2</v>
      </c>
      <c r="H135" s="37">
        <v>15.2</v>
      </c>
      <c r="I135" s="37">
        <v>11.3</v>
      </c>
      <c r="J135" s="37"/>
      <c r="K135" s="88">
        <v>2</v>
      </c>
      <c r="L135" s="92">
        <v>10.9</v>
      </c>
      <c r="M135" s="88">
        <v>10.9</v>
      </c>
      <c r="N135" s="88"/>
      <c r="O135" s="88">
        <v>2</v>
      </c>
      <c r="P135" s="92">
        <v>13.8</v>
      </c>
      <c r="Q135" s="88">
        <v>12.8</v>
      </c>
      <c r="R135" s="88"/>
      <c r="S135" s="88">
        <v>5</v>
      </c>
      <c r="T135" s="92">
        <v>12</v>
      </c>
      <c r="U135" s="88">
        <v>11.7</v>
      </c>
      <c r="V135" s="88"/>
      <c r="W135" s="88">
        <v>5</v>
      </c>
      <c r="X135" s="92">
        <v>12.2</v>
      </c>
      <c r="Y135" s="88">
        <v>12.9</v>
      </c>
      <c r="Z135" s="88"/>
      <c r="AA135" s="88">
        <v>10</v>
      </c>
      <c r="AB135" s="92">
        <v>11.7</v>
      </c>
      <c r="AC135" s="88">
        <v>10.6</v>
      </c>
      <c r="AD135" s="88"/>
      <c r="AE135" s="88">
        <v>10</v>
      </c>
      <c r="AF135" s="92">
        <v>11.7</v>
      </c>
      <c r="AG135" s="88">
        <v>9.1999999999999993</v>
      </c>
      <c r="AH135" s="88"/>
      <c r="AI135" s="88">
        <v>25</v>
      </c>
      <c r="AJ135" s="92">
        <v>6.2</v>
      </c>
      <c r="AK135" s="88">
        <v>5.3</v>
      </c>
      <c r="AL135" s="88"/>
      <c r="AM135" s="88">
        <v>90</v>
      </c>
      <c r="AN135" s="92">
        <v>6.6</v>
      </c>
      <c r="AO135" s="88">
        <v>3.8</v>
      </c>
      <c r="AP135" s="88"/>
    </row>
    <row r="136" spans="1:42" x14ac:dyDescent="0.2">
      <c r="A136" s="19" t="s">
        <v>1024</v>
      </c>
      <c r="B136" s="19">
        <v>279</v>
      </c>
      <c r="C136" s="37">
        <v>5</v>
      </c>
      <c r="D136" s="37">
        <v>11</v>
      </c>
      <c r="E136" s="37">
        <v>12.5</v>
      </c>
      <c r="F136" s="37"/>
      <c r="G136" s="37">
        <v>5</v>
      </c>
      <c r="H136" s="37">
        <v>10.8</v>
      </c>
      <c r="I136" s="37">
        <v>11.1</v>
      </c>
      <c r="J136" s="37"/>
      <c r="K136" s="88">
        <v>5</v>
      </c>
      <c r="L136" s="92">
        <v>9.6999999999999993</v>
      </c>
      <c r="M136" s="88">
        <v>8.5</v>
      </c>
      <c r="N136" s="88"/>
      <c r="O136" s="88">
        <v>5</v>
      </c>
      <c r="P136" s="92">
        <v>11</v>
      </c>
      <c r="Q136" s="88">
        <v>8.6</v>
      </c>
      <c r="R136" s="88"/>
      <c r="S136" s="88">
        <v>5</v>
      </c>
      <c r="T136" s="92">
        <v>12</v>
      </c>
      <c r="U136" s="88">
        <v>10.5</v>
      </c>
      <c r="V136" s="88"/>
      <c r="W136" s="88">
        <v>15</v>
      </c>
      <c r="X136" s="92">
        <v>9.4</v>
      </c>
      <c r="Y136" s="88">
        <v>6.9</v>
      </c>
      <c r="Z136" s="88"/>
      <c r="AA136" s="88">
        <v>20</v>
      </c>
      <c r="AB136" s="92">
        <v>9</v>
      </c>
      <c r="AC136" s="88">
        <v>9.1</v>
      </c>
      <c r="AD136" s="88"/>
      <c r="AE136" s="88">
        <v>30</v>
      </c>
      <c r="AF136" s="92">
        <v>7</v>
      </c>
      <c r="AG136" s="88">
        <v>5.6</v>
      </c>
      <c r="AH136" s="88"/>
      <c r="AI136" s="88">
        <v>80</v>
      </c>
      <c r="AJ136" s="92">
        <v>5</v>
      </c>
      <c r="AK136" s="88">
        <v>4.8</v>
      </c>
      <c r="AL136" s="88"/>
      <c r="AM136" s="88">
        <v>100</v>
      </c>
      <c r="AN136" s="92"/>
      <c r="AO136" s="88"/>
      <c r="AP136" s="88"/>
    </row>
    <row r="137" spans="1:42" x14ac:dyDescent="0.2">
      <c r="A137" s="19" t="s">
        <v>1025</v>
      </c>
      <c r="B137" s="19">
        <v>280</v>
      </c>
      <c r="C137" s="37">
        <v>2</v>
      </c>
      <c r="D137" s="37">
        <v>7.4</v>
      </c>
      <c r="E137" s="37">
        <v>8</v>
      </c>
      <c r="F137" s="37"/>
      <c r="G137" s="37">
        <v>5</v>
      </c>
      <c r="H137" s="37">
        <v>7.9</v>
      </c>
      <c r="I137" s="37">
        <v>10.4</v>
      </c>
      <c r="J137" s="37"/>
      <c r="K137" s="88">
        <v>5</v>
      </c>
      <c r="L137" s="92">
        <v>7.7</v>
      </c>
      <c r="M137" s="88">
        <v>9.5</v>
      </c>
      <c r="N137" s="88"/>
      <c r="O137" s="88">
        <v>5</v>
      </c>
      <c r="P137" s="92">
        <v>8.5</v>
      </c>
      <c r="Q137" s="88">
        <v>7.5</v>
      </c>
      <c r="R137" s="88"/>
      <c r="S137" s="88">
        <v>10</v>
      </c>
      <c r="T137" s="92">
        <v>6.3</v>
      </c>
      <c r="U137" s="88">
        <v>8</v>
      </c>
      <c r="V137" s="88"/>
      <c r="W137" s="88">
        <v>30</v>
      </c>
      <c r="X137" s="92">
        <v>5.7</v>
      </c>
      <c r="Y137" s="88">
        <v>6.8</v>
      </c>
      <c r="Z137" s="88"/>
      <c r="AA137" s="88">
        <v>35</v>
      </c>
      <c r="AB137" s="92">
        <v>5.4</v>
      </c>
      <c r="AC137" s="88">
        <v>6</v>
      </c>
      <c r="AD137" s="88"/>
      <c r="AE137" s="88">
        <v>40</v>
      </c>
      <c r="AF137" s="92">
        <v>4.8</v>
      </c>
      <c r="AG137" s="88">
        <v>4.8</v>
      </c>
      <c r="AH137" s="88"/>
      <c r="AI137" s="88">
        <v>50</v>
      </c>
      <c r="AJ137" s="92">
        <v>4.3</v>
      </c>
      <c r="AK137" s="88">
        <v>5.2</v>
      </c>
      <c r="AL137" s="88"/>
      <c r="AM137" s="88">
        <v>95</v>
      </c>
      <c r="AN137" s="92">
        <v>4.3</v>
      </c>
      <c r="AO137" s="88">
        <v>4.4000000000000004</v>
      </c>
      <c r="AP137" s="88"/>
    </row>
    <row r="138" spans="1:42" x14ac:dyDescent="0.2">
      <c r="A138" s="13" t="s">
        <v>1045</v>
      </c>
      <c r="B138" s="13">
        <v>297</v>
      </c>
      <c r="C138" s="1">
        <v>100</v>
      </c>
      <c r="D138" s="1"/>
      <c r="E138" s="1"/>
      <c r="F138" s="1" t="s">
        <v>1810</v>
      </c>
      <c r="G138" s="1">
        <v>100</v>
      </c>
      <c r="H138" s="1"/>
      <c r="I138" s="1"/>
      <c r="J138" s="1"/>
      <c r="K138" s="89">
        <v>100</v>
      </c>
      <c r="L138" s="93"/>
      <c r="M138" s="89"/>
      <c r="N138" s="89"/>
      <c r="O138" s="89">
        <v>100</v>
      </c>
      <c r="P138" s="93"/>
      <c r="Q138" s="89"/>
      <c r="R138" s="89"/>
      <c r="S138" s="89">
        <v>100</v>
      </c>
      <c r="T138" s="93"/>
      <c r="U138" s="89"/>
      <c r="V138" s="89"/>
      <c r="W138" s="89">
        <v>100</v>
      </c>
      <c r="X138" s="93"/>
      <c r="Y138" s="89"/>
      <c r="Z138" s="89"/>
      <c r="AA138" s="89">
        <v>100</v>
      </c>
      <c r="AB138" s="93"/>
      <c r="AC138" s="89"/>
      <c r="AD138" s="89"/>
      <c r="AE138" s="89">
        <v>100</v>
      </c>
      <c r="AF138" s="93"/>
      <c r="AG138" s="89"/>
      <c r="AH138" s="89"/>
      <c r="AI138" s="89">
        <v>100</v>
      </c>
      <c r="AJ138" s="93"/>
      <c r="AK138" s="89"/>
      <c r="AL138" s="89"/>
      <c r="AM138" s="89">
        <v>100</v>
      </c>
      <c r="AN138" s="93"/>
      <c r="AO138" s="89"/>
      <c r="AP138" s="89"/>
    </row>
    <row r="139" spans="1:42" x14ac:dyDescent="0.2">
      <c r="A139" s="13" t="s">
        <v>1048</v>
      </c>
      <c r="B139" s="13">
        <v>300</v>
      </c>
      <c r="C139" s="1">
        <v>100</v>
      </c>
      <c r="D139" s="1"/>
      <c r="E139" s="1"/>
      <c r="F139" s="1" t="s">
        <v>1810</v>
      </c>
      <c r="G139" s="1">
        <v>100</v>
      </c>
      <c r="H139" s="1"/>
      <c r="I139" s="1"/>
      <c r="J139" s="1"/>
      <c r="K139" s="89">
        <v>100</v>
      </c>
      <c r="L139" s="93"/>
      <c r="M139" s="89"/>
      <c r="N139" s="89"/>
      <c r="O139" s="89">
        <v>100</v>
      </c>
      <c r="P139" s="93"/>
      <c r="Q139" s="89"/>
      <c r="R139" s="89"/>
      <c r="S139" s="89">
        <v>100</v>
      </c>
      <c r="T139" s="93"/>
      <c r="U139" s="89"/>
      <c r="V139" s="89"/>
      <c r="W139" s="89">
        <v>100</v>
      </c>
      <c r="X139" s="93"/>
      <c r="Y139" s="89"/>
      <c r="Z139" s="89"/>
      <c r="AA139" s="89">
        <v>100</v>
      </c>
      <c r="AB139" s="93"/>
      <c r="AC139" s="89"/>
      <c r="AD139" s="89"/>
      <c r="AE139" s="89">
        <v>100</v>
      </c>
      <c r="AF139" s="93"/>
      <c r="AG139" s="89"/>
      <c r="AH139" s="89"/>
      <c r="AI139" s="89">
        <v>100</v>
      </c>
      <c r="AJ139" s="93"/>
      <c r="AK139" s="89"/>
      <c r="AL139" s="89"/>
      <c r="AM139" s="89">
        <v>100</v>
      </c>
      <c r="AN139" s="93"/>
      <c r="AO139" s="89"/>
      <c r="AP139" s="89"/>
    </row>
    <row r="140" spans="1:42" x14ac:dyDescent="0.2">
      <c r="A140" s="13" t="s">
        <v>1049</v>
      </c>
      <c r="B140" s="13">
        <v>301</v>
      </c>
      <c r="C140" s="1">
        <v>100</v>
      </c>
      <c r="D140" s="1"/>
      <c r="E140" s="1"/>
      <c r="F140" s="1" t="s">
        <v>1810</v>
      </c>
      <c r="G140" s="1">
        <v>100</v>
      </c>
      <c r="H140" s="1"/>
      <c r="I140" s="1"/>
      <c r="J140" s="1"/>
      <c r="K140" s="89">
        <v>100</v>
      </c>
      <c r="L140" s="93"/>
      <c r="M140" s="89"/>
      <c r="N140" s="89"/>
      <c r="O140" s="89">
        <v>100</v>
      </c>
      <c r="P140" s="93"/>
      <c r="Q140" s="89"/>
      <c r="R140" s="89"/>
      <c r="S140" s="89">
        <v>100</v>
      </c>
      <c r="T140" s="93"/>
      <c r="U140" s="89"/>
      <c r="V140" s="89"/>
      <c r="W140" s="89">
        <v>100</v>
      </c>
      <c r="X140" s="93"/>
      <c r="Y140" s="89"/>
      <c r="Z140" s="89"/>
      <c r="AA140" s="89">
        <v>100</v>
      </c>
      <c r="AB140" s="93"/>
      <c r="AC140" s="89"/>
      <c r="AD140" s="89"/>
      <c r="AE140" s="89">
        <v>100</v>
      </c>
      <c r="AF140" s="93"/>
      <c r="AG140" s="89"/>
      <c r="AH140" s="89"/>
      <c r="AI140" s="89">
        <v>100</v>
      </c>
      <c r="AJ140" s="93"/>
      <c r="AK140" s="89"/>
      <c r="AL140" s="89"/>
      <c r="AM140" s="89">
        <v>100</v>
      </c>
      <c r="AN140" s="93"/>
      <c r="AO140" s="89"/>
      <c r="AP140" s="89"/>
    </row>
    <row r="141" spans="1:42" x14ac:dyDescent="0.2">
      <c r="A141" s="13" t="s">
        <v>1052</v>
      </c>
      <c r="B141" s="13">
        <v>304</v>
      </c>
      <c r="C141" s="1">
        <v>100</v>
      </c>
      <c r="D141" s="1"/>
      <c r="E141" s="1"/>
      <c r="F141" s="1" t="s">
        <v>1810</v>
      </c>
      <c r="G141" s="1">
        <v>100</v>
      </c>
      <c r="H141" s="1"/>
      <c r="I141" s="1"/>
      <c r="J141" s="1"/>
      <c r="K141" s="89">
        <v>100</v>
      </c>
      <c r="L141" s="93"/>
      <c r="M141" s="89"/>
      <c r="N141" s="89"/>
      <c r="O141" s="89">
        <v>100</v>
      </c>
      <c r="P141" s="93"/>
      <c r="Q141" s="89"/>
      <c r="R141" s="89"/>
      <c r="S141" s="89">
        <v>100</v>
      </c>
      <c r="T141" s="93"/>
      <c r="U141" s="89"/>
      <c r="V141" s="89"/>
      <c r="W141" s="89">
        <v>100</v>
      </c>
      <c r="X141" s="93"/>
      <c r="Y141" s="89"/>
      <c r="Z141" s="89"/>
      <c r="AA141" s="89">
        <v>100</v>
      </c>
      <c r="AB141" s="93"/>
      <c r="AC141" s="89"/>
      <c r="AD141" s="89"/>
      <c r="AE141" s="89">
        <v>100</v>
      </c>
      <c r="AF141" s="93"/>
      <c r="AG141" s="89"/>
      <c r="AH141" s="89"/>
      <c r="AI141" s="89">
        <v>100</v>
      </c>
      <c r="AJ141" s="93"/>
      <c r="AK141" s="89"/>
      <c r="AL141" s="89"/>
      <c r="AM141" s="89">
        <v>100</v>
      </c>
      <c r="AN141" s="93"/>
      <c r="AO141" s="89"/>
      <c r="AP141" s="89"/>
    </row>
    <row r="142" spans="1:42" x14ac:dyDescent="0.2">
      <c r="A142" s="19" t="s">
        <v>1054</v>
      </c>
      <c r="B142" s="19">
        <v>305</v>
      </c>
      <c r="C142" s="37">
        <v>2</v>
      </c>
      <c r="D142" s="37">
        <v>19.399999999999999</v>
      </c>
      <c r="E142" s="37">
        <v>20</v>
      </c>
      <c r="F142" s="37"/>
      <c r="G142" s="37">
        <v>5</v>
      </c>
      <c r="H142" s="37">
        <v>18.3</v>
      </c>
      <c r="I142" s="37">
        <v>19.899999999999999</v>
      </c>
      <c r="J142" s="37"/>
      <c r="K142" s="88">
        <v>5</v>
      </c>
      <c r="L142" s="92">
        <v>17.8</v>
      </c>
      <c r="M142" s="88">
        <v>19.7</v>
      </c>
      <c r="N142" s="88"/>
      <c r="O142" s="88">
        <v>5</v>
      </c>
      <c r="P142" s="92">
        <v>17</v>
      </c>
      <c r="Q142" s="88">
        <v>18.899999999999999</v>
      </c>
      <c r="R142" s="88"/>
      <c r="S142" s="88">
        <v>5</v>
      </c>
      <c r="T142" s="92">
        <v>15.8</v>
      </c>
      <c r="U142" s="88">
        <v>17.7</v>
      </c>
      <c r="V142" s="88"/>
      <c r="W142" s="88">
        <v>10</v>
      </c>
      <c r="X142" s="92">
        <v>16.8</v>
      </c>
      <c r="Y142" s="88">
        <v>13.5</v>
      </c>
      <c r="Z142" s="88"/>
      <c r="AA142" s="88">
        <v>15</v>
      </c>
      <c r="AB142" s="92">
        <v>12.9</v>
      </c>
      <c r="AC142" s="88">
        <v>15.8</v>
      </c>
      <c r="AD142" s="88"/>
      <c r="AE142" s="88">
        <v>25</v>
      </c>
      <c r="AF142" s="92">
        <v>15.1</v>
      </c>
      <c r="AG142" s="88">
        <v>10.6</v>
      </c>
      <c r="AH142" s="88"/>
      <c r="AI142" s="88">
        <v>30</v>
      </c>
      <c r="AJ142" s="92">
        <v>10.3</v>
      </c>
      <c r="AK142" s="88">
        <v>11.5</v>
      </c>
      <c r="AL142" s="88"/>
      <c r="AM142" s="88">
        <v>90</v>
      </c>
      <c r="AN142" s="92">
        <v>6.1</v>
      </c>
      <c r="AO142" s="88">
        <v>8.8000000000000007</v>
      </c>
      <c r="AP142" s="88"/>
    </row>
    <row r="143" spans="1:42" x14ac:dyDescent="0.2">
      <c r="A143" s="19" t="s">
        <v>1055</v>
      </c>
      <c r="B143" s="19">
        <v>306</v>
      </c>
      <c r="C143" s="37">
        <v>2</v>
      </c>
      <c r="D143" s="37">
        <v>11.8</v>
      </c>
      <c r="E143" s="37">
        <v>12.2</v>
      </c>
      <c r="F143" s="37"/>
      <c r="G143" s="37">
        <v>2</v>
      </c>
      <c r="H143" s="37">
        <v>12.6</v>
      </c>
      <c r="I143" s="37">
        <v>13.3</v>
      </c>
      <c r="J143" s="37"/>
      <c r="K143" s="88">
        <v>2</v>
      </c>
      <c r="L143" s="92">
        <v>11.9</v>
      </c>
      <c r="M143" s="88">
        <v>9.8000000000000007</v>
      </c>
      <c r="N143" s="88"/>
      <c r="O143" s="88">
        <v>5</v>
      </c>
      <c r="P143" s="92">
        <v>13.3</v>
      </c>
      <c r="Q143" s="88">
        <v>9.5</v>
      </c>
      <c r="R143" s="88"/>
      <c r="S143" s="88">
        <v>15</v>
      </c>
      <c r="T143" s="92">
        <v>10.9</v>
      </c>
      <c r="U143" s="88">
        <v>10.1</v>
      </c>
      <c r="V143" s="88"/>
      <c r="W143" s="88">
        <v>20</v>
      </c>
      <c r="X143" s="92">
        <v>9.1</v>
      </c>
      <c r="Y143" s="88">
        <v>8.6999999999999993</v>
      </c>
      <c r="Z143" s="88"/>
      <c r="AA143" s="88">
        <v>25</v>
      </c>
      <c r="AB143" s="92">
        <v>5.0999999999999996</v>
      </c>
      <c r="AC143" s="88">
        <v>7.9</v>
      </c>
      <c r="AD143" s="88"/>
      <c r="AE143" s="88">
        <v>30</v>
      </c>
      <c r="AF143" s="92">
        <v>5.7</v>
      </c>
      <c r="AG143" s="88">
        <v>6.8</v>
      </c>
      <c r="AH143" s="88"/>
      <c r="AI143" s="88">
        <v>75</v>
      </c>
      <c r="AJ143" s="92">
        <v>5</v>
      </c>
      <c r="AK143" s="88">
        <v>3.9</v>
      </c>
      <c r="AL143" s="88"/>
      <c r="AM143" s="88">
        <v>100</v>
      </c>
      <c r="AN143" s="92"/>
      <c r="AO143" s="88"/>
      <c r="AP143" s="88"/>
    </row>
    <row r="144" spans="1:42" x14ac:dyDescent="0.2">
      <c r="A144" s="19" t="s">
        <v>1056</v>
      </c>
      <c r="B144" s="19">
        <v>307</v>
      </c>
      <c r="C144" s="37">
        <v>2</v>
      </c>
      <c r="D144" s="37">
        <v>12.2</v>
      </c>
      <c r="E144" s="37">
        <v>10.1</v>
      </c>
      <c r="F144" s="37"/>
      <c r="G144" s="37">
        <v>2</v>
      </c>
      <c r="H144" s="37">
        <v>11</v>
      </c>
      <c r="I144" s="37">
        <v>11.5</v>
      </c>
      <c r="J144" s="37"/>
      <c r="K144" s="88">
        <v>2</v>
      </c>
      <c r="L144" s="92">
        <v>10.6</v>
      </c>
      <c r="M144" s="88">
        <v>11.4</v>
      </c>
      <c r="N144" s="88"/>
      <c r="O144" s="88">
        <v>2</v>
      </c>
      <c r="P144" s="92">
        <v>9.6</v>
      </c>
      <c r="Q144" s="88">
        <v>11</v>
      </c>
      <c r="R144" s="88"/>
      <c r="S144" s="88">
        <v>5</v>
      </c>
      <c r="T144" s="92">
        <v>6.8</v>
      </c>
      <c r="U144" s="88">
        <v>9.3000000000000007</v>
      </c>
      <c r="V144" s="88"/>
      <c r="W144" s="88">
        <v>15</v>
      </c>
      <c r="X144" s="92">
        <v>7.4</v>
      </c>
      <c r="Y144" s="88">
        <v>9.3000000000000007</v>
      </c>
      <c r="Z144" s="88"/>
      <c r="AA144" s="88">
        <v>15</v>
      </c>
      <c r="AB144" s="92">
        <v>6.1</v>
      </c>
      <c r="AC144" s="88">
        <v>8.3000000000000007</v>
      </c>
      <c r="AD144" s="88"/>
      <c r="AE144" s="88">
        <v>20</v>
      </c>
      <c r="AF144" s="92">
        <v>4.5</v>
      </c>
      <c r="AG144" s="88">
        <v>6.7</v>
      </c>
      <c r="AH144" s="88"/>
      <c r="AI144" s="88">
        <v>30</v>
      </c>
      <c r="AJ144" s="92">
        <v>4.7</v>
      </c>
      <c r="AK144" s="88">
        <v>5.3</v>
      </c>
      <c r="AL144" s="88"/>
      <c r="AM144" s="88">
        <v>95</v>
      </c>
      <c r="AN144" s="92">
        <v>4.3</v>
      </c>
      <c r="AO144" s="88">
        <v>3.1</v>
      </c>
      <c r="AP144" s="88"/>
    </row>
    <row r="145" spans="1:42" x14ac:dyDescent="0.2">
      <c r="A145" s="19" t="s">
        <v>1057</v>
      </c>
      <c r="B145" s="19">
        <v>308</v>
      </c>
      <c r="C145" s="37">
        <v>2</v>
      </c>
      <c r="D145" s="37">
        <v>12</v>
      </c>
      <c r="E145" s="37">
        <v>8</v>
      </c>
      <c r="F145" s="37"/>
      <c r="G145" s="37">
        <v>2</v>
      </c>
      <c r="H145" s="37">
        <v>10.5</v>
      </c>
      <c r="I145" s="37">
        <v>12</v>
      </c>
      <c r="J145" s="37"/>
      <c r="K145" s="88">
        <v>2</v>
      </c>
      <c r="L145" s="92">
        <v>8.1</v>
      </c>
      <c r="M145" s="88">
        <v>11.4</v>
      </c>
      <c r="N145" s="88"/>
      <c r="O145" s="88">
        <v>2</v>
      </c>
      <c r="P145" s="92">
        <v>10.8</v>
      </c>
      <c r="Q145" s="88">
        <v>11.5</v>
      </c>
      <c r="R145" s="88"/>
      <c r="S145" s="88">
        <v>2</v>
      </c>
      <c r="T145" s="92">
        <v>10</v>
      </c>
      <c r="U145" s="88">
        <v>8.1999999999999993</v>
      </c>
      <c r="V145" s="88"/>
      <c r="W145" s="88">
        <v>5</v>
      </c>
      <c r="X145" s="92">
        <v>6.8</v>
      </c>
      <c r="Y145" s="88">
        <v>4.9000000000000004</v>
      </c>
      <c r="Z145" s="88"/>
      <c r="AA145" s="88">
        <v>5</v>
      </c>
      <c r="AB145" s="92">
        <v>9.3000000000000007</v>
      </c>
      <c r="AC145" s="88">
        <v>8.5</v>
      </c>
      <c r="AD145" s="88"/>
      <c r="AE145" s="88">
        <v>10</v>
      </c>
      <c r="AF145" s="92">
        <v>7.5</v>
      </c>
      <c r="AG145" s="88">
        <v>4.8</v>
      </c>
      <c r="AH145" s="88"/>
      <c r="AI145" s="88">
        <v>60</v>
      </c>
      <c r="AJ145" s="92">
        <v>2.8</v>
      </c>
      <c r="AK145" s="88">
        <v>1.7</v>
      </c>
      <c r="AL145" s="88"/>
      <c r="AM145" s="88">
        <v>100</v>
      </c>
      <c r="AN145" s="92"/>
      <c r="AO145" s="88"/>
      <c r="AP145" s="88"/>
    </row>
    <row r="146" spans="1:42" x14ac:dyDescent="0.2">
      <c r="A146" s="19" t="s">
        <v>1058</v>
      </c>
      <c r="B146" s="19">
        <v>309</v>
      </c>
      <c r="C146" s="37">
        <v>2</v>
      </c>
      <c r="D146" s="37">
        <v>11.7</v>
      </c>
      <c r="E146" s="37">
        <v>10</v>
      </c>
      <c r="F146" s="37"/>
      <c r="G146" s="37">
        <v>2</v>
      </c>
      <c r="H146" s="37">
        <v>10.7</v>
      </c>
      <c r="I146" s="37">
        <v>10.9</v>
      </c>
      <c r="J146" s="37"/>
      <c r="K146" s="88">
        <v>2</v>
      </c>
      <c r="L146" s="92">
        <v>10.1</v>
      </c>
      <c r="M146" s="88">
        <v>9.9</v>
      </c>
      <c r="N146" s="88"/>
      <c r="O146" s="88">
        <v>2</v>
      </c>
      <c r="P146" s="92">
        <v>9.6</v>
      </c>
      <c r="Q146" s="88">
        <v>8</v>
      </c>
      <c r="R146" s="88"/>
      <c r="S146" s="88">
        <v>2</v>
      </c>
      <c r="T146" s="92">
        <v>9.9</v>
      </c>
      <c r="U146" s="88">
        <v>11.5</v>
      </c>
      <c r="V146" s="88"/>
      <c r="W146" s="88">
        <v>5</v>
      </c>
      <c r="X146" s="92">
        <v>8.3000000000000007</v>
      </c>
      <c r="Y146" s="88">
        <v>9</v>
      </c>
      <c r="Z146" s="88"/>
      <c r="AA146" s="88">
        <v>5</v>
      </c>
      <c r="AB146" s="92">
        <v>6.7</v>
      </c>
      <c r="AC146" s="88">
        <v>9.1</v>
      </c>
      <c r="AD146" s="88"/>
      <c r="AE146" s="88">
        <v>10</v>
      </c>
      <c r="AF146" s="92">
        <v>8.5</v>
      </c>
      <c r="AG146" s="88">
        <v>7.4</v>
      </c>
      <c r="AH146" s="88"/>
      <c r="AI146" s="88">
        <v>25</v>
      </c>
      <c r="AJ146" s="92">
        <v>5.4</v>
      </c>
      <c r="AK146" s="88">
        <v>4.4000000000000004</v>
      </c>
      <c r="AL146" s="88"/>
      <c r="AM146" s="88">
        <v>98</v>
      </c>
      <c r="AN146" s="92"/>
      <c r="AO146" s="88"/>
      <c r="AP146" s="88"/>
    </row>
    <row r="147" spans="1:42" x14ac:dyDescent="0.2">
      <c r="A147" s="19" t="s">
        <v>1059</v>
      </c>
      <c r="B147" s="19">
        <v>310</v>
      </c>
      <c r="C147" s="37">
        <v>2</v>
      </c>
      <c r="D147" s="37">
        <v>10.6</v>
      </c>
      <c r="E147" s="37">
        <v>10</v>
      </c>
      <c r="F147" s="37"/>
      <c r="G147" s="37">
        <v>2</v>
      </c>
      <c r="H147" s="37">
        <v>10.9</v>
      </c>
      <c r="I147" s="37">
        <v>10.5</v>
      </c>
      <c r="J147" s="37"/>
      <c r="K147" s="88">
        <v>2</v>
      </c>
      <c r="L147" s="92">
        <v>9</v>
      </c>
      <c r="M147" s="88">
        <v>8.4</v>
      </c>
      <c r="N147" s="88"/>
      <c r="O147" s="88">
        <v>2</v>
      </c>
      <c r="P147" s="92">
        <v>7.8</v>
      </c>
      <c r="Q147" s="88">
        <v>8.4</v>
      </c>
      <c r="R147" s="88"/>
      <c r="S147" s="88">
        <v>2</v>
      </c>
      <c r="T147" s="92">
        <v>8.8000000000000007</v>
      </c>
      <c r="U147" s="88">
        <v>9.1</v>
      </c>
      <c r="V147" s="88"/>
      <c r="W147" s="88">
        <v>5</v>
      </c>
      <c r="X147" s="92">
        <v>9.5</v>
      </c>
      <c r="Y147" s="88">
        <v>8.1999999999999993</v>
      </c>
      <c r="Z147" s="88"/>
      <c r="AA147" s="88">
        <v>10</v>
      </c>
      <c r="AB147" s="92">
        <v>7.6</v>
      </c>
      <c r="AC147" s="88">
        <v>8.1999999999999993</v>
      </c>
      <c r="AD147" s="88"/>
      <c r="AE147" s="88">
        <v>15</v>
      </c>
      <c r="AF147" s="92">
        <v>6.5</v>
      </c>
      <c r="AG147" s="88">
        <v>7.4</v>
      </c>
      <c r="AH147" s="88"/>
      <c r="AI147" s="88">
        <v>35</v>
      </c>
      <c r="AJ147" s="92">
        <v>6.3</v>
      </c>
      <c r="AK147" s="88">
        <v>5.7</v>
      </c>
      <c r="AL147" s="88"/>
      <c r="AM147" s="88">
        <v>100</v>
      </c>
      <c r="AN147" s="92"/>
      <c r="AO147" s="88"/>
      <c r="AP147" s="88"/>
    </row>
    <row r="148" spans="1:42" x14ac:dyDescent="0.2">
      <c r="A148" s="19" t="s">
        <v>1060</v>
      </c>
      <c r="B148" s="19">
        <v>311</v>
      </c>
      <c r="C148" s="37">
        <v>5</v>
      </c>
      <c r="D148" s="37">
        <v>11.5</v>
      </c>
      <c r="E148" s="37">
        <v>10.6</v>
      </c>
      <c r="F148" s="37"/>
      <c r="G148" s="37">
        <v>5</v>
      </c>
      <c r="H148" s="37">
        <v>11.3</v>
      </c>
      <c r="I148" s="37">
        <v>9.9</v>
      </c>
      <c r="J148" s="37"/>
      <c r="K148" s="88">
        <v>5</v>
      </c>
      <c r="L148" s="92">
        <v>7.6</v>
      </c>
      <c r="M148" s="88">
        <v>8</v>
      </c>
      <c r="N148" s="88"/>
      <c r="O148" s="88">
        <v>5</v>
      </c>
      <c r="P148" s="92">
        <v>8.8000000000000007</v>
      </c>
      <c r="Q148" s="88">
        <v>6.9</v>
      </c>
      <c r="R148" s="88"/>
      <c r="S148" s="88">
        <v>5</v>
      </c>
      <c r="T148" s="92">
        <v>10.1</v>
      </c>
      <c r="U148" s="88">
        <v>9.3000000000000007</v>
      </c>
      <c r="V148" s="88"/>
      <c r="W148" s="88">
        <v>30</v>
      </c>
      <c r="X148" s="92">
        <v>10</v>
      </c>
      <c r="Y148" s="88">
        <v>8</v>
      </c>
      <c r="Z148" s="88"/>
      <c r="AA148" s="88">
        <v>35</v>
      </c>
      <c r="AB148" s="92">
        <v>7.6</v>
      </c>
      <c r="AC148" s="88">
        <v>7.6</v>
      </c>
      <c r="AD148" s="88"/>
      <c r="AE148" s="88">
        <v>45</v>
      </c>
      <c r="AF148" s="92">
        <v>6.1</v>
      </c>
      <c r="AG148" s="88">
        <v>2.7</v>
      </c>
      <c r="AH148" s="88"/>
      <c r="AI148" s="88">
        <v>95</v>
      </c>
      <c r="AJ148" s="92"/>
      <c r="AK148" s="88"/>
      <c r="AL148" s="88"/>
      <c r="AM148" s="88">
        <v>100</v>
      </c>
      <c r="AN148" s="92"/>
      <c r="AO148" s="88"/>
      <c r="AP148" s="88"/>
    </row>
    <row r="149" spans="1:42" x14ac:dyDescent="0.2">
      <c r="A149" s="19" t="s">
        <v>1061</v>
      </c>
      <c r="B149" s="19">
        <v>312</v>
      </c>
      <c r="C149" s="37">
        <v>5</v>
      </c>
      <c r="D149" s="37">
        <v>10.6</v>
      </c>
      <c r="E149" s="37">
        <v>10.1</v>
      </c>
      <c r="F149" s="37"/>
      <c r="G149" s="37">
        <v>5</v>
      </c>
      <c r="H149" s="37">
        <v>9</v>
      </c>
      <c r="I149" s="37">
        <v>5</v>
      </c>
      <c r="J149" s="37"/>
      <c r="K149" s="88">
        <v>5</v>
      </c>
      <c r="L149" s="92">
        <v>10.4</v>
      </c>
      <c r="M149" s="88">
        <v>9.6999999999999993</v>
      </c>
      <c r="N149" s="88"/>
      <c r="O149" s="88">
        <v>10</v>
      </c>
      <c r="P149" s="92">
        <v>8.1999999999999993</v>
      </c>
      <c r="Q149" s="88">
        <v>9.9</v>
      </c>
      <c r="R149" s="88"/>
      <c r="S149" s="88">
        <v>10</v>
      </c>
      <c r="T149" s="92">
        <v>9</v>
      </c>
      <c r="U149" s="88">
        <v>10</v>
      </c>
      <c r="V149" s="88"/>
      <c r="W149" s="88">
        <v>40</v>
      </c>
      <c r="X149" s="92">
        <v>8.3000000000000007</v>
      </c>
      <c r="Y149" s="88">
        <v>9.3000000000000007</v>
      </c>
      <c r="Z149" s="88"/>
      <c r="AA149" s="88">
        <v>40</v>
      </c>
      <c r="AB149" s="92">
        <v>8.8000000000000007</v>
      </c>
      <c r="AC149" s="88">
        <v>8</v>
      </c>
      <c r="AD149" s="88"/>
      <c r="AE149" s="88">
        <v>40</v>
      </c>
      <c r="AF149" s="92">
        <v>7.3</v>
      </c>
      <c r="AG149" s="88">
        <v>5.7</v>
      </c>
      <c r="AH149" s="88"/>
      <c r="AI149" s="88">
        <v>55</v>
      </c>
      <c r="AJ149" s="92">
        <v>5.7</v>
      </c>
      <c r="AK149" s="88">
        <v>7</v>
      </c>
      <c r="AL149" s="88"/>
      <c r="AM149" s="88">
        <v>95</v>
      </c>
      <c r="AN149" s="92">
        <v>4.5999999999999996</v>
      </c>
      <c r="AO149" s="88">
        <v>3.6</v>
      </c>
      <c r="AP149" s="88"/>
    </row>
    <row r="150" spans="1:42" x14ac:dyDescent="0.2">
      <c r="A150" s="13" t="s">
        <v>1072</v>
      </c>
      <c r="B150" s="13">
        <v>321</v>
      </c>
      <c r="C150" s="1">
        <v>2</v>
      </c>
      <c r="D150" s="1">
        <v>8.4</v>
      </c>
      <c r="E150" s="1">
        <v>8.5</v>
      </c>
      <c r="F150" s="1"/>
      <c r="G150" s="1">
        <v>2</v>
      </c>
      <c r="H150" s="1">
        <v>7.6</v>
      </c>
      <c r="I150" s="1">
        <v>8.3000000000000007</v>
      </c>
      <c r="J150" s="1"/>
      <c r="K150" s="89">
        <v>5</v>
      </c>
      <c r="L150" s="93">
        <v>8.5</v>
      </c>
      <c r="M150" s="89">
        <v>7.7</v>
      </c>
      <c r="N150" s="89"/>
      <c r="O150" s="89">
        <v>5</v>
      </c>
      <c r="P150" s="93">
        <v>7.5</v>
      </c>
      <c r="Q150" s="89">
        <v>7.3</v>
      </c>
      <c r="R150" s="89"/>
      <c r="S150" s="89">
        <v>10</v>
      </c>
      <c r="T150" s="93">
        <v>8.3000000000000007</v>
      </c>
      <c r="U150" s="89">
        <v>6.5</v>
      </c>
      <c r="V150" s="89"/>
      <c r="W150" s="89">
        <v>40</v>
      </c>
      <c r="X150" s="93">
        <v>6.5</v>
      </c>
      <c r="Y150" s="89">
        <v>7.7</v>
      </c>
      <c r="Z150" s="89"/>
      <c r="AA150" s="89">
        <v>45</v>
      </c>
      <c r="AB150" s="93">
        <v>5.5</v>
      </c>
      <c r="AC150" s="89">
        <v>6.5</v>
      </c>
      <c r="AD150" s="89"/>
      <c r="AE150" s="89">
        <v>55</v>
      </c>
      <c r="AF150" s="93">
        <v>3.6</v>
      </c>
      <c r="AG150" s="89">
        <v>3.6</v>
      </c>
      <c r="AH150" s="89"/>
      <c r="AI150" s="89">
        <v>95</v>
      </c>
      <c r="AJ150" s="93"/>
      <c r="AK150" s="89"/>
      <c r="AL150" s="89"/>
      <c r="AM150" s="89">
        <v>100</v>
      </c>
      <c r="AN150" s="93"/>
      <c r="AO150" s="89"/>
      <c r="AP150" s="89"/>
    </row>
    <row r="151" spans="1:42" x14ac:dyDescent="0.2">
      <c r="A151" s="13" t="s">
        <v>1073</v>
      </c>
      <c r="B151" s="13">
        <v>322</v>
      </c>
      <c r="C151" s="1">
        <v>5</v>
      </c>
      <c r="D151" s="1">
        <v>7.6</v>
      </c>
      <c r="E151" s="1">
        <v>6.4</v>
      </c>
      <c r="F151" s="1"/>
      <c r="G151" s="1">
        <v>5</v>
      </c>
      <c r="H151" s="1">
        <v>7.6</v>
      </c>
      <c r="I151" s="1">
        <v>5.3</v>
      </c>
      <c r="J151" s="1"/>
      <c r="K151" s="89">
        <v>10</v>
      </c>
      <c r="L151" s="93">
        <v>6.6</v>
      </c>
      <c r="M151" s="89">
        <v>6.5</v>
      </c>
      <c r="N151" s="89"/>
      <c r="O151" s="89">
        <v>10</v>
      </c>
      <c r="P151" s="93">
        <v>6.3</v>
      </c>
      <c r="Q151" s="89">
        <v>6.6</v>
      </c>
      <c r="R151" s="89"/>
      <c r="S151" s="89">
        <v>20</v>
      </c>
      <c r="T151" s="93">
        <v>6.1</v>
      </c>
      <c r="U151" s="89">
        <v>5.0999999999999996</v>
      </c>
      <c r="V151" s="89"/>
      <c r="W151" s="89">
        <v>50</v>
      </c>
      <c r="X151" s="93">
        <v>4.3</v>
      </c>
      <c r="Y151" s="89">
        <v>4.5999999999999996</v>
      </c>
      <c r="Z151" s="89"/>
      <c r="AA151" s="89">
        <v>50</v>
      </c>
      <c r="AB151" s="93">
        <v>4.8</v>
      </c>
      <c r="AC151" s="89">
        <v>4</v>
      </c>
      <c r="AD151" s="89"/>
      <c r="AE151" s="89">
        <v>65</v>
      </c>
      <c r="AF151" s="93">
        <v>2.4</v>
      </c>
      <c r="AG151" s="89">
        <v>3.7</v>
      </c>
      <c r="AH151" s="89"/>
      <c r="AI151" s="89">
        <v>90</v>
      </c>
      <c r="AJ151" s="93">
        <v>4.8</v>
      </c>
      <c r="AK151" s="89">
        <v>4.3</v>
      </c>
      <c r="AL151" s="89"/>
      <c r="AM151" s="89">
        <v>100</v>
      </c>
      <c r="AN151" s="93"/>
      <c r="AO151" s="89"/>
      <c r="AP151" s="89"/>
    </row>
    <row r="152" spans="1:42" x14ac:dyDescent="0.2">
      <c r="A152" s="13" t="s">
        <v>1074</v>
      </c>
      <c r="B152" s="13">
        <v>323</v>
      </c>
      <c r="C152" s="1">
        <v>5</v>
      </c>
      <c r="D152" s="1">
        <v>6.7</v>
      </c>
      <c r="E152" s="1">
        <v>8.1999999999999993</v>
      </c>
      <c r="F152" s="1"/>
      <c r="G152" s="1">
        <v>5</v>
      </c>
      <c r="H152" s="1">
        <v>5.8</v>
      </c>
      <c r="I152" s="1">
        <v>6.7</v>
      </c>
      <c r="J152" s="1"/>
      <c r="K152" s="89">
        <v>5</v>
      </c>
      <c r="L152" s="93">
        <v>9.9</v>
      </c>
      <c r="M152" s="89">
        <v>7.3</v>
      </c>
      <c r="N152" s="89"/>
      <c r="O152" s="89">
        <v>10</v>
      </c>
      <c r="P152" s="93">
        <v>8.5</v>
      </c>
      <c r="Q152" s="89">
        <v>8.4</v>
      </c>
      <c r="R152" s="89"/>
      <c r="S152" s="89">
        <v>15</v>
      </c>
      <c r="T152" s="93">
        <v>7.5</v>
      </c>
      <c r="U152" s="89">
        <v>6.9</v>
      </c>
      <c r="V152" s="89"/>
      <c r="W152" s="89">
        <v>55</v>
      </c>
      <c r="X152" s="93">
        <v>7.9</v>
      </c>
      <c r="Y152" s="89">
        <v>7.1</v>
      </c>
      <c r="Z152" s="89"/>
      <c r="AA152" s="89">
        <v>55</v>
      </c>
      <c r="AB152" s="93">
        <v>9.6</v>
      </c>
      <c r="AC152" s="89">
        <v>7</v>
      </c>
      <c r="AD152" s="89"/>
      <c r="AE152" s="89">
        <v>60</v>
      </c>
      <c r="AF152" s="93">
        <v>7.4</v>
      </c>
      <c r="AG152" s="89">
        <v>4.2</v>
      </c>
      <c r="AH152" s="89"/>
      <c r="AI152" s="89">
        <v>80</v>
      </c>
      <c r="AJ152" s="93">
        <v>7.2</v>
      </c>
      <c r="AK152" s="89">
        <v>9</v>
      </c>
      <c r="AL152" s="89"/>
      <c r="AM152" s="89">
        <v>90</v>
      </c>
      <c r="AN152" s="93">
        <v>7.1</v>
      </c>
      <c r="AO152" s="89">
        <v>7.5</v>
      </c>
      <c r="AP152" s="89"/>
    </row>
    <row r="153" spans="1:42" x14ac:dyDescent="0.2">
      <c r="A153" s="13" t="s">
        <v>1075</v>
      </c>
      <c r="B153" s="13">
        <v>324</v>
      </c>
      <c r="C153" s="1">
        <v>2</v>
      </c>
      <c r="D153" s="1">
        <v>7.3</v>
      </c>
      <c r="E153" s="1">
        <v>7.9</v>
      </c>
      <c r="F153" s="1"/>
      <c r="G153" s="1">
        <v>2</v>
      </c>
      <c r="H153" s="1">
        <v>8.6</v>
      </c>
      <c r="I153" s="1">
        <v>6.9</v>
      </c>
      <c r="J153" s="1"/>
      <c r="K153" s="89">
        <v>10</v>
      </c>
      <c r="L153" s="93">
        <v>8.5</v>
      </c>
      <c r="M153" s="89">
        <v>8.6999999999999993</v>
      </c>
      <c r="N153" s="89"/>
      <c r="O153" s="89">
        <v>10</v>
      </c>
      <c r="P153" s="93">
        <v>7.2</v>
      </c>
      <c r="Q153" s="89">
        <v>8.5</v>
      </c>
      <c r="R153" s="89"/>
      <c r="S153" s="89">
        <v>10</v>
      </c>
      <c r="T153" s="93">
        <v>8</v>
      </c>
      <c r="U153" s="89">
        <v>5.8</v>
      </c>
      <c r="V153" s="89"/>
      <c r="W153" s="89">
        <v>20</v>
      </c>
      <c r="X153" s="93">
        <v>5.0999999999999996</v>
      </c>
      <c r="Y153" s="89">
        <v>5.8</v>
      </c>
      <c r="Z153" s="89"/>
      <c r="AA153" s="89">
        <v>25</v>
      </c>
      <c r="AB153" s="93">
        <v>6.4</v>
      </c>
      <c r="AC153" s="89">
        <v>5.0999999999999996</v>
      </c>
      <c r="AD153" s="89"/>
      <c r="AE153" s="89">
        <v>45</v>
      </c>
      <c r="AF153" s="93">
        <v>2.9</v>
      </c>
      <c r="AG153" s="89">
        <v>3.9</v>
      </c>
      <c r="AH153" s="89"/>
      <c r="AI153" s="89">
        <v>90</v>
      </c>
      <c r="AJ153" s="93">
        <v>4.5999999999999996</v>
      </c>
      <c r="AK153" s="89">
        <v>2.9</v>
      </c>
      <c r="AL153" s="89"/>
      <c r="AM153" s="89">
        <v>100</v>
      </c>
      <c r="AN153" s="93"/>
      <c r="AO153" s="89"/>
      <c r="AP153" s="89"/>
    </row>
    <row r="154" spans="1:42" x14ac:dyDescent="0.2">
      <c r="A154" s="13" t="s">
        <v>1076</v>
      </c>
      <c r="B154" s="13">
        <v>325</v>
      </c>
      <c r="C154" s="1">
        <v>5</v>
      </c>
      <c r="D154" s="1">
        <v>8.4</v>
      </c>
      <c r="E154" s="1">
        <v>8.1999999999999993</v>
      </c>
      <c r="F154" s="1"/>
      <c r="G154" s="1">
        <v>5</v>
      </c>
      <c r="H154" s="1">
        <v>8.6</v>
      </c>
      <c r="I154" s="1">
        <v>7.2</v>
      </c>
      <c r="J154" s="1"/>
      <c r="K154" s="89">
        <v>10</v>
      </c>
      <c r="L154" s="93">
        <v>8.1999999999999993</v>
      </c>
      <c r="M154" s="89">
        <v>5.6</v>
      </c>
      <c r="N154" s="89"/>
      <c r="O154" s="89">
        <v>15</v>
      </c>
      <c r="P154" s="93">
        <v>3.4</v>
      </c>
      <c r="Q154" s="89">
        <v>5.3</v>
      </c>
      <c r="R154" s="89"/>
      <c r="S154" s="89">
        <v>35</v>
      </c>
      <c r="T154" s="93">
        <v>6.6</v>
      </c>
      <c r="U154" s="89">
        <v>6</v>
      </c>
      <c r="V154" s="89"/>
      <c r="W154" s="89">
        <v>60</v>
      </c>
      <c r="X154" s="93">
        <v>5.3</v>
      </c>
      <c r="Y154" s="89">
        <v>6.4</v>
      </c>
      <c r="Z154" s="89"/>
      <c r="AA154" s="89">
        <v>65</v>
      </c>
      <c r="AB154" s="93">
        <v>4.4000000000000004</v>
      </c>
      <c r="AC154" s="89">
        <v>4.4000000000000004</v>
      </c>
      <c r="AD154" s="89"/>
      <c r="AE154" s="89">
        <v>80</v>
      </c>
      <c r="AF154" s="93">
        <v>3.9</v>
      </c>
      <c r="AG154" s="89">
        <v>3.8</v>
      </c>
      <c r="AH154" s="89"/>
      <c r="AI154" s="89">
        <v>98</v>
      </c>
      <c r="AJ154" s="93"/>
      <c r="AK154" s="89"/>
      <c r="AL154" s="89"/>
      <c r="AM154" s="89">
        <v>100</v>
      </c>
      <c r="AN154" s="93"/>
      <c r="AO154" s="89"/>
      <c r="AP154" s="89"/>
    </row>
    <row r="155" spans="1:42" x14ac:dyDescent="0.2">
      <c r="A155" s="13" t="s">
        <v>1077</v>
      </c>
      <c r="B155" s="13">
        <v>326</v>
      </c>
      <c r="C155" s="1">
        <v>2</v>
      </c>
      <c r="D155" s="1">
        <v>13.2</v>
      </c>
      <c r="E155" s="1">
        <v>11.5</v>
      </c>
      <c r="F155" s="1"/>
      <c r="G155" s="1">
        <v>2</v>
      </c>
      <c r="H155" s="1">
        <v>12.6</v>
      </c>
      <c r="I155" s="1">
        <v>15.6</v>
      </c>
      <c r="J155" s="1"/>
      <c r="K155" s="89">
        <v>5</v>
      </c>
      <c r="L155" s="93">
        <v>13</v>
      </c>
      <c r="M155" s="89">
        <v>12.7</v>
      </c>
      <c r="N155" s="89"/>
      <c r="O155" s="89">
        <v>5</v>
      </c>
      <c r="P155" s="93">
        <v>8</v>
      </c>
      <c r="Q155" s="89">
        <v>6.2</v>
      </c>
      <c r="R155" s="89"/>
      <c r="S155" s="89">
        <v>5</v>
      </c>
      <c r="T155" s="93">
        <v>6.8</v>
      </c>
      <c r="U155" s="89">
        <v>6.2</v>
      </c>
      <c r="V155" s="89"/>
      <c r="W155" s="89">
        <v>10</v>
      </c>
      <c r="X155" s="93">
        <v>7.6</v>
      </c>
      <c r="Y155" s="89">
        <v>10.1</v>
      </c>
      <c r="Z155" s="89"/>
      <c r="AA155" s="89">
        <v>10</v>
      </c>
      <c r="AB155" s="93">
        <v>7.4</v>
      </c>
      <c r="AC155" s="89">
        <v>11.9</v>
      </c>
      <c r="AD155" s="89"/>
      <c r="AE155" s="89">
        <v>15</v>
      </c>
      <c r="AF155" s="93">
        <v>5.8</v>
      </c>
      <c r="AG155" s="89">
        <v>9</v>
      </c>
      <c r="AH155" s="89"/>
      <c r="AI155" s="89">
        <v>20</v>
      </c>
      <c r="AJ155" s="93">
        <v>7.7</v>
      </c>
      <c r="AK155" s="89">
        <v>8</v>
      </c>
      <c r="AL155" s="89"/>
      <c r="AM155" s="89">
        <v>90</v>
      </c>
      <c r="AN155" s="93">
        <v>5.9</v>
      </c>
      <c r="AO155" s="89">
        <v>5.6</v>
      </c>
      <c r="AP155" s="89"/>
    </row>
    <row r="156" spans="1:42" x14ac:dyDescent="0.2">
      <c r="A156" s="13" t="s">
        <v>1078</v>
      </c>
      <c r="B156" s="13">
        <v>327</v>
      </c>
      <c r="C156" s="1">
        <v>2</v>
      </c>
      <c r="D156" s="1">
        <v>10.4</v>
      </c>
      <c r="E156" s="1">
        <v>10</v>
      </c>
      <c r="F156" s="1"/>
      <c r="G156" s="1">
        <v>2</v>
      </c>
      <c r="H156" s="1">
        <v>8.8000000000000007</v>
      </c>
      <c r="I156" s="1">
        <v>9.6</v>
      </c>
      <c r="J156" s="1"/>
      <c r="K156" s="89">
        <v>5</v>
      </c>
      <c r="L156" s="93">
        <v>10.199999999999999</v>
      </c>
      <c r="M156" s="89">
        <v>8.5</v>
      </c>
      <c r="N156" s="89"/>
      <c r="O156" s="89">
        <v>5</v>
      </c>
      <c r="P156" s="93">
        <v>8.4</v>
      </c>
      <c r="Q156" s="89">
        <v>8.8000000000000007</v>
      </c>
      <c r="R156" s="89"/>
      <c r="S156" s="89">
        <v>5</v>
      </c>
      <c r="T156" s="93">
        <v>9.5</v>
      </c>
      <c r="U156" s="89">
        <v>8.6</v>
      </c>
      <c r="V156" s="89"/>
      <c r="W156" s="89">
        <v>15</v>
      </c>
      <c r="X156" s="93">
        <v>7.8</v>
      </c>
      <c r="Y156" s="89">
        <v>7.7</v>
      </c>
      <c r="Z156" s="89"/>
      <c r="AA156" s="89">
        <v>15</v>
      </c>
      <c r="AB156" s="93">
        <v>8.1</v>
      </c>
      <c r="AC156" s="89">
        <v>6.8</v>
      </c>
      <c r="AD156" s="89"/>
      <c r="AE156" s="89">
        <v>25</v>
      </c>
      <c r="AF156" s="93">
        <v>6</v>
      </c>
      <c r="AG156" s="89">
        <v>6.2</v>
      </c>
      <c r="AH156" s="89"/>
      <c r="AI156" s="89">
        <v>90</v>
      </c>
      <c r="AJ156" s="93">
        <v>4.5999999999999996</v>
      </c>
      <c r="AK156" s="89">
        <v>3.6</v>
      </c>
      <c r="AL156" s="89"/>
      <c r="AM156" s="89">
        <v>100</v>
      </c>
      <c r="AN156" s="93"/>
      <c r="AO156" s="89"/>
      <c r="AP156" s="89"/>
    </row>
    <row r="157" spans="1:42" x14ac:dyDescent="0.2">
      <c r="A157" s="13" t="s">
        <v>1079</v>
      </c>
      <c r="B157" s="13">
        <v>328</v>
      </c>
      <c r="C157" s="1">
        <v>5</v>
      </c>
      <c r="D157" s="1">
        <v>12.8</v>
      </c>
      <c r="E157" s="1">
        <v>11.5</v>
      </c>
      <c r="F157" s="1"/>
      <c r="G157" s="1">
        <v>5</v>
      </c>
      <c r="H157" s="1">
        <v>12</v>
      </c>
      <c r="I157" s="1">
        <v>12.3</v>
      </c>
      <c r="J157" s="1"/>
      <c r="K157" s="89">
        <v>5</v>
      </c>
      <c r="L157" s="93">
        <v>12.6</v>
      </c>
      <c r="M157" s="89">
        <v>7.9</v>
      </c>
      <c r="N157" s="89"/>
      <c r="O157" s="89">
        <v>10</v>
      </c>
      <c r="P157" s="93">
        <v>7.4</v>
      </c>
      <c r="Q157" s="89">
        <v>10.6</v>
      </c>
      <c r="R157" s="89"/>
      <c r="S157" s="89">
        <v>15</v>
      </c>
      <c r="T157" s="93">
        <v>7.1</v>
      </c>
      <c r="U157" s="89">
        <v>12.5</v>
      </c>
      <c r="V157" s="89"/>
      <c r="W157" s="89">
        <v>35</v>
      </c>
      <c r="X157" s="93">
        <v>7.2</v>
      </c>
      <c r="Y157" s="89">
        <v>9.6999999999999993</v>
      </c>
      <c r="Z157" s="89"/>
      <c r="AA157" s="89">
        <v>40</v>
      </c>
      <c r="AB157" s="93">
        <v>9.3000000000000007</v>
      </c>
      <c r="AC157" s="89">
        <v>7.6</v>
      </c>
      <c r="AD157" s="89"/>
      <c r="AE157" s="89">
        <v>65</v>
      </c>
      <c r="AF157" s="93">
        <v>5.2</v>
      </c>
      <c r="AG157" s="89">
        <v>5.4</v>
      </c>
      <c r="AH157" s="89"/>
      <c r="AI157" s="89">
        <v>90</v>
      </c>
      <c r="AJ157" s="93">
        <v>7.6</v>
      </c>
      <c r="AK157" s="89">
        <v>1.7</v>
      </c>
      <c r="AL157" s="89"/>
      <c r="AM157" s="89">
        <v>100</v>
      </c>
      <c r="AN157" s="93"/>
      <c r="AO157" s="89"/>
      <c r="AP157" s="89"/>
    </row>
    <row r="158" spans="1:42" x14ac:dyDescent="0.2">
      <c r="A158" s="19" t="s">
        <v>1091</v>
      </c>
      <c r="B158" s="19">
        <v>337</v>
      </c>
      <c r="C158" s="37">
        <v>5</v>
      </c>
      <c r="D158" s="37">
        <v>10.3</v>
      </c>
      <c r="E158" s="37">
        <v>12</v>
      </c>
      <c r="F158" s="37"/>
      <c r="G158" s="37">
        <v>10</v>
      </c>
      <c r="H158" s="37">
        <v>8.6999999999999993</v>
      </c>
      <c r="I158" s="37">
        <v>10.1</v>
      </c>
      <c r="J158" s="37"/>
      <c r="K158" s="88">
        <v>10</v>
      </c>
      <c r="L158" s="92">
        <v>7.2</v>
      </c>
      <c r="M158" s="88">
        <v>8.6</v>
      </c>
      <c r="N158" s="88"/>
      <c r="O158" s="88">
        <v>5</v>
      </c>
      <c r="P158" s="92">
        <v>11.6</v>
      </c>
      <c r="Q158" s="88">
        <v>9.1</v>
      </c>
      <c r="R158" s="88"/>
      <c r="S158" s="88">
        <v>15</v>
      </c>
      <c r="T158" s="92">
        <v>9.1</v>
      </c>
      <c r="U158" s="88">
        <v>8</v>
      </c>
      <c r="V158" s="88"/>
      <c r="W158" s="88">
        <v>30</v>
      </c>
      <c r="X158" s="92">
        <v>5.6</v>
      </c>
      <c r="Y158" s="88">
        <v>8.1999999999999993</v>
      </c>
      <c r="Z158" s="88"/>
      <c r="AA158" s="88">
        <v>30</v>
      </c>
      <c r="AB158" s="92">
        <v>7.5</v>
      </c>
      <c r="AC158" s="88">
        <v>8</v>
      </c>
      <c r="AD158" s="88"/>
      <c r="AE158" s="88">
        <v>35</v>
      </c>
      <c r="AF158" s="92">
        <v>7.8</v>
      </c>
      <c r="AG158" s="88">
        <v>7.4</v>
      </c>
      <c r="AH158" s="88"/>
      <c r="AI158" s="88">
        <v>55</v>
      </c>
      <c r="AJ158" s="92">
        <v>4.5999999999999996</v>
      </c>
      <c r="AK158" s="88">
        <v>5.5</v>
      </c>
      <c r="AL158" s="88"/>
      <c r="AM158" s="88">
        <v>85</v>
      </c>
      <c r="AN158" s="92">
        <v>5</v>
      </c>
      <c r="AO158" s="88">
        <v>4.8</v>
      </c>
      <c r="AP158" s="88"/>
    </row>
    <row r="159" spans="1:42" x14ac:dyDescent="0.2">
      <c r="A159" s="19" t="s">
        <v>1094</v>
      </c>
      <c r="B159" s="19">
        <v>340</v>
      </c>
      <c r="C159" s="37">
        <v>5</v>
      </c>
      <c r="D159" s="37">
        <v>15.4</v>
      </c>
      <c r="E159" s="37">
        <v>16.8</v>
      </c>
      <c r="F159" s="37" t="s">
        <v>1865</v>
      </c>
      <c r="G159" s="37">
        <v>10</v>
      </c>
      <c r="H159" s="37">
        <v>14.9</v>
      </c>
      <c r="I159" s="37">
        <v>14.6</v>
      </c>
      <c r="J159" s="37"/>
      <c r="K159" s="88">
        <v>10</v>
      </c>
      <c r="L159" s="92">
        <v>15.2</v>
      </c>
      <c r="M159" s="88">
        <v>13.9</v>
      </c>
      <c r="N159" s="88"/>
      <c r="O159" s="88">
        <v>5</v>
      </c>
      <c r="P159" s="92">
        <v>14.9</v>
      </c>
      <c r="Q159" s="88">
        <v>9.9</v>
      </c>
      <c r="R159" s="88"/>
      <c r="S159" s="88">
        <v>5</v>
      </c>
      <c r="T159" s="92">
        <v>14.3</v>
      </c>
      <c r="U159" s="88">
        <v>14</v>
      </c>
      <c r="V159" s="88"/>
      <c r="W159" s="88">
        <v>10</v>
      </c>
      <c r="X159" s="92">
        <v>13.4</v>
      </c>
      <c r="Y159" s="88">
        <v>12.9</v>
      </c>
      <c r="Z159" s="88"/>
      <c r="AA159" s="88">
        <v>15</v>
      </c>
      <c r="AB159" s="92">
        <v>13.4</v>
      </c>
      <c r="AC159" s="88">
        <v>5.9</v>
      </c>
      <c r="AD159" s="88"/>
      <c r="AE159" s="88">
        <v>20</v>
      </c>
      <c r="AF159" s="92">
        <v>9.5</v>
      </c>
      <c r="AG159" s="88">
        <v>10.8</v>
      </c>
      <c r="AH159" s="88"/>
      <c r="AI159" s="88">
        <v>45</v>
      </c>
      <c r="AJ159" s="92">
        <v>7</v>
      </c>
      <c r="AK159" s="88">
        <v>7.8</v>
      </c>
      <c r="AL159" s="88"/>
      <c r="AM159" s="88">
        <v>95</v>
      </c>
      <c r="AN159" s="92">
        <v>7.1</v>
      </c>
      <c r="AO159" s="88">
        <v>7</v>
      </c>
      <c r="AP159" s="88"/>
    </row>
    <row r="160" spans="1:42" x14ac:dyDescent="0.2">
      <c r="A160" s="19" t="s">
        <v>1095</v>
      </c>
      <c r="B160" s="19">
        <v>341</v>
      </c>
      <c r="C160" s="37">
        <v>5</v>
      </c>
      <c r="D160" s="37">
        <v>10.7</v>
      </c>
      <c r="E160" s="37">
        <v>11.3</v>
      </c>
      <c r="F160" s="37"/>
      <c r="G160" s="37">
        <v>5</v>
      </c>
      <c r="H160" s="37">
        <v>13.8</v>
      </c>
      <c r="I160" s="37">
        <v>11</v>
      </c>
      <c r="J160" s="37"/>
      <c r="K160" s="88">
        <v>10</v>
      </c>
      <c r="L160" s="92">
        <v>10.4</v>
      </c>
      <c r="M160" s="88">
        <v>9.8000000000000007</v>
      </c>
      <c r="N160" s="88"/>
      <c r="O160" s="88">
        <v>10</v>
      </c>
      <c r="P160" s="92">
        <v>10.5</v>
      </c>
      <c r="Q160" s="88">
        <v>9.1999999999999993</v>
      </c>
      <c r="R160" s="88"/>
      <c r="S160" s="88">
        <v>10</v>
      </c>
      <c r="T160" s="92">
        <v>9.6999999999999993</v>
      </c>
      <c r="U160" s="88">
        <v>9.9</v>
      </c>
      <c r="V160" s="88"/>
      <c r="W160" s="88">
        <v>25</v>
      </c>
      <c r="X160" s="92">
        <v>7.8</v>
      </c>
      <c r="Y160" s="88">
        <v>9</v>
      </c>
      <c r="Z160" s="88"/>
      <c r="AA160" s="88">
        <v>20</v>
      </c>
      <c r="AB160" s="92">
        <v>7.9</v>
      </c>
      <c r="AC160" s="88">
        <v>7.7</v>
      </c>
      <c r="AD160" s="88"/>
      <c r="AE160" s="88">
        <v>30</v>
      </c>
      <c r="AF160" s="92">
        <v>6.4</v>
      </c>
      <c r="AG160" s="88">
        <v>6.1</v>
      </c>
      <c r="AH160" s="88"/>
      <c r="AI160" s="88">
        <v>60</v>
      </c>
      <c r="AJ160" s="92">
        <v>3.1</v>
      </c>
      <c r="AK160" s="88">
        <v>3</v>
      </c>
      <c r="AL160" s="88"/>
      <c r="AM160" s="88">
        <v>100</v>
      </c>
      <c r="AN160" s="92"/>
      <c r="AO160" s="88"/>
      <c r="AP160" s="88"/>
    </row>
    <row r="161" spans="1:42" x14ac:dyDescent="0.2">
      <c r="A161" s="19" t="s">
        <v>1098</v>
      </c>
      <c r="B161" s="19">
        <v>344</v>
      </c>
      <c r="C161" s="37">
        <v>10</v>
      </c>
      <c r="D161" s="37">
        <v>9.9</v>
      </c>
      <c r="E161" s="37">
        <v>12.2</v>
      </c>
      <c r="F161" s="37"/>
      <c r="G161" s="37">
        <v>15</v>
      </c>
      <c r="H161" s="37">
        <v>10.8</v>
      </c>
      <c r="I161" s="37">
        <v>11.1</v>
      </c>
      <c r="J161" s="37"/>
      <c r="K161" s="88">
        <v>15</v>
      </c>
      <c r="L161" s="92">
        <v>9.8000000000000007</v>
      </c>
      <c r="M161" s="88">
        <v>11.5</v>
      </c>
      <c r="N161" s="88"/>
      <c r="O161" s="88">
        <v>15</v>
      </c>
      <c r="P161" s="92">
        <v>8.4</v>
      </c>
      <c r="Q161" s="88">
        <v>9</v>
      </c>
      <c r="R161" s="88"/>
      <c r="S161" s="88">
        <v>20</v>
      </c>
      <c r="T161" s="92">
        <v>9.3000000000000007</v>
      </c>
      <c r="U161" s="88">
        <v>9</v>
      </c>
      <c r="V161" s="88"/>
      <c r="W161" s="88">
        <v>40</v>
      </c>
      <c r="X161" s="92">
        <v>8.5</v>
      </c>
      <c r="Y161" s="88">
        <v>7.4</v>
      </c>
      <c r="Z161" s="88"/>
      <c r="AA161" s="88">
        <v>50</v>
      </c>
      <c r="AB161" s="92">
        <v>3.1</v>
      </c>
      <c r="AC161" s="88">
        <v>9.4</v>
      </c>
      <c r="AD161" s="88"/>
      <c r="AE161" s="88">
        <v>75</v>
      </c>
      <c r="AF161" s="92">
        <v>3.1</v>
      </c>
      <c r="AG161" s="88">
        <v>6.8</v>
      </c>
      <c r="AH161" s="88"/>
      <c r="AI161" s="88">
        <v>98</v>
      </c>
      <c r="AJ161" s="92"/>
      <c r="AK161" s="88"/>
      <c r="AL161" s="88"/>
      <c r="AM161" s="88">
        <v>100</v>
      </c>
      <c r="AN161" s="92"/>
      <c r="AO161" s="88"/>
      <c r="AP161" s="88"/>
    </row>
    <row r="162" spans="1:42" x14ac:dyDescent="0.2">
      <c r="A162" s="13" t="s">
        <v>1100</v>
      </c>
      <c r="B162" s="13">
        <v>345</v>
      </c>
      <c r="C162" s="1">
        <v>95</v>
      </c>
      <c r="D162" s="1"/>
      <c r="E162" s="1"/>
      <c r="F162" s="1" t="s">
        <v>1810</v>
      </c>
      <c r="G162" s="1">
        <v>98</v>
      </c>
      <c r="H162" s="1"/>
      <c r="I162" s="1"/>
      <c r="J162" s="1"/>
      <c r="K162" s="89">
        <v>98</v>
      </c>
      <c r="L162" s="93"/>
      <c r="M162" s="89"/>
      <c r="N162" s="89"/>
      <c r="O162" s="89">
        <v>98</v>
      </c>
      <c r="P162" s="93"/>
      <c r="Q162" s="89"/>
      <c r="R162" s="89"/>
      <c r="S162" s="89">
        <v>98</v>
      </c>
      <c r="T162" s="93"/>
      <c r="U162" s="89"/>
      <c r="V162" s="89"/>
      <c r="W162" s="89">
        <v>98</v>
      </c>
      <c r="X162" s="93"/>
      <c r="Y162" s="89"/>
      <c r="Z162" s="89"/>
      <c r="AA162" s="89">
        <v>98</v>
      </c>
      <c r="AB162" s="93"/>
      <c r="AC162" s="89"/>
      <c r="AD162" s="89"/>
      <c r="AE162" s="89">
        <v>98</v>
      </c>
      <c r="AF162" s="93"/>
      <c r="AG162" s="89"/>
      <c r="AH162" s="89"/>
      <c r="AI162" s="89">
        <v>100</v>
      </c>
      <c r="AJ162" s="93"/>
      <c r="AK162" s="89"/>
      <c r="AL162" s="89"/>
      <c r="AM162" s="89">
        <v>100</v>
      </c>
      <c r="AN162" s="93"/>
      <c r="AO162" s="89"/>
      <c r="AP162" s="89"/>
    </row>
    <row r="163" spans="1:42" x14ac:dyDescent="0.2">
      <c r="A163" s="13" t="s">
        <v>1101</v>
      </c>
      <c r="B163" s="13">
        <v>346</v>
      </c>
      <c r="C163" s="1">
        <v>98</v>
      </c>
      <c r="D163" s="1"/>
      <c r="E163" s="1"/>
      <c r="F163" s="1" t="s">
        <v>1811</v>
      </c>
      <c r="G163" s="1">
        <v>98</v>
      </c>
      <c r="H163" s="1"/>
      <c r="I163" s="1"/>
      <c r="J163" s="1"/>
      <c r="K163" s="89">
        <v>98</v>
      </c>
      <c r="L163" s="93"/>
      <c r="M163" s="89"/>
      <c r="N163" s="89"/>
      <c r="O163" s="89">
        <v>98</v>
      </c>
      <c r="P163" s="93"/>
      <c r="Q163" s="89"/>
      <c r="R163" s="89"/>
      <c r="S163" s="89">
        <v>100</v>
      </c>
      <c r="T163" s="93"/>
      <c r="U163" s="89"/>
      <c r="V163" s="89"/>
      <c r="W163" s="89">
        <v>100</v>
      </c>
      <c r="X163" s="93"/>
      <c r="Y163" s="89"/>
      <c r="Z163" s="89"/>
      <c r="AA163" s="89">
        <v>100</v>
      </c>
      <c r="AB163" s="93"/>
      <c r="AC163" s="89"/>
      <c r="AD163" s="89"/>
      <c r="AE163" s="89">
        <v>100</v>
      </c>
      <c r="AF163" s="93"/>
      <c r="AG163" s="89"/>
      <c r="AH163" s="89"/>
      <c r="AI163" s="89">
        <v>100</v>
      </c>
      <c r="AJ163" s="93"/>
      <c r="AK163" s="89"/>
      <c r="AL163" s="89"/>
      <c r="AM163" s="89">
        <v>100</v>
      </c>
      <c r="AN163" s="93"/>
      <c r="AO163" s="89"/>
      <c r="AP163" s="89"/>
    </row>
    <row r="164" spans="1:42" x14ac:dyDescent="0.2">
      <c r="A164" s="13" t="s">
        <v>1102</v>
      </c>
      <c r="B164" s="13">
        <v>347</v>
      </c>
      <c r="C164" s="1">
        <v>98</v>
      </c>
      <c r="D164" s="1"/>
      <c r="E164" s="1"/>
      <c r="F164" s="1" t="s">
        <v>1811</v>
      </c>
      <c r="G164" s="1">
        <v>98</v>
      </c>
      <c r="H164" s="1"/>
      <c r="I164" s="1"/>
      <c r="J164" s="1"/>
      <c r="K164" s="89">
        <v>98</v>
      </c>
      <c r="L164" s="93"/>
      <c r="M164" s="89"/>
      <c r="N164" s="89"/>
      <c r="O164" s="89">
        <v>98</v>
      </c>
      <c r="P164" s="93"/>
      <c r="Q164" s="89"/>
      <c r="R164" s="89"/>
      <c r="S164" s="89">
        <v>98</v>
      </c>
      <c r="T164" s="93"/>
      <c r="U164" s="89"/>
      <c r="V164" s="89"/>
      <c r="W164" s="89">
        <v>98</v>
      </c>
      <c r="X164" s="93"/>
      <c r="Y164" s="89"/>
      <c r="Z164" s="89"/>
      <c r="AA164" s="89">
        <v>98</v>
      </c>
      <c r="AB164" s="93"/>
      <c r="AC164" s="89"/>
      <c r="AD164" s="89"/>
      <c r="AE164" s="89">
        <v>98</v>
      </c>
      <c r="AF164" s="93"/>
      <c r="AG164" s="89"/>
      <c r="AH164" s="89"/>
      <c r="AI164" s="89">
        <v>100</v>
      </c>
      <c r="AJ164" s="93"/>
      <c r="AK164" s="89"/>
      <c r="AL164" s="89"/>
      <c r="AM164" s="89">
        <v>100</v>
      </c>
      <c r="AN164" s="93"/>
      <c r="AO164" s="89"/>
      <c r="AP164" s="89"/>
    </row>
    <row r="165" spans="1:42" x14ac:dyDescent="0.2">
      <c r="A165" s="13" t="s">
        <v>1103</v>
      </c>
      <c r="B165" s="13">
        <v>348</v>
      </c>
      <c r="C165" s="1">
        <v>100</v>
      </c>
      <c r="D165" s="1"/>
      <c r="E165" s="1"/>
      <c r="F165" s="1" t="s">
        <v>1811</v>
      </c>
      <c r="G165" s="1">
        <v>100</v>
      </c>
      <c r="H165" s="1"/>
      <c r="I165" s="1"/>
      <c r="J165" s="1"/>
      <c r="K165" s="89">
        <v>100</v>
      </c>
      <c r="L165" s="93"/>
      <c r="M165" s="89"/>
      <c r="N165" s="89"/>
      <c r="O165" s="89">
        <v>100</v>
      </c>
      <c r="P165" s="93"/>
      <c r="Q165" s="89"/>
      <c r="R165" s="89"/>
      <c r="S165" s="89">
        <v>100</v>
      </c>
      <c r="T165" s="93"/>
      <c r="U165" s="89"/>
      <c r="V165" s="89"/>
      <c r="W165" s="89">
        <v>100</v>
      </c>
      <c r="X165" s="93"/>
      <c r="Y165" s="89"/>
      <c r="Z165" s="89"/>
      <c r="AA165" s="89">
        <v>100</v>
      </c>
      <c r="AB165" s="93"/>
      <c r="AC165" s="89"/>
      <c r="AD165" s="89"/>
      <c r="AE165" s="89">
        <v>100</v>
      </c>
      <c r="AF165" s="93"/>
      <c r="AG165" s="89"/>
      <c r="AH165" s="89"/>
      <c r="AI165" s="89">
        <v>100</v>
      </c>
      <c r="AJ165" s="93"/>
      <c r="AK165" s="89"/>
      <c r="AL165" s="89"/>
      <c r="AM165" s="89">
        <v>100</v>
      </c>
      <c r="AN165" s="93"/>
      <c r="AO165" s="89"/>
      <c r="AP165" s="89"/>
    </row>
    <row r="166" spans="1:42" x14ac:dyDescent="0.2">
      <c r="A166" s="13" t="s">
        <v>1104</v>
      </c>
      <c r="B166" s="13">
        <v>349</v>
      </c>
      <c r="C166" s="1">
        <v>100</v>
      </c>
      <c r="D166" s="1"/>
      <c r="E166" s="1"/>
      <c r="F166" s="1" t="s">
        <v>1810</v>
      </c>
      <c r="G166" s="1">
        <v>100</v>
      </c>
      <c r="H166" s="1"/>
      <c r="I166" s="1"/>
      <c r="J166" s="1"/>
      <c r="K166" s="89">
        <v>100</v>
      </c>
      <c r="L166" s="93"/>
      <c r="M166" s="89"/>
      <c r="N166" s="89"/>
      <c r="O166" s="89">
        <v>100</v>
      </c>
      <c r="P166" s="93"/>
      <c r="Q166" s="89"/>
      <c r="R166" s="89"/>
      <c r="S166" s="89">
        <v>100</v>
      </c>
      <c r="T166" s="93"/>
      <c r="U166" s="89"/>
      <c r="V166" s="89"/>
      <c r="W166" s="89">
        <v>100</v>
      </c>
      <c r="X166" s="93"/>
      <c r="Y166" s="89"/>
      <c r="Z166" s="89"/>
      <c r="AA166" s="89">
        <v>100</v>
      </c>
      <c r="AB166" s="93"/>
      <c r="AC166" s="89"/>
      <c r="AD166" s="89"/>
      <c r="AE166" s="89">
        <v>100</v>
      </c>
      <c r="AF166" s="93"/>
      <c r="AG166" s="89"/>
      <c r="AH166" s="89"/>
      <c r="AI166" s="89">
        <v>100</v>
      </c>
      <c r="AJ166" s="93"/>
      <c r="AK166" s="89"/>
      <c r="AL166" s="89"/>
      <c r="AM166" s="89">
        <v>100</v>
      </c>
      <c r="AN166" s="93"/>
      <c r="AO166" s="89"/>
      <c r="AP166" s="89"/>
    </row>
    <row r="167" spans="1:42" x14ac:dyDescent="0.2">
      <c r="A167" s="13" t="s">
        <v>1105</v>
      </c>
      <c r="B167" s="13">
        <v>350</v>
      </c>
      <c r="C167" s="1">
        <v>100</v>
      </c>
      <c r="D167" s="1"/>
      <c r="E167" s="1"/>
      <c r="F167" s="1" t="s">
        <v>1810</v>
      </c>
      <c r="G167" s="1">
        <v>100</v>
      </c>
      <c r="H167" s="1"/>
      <c r="I167" s="1"/>
      <c r="J167" s="1"/>
      <c r="K167" s="89">
        <v>100</v>
      </c>
      <c r="L167" s="93"/>
      <c r="M167" s="89"/>
      <c r="N167" s="89"/>
      <c r="O167" s="89">
        <v>100</v>
      </c>
      <c r="P167" s="93"/>
      <c r="Q167" s="89"/>
      <c r="R167" s="89"/>
      <c r="S167" s="89">
        <v>100</v>
      </c>
      <c r="T167" s="93"/>
      <c r="U167" s="89"/>
      <c r="V167" s="89"/>
      <c r="W167" s="89">
        <v>100</v>
      </c>
      <c r="X167" s="93"/>
      <c r="Y167" s="89"/>
      <c r="Z167" s="89"/>
      <c r="AA167" s="89">
        <v>100</v>
      </c>
      <c r="AB167" s="93"/>
      <c r="AC167" s="89"/>
      <c r="AD167" s="89"/>
      <c r="AE167" s="89">
        <v>100</v>
      </c>
      <c r="AF167" s="93"/>
      <c r="AG167" s="89"/>
      <c r="AH167" s="89"/>
      <c r="AI167" s="89">
        <v>100</v>
      </c>
      <c r="AJ167" s="93"/>
      <c r="AK167" s="89"/>
      <c r="AL167" s="89"/>
      <c r="AM167" s="89">
        <v>100</v>
      </c>
      <c r="AN167" s="93"/>
      <c r="AO167" s="89"/>
      <c r="AP167" s="89"/>
    </row>
    <row r="168" spans="1:42" x14ac:dyDescent="0.2">
      <c r="A168" s="13" t="s">
        <v>1106</v>
      </c>
      <c r="B168" s="13">
        <v>351</v>
      </c>
      <c r="C168" s="1">
        <v>98</v>
      </c>
      <c r="D168" s="1"/>
      <c r="E168" s="1"/>
      <c r="F168" s="1" t="s">
        <v>1811</v>
      </c>
      <c r="G168" s="1">
        <v>100</v>
      </c>
      <c r="H168" s="1"/>
      <c r="I168" s="1"/>
      <c r="J168" s="1"/>
      <c r="K168" s="89">
        <v>100</v>
      </c>
      <c r="L168" s="93"/>
      <c r="M168" s="89"/>
      <c r="N168" s="89"/>
      <c r="O168" s="89">
        <v>100</v>
      </c>
      <c r="P168" s="93"/>
      <c r="Q168" s="89"/>
      <c r="R168" s="89"/>
      <c r="S168" s="89">
        <v>100</v>
      </c>
      <c r="T168" s="93"/>
      <c r="U168" s="89"/>
      <c r="V168" s="89"/>
      <c r="W168" s="89">
        <v>100</v>
      </c>
      <c r="X168" s="93"/>
      <c r="Y168" s="89"/>
      <c r="Z168" s="89"/>
      <c r="AA168" s="89">
        <v>100</v>
      </c>
      <c r="AB168" s="93"/>
      <c r="AC168" s="89"/>
      <c r="AD168" s="89"/>
      <c r="AE168" s="89">
        <v>100</v>
      </c>
      <c r="AF168" s="93"/>
      <c r="AG168" s="89"/>
      <c r="AH168" s="89"/>
      <c r="AI168" s="89">
        <v>100</v>
      </c>
      <c r="AJ168" s="93"/>
      <c r="AK168" s="89"/>
      <c r="AL168" s="89"/>
      <c r="AM168" s="89">
        <v>100</v>
      </c>
      <c r="AN168" s="93"/>
      <c r="AO168" s="89"/>
      <c r="AP168" s="89"/>
    </row>
    <row r="169" spans="1:42" x14ac:dyDescent="0.2">
      <c r="A169" s="13" t="s">
        <v>1107</v>
      </c>
      <c r="B169" s="13">
        <v>352</v>
      </c>
      <c r="C169" s="1">
        <v>100</v>
      </c>
      <c r="D169" s="1"/>
      <c r="E169" s="1"/>
      <c r="F169" s="1" t="s">
        <v>1810</v>
      </c>
      <c r="G169" s="1">
        <v>100</v>
      </c>
      <c r="H169" s="1"/>
      <c r="I169" s="1"/>
      <c r="J169" s="1"/>
      <c r="K169" s="89">
        <v>100</v>
      </c>
      <c r="L169" s="93"/>
      <c r="M169" s="89"/>
      <c r="N169" s="89"/>
      <c r="O169" s="89">
        <v>100</v>
      </c>
      <c r="P169" s="93"/>
      <c r="Q169" s="89"/>
      <c r="R169" s="89"/>
      <c r="S169" s="89">
        <v>100</v>
      </c>
      <c r="T169" s="93"/>
      <c r="U169" s="89"/>
      <c r="V169" s="89"/>
      <c r="W169" s="89">
        <v>100</v>
      </c>
      <c r="X169" s="93"/>
      <c r="Y169" s="89"/>
      <c r="Z169" s="89"/>
      <c r="AA169" s="89">
        <v>100</v>
      </c>
      <c r="AB169" s="93"/>
      <c r="AC169" s="89"/>
      <c r="AD169" s="89"/>
      <c r="AE169" s="89">
        <v>100</v>
      </c>
      <c r="AF169" s="93"/>
      <c r="AG169" s="89"/>
      <c r="AH169" s="89"/>
      <c r="AI169" s="89">
        <v>100</v>
      </c>
      <c r="AJ169" s="93"/>
      <c r="AK169" s="89"/>
      <c r="AL169" s="89"/>
      <c r="AM169" s="89">
        <v>100</v>
      </c>
      <c r="AN169" s="93"/>
      <c r="AO169" s="89"/>
      <c r="AP169" s="89"/>
    </row>
    <row r="170" spans="1:42" x14ac:dyDescent="0.2">
      <c r="A170" s="19" t="s">
        <v>1109</v>
      </c>
      <c r="B170" s="19">
        <v>353</v>
      </c>
      <c r="C170" s="37">
        <v>100</v>
      </c>
      <c r="D170" s="37"/>
      <c r="E170" s="37"/>
      <c r="F170" s="37" t="s">
        <v>1810</v>
      </c>
      <c r="G170" s="37">
        <v>100</v>
      </c>
      <c r="H170" s="37"/>
      <c r="I170" s="37"/>
      <c r="J170" s="37"/>
      <c r="K170" s="88">
        <v>100</v>
      </c>
      <c r="L170" s="92"/>
      <c r="M170" s="88"/>
      <c r="N170" s="88"/>
      <c r="O170" s="88">
        <v>100</v>
      </c>
      <c r="P170" s="92"/>
      <c r="Q170" s="88"/>
      <c r="R170" s="88"/>
      <c r="S170" s="88">
        <v>100</v>
      </c>
      <c r="T170" s="92"/>
      <c r="U170" s="88"/>
      <c r="V170" s="88"/>
      <c r="W170" s="88">
        <v>100</v>
      </c>
      <c r="X170" s="92"/>
      <c r="Y170" s="88"/>
      <c r="Z170" s="88"/>
      <c r="AA170" s="88">
        <v>100</v>
      </c>
      <c r="AB170" s="92"/>
      <c r="AC170" s="88"/>
      <c r="AD170" s="88"/>
      <c r="AE170" s="88">
        <v>100</v>
      </c>
      <c r="AF170" s="92"/>
      <c r="AG170" s="88"/>
      <c r="AH170" s="88"/>
      <c r="AI170" s="88">
        <v>100</v>
      </c>
      <c r="AJ170" s="92"/>
      <c r="AK170" s="88"/>
      <c r="AL170" s="88"/>
      <c r="AM170" s="88">
        <v>100</v>
      </c>
      <c r="AN170" s="92"/>
      <c r="AO170" s="88"/>
      <c r="AP170" s="88"/>
    </row>
    <row r="171" spans="1:42" x14ac:dyDescent="0.2">
      <c r="A171" s="19" t="s">
        <v>1110</v>
      </c>
      <c r="B171" s="19">
        <v>354</v>
      </c>
      <c r="C171" s="37">
        <v>15</v>
      </c>
      <c r="D171" s="37">
        <v>10.4</v>
      </c>
      <c r="E171" s="37">
        <v>11</v>
      </c>
      <c r="F171" s="37" t="s">
        <v>1810</v>
      </c>
      <c r="G171" s="37">
        <v>40</v>
      </c>
      <c r="H171" s="37">
        <v>11.6</v>
      </c>
      <c r="I171" s="37">
        <v>10.8</v>
      </c>
      <c r="J171" s="37"/>
      <c r="K171" s="88">
        <v>60</v>
      </c>
      <c r="L171" s="92">
        <v>11.9</v>
      </c>
      <c r="M171" s="88">
        <v>9.1</v>
      </c>
      <c r="N171" s="88"/>
      <c r="O171" s="88">
        <v>60</v>
      </c>
      <c r="P171" s="92">
        <v>9.1999999999999993</v>
      </c>
      <c r="Q171" s="88">
        <v>9.8000000000000007</v>
      </c>
      <c r="R171" s="88"/>
      <c r="S171" s="88">
        <v>60</v>
      </c>
      <c r="T171" s="92">
        <v>10.7</v>
      </c>
      <c r="U171" s="88">
        <v>11.1</v>
      </c>
      <c r="V171" s="88"/>
      <c r="W171" s="88">
        <v>65</v>
      </c>
      <c r="X171" s="92">
        <v>9.5</v>
      </c>
      <c r="Y171" s="88">
        <v>9</v>
      </c>
      <c r="Z171" s="88"/>
      <c r="AA171" s="88">
        <v>65</v>
      </c>
      <c r="AB171" s="92">
        <v>9.3000000000000007</v>
      </c>
      <c r="AC171" s="88">
        <v>10.3</v>
      </c>
      <c r="AD171" s="88"/>
      <c r="AE171" s="88">
        <v>70</v>
      </c>
      <c r="AF171" s="92">
        <v>7.3</v>
      </c>
      <c r="AG171" s="88">
        <v>5.7</v>
      </c>
      <c r="AH171" s="88"/>
      <c r="AI171" s="88">
        <v>80</v>
      </c>
      <c r="AJ171" s="92">
        <v>6.3</v>
      </c>
      <c r="AK171" s="88">
        <v>2.5</v>
      </c>
      <c r="AL171" s="88"/>
      <c r="AM171" s="88">
        <v>100</v>
      </c>
      <c r="AN171" s="92"/>
      <c r="AO171" s="88"/>
      <c r="AP171" s="88"/>
    </row>
    <row r="172" spans="1:42" x14ac:dyDescent="0.2">
      <c r="A172" s="19" t="s">
        <v>1111</v>
      </c>
      <c r="B172" s="19">
        <v>355</v>
      </c>
      <c r="C172" s="37">
        <v>75</v>
      </c>
      <c r="D172" s="37">
        <v>4.5999999999999996</v>
      </c>
      <c r="E172" s="37">
        <v>5.3</v>
      </c>
      <c r="F172" s="37" t="s">
        <v>1810</v>
      </c>
      <c r="G172" s="37">
        <v>75</v>
      </c>
      <c r="H172" s="37">
        <v>3.8</v>
      </c>
      <c r="I172" s="37">
        <v>3.9</v>
      </c>
      <c r="J172" s="37"/>
      <c r="K172" s="88">
        <v>95</v>
      </c>
      <c r="L172" s="92">
        <v>3.4</v>
      </c>
      <c r="M172" s="88">
        <v>4.4000000000000004</v>
      </c>
      <c r="N172" s="88"/>
      <c r="O172" s="88">
        <v>95</v>
      </c>
      <c r="P172" s="92">
        <v>3.7</v>
      </c>
      <c r="Q172" s="88">
        <v>3.9</v>
      </c>
      <c r="R172" s="88"/>
      <c r="S172" s="88">
        <v>95</v>
      </c>
      <c r="T172" s="92"/>
      <c r="U172" s="88"/>
      <c r="V172" s="88"/>
      <c r="W172" s="88">
        <v>95</v>
      </c>
      <c r="X172" s="92"/>
      <c r="Y172" s="88"/>
      <c r="Z172" s="88"/>
      <c r="AA172" s="88">
        <v>95</v>
      </c>
      <c r="AB172" s="92"/>
      <c r="AC172" s="88"/>
      <c r="AD172" s="88"/>
      <c r="AE172" s="88">
        <v>98</v>
      </c>
      <c r="AF172" s="92"/>
      <c r="AG172" s="88"/>
      <c r="AH172" s="88"/>
      <c r="AI172" s="88">
        <v>100</v>
      </c>
      <c r="AJ172" s="92"/>
      <c r="AK172" s="88"/>
      <c r="AL172" s="88"/>
      <c r="AM172" s="88">
        <v>100</v>
      </c>
      <c r="AN172" s="92"/>
      <c r="AO172" s="88"/>
      <c r="AP172" s="88"/>
    </row>
    <row r="173" spans="1:42" x14ac:dyDescent="0.2">
      <c r="A173" s="19" t="s">
        <v>1112</v>
      </c>
      <c r="B173" s="19">
        <v>356</v>
      </c>
      <c r="C173" s="37">
        <v>80</v>
      </c>
      <c r="D173" s="37">
        <v>10.8</v>
      </c>
      <c r="E173" s="37">
        <v>7.2</v>
      </c>
      <c r="F173" s="37" t="s">
        <v>1811</v>
      </c>
      <c r="G173" s="37">
        <v>80</v>
      </c>
      <c r="H173" s="37">
        <v>9.9</v>
      </c>
      <c r="I173" s="37">
        <v>6.8</v>
      </c>
      <c r="J173" s="37"/>
      <c r="K173" s="88">
        <v>80</v>
      </c>
      <c r="L173" s="92">
        <v>9.9</v>
      </c>
      <c r="M173" s="88">
        <v>7.6</v>
      </c>
      <c r="N173" s="88"/>
      <c r="O173" s="88">
        <v>90</v>
      </c>
      <c r="P173" s="92">
        <v>6.7</v>
      </c>
      <c r="Q173" s="88">
        <v>3.8</v>
      </c>
      <c r="R173" s="88"/>
      <c r="S173" s="88">
        <v>90</v>
      </c>
      <c r="T173" s="92">
        <v>6.6</v>
      </c>
      <c r="U173" s="88">
        <v>8</v>
      </c>
      <c r="V173" s="88"/>
      <c r="W173" s="88">
        <v>95</v>
      </c>
      <c r="X173" s="92">
        <v>5.8</v>
      </c>
      <c r="Y173" s="88">
        <v>8</v>
      </c>
      <c r="Z173" s="88"/>
      <c r="AA173" s="88">
        <v>95</v>
      </c>
      <c r="AB173" s="92">
        <v>6.3</v>
      </c>
      <c r="AC173" s="88">
        <v>8</v>
      </c>
      <c r="AD173" s="88"/>
      <c r="AE173" s="88">
        <v>98</v>
      </c>
      <c r="AF173" s="92"/>
      <c r="AG173" s="88"/>
      <c r="AH173" s="88"/>
      <c r="AI173" s="88">
        <v>98</v>
      </c>
      <c r="AJ173" s="92"/>
      <c r="AK173" s="88"/>
      <c r="AL173" s="88"/>
      <c r="AM173" s="88">
        <v>100</v>
      </c>
      <c r="AN173" s="92"/>
      <c r="AO173" s="88"/>
      <c r="AP173" s="88"/>
    </row>
    <row r="174" spans="1:42" x14ac:dyDescent="0.2">
      <c r="A174" s="19" t="s">
        <v>1113</v>
      </c>
      <c r="B174" s="19">
        <v>357</v>
      </c>
      <c r="C174" s="37">
        <v>100</v>
      </c>
      <c r="D174" s="37"/>
      <c r="E174" s="37"/>
      <c r="F174" s="37" t="s">
        <v>1811</v>
      </c>
      <c r="G174" s="37">
        <v>100</v>
      </c>
      <c r="H174" s="37"/>
      <c r="I174" s="37"/>
      <c r="J174" s="37"/>
      <c r="K174" s="88">
        <v>100</v>
      </c>
      <c r="L174" s="92"/>
      <c r="M174" s="88"/>
      <c r="N174" s="88" t="s">
        <v>1868</v>
      </c>
      <c r="O174" s="88">
        <v>100</v>
      </c>
      <c r="P174" s="92"/>
      <c r="Q174" s="88"/>
      <c r="R174" s="88"/>
      <c r="S174" s="88">
        <v>98</v>
      </c>
      <c r="T174" s="92"/>
      <c r="U174" s="88"/>
      <c r="V174" s="88"/>
      <c r="W174" s="88">
        <v>98</v>
      </c>
      <c r="X174" s="92"/>
      <c r="Y174" s="88"/>
      <c r="Z174" s="88"/>
      <c r="AA174" s="88">
        <v>98</v>
      </c>
      <c r="AB174" s="92"/>
      <c r="AC174" s="88"/>
      <c r="AD174" s="88"/>
      <c r="AE174" s="88">
        <v>100</v>
      </c>
      <c r="AF174" s="92"/>
      <c r="AG174" s="88"/>
      <c r="AH174" s="88"/>
      <c r="AI174" s="88">
        <v>100</v>
      </c>
      <c r="AJ174" s="92"/>
      <c r="AK174" s="88"/>
      <c r="AL174" s="88"/>
      <c r="AM174" s="88">
        <v>100</v>
      </c>
      <c r="AN174" s="92"/>
      <c r="AO174" s="88"/>
      <c r="AP174" s="88"/>
    </row>
    <row r="175" spans="1:42" x14ac:dyDescent="0.2">
      <c r="A175" s="19" t="s">
        <v>1114</v>
      </c>
      <c r="B175" s="19">
        <v>358</v>
      </c>
      <c r="C175" s="37">
        <v>98</v>
      </c>
      <c r="D175" s="37"/>
      <c r="E175" s="37"/>
      <c r="F175" s="37" t="s">
        <v>1810</v>
      </c>
      <c r="G175" s="37">
        <v>98</v>
      </c>
      <c r="H175" s="37"/>
      <c r="I175" s="37"/>
      <c r="J175" s="37"/>
      <c r="K175" s="88">
        <v>100</v>
      </c>
      <c r="L175" s="92"/>
      <c r="M175" s="88"/>
      <c r="N175" s="88" t="s">
        <v>1868</v>
      </c>
      <c r="O175" s="88">
        <v>100</v>
      </c>
      <c r="P175" s="92"/>
      <c r="Q175" s="88"/>
      <c r="R175" s="88"/>
      <c r="S175" s="88">
        <v>98</v>
      </c>
      <c r="T175" s="92"/>
      <c r="U175" s="88"/>
      <c r="V175" s="88"/>
      <c r="W175" s="88">
        <v>98</v>
      </c>
      <c r="X175" s="92"/>
      <c r="Y175" s="88"/>
      <c r="Z175" s="88"/>
      <c r="AA175" s="88">
        <v>98</v>
      </c>
      <c r="AB175" s="92"/>
      <c r="AC175" s="88"/>
      <c r="AD175" s="88"/>
      <c r="AE175" s="88">
        <v>100</v>
      </c>
      <c r="AF175" s="92"/>
      <c r="AG175" s="88"/>
      <c r="AH175" s="88"/>
      <c r="AI175" s="88">
        <v>100</v>
      </c>
      <c r="AJ175" s="92"/>
      <c r="AK175" s="88"/>
      <c r="AL175" s="88"/>
      <c r="AM175" s="88">
        <v>100</v>
      </c>
      <c r="AN175" s="92"/>
      <c r="AO175" s="88"/>
      <c r="AP175" s="88"/>
    </row>
    <row r="176" spans="1:42" x14ac:dyDescent="0.2">
      <c r="A176" s="19" t="s">
        <v>1115</v>
      </c>
      <c r="B176" s="19">
        <v>359</v>
      </c>
      <c r="C176" s="37">
        <v>100</v>
      </c>
      <c r="D176" s="37"/>
      <c r="E176" s="37"/>
      <c r="F176" s="37" t="s">
        <v>1810</v>
      </c>
      <c r="G176" s="37">
        <v>100</v>
      </c>
      <c r="H176" s="37"/>
      <c r="I176" s="37"/>
      <c r="J176" s="37"/>
      <c r="K176" s="88">
        <v>100</v>
      </c>
      <c r="L176" s="92"/>
      <c r="M176" s="88"/>
      <c r="N176" s="88" t="s">
        <v>1868</v>
      </c>
      <c r="O176" s="88">
        <v>100</v>
      </c>
      <c r="P176" s="92"/>
      <c r="Q176" s="88"/>
      <c r="R176" s="88"/>
      <c r="S176" s="88">
        <v>98</v>
      </c>
      <c r="T176" s="92"/>
      <c r="U176" s="88"/>
      <c r="V176" s="88"/>
      <c r="W176" s="88">
        <v>100</v>
      </c>
      <c r="X176" s="92"/>
      <c r="Y176" s="88"/>
      <c r="Z176" s="88"/>
      <c r="AA176" s="88">
        <v>100</v>
      </c>
      <c r="AB176" s="92"/>
      <c r="AC176" s="88"/>
      <c r="AD176" s="88"/>
      <c r="AE176" s="88">
        <v>100</v>
      </c>
      <c r="AF176" s="92"/>
      <c r="AG176" s="88"/>
      <c r="AH176" s="88"/>
      <c r="AI176" s="88">
        <v>100</v>
      </c>
      <c r="AJ176" s="92"/>
      <c r="AK176" s="88"/>
      <c r="AL176" s="88"/>
      <c r="AM176" s="88">
        <v>100</v>
      </c>
      <c r="AN176" s="92"/>
      <c r="AO176" s="88"/>
      <c r="AP176" s="88"/>
    </row>
    <row r="177" spans="1:42" x14ac:dyDescent="0.2">
      <c r="A177" s="19" t="s">
        <v>1116</v>
      </c>
      <c r="B177" s="19">
        <v>360</v>
      </c>
      <c r="C177" s="37">
        <v>95</v>
      </c>
      <c r="D177" s="37">
        <v>4.0999999999999996</v>
      </c>
      <c r="E177" s="37">
        <v>4.0999999999999996</v>
      </c>
      <c r="F177" s="37" t="s">
        <v>1810</v>
      </c>
      <c r="G177" s="37">
        <v>95</v>
      </c>
      <c r="H177" s="37">
        <v>4.5</v>
      </c>
      <c r="I177" s="37">
        <v>5.9</v>
      </c>
      <c r="J177" s="37"/>
      <c r="K177" s="88">
        <v>98</v>
      </c>
      <c r="L177" s="92"/>
      <c r="M177" s="88"/>
      <c r="N177" s="88"/>
      <c r="O177" s="102">
        <v>98</v>
      </c>
      <c r="P177" s="92"/>
      <c r="Q177" s="88"/>
      <c r="R177" s="88"/>
      <c r="S177" s="102">
        <v>98</v>
      </c>
      <c r="T177" s="92"/>
      <c r="U177" s="88"/>
      <c r="V177" s="88"/>
      <c r="W177" s="102">
        <v>98</v>
      </c>
      <c r="X177" s="92"/>
      <c r="Y177" s="88"/>
      <c r="Z177" s="88"/>
      <c r="AA177" s="102">
        <v>98</v>
      </c>
      <c r="AB177" s="92"/>
      <c r="AC177" s="88"/>
      <c r="AD177" s="88"/>
      <c r="AE177" s="102">
        <v>100</v>
      </c>
      <c r="AF177" s="92"/>
      <c r="AG177" s="88"/>
      <c r="AH177" s="88"/>
      <c r="AI177" s="102">
        <v>100</v>
      </c>
      <c r="AJ177" s="92"/>
      <c r="AK177" s="88"/>
      <c r="AL177" s="88"/>
      <c r="AM177" s="102">
        <v>100</v>
      </c>
      <c r="AN177" s="92"/>
      <c r="AO177" s="88"/>
      <c r="AP177" s="88"/>
    </row>
    <row r="178" spans="1:42" x14ac:dyDescent="0.2">
      <c r="A178" s="13" t="s">
        <v>1118</v>
      </c>
      <c r="B178" s="13">
        <v>361</v>
      </c>
      <c r="C178" s="1">
        <v>2</v>
      </c>
      <c r="D178" s="1">
        <v>15.1</v>
      </c>
      <c r="E178" s="1">
        <v>11.1</v>
      </c>
      <c r="F178" s="1"/>
      <c r="G178" s="1">
        <v>2</v>
      </c>
      <c r="H178" s="1">
        <v>18.899999999999999</v>
      </c>
      <c r="I178" s="1">
        <v>20.3</v>
      </c>
      <c r="J178" s="1"/>
      <c r="K178" s="89">
        <v>5</v>
      </c>
      <c r="L178" s="93">
        <v>14.4</v>
      </c>
      <c r="M178" s="89">
        <v>17</v>
      </c>
      <c r="N178" s="89"/>
      <c r="O178" s="89">
        <v>5</v>
      </c>
      <c r="P178" s="93">
        <v>13</v>
      </c>
      <c r="Q178" s="89">
        <v>18.2</v>
      </c>
      <c r="R178" s="89"/>
      <c r="S178" s="89">
        <v>10</v>
      </c>
      <c r="T178" s="93">
        <v>14.7</v>
      </c>
      <c r="U178" s="89">
        <v>17</v>
      </c>
      <c r="V178" s="89"/>
      <c r="W178" s="89">
        <v>15</v>
      </c>
      <c r="X178" s="93">
        <v>14</v>
      </c>
      <c r="Y178" s="89">
        <v>13.3</v>
      </c>
      <c r="Z178" s="89"/>
      <c r="AA178" s="89">
        <v>15</v>
      </c>
      <c r="AB178" s="93">
        <v>19</v>
      </c>
      <c r="AC178" s="89">
        <v>14.9</v>
      </c>
      <c r="AD178" s="89"/>
      <c r="AE178" s="89">
        <v>15</v>
      </c>
      <c r="AF178" s="93">
        <v>13.4</v>
      </c>
      <c r="AG178" s="89">
        <v>16.3</v>
      </c>
      <c r="AH178" s="89"/>
      <c r="AI178" s="89">
        <v>20</v>
      </c>
      <c r="AJ178" s="93">
        <v>12.3</v>
      </c>
      <c r="AK178" s="89">
        <v>12.4</v>
      </c>
      <c r="AL178" s="89"/>
      <c r="AM178" s="89">
        <v>65</v>
      </c>
      <c r="AN178" s="93">
        <v>10.3</v>
      </c>
      <c r="AO178" s="89">
        <v>10.7</v>
      </c>
      <c r="AP178" s="89"/>
    </row>
    <row r="179" spans="1:42" x14ac:dyDescent="0.2">
      <c r="A179" s="13" t="s">
        <v>1121</v>
      </c>
      <c r="B179" s="13">
        <v>364</v>
      </c>
      <c r="C179" s="1">
        <v>5</v>
      </c>
      <c r="D179" s="1">
        <v>10.9</v>
      </c>
      <c r="E179" s="1">
        <v>8.8000000000000007</v>
      </c>
      <c r="F179" s="1"/>
      <c r="G179" s="1">
        <v>5</v>
      </c>
      <c r="H179" s="1">
        <v>8.9</v>
      </c>
      <c r="I179" s="1">
        <v>7.6</v>
      </c>
      <c r="J179" s="1"/>
      <c r="K179" s="89">
        <v>5</v>
      </c>
      <c r="L179" s="93">
        <v>8.5</v>
      </c>
      <c r="M179" s="89">
        <v>9</v>
      </c>
      <c r="N179" s="89"/>
      <c r="O179" s="89">
        <v>5</v>
      </c>
      <c r="P179" s="93">
        <v>8.3000000000000007</v>
      </c>
      <c r="Q179" s="89">
        <v>9.4</v>
      </c>
      <c r="R179" s="89"/>
      <c r="S179" s="89">
        <v>5</v>
      </c>
      <c r="T179" s="93">
        <v>6</v>
      </c>
      <c r="U179" s="89">
        <v>9</v>
      </c>
      <c r="V179" s="89"/>
      <c r="W179" s="89">
        <v>10</v>
      </c>
      <c r="X179" s="93">
        <v>8.1999999999999993</v>
      </c>
      <c r="Y179" s="89">
        <v>9.3000000000000007</v>
      </c>
      <c r="Z179" s="89"/>
      <c r="AA179" s="89">
        <v>10</v>
      </c>
      <c r="AB179" s="93">
        <v>7.7</v>
      </c>
      <c r="AC179" s="89">
        <v>7.5</v>
      </c>
      <c r="AD179" s="89"/>
      <c r="AE179" s="89">
        <v>15</v>
      </c>
      <c r="AF179" s="93">
        <v>7.1</v>
      </c>
      <c r="AG179" s="89">
        <v>9.4</v>
      </c>
      <c r="AH179" s="89"/>
      <c r="AI179" s="89">
        <v>35</v>
      </c>
      <c r="AJ179" s="90">
        <v>6.2</v>
      </c>
      <c r="AK179" s="89">
        <v>8</v>
      </c>
      <c r="AL179" s="89"/>
      <c r="AM179" s="89">
        <v>75</v>
      </c>
      <c r="AN179" s="90">
        <v>5.5</v>
      </c>
      <c r="AO179" s="89">
        <v>7.5</v>
      </c>
      <c r="AP179" s="89"/>
    </row>
    <row r="180" spans="1:42" x14ac:dyDescent="0.2">
      <c r="A180" s="13" t="s">
        <v>1122</v>
      </c>
      <c r="B180" s="13">
        <v>365</v>
      </c>
      <c r="C180" s="1">
        <v>2</v>
      </c>
      <c r="D180" s="1">
        <v>15.6</v>
      </c>
      <c r="E180" s="1">
        <v>11.7</v>
      </c>
      <c r="F180" s="1"/>
      <c r="G180" s="1">
        <v>2</v>
      </c>
      <c r="H180" s="1">
        <v>14</v>
      </c>
      <c r="I180" s="1">
        <v>15.8</v>
      </c>
      <c r="J180" s="1"/>
      <c r="K180" s="89">
        <v>5</v>
      </c>
      <c r="L180" s="93">
        <v>6.7</v>
      </c>
      <c r="M180" s="89">
        <v>5.0999999999999996</v>
      </c>
      <c r="N180" s="89"/>
      <c r="O180" s="89">
        <v>5</v>
      </c>
      <c r="P180" s="93">
        <v>9.1</v>
      </c>
      <c r="Q180" s="89">
        <v>14</v>
      </c>
      <c r="R180" s="89"/>
      <c r="S180" s="89">
        <v>5</v>
      </c>
      <c r="T180" s="93">
        <v>11</v>
      </c>
      <c r="U180" s="89">
        <v>9.9</v>
      </c>
      <c r="V180" s="89"/>
      <c r="W180" s="89">
        <v>15</v>
      </c>
      <c r="X180" s="93">
        <v>8</v>
      </c>
      <c r="Y180" s="89">
        <v>11.2</v>
      </c>
      <c r="Z180" s="89"/>
      <c r="AA180" s="89">
        <v>15</v>
      </c>
      <c r="AB180" s="93">
        <v>6.9</v>
      </c>
      <c r="AC180" s="89">
        <v>7.6</v>
      </c>
      <c r="AD180" s="89"/>
      <c r="AE180" s="89">
        <v>30</v>
      </c>
      <c r="AF180" s="93">
        <v>3.9</v>
      </c>
      <c r="AG180" s="89">
        <v>8</v>
      </c>
      <c r="AH180" s="89"/>
      <c r="AI180" s="89">
        <v>95</v>
      </c>
      <c r="AJ180" s="93">
        <v>4.9000000000000004</v>
      </c>
      <c r="AK180" s="89">
        <v>6.2</v>
      </c>
      <c r="AL180" s="89"/>
      <c r="AM180" s="89">
        <v>100</v>
      </c>
      <c r="AN180" s="93"/>
      <c r="AO180" s="89"/>
      <c r="AP180" s="89"/>
    </row>
    <row r="181" spans="1:42" x14ac:dyDescent="0.2">
      <c r="A181" s="13" t="s">
        <v>1125</v>
      </c>
      <c r="B181" s="13">
        <v>368</v>
      </c>
      <c r="C181" s="1">
        <v>5</v>
      </c>
      <c r="D181" s="1">
        <v>13.9</v>
      </c>
      <c r="E181" s="1">
        <v>15.4</v>
      </c>
      <c r="F181" s="1"/>
      <c r="G181" s="1">
        <v>5</v>
      </c>
      <c r="H181" s="1">
        <v>15.6</v>
      </c>
      <c r="I181" s="1">
        <v>12.2</v>
      </c>
      <c r="J181" s="1"/>
      <c r="K181" s="89">
        <v>5</v>
      </c>
      <c r="L181" s="93">
        <v>11.5</v>
      </c>
      <c r="M181" s="89">
        <v>11.7</v>
      </c>
      <c r="N181" s="89"/>
      <c r="O181" s="89">
        <v>10</v>
      </c>
      <c r="P181" s="93">
        <v>12.9</v>
      </c>
      <c r="Q181" s="89">
        <v>11.4</v>
      </c>
      <c r="R181" s="89"/>
      <c r="S181" s="89">
        <v>15</v>
      </c>
      <c r="T181" s="93">
        <v>12</v>
      </c>
      <c r="U181" s="89">
        <v>10.8</v>
      </c>
      <c r="V181" s="89"/>
      <c r="W181" s="89">
        <v>25</v>
      </c>
      <c r="X181" s="93">
        <v>11.4</v>
      </c>
      <c r="Y181" s="89">
        <v>13</v>
      </c>
      <c r="Z181" s="89"/>
      <c r="AA181" s="89">
        <v>30</v>
      </c>
      <c r="AB181" s="93">
        <v>12.6</v>
      </c>
      <c r="AC181" s="89">
        <v>6.1</v>
      </c>
      <c r="AD181" s="89"/>
      <c r="AE181" s="89">
        <v>35</v>
      </c>
      <c r="AF181" s="93">
        <v>9.9</v>
      </c>
      <c r="AG181" s="89">
        <v>9.3000000000000007</v>
      </c>
      <c r="AH181" s="89"/>
      <c r="AI181" s="89">
        <v>85</v>
      </c>
      <c r="AJ181" s="93">
        <v>8.1999999999999993</v>
      </c>
      <c r="AK181" s="89">
        <v>7.6</v>
      </c>
      <c r="AL181" s="89"/>
      <c r="AM181" s="89">
        <v>100</v>
      </c>
      <c r="AN181" s="93"/>
      <c r="AO181" s="89"/>
      <c r="AP181" s="89"/>
    </row>
    <row r="182" spans="1:42" x14ac:dyDescent="0.2">
      <c r="A182" s="19" t="s">
        <v>1127</v>
      </c>
      <c r="B182" s="19">
        <v>369</v>
      </c>
      <c r="C182" s="37">
        <v>85</v>
      </c>
      <c r="D182" s="37">
        <v>13.2</v>
      </c>
      <c r="E182" s="37">
        <v>12.3</v>
      </c>
      <c r="F182" s="37" t="s">
        <v>1810</v>
      </c>
      <c r="G182" s="37">
        <v>90</v>
      </c>
      <c r="H182" s="37">
        <v>9.9</v>
      </c>
      <c r="I182" s="37">
        <v>9.9</v>
      </c>
      <c r="J182" s="37"/>
      <c r="K182" s="88">
        <v>95</v>
      </c>
      <c r="L182" s="92">
        <v>10.4</v>
      </c>
      <c r="M182" s="88">
        <v>10</v>
      </c>
      <c r="N182" s="88"/>
      <c r="O182" s="88">
        <v>95</v>
      </c>
      <c r="P182" s="92">
        <v>9.6999999999999993</v>
      </c>
      <c r="Q182" s="88">
        <v>10.199999999999999</v>
      </c>
      <c r="R182" s="88"/>
      <c r="S182" s="88">
        <v>95</v>
      </c>
      <c r="T182" s="92">
        <v>10.6</v>
      </c>
      <c r="U182" s="88">
        <v>10.6</v>
      </c>
      <c r="V182" s="88"/>
      <c r="W182" s="88">
        <v>95</v>
      </c>
      <c r="X182" s="92">
        <v>12.2</v>
      </c>
      <c r="Y182" s="88">
        <v>8</v>
      </c>
      <c r="Z182" s="88"/>
      <c r="AA182" s="88">
        <v>95</v>
      </c>
      <c r="AB182" s="92">
        <v>9.6999999999999993</v>
      </c>
      <c r="AC182" s="88">
        <v>8.5</v>
      </c>
      <c r="AD182" s="88"/>
      <c r="AE182" s="88">
        <v>95</v>
      </c>
      <c r="AF182" s="92">
        <v>7.4</v>
      </c>
      <c r="AG182" s="88">
        <v>4</v>
      </c>
      <c r="AH182" s="88"/>
      <c r="AI182" s="88">
        <v>98</v>
      </c>
      <c r="AJ182" s="92"/>
      <c r="AK182" s="88"/>
      <c r="AL182" s="88"/>
      <c r="AM182" s="88">
        <v>100</v>
      </c>
      <c r="AN182" s="92"/>
      <c r="AO182" s="88"/>
      <c r="AP182" s="88"/>
    </row>
    <row r="183" spans="1:42" x14ac:dyDescent="0.2">
      <c r="A183" s="19" t="s">
        <v>1130</v>
      </c>
      <c r="B183" s="19">
        <v>372</v>
      </c>
      <c r="C183" s="37">
        <v>90</v>
      </c>
      <c r="D183" s="37">
        <v>6.8</v>
      </c>
      <c r="E183" s="37">
        <v>5.8</v>
      </c>
      <c r="F183" s="37" t="s">
        <v>1810</v>
      </c>
      <c r="G183" s="37">
        <v>90</v>
      </c>
      <c r="H183" s="37">
        <v>6</v>
      </c>
      <c r="I183" s="37">
        <v>6.8</v>
      </c>
      <c r="J183" s="37"/>
      <c r="K183" s="88">
        <v>95</v>
      </c>
      <c r="L183" s="92">
        <v>6.7</v>
      </c>
      <c r="M183" s="88">
        <v>5.5</v>
      </c>
      <c r="N183" s="88"/>
      <c r="O183" s="88">
        <v>95</v>
      </c>
      <c r="P183" s="92">
        <v>6.4</v>
      </c>
      <c r="Q183" s="88">
        <v>6.6</v>
      </c>
      <c r="R183" s="88"/>
      <c r="S183" s="88">
        <v>95</v>
      </c>
      <c r="T183" s="92"/>
      <c r="U183" s="88"/>
      <c r="V183" s="88"/>
      <c r="W183" s="88">
        <v>95</v>
      </c>
      <c r="X183" s="92">
        <v>5.7</v>
      </c>
      <c r="Y183" s="88">
        <v>4.5999999999999996</v>
      </c>
      <c r="Z183" s="88"/>
      <c r="AA183" s="88">
        <v>95</v>
      </c>
      <c r="AB183" s="92">
        <v>6.1</v>
      </c>
      <c r="AC183" s="88">
        <v>5.4</v>
      </c>
      <c r="AD183" s="88"/>
      <c r="AE183" s="88">
        <v>98</v>
      </c>
      <c r="AF183" s="92"/>
      <c r="AG183" s="88"/>
      <c r="AH183" s="88"/>
      <c r="AI183" s="88">
        <v>100</v>
      </c>
      <c r="AJ183" s="92"/>
      <c r="AK183" s="88"/>
      <c r="AL183" s="88"/>
      <c r="AM183" s="88">
        <v>100</v>
      </c>
      <c r="AN183" s="92"/>
      <c r="AO183" s="88"/>
      <c r="AP183" s="88"/>
    </row>
    <row r="184" spans="1:42" x14ac:dyDescent="0.2">
      <c r="A184" s="19" t="s">
        <v>1131</v>
      </c>
      <c r="B184" s="19">
        <v>373</v>
      </c>
      <c r="C184" s="37">
        <v>90</v>
      </c>
      <c r="D184" s="37">
        <v>5.2</v>
      </c>
      <c r="E184" s="37">
        <v>5.3</v>
      </c>
      <c r="F184" s="37" t="s">
        <v>1810</v>
      </c>
      <c r="G184" s="37">
        <v>95</v>
      </c>
      <c r="H184" s="37">
        <v>5</v>
      </c>
      <c r="I184" s="37">
        <v>5.7</v>
      </c>
      <c r="J184" s="37"/>
      <c r="K184" s="88">
        <v>98</v>
      </c>
      <c r="L184" s="92"/>
      <c r="M184" s="88">
        <v>5.7</v>
      </c>
      <c r="N184" s="88"/>
      <c r="O184" s="88">
        <v>98</v>
      </c>
      <c r="P184" s="92"/>
      <c r="Q184" s="88"/>
      <c r="R184" s="88"/>
      <c r="S184" s="88">
        <v>98</v>
      </c>
      <c r="T184" s="92"/>
      <c r="U184" s="88"/>
      <c r="V184" s="88"/>
      <c r="W184" s="88">
        <v>98</v>
      </c>
      <c r="X184" s="92"/>
      <c r="Y184" s="88"/>
      <c r="Z184" s="88"/>
      <c r="AA184" s="88">
        <v>98</v>
      </c>
      <c r="AB184" s="92"/>
      <c r="AC184" s="88"/>
      <c r="AD184" s="88"/>
      <c r="AE184" s="88">
        <v>100</v>
      </c>
      <c r="AF184" s="92"/>
      <c r="AG184" s="88"/>
      <c r="AH184" s="88"/>
      <c r="AI184" s="88">
        <v>100</v>
      </c>
      <c r="AJ184" s="92"/>
      <c r="AK184" s="88"/>
      <c r="AL184" s="88"/>
      <c r="AM184" s="88">
        <v>100</v>
      </c>
      <c r="AN184" s="92"/>
      <c r="AO184" s="88"/>
      <c r="AP184" s="88"/>
    </row>
    <row r="185" spans="1:42" x14ac:dyDescent="0.2">
      <c r="A185" s="19" t="s">
        <v>1134</v>
      </c>
      <c r="B185" s="19">
        <v>376</v>
      </c>
      <c r="C185" s="37">
        <v>90</v>
      </c>
      <c r="D185" s="37">
        <v>8.9</v>
      </c>
      <c r="E185" s="37">
        <v>11.3</v>
      </c>
      <c r="F185" s="37" t="s">
        <v>1810</v>
      </c>
      <c r="G185" s="37">
        <v>95</v>
      </c>
      <c r="H185" s="37">
        <v>12.1</v>
      </c>
      <c r="I185" s="37">
        <v>10.3</v>
      </c>
      <c r="J185" s="37"/>
      <c r="K185" s="88">
        <v>98</v>
      </c>
      <c r="L185" s="92"/>
      <c r="M185" s="88"/>
      <c r="N185" s="88"/>
      <c r="O185" s="88">
        <v>98</v>
      </c>
      <c r="P185" s="92"/>
      <c r="Q185" s="88"/>
      <c r="R185" s="88"/>
      <c r="S185" s="88">
        <v>98</v>
      </c>
      <c r="T185" s="92"/>
      <c r="U185" s="88"/>
      <c r="V185" s="88"/>
      <c r="W185" s="88">
        <v>98</v>
      </c>
      <c r="X185" s="92"/>
      <c r="Y185" s="88"/>
      <c r="Z185" s="88"/>
      <c r="AA185" s="88">
        <v>98</v>
      </c>
      <c r="AB185" s="92"/>
      <c r="AC185" s="88"/>
      <c r="AD185" s="88"/>
      <c r="AE185" s="88">
        <v>98</v>
      </c>
      <c r="AF185" s="92"/>
      <c r="AG185" s="88"/>
      <c r="AH185" s="88"/>
      <c r="AI185" s="88">
        <v>98</v>
      </c>
      <c r="AJ185" s="92"/>
      <c r="AK185" s="88"/>
      <c r="AL185" s="88"/>
      <c r="AM185" s="88">
        <v>100</v>
      </c>
      <c r="AN185" s="92"/>
      <c r="AO185" s="88"/>
      <c r="AP185" s="88"/>
    </row>
    <row r="186" spans="1:42" x14ac:dyDescent="0.2">
      <c r="A186" s="13" t="s">
        <v>1145</v>
      </c>
      <c r="B186" s="13">
        <v>385</v>
      </c>
      <c r="C186" s="1">
        <v>65</v>
      </c>
      <c r="D186" s="1">
        <v>5.6</v>
      </c>
      <c r="E186" s="1">
        <v>9.9</v>
      </c>
      <c r="F186" s="1" t="s">
        <v>1811</v>
      </c>
      <c r="G186" s="1">
        <v>65</v>
      </c>
      <c r="H186" s="1">
        <v>5.6</v>
      </c>
      <c r="I186" s="1">
        <v>12.7</v>
      </c>
      <c r="J186" s="1"/>
      <c r="K186" s="89">
        <v>90</v>
      </c>
      <c r="L186" s="93">
        <v>5.7</v>
      </c>
      <c r="M186" s="89">
        <v>8.9</v>
      </c>
      <c r="N186" s="89"/>
      <c r="O186" s="89">
        <v>90</v>
      </c>
      <c r="P186" s="93">
        <v>5</v>
      </c>
      <c r="Q186" s="89">
        <v>5.5</v>
      </c>
      <c r="R186" s="89"/>
      <c r="S186" s="89">
        <v>90</v>
      </c>
      <c r="T186" s="93">
        <v>5.8</v>
      </c>
      <c r="U186" s="89">
        <v>8.4</v>
      </c>
      <c r="V186" s="89"/>
      <c r="W186" s="89">
        <v>90</v>
      </c>
      <c r="X186" s="93">
        <v>5</v>
      </c>
      <c r="Y186" s="89">
        <v>5.4</v>
      </c>
      <c r="Z186" s="89"/>
      <c r="AA186" s="89">
        <v>90</v>
      </c>
      <c r="AB186" s="93">
        <v>5.3</v>
      </c>
      <c r="AC186" s="89">
        <v>7.1</v>
      </c>
      <c r="AD186" s="89"/>
      <c r="AE186" s="89">
        <v>90</v>
      </c>
      <c r="AF186" s="93">
        <v>3.8</v>
      </c>
      <c r="AG186" s="89">
        <v>4.0999999999999996</v>
      </c>
      <c r="AH186" s="89"/>
      <c r="AI186" s="89">
        <v>98</v>
      </c>
      <c r="AJ186" s="93"/>
      <c r="AK186" s="89"/>
      <c r="AL186" s="89"/>
      <c r="AM186" s="89">
        <v>100</v>
      </c>
      <c r="AN186" s="93"/>
      <c r="AO186" s="89"/>
      <c r="AP186" s="89"/>
    </row>
    <row r="187" spans="1:42" x14ac:dyDescent="0.2">
      <c r="A187" s="13" t="s">
        <v>1146</v>
      </c>
      <c r="B187" s="13">
        <v>386</v>
      </c>
      <c r="C187" s="1">
        <v>80</v>
      </c>
      <c r="D187" s="1">
        <v>7.4</v>
      </c>
      <c r="E187" s="1">
        <v>4.7</v>
      </c>
      <c r="F187" s="1" t="s">
        <v>1811</v>
      </c>
      <c r="G187" s="1">
        <v>85</v>
      </c>
      <c r="H187" s="1"/>
      <c r="I187" s="1"/>
      <c r="J187" s="1"/>
      <c r="K187" s="89">
        <v>95</v>
      </c>
      <c r="L187" s="93"/>
      <c r="M187" s="89"/>
      <c r="N187" s="89"/>
      <c r="O187" s="89">
        <v>95</v>
      </c>
      <c r="P187" s="93"/>
      <c r="Q187" s="89"/>
      <c r="R187" s="89"/>
      <c r="S187" s="89">
        <v>95</v>
      </c>
      <c r="T187" s="93"/>
      <c r="U187" s="89"/>
      <c r="V187" s="89"/>
      <c r="W187" s="89">
        <v>95</v>
      </c>
      <c r="X187" s="93"/>
      <c r="Y187" s="89"/>
      <c r="Z187" s="89"/>
      <c r="AA187" s="89">
        <v>95</v>
      </c>
      <c r="AB187" s="93"/>
      <c r="AC187" s="89"/>
      <c r="AD187" s="89"/>
      <c r="AE187" s="89">
        <v>95</v>
      </c>
      <c r="AF187" s="93"/>
      <c r="AG187" s="89"/>
      <c r="AH187" s="89"/>
      <c r="AI187" s="89">
        <v>98</v>
      </c>
      <c r="AJ187" s="93"/>
      <c r="AK187" s="89"/>
      <c r="AL187" s="89"/>
      <c r="AM187" s="89">
        <v>100</v>
      </c>
      <c r="AN187" s="93"/>
      <c r="AO187" s="89"/>
      <c r="AP187" s="89"/>
    </row>
    <row r="188" spans="1:42" x14ac:dyDescent="0.2">
      <c r="A188" s="13" t="s">
        <v>1147</v>
      </c>
      <c r="B188" s="13">
        <v>387</v>
      </c>
      <c r="C188" s="1">
        <v>70</v>
      </c>
      <c r="D188" s="1">
        <v>5.3</v>
      </c>
      <c r="E188" s="1">
        <v>7.4</v>
      </c>
      <c r="F188" s="1" t="s">
        <v>1811</v>
      </c>
      <c r="G188" s="1">
        <v>75</v>
      </c>
      <c r="H188" s="1">
        <v>4.3</v>
      </c>
      <c r="I188" s="1">
        <v>4.4000000000000004</v>
      </c>
      <c r="J188" s="1"/>
      <c r="K188" s="89">
        <v>95</v>
      </c>
      <c r="L188" s="93"/>
      <c r="M188" s="89"/>
      <c r="N188" s="89"/>
      <c r="O188" s="89">
        <v>95</v>
      </c>
      <c r="P188" s="93"/>
      <c r="Q188" s="89"/>
      <c r="R188" s="89"/>
      <c r="S188" s="89">
        <v>95</v>
      </c>
      <c r="T188" s="93"/>
      <c r="U188" s="89"/>
      <c r="V188" s="89"/>
      <c r="W188" s="89">
        <v>95</v>
      </c>
      <c r="X188" s="93"/>
      <c r="Y188" s="89"/>
      <c r="Z188" s="89"/>
      <c r="AA188" s="89">
        <v>95</v>
      </c>
      <c r="AB188" s="93"/>
      <c r="AC188" s="89"/>
      <c r="AD188" s="89"/>
      <c r="AE188" s="89">
        <v>95</v>
      </c>
      <c r="AF188" s="93"/>
      <c r="AG188" s="89"/>
      <c r="AH188" s="89"/>
      <c r="AI188" s="89">
        <v>98</v>
      </c>
      <c r="AJ188" s="93"/>
      <c r="AK188" s="89"/>
      <c r="AL188" s="89"/>
      <c r="AM188" s="89">
        <v>100</v>
      </c>
      <c r="AN188" s="93"/>
      <c r="AO188" s="89"/>
      <c r="AP188" s="89"/>
    </row>
    <row r="189" spans="1:42" x14ac:dyDescent="0.2">
      <c r="A189" s="13" t="s">
        <v>1148</v>
      </c>
      <c r="B189" s="13">
        <v>388</v>
      </c>
      <c r="C189" s="1">
        <v>80</v>
      </c>
      <c r="D189" s="1">
        <v>6.3</v>
      </c>
      <c r="E189" s="1">
        <v>5.8</v>
      </c>
      <c r="F189" s="1" t="s">
        <v>1811</v>
      </c>
      <c r="G189" s="1">
        <v>80</v>
      </c>
      <c r="H189" s="1">
        <v>6.4</v>
      </c>
      <c r="I189" s="1">
        <v>6.8</v>
      </c>
      <c r="J189" s="1"/>
      <c r="K189" s="89">
        <v>95</v>
      </c>
      <c r="L189" s="93">
        <v>6.6</v>
      </c>
      <c r="M189" s="89">
        <v>5.9</v>
      </c>
      <c r="N189" s="89"/>
      <c r="O189" s="89">
        <v>95</v>
      </c>
      <c r="P189" s="93">
        <v>5.9</v>
      </c>
      <c r="Q189" s="89">
        <v>6.2</v>
      </c>
      <c r="R189" s="89"/>
      <c r="S189" s="89">
        <v>95</v>
      </c>
      <c r="T189" s="93"/>
      <c r="U189" s="89"/>
      <c r="V189" s="89"/>
      <c r="W189" s="89">
        <v>95</v>
      </c>
      <c r="X189" s="93"/>
      <c r="Y189" s="89"/>
      <c r="Z189" s="89"/>
      <c r="AA189" s="89">
        <v>95</v>
      </c>
      <c r="AB189" s="93"/>
      <c r="AC189" s="89"/>
      <c r="AD189" s="89"/>
      <c r="AE189" s="89">
        <v>95</v>
      </c>
      <c r="AF189" s="93"/>
      <c r="AG189" s="89"/>
      <c r="AH189" s="89"/>
      <c r="AI189" s="89">
        <v>98</v>
      </c>
      <c r="AJ189" s="93"/>
      <c r="AK189" s="89"/>
      <c r="AL189" s="89"/>
      <c r="AM189" s="89">
        <v>98</v>
      </c>
      <c r="AN189" s="93"/>
      <c r="AO189" s="89"/>
      <c r="AP189" s="89"/>
    </row>
    <row r="190" spans="1:42" x14ac:dyDescent="0.2">
      <c r="A190" s="13" t="s">
        <v>1149</v>
      </c>
      <c r="B190" s="13">
        <v>389</v>
      </c>
      <c r="C190" s="1">
        <v>80</v>
      </c>
      <c r="D190" s="1">
        <v>7.2</v>
      </c>
      <c r="E190" s="1">
        <v>8.1999999999999993</v>
      </c>
      <c r="F190" s="1" t="s">
        <v>1811</v>
      </c>
      <c r="G190" s="1">
        <v>80</v>
      </c>
      <c r="H190" s="1">
        <v>9.1999999999999993</v>
      </c>
      <c r="I190" s="1">
        <v>7</v>
      </c>
      <c r="J190" s="1"/>
      <c r="K190" s="89">
        <v>95</v>
      </c>
      <c r="L190" s="93"/>
      <c r="M190" s="89"/>
      <c r="N190" s="89"/>
      <c r="O190" s="89">
        <v>95</v>
      </c>
      <c r="P190" s="93"/>
      <c r="Q190" s="89"/>
      <c r="R190" s="89"/>
      <c r="S190" s="89">
        <v>95</v>
      </c>
      <c r="T190" s="93"/>
      <c r="U190" s="89"/>
      <c r="V190" s="89"/>
      <c r="W190" s="89">
        <v>95</v>
      </c>
      <c r="X190" s="93"/>
      <c r="Y190" s="89"/>
      <c r="Z190" s="89"/>
      <c r="AA190" s="89">
        <v>95</v>
      </c>
      <c r="AB190" s="93"/>
      <c r="AC190" s="89"/>
      <c r="AD190" s="89"/>
      <c r="AE190" s="89">
        <v>98</v>
      </c>
      <c r="AF190" s="93"/>
      <c r="AG190" s="89"/>
      <c r="AH190" s="89"/>
      <c r="AI190" s="89">
        <v>100</v>
      </c>
      <c r="AJ190" s="93"/>
      <c r="AK190" s="89"/>
      <c r="AL190" s="89"/>
      <c r="AM190" s="89">
        <v>100</v>
      </c>
      <c r="AN190" s="93"/>
      <c r="AO190" s="89"/>
      <c r="AP190" s="89"/>
    </row>
    <row r="191" spans="1:42" x14ac:dyDescent="0.2">
      <c r="A191" s="13" t="s">
        <v>1150</v>
      </c>
      <c r="B191" s="13">
        <v>390</v>
      </c>
      <c r="C191" s="1">
        <v>90</v>
      </c>
      <c r="D191" s="1">
        <v>5.6</v>
      </c>
      <c r="E191" s="1">
        <v>5.8</v>
      </c>
      <c r="F191" s="1" t="s">
        <v>1811</v>
      </c>
      <c r="G191" s="1">
        <v>90</v>
      </c>
      <c r="H191" s="1"/>
      <c r="I191" s="1"/>
      <c r="J191" s="1"/>
      <c r="K191" s="89">
        <v>98</v>
      </c>
      <c r="L191" s="93"/>
      <c r="M191" s="89"/>
      <c r="N191" s="89"/>
      <c r="O191" s="89">
        <v>98</v>
      </c>
      <c r="P191" s="93"/>
      <c r="Q191" s="89"/>
      <c r="R191" s="89"/>
      <c r="S191" s="89">
        <v>98</v>
      </c>
      <c r="T191" s="93"/>
      <c r="U191" s="89"/>
      <c r="V191" s="89"/>
      <c r="W191" s="89">
        <v>98</v>
      </c>
      <c r="X191" s="93"/>
      <c r="Y191" s="89"/>
      <c r="Z191" s="89"/>
      <c r="AA191" s="89">
        <v>98</v>
      </c>
      <c r="AB191" s="93"/>
      <c r="AC191" s="89"/>
      <c r="AD191" s="89"/>
      <c r="AE191" s="89">
        <v>98</v>
      </c>
      <c r="AF191" s="93"/>
      <c r="AG191" s="89"/>
      <c r="AH191" s="89"/>
      <c r="AI191" s="89">
        <v>100</v>
      </c>
      <c r="AJ191" s="93"/>
      <c r="AK191" s="89"/>
      <c r="AL191" s="89"/>
      <c r="AM191" s="89">
        <v>100</v>
      </c>
      <c r="AN191" s="93"/>
      <c r="AO191" s="89"/>
      <c r="AP191" s="89"/>
    </row>
    <row r="192" spans="1:42" x14ac:dyDescent="0.2">
      <c r="A192" s="13" t="s">
        <v>1151</v>
      </c>
      <c r="B192" s="13">
        <v>391</v>
      </c>
      <c r="C192" s="1">
        <v>100</v>
      </c>
      <c r="D192" s="1"/>
      <c r="E192" s="1"/>
      <c r="F192" s="1" t="s">
        <v>1810</v>
      </c>
      <c r="G192" s="1">
        <v>100</v>
      </c>
      <c r="H192" s="1"/>
      <c r="I192" s="1"/>
      <c r="J192" s="1"/>
      <c r="K192" s="89">
        <v>100</v>
      </c>
      <c r="L192" s="93"/>
      <c r="M192" s="89"/>
      <c r="N192" s="89"/>
      <c r="O192" s="89">
        <v>100</v>
      </c>
      <c r="P192" s="93"/>
      <c r="Q192" s="89"/>
      <c r="R192" s="89"/>
      <c r="S192" s="89">
        <v>100</v>
      </c>
      <c r="T192" s="93"/>
      <c r="U192" s="89"/>
      <c r="V192" s="89"/>
      <c r="W192" s="89">
        <v>100</v>
      </c>
      <c r="X192" s="93"/>
      <c r="Y192" s="89"/>
      <c r="Z192" s="89"/>
      <c r="AA192" s="89">
        <v>100</v>
      </c>
      <c r="AB192" s="93"/>
      <c r="AC192" s="89"/>
      <c r="AD192" s="89"/>
      <c r="AE192" s="89">
        <v>100</v>
      </c>
      <c r="AF192" s="93"/>
      <c r="AG192" s="89"/>
      <c r="AH192" s="89"/>
      <c r="AI192" s="89">
        <v>100</v>
      </c>
      <c r="AJ192" s="93"/>
      <c r="AK192" s="89"/>
      <c r="AL192" s="89"/>
      <c r="AM192" s="89">
        <v>100</v>
      </c>
      <c r="AN192" s="93"/>
      <c r="AO192" s="89"/>
      <c r="AP192" s="89"/>
    </row>
    <row r="193" spans="1:42" x14ac:dyDescent="0.2">
      <c r="A193" s="13" t="s">
        <v>1152</v>
      </c>
      <c r="B193" s="13">
        <v>392</v>
      </c>
      <c r="C193" s="1">
        <v>100</v>
      </c>
      <c r="D193" s="1"/>
      <c r="E193" s="1"/>
      <c r="F193" s="1" t="s">
        <v>1810</v>
      </c>
      <c r="G193" s="1">
        <v>100</v>
      </c>
      <c r="H193" s="1"/>
      <c r="I193" s="1"/>
      <c r="J193" s="1"/>
      <c r="K193" s="89">
        <v>100</v>
      </c>
      <c r="L193" s="93"/>
      <c r="M193" s="89"/>
      <c r="N193" s="89"/>
      <c r="O193" s="89">
        <v>100</v>
      </c>
      <c r="P193" s="93"/>
      <c r="Q193" s="89"/>
      <c r="R193" s="89"/>
      <c r="S193" s="89">
        <v>100</v>
      </c>
      <c r="T193" s="93"/>
      <c r="U193" s="89"/>
      <c r="V193" s="89"/>
      <c r="W193" s="89">
        <v>100</v>
      </c>
      <c r="X193" s="93"/>
      <c r="Y193" s="89"/>
      <c r="Z193" s="89"/>
      <c r="AA193" s="89">
        <v>100</v>
      </c>
      <c r="AB193" s="93"/>
      <c r="AC193" s="89"/>
      <c r="AD193" s="89"/>
      <c r="AE193" s="89">
        <v>100</v>
      </c>
      <c r="AF193" s="93"/>
      <c r="AG193" s="89"/>
      <c r="AH193" s="89"/>
      <c r="AI193" s="89">
        <v>100</v>
      </c>
      <c r="AJ193" s="93"/>
      <c r="AK193" s="89"/>
      <c r="AL193" s="89"/>
      <c r="AM193" s="89">
        <v>100</v>
      </c>
      <c r="AN193" s="93"/>
      <c r="AO193" s="89"/>
      <c r="AP193" s="89"/>
    </row>
    <row r="194" spans="1:42" x14ac:dyDescent="0.2">
      <c r="A194" s="19" t="s">
        <v>1163</v>
      </c>
      <c r="B194" s="19">
        <v>401</v>
      </c>
      <c r="C194" s="37">
        <v>2</v>
      </c>
      <c r="D194" s="37">
        <v>13</v>
      </c>
      <c r="E194" s="37">
        <v>13.8</v>
      </c>
      <c r="F194" s="37"/>
      <c r="G194" s="37">
        <v>2</v>
      </c>
      <c r="H194" s="37">
        <v>14</v>
      </c>
      <c r="I194" s="37">
        <v>12</v>
      </c>
      <c r="J194" s="37"/>
      <c r="K194" s="88">
        <v>5</v>
      </c>
      <c r="L194" s="92">
        <v>11.9</v>
      </c>
      <c r="M194" s="88">
        <v>14</v>
      </c>
      <c r="N194" s="88"/>
      <c r="O194" s="88">
        <v>5</v>
      </c>
      <c r="P194" s="92">
        <v>8.8000000000000007</v>
      </c>
      <c r="Q194" s="88">
        <v>14.2</v>
      </c>
      <c r="R194" s="88"/>
      <c r="S194" s="88">
        <v>5</v>
      </c>
      <c r="T194" s="92">
        <v>12</v>
      </c>
      <c r="U194" s="88">
        <v>9.6999999999999993</v>
      </c>
      <c r="V194" s="88"/>
      <c r="W194" s="88">
        <v>10</v>
      </c>
      <c r="X194" s="92">
        <v>9.9</v>
      </c>
      <c r="Y194" s="88">
        <v>10.8</v>
      </c>
      <c r="Z194" s="88"/>
      <c r="AA194" s="88">
        <v>10</v>
      </c>
      <c r="AB194" s="92">
        <v>8</v>
      </c>
      <c r="AC194" s="88">
        <v>8.1</v>
      </c>
      <c r="AD194" s="88"/>
      <c r="AE194" s="88">
        <v>10</v>
      </c>
      <c r="AF194" s="92">
        <v>7.9</v>
      </c>
      <c r="AG194" s="88">
        <v>10.199999999999999</v>
      </c>
      <c r="AH194" s="88"/>
      <c r="AI194" s="88">
        <v>35</v>
      </c>
      <c r="AJ194" s="92">
        <v>8.4</v>
      </c>
      <c r="AK194" s="88">
        <v>5.9</v>
      </c>
      <c r="AL194" s="88"/>
      <c r="AM194" s="88">
        <v>85</v>
      </c>
      <c r="AN194" s="92">
        <v>8</v>
      </c>
      <c r="AO194" s="88">
        <v>6.3</v>
      </c>
      <c r="AP194" s="88"/>
    </row>
    <row r="195" spans="1:42" x14ac:dyDescent="0.2">
      <c r="A195" s="19" t="s">
        <v>1166</v>
      </c>
      <c r="B195" s="19">
        <v>404</v>
      </c>
      <c r="C195" s="37">
        <v>2</v>
      </c>
      <c r="D195" s="37">
        <v>10.8</v>
      </c>
      <c r="E195" s="37">
        <v>9.8000000000000007</v>
      </c>
      <c r="F195" s="37"/>
      <c r="G195" s="37">
        <v>2</v>
      </c>
      <c r="H195" s="37">
        <v>13.4</v>
      </c>
      <c r="I195" s="37">
        <v>9.3000000000000007</v>
      </c>
      <c r="J195" s="37"/>
      <c r="K195" s="88">
        <v>5</v>
      </c>
      <c r="L195" s="92">
        <v>9.8000000000000007</v>
      </c>
      <c r="M195" s="88">
        <v>11</v>
      </c>
      <c r="N195" s="88"/>
      <c r="O195" s="88">
        <v>5</v>
      </c>
      <c r="P195" s="92">
        <v>10.3</v>
      </c>
      <c r="Q195" s="88">
        <v>9</v>
      </c>
      <c r="R195" s="88"/>
      <c r="S195" s="88">
        <v>5</v>
      </c>
      <c r="T195" s="92">
        <v>8.5</v>
      </c>
      <c r="U195" s="88">
        <v>10.199999999999999</v>
      </c>
      <c r="V195" s="88"/>
      <c r="W195" s="88">
        <v>5</v>
      </c>
      <c r="X195" s="92">
        <v>8.9</v>
      </c>
      <c r="Y195" s="88">
        <v>9.6</v>
      </c>
      <c r="Z195" s="88"/>
      <c r="AA195" s="88">
        <v>10</v>
      </c>
      <c r="AB195" s="92">
        <v>8.9</v>
      </c>
      <c r="AC195" s="88">
        <v>7.5</v>
      </c>
      <c r="AD195" s="88"/>
      <c r="AE195" s="88">
        <v>10</v>
      </c>
      <c r="AF195" s="92">
        <v>6.2</v>
      </c>
      <c r="AG195" s="88">
        <v>6.8</v>
      </c>
      <c r="AH195" s="88"/>
      <c r="AI195" s="88">
        <v>40</v>
      </c>
      <c r="AJ195" s="92">
        <v>2.8</v>
      </c>
      <c r="AK195" s="88">
        <v>5.8</v>
      </c>
      <c r="AL195" s="88"/>
      <c r="AM195" s="88">
        <v>100</v>
      </c>
      <c r="AN195" s="92"/>
      <c r="AO195" s="88"/>
      <c r="AP195" s="88"/>
    </row>
    <row r="196" spans="1:42" x14ac:dyDescent="0.2">
      <c r="A196" s="19" t="s">
        <v>1167</v>
      </c>
      <c r="B196" s="19">
        <v>405</v>
      </c>
      <c r="C196" s="37">
        <v>2</v>
      </c>
      <c r="D196" s="37">
        <v>12.6</v>
      </c>
      <c r="E196" s="37">
        <v>14.1</v>
      </c>
      <c r="F196" s="37"/>
      <c r="G196" s="37">
        <v>5</v>
      </c>
      <c r="H196" s="37">
        <v>12.2</v>
      </c>
      <c r="I196" s="37">
        <v>10.1</v>
      </c>
      <c r="J196" s="37"/>
      <c r="K196" s="88">
        <v>5</v>
      </c>
      <c r="L196" s="92">
        <v>11.5</v>
      </c>
      <c r="M196" s="88">
        <v>10.5</v>
      </c>
      <c r="N196" s="88"/>
      <c r="O196" s="88">
        <v>5</v>
      </c>
      <c r="P196" s="92">
        <v>11.1</v>
      </c>
      <c r="Q196" s="88">
        <v>10.9</v>
      </c>
      <c r="R196" s="88"/>
      <c r="S196" s="88">
        <v>5</v>
      </c>
      <c r="T196" s="92">
        <v>12.2</v>
      </c>
      <c r="U196" s="88">
        <v>12.8</v>
      </c>
      <c r="V196" s="88"/>
      <c r="W196" s="88">
        <v>15</v>
      </c>
      <c r="X196" s="92">
        <v>10.6</v>
      </c>
      <c r="Y196" s="88">
        <v>9.9</v>
      </c>
      <c r="Z196" s="88"/>
      <c r="AA196" s="88">
        <v>15</v>
      </c>
      <c r="AB196" s="92">
        <v>10.9</v>
      </c>
      <c r="AC196" s="88">
        <v>9.9</v>
      </c>
      <c r="AD196" s="88"/>
      <c r="AE196" s="88">
        <v>20</v>
      </c>
      <c r="AF196" s="92">
        <v>7.5</v>
      </c>
      <c r="AG196" s="88">
        <v>10</v>
      </c>
      <c r="AH196" s="88"/>
      <c r="AI196" s="88">
        <v>75</v>
      </c>
      <c r="AJ196" s="92">
        <v>3.1</v>
      </c>
      <c r="AK196" s="88">
        <v>6.2</v>
      </c>
      <c r="AL196" s="88"/>
      <c r="AM196" s="88">
        <v>98</v>
      </c>
      <c r="AN196" s="92"/>
      <c r="AO196" s="88"/>
      <c r="AP196" s="88"/>
    </row>
    <row r="197" spans="1:42" x14ac:dyDescent="0.2">
      <c r="A197" s="19" t="s">
        <v>1170</v>
      </c>
      <c r="B197" s="19">
        <v>408</v>
      </c>
      <c r="C197" s="37">
        <v>5</v>
      </c>
      <c r="D197" s="37">
        <v>8</v>
      </c>
      <c r="E197" s="37">
        <v>8.8000000000000007</v>
      </c>
      <c r="F197" s="37"/>
      <c r="G197" s="37">
        <v>5</v>
      </c>
      <c r="H197" s="37">
        <v>9.8000000000000007</v>
      </c>
      <c r="I197" s="37">
        <v>9</v>
      </c>
      <c r="J197" s="37"/>
      <c r="K197" s="88">
        <v>10</v>
      </c>
      <c r="L197" s="92">
        <v>9</v>
      </c>
      <c r="M197" s="88">
        <v>8.3000000000000007</v>
      </c>
      <c r="N197" s="88"/>
      <c r="O197" s="88">
        <v>15</v>
      </c>
      <c r="P197" s="92">
        <v>8.1999999999999993</v>
      </c>
      <c r="Q197" s="88">
        <v>8</v>
      </c>
      <c r="R197" s="88"/>
      <c r="S197" s="88">
        <v>15</v>
      </c>
      <c r="T197" s="92">
        <v>6.9</v>
      </c>
      <c r="U197" s="88">
        <v>9</v>
      </c>
      <c r="V197" s="88"/>
      <c r="W197" s="88">
        <v>40</v>
      </c>
      <c r="X197" s="92">
        <v>7.1</v>
      </c>
      <c r="Y197" s="88">
        <v>8.8000000000000007</v>
      </c>
      <c r="Z197" s="88"/>
      <c r="AA197" s="88">
        <v>45</v>
      </c>
      <c r="AB197" s="92">
        <v>5.7</v>
      </c>
      <c r="AC197" s="88">
        <v>7.4</v>
      </c>
      <c r="AD197" s="88"/>
      <c r="AE197" s="88">
        <v>65</v>
      </c>
      <c r="AF197" s="92">
        <v>7.6</v>
      </c>
      <c r="AG197" s="88">
        <v>5.3</v>
      </c>
      <c r="AH197" s="88"/>
      <c r="AI197" s="88">
        <v>85</v>
      </c>
      <c r="AJ197" s="92">
        <v>2.7</v>
      </c>
      <c r="AK197" s="88">
        <v>2.7</v>
      </c>
      <c r="AL197" s="88"/>
      <c r="AM197" s="88">
        <v>100</v>
      </c>
      <c r="AN197" s="92"/>
      <c r="AO197" s="88"/>
      <c r="AP197" s="88"/>
    </row>
    <row r="198" spans="1:42" x14ac:dyDescent="0.2">
      <c r="A198" s="13" t="s">
        <v>1172</v>
      </c>
      <c r="B198" s="13">
        <v>409</v>
      </c>
      <c r="C198" s="1">
        <v>100</v>
      </c>
      <c r="D198" s="1"/>
      <c r="E198" s="1"/>
      <c r="F198" s="1" t="s">
        <v>1810</v>
      </c>
      <c r="G198" s="1">
        <v>100</v>
      </c>
      <c r="H198" s="1"/>
      <c r="I198" s="1"/>
      <c r="J198" s="1"/>
      <c r="K198" s="89">
        <v>100</v>
      </c>
      <c r="L198" s="93"/>
      <c r="M198" s="89"/>
      <c r="N198" s="89"/>
      <c r="O198" s="89">
        <v>100</v>
      </c>
      <c r="P198" s="93"/>
      <c r="Q198" s="89"/>
      <c r="R198" s="89"/>
      <c r="S198" s="89">
        <v>100</v>
      </c>
      <c r="T198" s="93"/>
      <c r="U198" s="89"/>
      <c r="V198" s="89"/>
      <c r="W198" s="89">
        <v>100</v>
      </c>
      <c r="X198" s="93"/>
      <c r="Y198" s="89"/>
      <c r="Z198" s="89"/>
      <c r="AA198" s="89">
        <v>100</v>
      </c>
      <c r="AB198" s="93"/>
      <c r="AC198" s="89"/>
      <c r="AD198" s="89"/>
      <c r="AE198" s="89">
        <v>100</v>
      </c>
      <c r="AF198" s="93"/>
      <c r="AG198" s="89"/>
      <c r="AH198" s="89"/>
      <c r="AI198" s="89">
        <v>100</v>
      </c>
      <c r="AJ198" s="93"/>
      <c r="AK198" s="89"/>
      <c r="AL198" s="89"/>
      <c r="AM198" s="89">
        <v>100</v>
      </c>
      <c r="AN198" s="93"/>
      <c r="AO198" s="89"/>
      <c r="AP198" s="89"/>
    </row>
    <row r="199" spans="1:42" x14ac:dyDescent="0.2">
      <c r="A199" s="13" t="s">
        <v>1175</v>
      </c>
      <c r="B199" s="13">
        <v>412</v>
      </c>
      <c r="C199" s="1">
        <v>100</v>
      </c>
      <c r="D199" s="1"/>
      <c r="E199" s="1"/>
      <c r="F199" s="1" t="s">
        <v>1810</v>
      </c>
      <c r="G199" s="1">
        <v>100</v>
      </c>
      <c r="H199" s="1"/>
      <c r="I199" s="1"/>
      <c r="J199" s="1"/>
      <c r="K199" s="89">
        <v>100</v>
      </c>
      <c r="L199" s="93"/>
      <c r="M199" s="89"/>
      <c r="N199" s="89"/>
      <c r="O199" s="89">
        <v>100</v>
      </c>
      <c r="P199" s="93"/>
      <c r="Q199" s="89"/>
      <c r="R199" s="89"/>
      <c r="S199" s="89">
        <v>100</v>
      </c>
      <c r="T199" s="93"/>
      <c r="U199" s="89"/>
      <c r="V199" s="89"/>
      <c r="W199" s="89">
        <v>100</v>
      </c>
      <c r="X199" s="93"/>
      <c r="Y199" s="89"/>
      <c r="Z199" s="89"/>
      <c r="AA199" s="89">
        <v>100</v>
      </c>
      <c r="AB199" s="93"/>
      <c r="AC199" s="89"/>
      <c r="AD199" s="89"/>
      <c r="AE199" s="89">
        <v>100</v>
      </c>
      <c r="AF199" s="93"/>
      <c r="AG199" s="89"/>
      <c r="AH199" s="89"/>
      <c r="AI199" s="89">
        <v>100</v>
      </c>
      <c r="AJ199" s="93"/>
      <c r="AK199" s="89"/>
      <c r="AL199" s="89"/>
      <c r="AM199" s="89">
        <v>100</v>
      </c>
      <c r="AN199" s="93"/>
      <c r="AO199" s="89"/>
      <c r="AP199" s="89"/>
    </row>
    <row r="200" spans="1:42" x14ac:dyDescent="0.2">
      <c r="A200" s="13" t="s">
        <v>1176</v>
      </c>
      <c r="B200" s="13">
        <v>413</v>
      </c>
      <c r="C200" s="1">
        <v>100</v>
      </c>
      <c r="D200" s="1"/>
      <c r="E200" s="1"/>
      <c r="F200" s="1" t="s">
        <v>1810</v>
      </c>
      <c r="G200" s="1">
        <v>100</v>
      </c>
      <c r="H200" s="1"/>
      <c r="I200" s="1"/>
      <c r="J200" s="1"/>
      <c r="K200" s="89">
        <v>100</v>
      </c>
      <c r="L200" s="93"/>
      <c r="M200" s="89"/>
      <c r="N200" s="89"/>
      <c r="O200" s="89">
        <v>100</v>
      </c>
      <c r="P200" s="93"/>
      <c r="Q200" s="89"/>
      <c r="R200" s="89"/>
      <c r="S200" s="89">
        <v>100</v>
      </c>
      <c r="T200" s="93"/>
      <c r="U200" s="89"/>
      <c r="V200" s="89"/>
      <c r="W200" s="89">
        <v>100</v>
      </c>
      <c r="X200" s="93"/>
      <c r="Y200" s="89"/>
      <c r="Z200" s="89"/>
      <c r="AA200" s="89">
        <v>100</v>
      </c>
      <c r="AB200" s="93"/>
      <c r="AC200" s="89"/>
      <c r="AD200" s="89"/>
      <c r="AE200" s="89">
        <v>100</v>
      </c>
      <c r="AF200" s="93"/>
      <c r="AG200" s="89"/>
      <c r="AH200" s="89"/>
      <c r="AI200" s="89">
        <v>100</v>
      </c>
      <c r="AJ200" s="93"/>
      <c r="AK200" s="89"/>
      <c r="AL200" s="89"/>
      <c r="AM200" s="89">
        <v>100</v>
      </c>
      <c r="AN200" s="93"/>
      <c r="AO200" s="89"/>
      <c r="AP200" s="89"/>
    </row>
    <row r="201" spans="1:42" x14ac:dyDescent="0.2">
      <c r="A201" s="13" t="s">
        <v>1179</v>
      </c>
      <c r="B201" s="13">
        <v>416</v>
      </c>
      <c r="C201" s="1">
        <v>100</v>
      </c>
      <c r="D201" s="1"/>
      <c r="E201" s="1"/>
      <c r="F201" s="1" t="s">
        <v>1810</v>
      </c>
      <c r="G201" s="1">
        <v>100</v>
      </c>
      <c r="H201" s="1"/>
      <c r="I201" s="1"/>
      <c r="J201" s="1"/>
      <c r="K201" s="89">
        <v>100</v>
      </c>
      <c r="L201" s="93"/>
      <c r="M201" s="89"/>
      <c r="N201" s="89"/>
      <c r="O201" s="89">
        <v>100</v>
      </c>
      <c r="P201" s="93"/>
      <c r="Q201" s="89"/>
      <c r="R201" s="89"/>
      <c r="S201" s="89">
        <v>100</v>
      </c>
      <c r="T201" s="93"/>
      <c r="U201" s="89"/>
      <c r="V201" s="89"/>
      <c r="W201" s="89">
        <v>100</v>
      </c>
      <c r="X201" s="93"/>
      <c r="Y201" s="89"/>
      <c r="Z201" s="89"/>
      <c r="AA201" s="89">
        <v>100</v>
      </c>
      <c r="AB201" s="93"/>
      <c r="AC201" s="89"/>
      <c r="AD201" s="89"/>
      <c r="AE201" s="89">
        <v>100</v>
      </c>
      <c r="AF201" s="93"/>
      <c r="AG201" s="89"/>
      <c r="AH201" s="89"/>
      <c r="AI201" s="89">
        <v>100</v>
      </c>
      <c r="AJ201" s="93"/>
      <c r="AK201" s="89"/>
      <c r="AL201" s="89"/>
      <c r="AM201" s="89">
        <v>100</v>
      </c>
      <c r="AN201" s="93"/>
      <c r="AO201" s="89"/>
      <c r="AP201" s="89"/>
    </row>
    <row r="202" spans="1:42" x14ac:dyDescent="0.2">
      <c r="A202" s="19" t="s">
        <v>1181</v>
      </c>
      <c r="B202" s="19">
        <v>417</v>
      </c>
      <c r="C202" s="37">
        <v>2</v>
      </c>
      <c r="D202" s="37">
        <v>9.8000000000000007</v>
      </c>
      <c r="E202" s="37">
        <v>8.3000000000000007</v>
      </c>
      <c r="F202" s="37"/>
      <c r="G202" s="37">
        <v>2</v>
      </c>
      <c r="H202" s="37">
        <v>8.4</v>
      </c>
      <c r="I202" s="37">
        <v>10.199999999999999</v>
      </c>
      <c r="J202" s="37"/>
      <c r="K202" s="88">
        <v>5</v>
      </c>
      <c r="L202" s="92">
        <v>8.6999999999999993</v>
      </c>
      <c r="M202" s="88">
        <v>8</v>
      </c>
      <c r="N202" s="88"/>
      <c r="O202" s="88">
        <v>5</v>
      </c>
      <c r="P202" s="92">
        <v>11.2</v>
      </c>
      <c r="Q202" s="88">
        <v>11.5</v>
      </c>
      <c r="R202" s="88"/>
      <c r="S202" s="88">
        <v>10</v>
      </c>
      <c r="T202" s="92">
        <v>8.5</v>
      </c>
      <c r="U202" s="88">
        <v>8.1</v>
      </c>
      <c r="V202" s="88"/>
      <c r="W202" s="88">
        <v>35</v>
      </c>
      <c r="X202" s="92">
        <v>8</v>
      </c>
      <c r="Y202" s="88">
        <v>7</v>
      </c>
      <c r="Z202" s="88"/>
      <c r="AA202" s="88">
        <v>45</v>
      </c>
      <c r="AB202" s="92">
        <v>7.9</v>
      </c>
      <c r="AC202" s="88">
        <v>3.9</v>
      </c>
      <c r="AD202" s="88"/>
      <c r="AE202" s="88">
        <v>75</v>
      </c>
      <c r="AF202" s="92">
        <v>5.4</v>
      </c>
      <c r="AG202" s="88">
        <v>2.4</v>
      </c>
      <c r="AH202" s="88"/>
      <c r="AI202" s="88">
        <v>95</v>
      </c>
      <c r="AJ202" s="92">
        <v>2.7</v>
      </c>
      <c r="AK202" s="88">
        <v>3.3</v>
      </c>
      <c r="AL202" s="88"/>
      <c r="AM202" s="88">
        <v>100</v>
      </c>
      <c r="AN202" s="92"/>
      <c r="AO202" s="88"/>
      <c r="AP202" s="88"/>
    </row>
    <row r="203" spans="1:42" x14ac:dyDescent="0.2">
      <c r="A203" s="19" t="s">
        <v>1182</v>
      </c>
      <c r="B203" s="19">
        <v>418</v>
      </c>
      <c r="C203" s="37">
        <v>2</v>
      </c>
      <c r="D203" s="37">
        <v>10.4</v>
      </c>
      <c r="E203" s="37">
        <v>9.1</v>
      </c>
      <c r="F203" s="37"/>
      <c r="G203" s="37">
        <v>2</v>
      </c>
      <c r="H203" s="37">
        <v>15.3</v>
      </c>
      <c r="I203" s="37">
        <v>10.5</v>
      </c>
      <c r="J203" s="37"/>
      <c r="K203" s="88">
        <v>5</v>
      </c>
      <c r="L203" s="92">
        <v>8.4</v>
      </c>
      <c r="M203" s="88">
        <v>11.2</v>
      </c>
      <c r="N203" s="88"/>
      <c r="O203" s="88">
        <v>5</v>
      </c>
      <c r="P203" s="92">
        <v>12.4</v>
      </c>
      <c r="Q203" s="88">
        <v>10</v>
      </c>
      <c r="R203" s="88"/>
      <c r="S203" s="88">
        <v>5</v>
      </c>
      <c r="T203" s="92">
        <v>9.1999999999999993</v>
      </c>
      <c r="U203" s="88">
        <v>7.5</v>
      </c>
      <c r="V203" s="88"/>
      <c r="W203" s="88">
        <v>20</v>
      </c>
      <c r="X203" s="92">
        <v>8.1</v>
      </c>
      <c r="Y203" s="88">
        <v>10.7</v>
      </c>
      <c r="Z203" s="88"/>
      <c r="AA203" s="88">
        <v>25</v>
      </c>
      <c r="AB203" s="92">
        <v>6.8</v>
      </c>
      <c r="AC203" s="88">
        <v>9.1</v>
      </c>
      <c r="AD203" s="88"/>
      <c r="AE203" s="88">
        <v>35</v>
      </c>
      <c r="AF203" s="92">
        <v>8.1999999999999993</v>
      </c>
      <c r="AG203" s="88">
        <v>9.4</v>
      </c>
      <c r="AH203" s="88"/>
      <c r="AI203" s="88">
        <v>40</v>
      </c>
      <c r="AJ203" s="92">
        <v>6.1</v>
      </c>
      <c r="AK203" s="88">
        <v>3.3</v>
      </c>
      <c r="AL203" s="88"/>
      <c r="AM203" s="88">
        <v>100</v>
      </c>
      <c r="AN203" s="92"/>
      <c r="AO203" s="88"/>
      <c r="AP203" s="88"/>
    </row>
    <row r="204" spans="1:42" x14ac:dyDescent="0.2">
      <c r="A204" s="19" t="s">
        <v>1183</v>
      </c>
      <c r="B204" s="19">
        <v>419</v>
      </c>
      <c r="C204" s="37">
        <v>5</v>
      </c>
      <c r="D204" s="37">
        <v>9.9</v>
      </c>
      <c r="E204" s="37">
        <v>9.9</v>
      </c>
      <c r="F204" s="37"/>
      <c r="G204" s="37">
        <v>5</v>
      </c>
      <c r="H204" s="37">
        <v>9.6</v>
      </c>
      <c r="I204" s="37">
        <v>9.3000000000000007</v>
      </c>
      <c r="J204" s="37"/>
      <c r="K204" s="88">
        <v>20</v>
      </c>
      <c r="L204" s="92">
        <v>5.7</v>
      </c>
      <c r="M204" s="88">
        <v>7.1</v>
      </c>
      <c r="N204" s="88"/>
      <c r="O204" s="88">
        <v>30</v>
      </c>
      <c r="P204" s="92">
        <v>6.8</v>
      </c>
      <c r="Q204" s="88">
        <v>8.1999999999999993</v>
      </c>
      <c r="R204" s="88"/>
      <c r="S204" s="88">
        <v>35</v>
      </c>
      <c r="T204" s="92">
        <v>8.4</v>
      </c>
      <c r="U204" s="88">
        <v>6.8</v>
      </c>
      <c r="V204" s="88"/>
      <c r="W204" s="88">
        <v>50</v>
      </c>
      <c r="X204" s="92">
        <v>6.9</v>
      </c>
      <c r="Y204" s="88">
        <v>5.4</v>
      </c>
      <c r="Z204" s="88"/>
      <c r="AA204" s="88">
        <v>50</v>
      </c>
      <c r="AB204" s="92">
        <v>6.7</v>
      </c>
      <c r="AC204" s="88">
        <v>4.4000000000000004</v>
      </c>
      <c r="AD204" s="88"/>
      <c r="AE204" s="88">
        <v>80</v>
      </c>
      <c r="AF204" s="92">
        <v>5</v>
      </c>
      <c r="AG204" s="88">
        <v>6.3</v>
      </c>
      <c r="AH204" s="88"/>
      <c r="AI204" s="88">
        <v>98</v>
      </c>
      <c r="AJ204" s="92">
        <v>1.7</v>
      </c>
      <c r="AK204" s="88">
        <v>3.1</v>
      </c>
      <c r="AL204" s="88"/>
      <c r="AM204" s="88">
        <v>100</v>
      </c>
      <c r="AN204" s="92"/>
      <c r="AO204" s="88"/>
      <c r="AP204" s="88"/>
    </row>
    <row r="205" spans="1:42" x14ac:dyDescent="0.2">
      <c r="A205" s="19" t="s">
        <v>1184</v>
      </c>
      <c r="B205" s="19">
        <v>420</v>
      </c>
      <c r="C205" s="37">
        <v>5</v>
      </c>
      <c r="D205" s="37">
        <v>12.8</v>
      </c>
      <c r="E205" s="37">
        <v>12.2</v>
      </c>
      <c r="F205" s="37"/>
      <c r="G205" s="37">
        <v>5</v>
      </c>
      <c r="H205" s="37">
        <v>12.2</v>
      </c>
      <c r="I205" s="37">
        <v>14</v>
      </c>
      <c r="J205" s="37"/>
      <c r="K205" s="88">
        <v>15</v>
      </c>
      <c r="L205" s="92">
        <v>9.5</v>
      </c>
      <c r="M205" s="88">
        <v>10.9</v>
      </c>
      <c r="N205" s="88"/>
      <c r="O205" s="88">
        <v>20</v>
      </c>
      <c r="P205" s="92">
        <v>12.9</v>
      </c>
      <c r="Q205" s="88">
        <v>11.5</v>
      </c>
      <c r="R205" s="88"/>
      <c r="S205" s="88">
        <v>20</v>
      </c>
      <c r="T205" s="92">
        <v>9.4</v>
      </c>
      <c r="U205" s="88">
        <v>8.4</v>
      </c>
      <c r="V205" s="88"/>
      <c r="W205" s="88">
        <v>30</v>
      </c>
      <c r="X205" s="92">
        <v>9.6</v>
      </c>
      <c r="Y205" s="88">
        <v>8.1</v>
      </c>
      <c r="Z205" s="88"/>
      <c r="AA205" s="88">
        <v>35</v>
      </c>
      <c r="AB205" s="92">
        <v>7.7</v>
      </c>
      <c r="AC205" s="88">
        <v>6.3</v>
      </c>
      <c r="AD205" s="88"/>
      <c r="AE205" s="88">
        <v>40</v>
      </c>
      <c r="AF205" s="92">
        <v>3.4</v>
      </c>
      <c r="AG205" s="88">
        <v>8.4</v>
      </c>
      <c r="AH205" s="88"/>
      <c r="AI205" s="88">
        <v>45</v>
      </c>
      <c r="AJ205" s="92">
        <v>5.0999999999999996</v>
      </c>
      <c r="AK205" s="88">
        <v>3.1</v>
      </c>
      <c r="AL205" s="88"/>
      <c r="AM205" s="88">
        <v>100</v>
      </c>
      <c r="AN205" s="92"/>
      <c r="AO205" s="88"/>
      <c r="AP205" s="88"/>
    </row>
    <row r="206" spans="1:42" x14ac:dyDescent="0.2">
      <c r="A206" s="19" t="s">
        <v>1185</v>
      </c>
      <c r="B206" s="19">
        <v>421</v>
      </c>
      <c r="C206" s="37">
        <v>5</v>
      </c>
      <c r="D206" s="37">
        <v>8.1999999999999993</v>
      </c>
      <c r="E206" s="37">
        <v>10.1</v>
      </c>
      <c r="F206" s="37"/>
      <c r="G206" s="37">
        <v>5</v>
      </c>
      <c r="H206" s="37">
        <v>12.5</v>
      </c>
      <c r="I206" s="37">
        <v>10.4</v>
      </c>
      <c r="J206" s="37"/>
      <c r="K206" s="88">
        <v>10</v>
      </c>
      <c r="L206" s="92">
        <v>8.1</v>
      </c>
      <c r="M206" s="88">
        <v>7.9</v>
      </c>
      <c r="N206" s="88"/>
      <c r="O206" s="88">
        <v>20</v>
      </c>
      <c r="P206" s="92">
        <v>10</v>
      </c>
      <c r="Q206" s="88">
        <v>6.5</v>
      </c>
      <c r="R206" s="88"/>
      <c r="S206" s="88">
        <v>10</v>
      </c>
      <c r="T206" s="92">
        <v>7.7</v>
      </c>
      <c r="U206" s="88">
        <v>6.8</v>
      </c>
      <c r="V206" s="88"/>
      <c r="W206" s="88">
        <v>50</v>
      </c>
      <c r="X206" s="92">
        <v>5.9</v>
      </c>
      <c r="Y206" s="88">
        <v>7</v>
      </c>
      <c r="Z206" s="88"/>
      <c r="AA206" s="88">
        <v>55</v>
      </c>
      <c r="AB206" s="92">
        <v>5.2</v>
      </c>
      <c r="AC206" s="88">
        <v>5.3</v>
      </c>
      <c r="AD206" s="88"/>
      <c r="AE206" s="88">
        <v>75</v>
      </c>
      <c r="AF206" s="92">
        <v>2.6</v>
      </c>
      <c r="AG206" s="88">
        <v>3.2</v>
      </c>
      <c r="AH206" s="88"/>
      <c r="AI206" s="88">
        <v>100</v>
      </c>
      <c r="AJ206" s="92"/>
      <c r="AK206" s="88"/>
      <c r="AL206" s="88"/>
      <c r="AM206" s="88">
        <v>100</v>
      </c>
      <c r="AN206" s="92"/>
      <c r="AO206" s="88"/>
      <c r="AP206" s="88"/>
    </row>
    <row r="207" spans="1:42" x14ac:dyDescent="0.2">
      <c r="A207" s="19" t="s">
        <v>1186</v>
      </c>
      <c r="B207" s="19">
        <v>422</v>
      </c>
      <c r="C207" s="37">
        <v>5</v>
      </c>
      <c r="D207" s="37">
        <v>9.9</v>
      </c>
      <c r="E207" s="37">
        <v>10.8</v>
      </c>
      <c r="F207" s="37"/>
      <c r="G207" s="37">
        <v>5</v>
      </c>
      <c r="H207" s="37">
        <v>10.4</v>
      </c>
      <c r="I207" s="37">
        <v>11.5</v>
      </c>
      <c r="J207" s="37"/>
      <c r="K207" s="88">
        <v>5</v>
      </c>
      <c r="L207" s="92">
        <v>9</v>
      </c>
      <c r="M207" s="88">
        <v>9.6999999999999993</v>
      </c>
      <c r="N207" s="88"/>
      <c r="O207" s="88">
        <v>5</v>
      </c>
      <c r="P207" s="92">
        <v>9.1999999999999993</v>
      </c>
      <c r="Q207" s="88">
        <v>8.6999999999999993</v>
      </c>
      <c r="R207" s="88"/>
      <c r="S207" s="88">
        <v>5</v>
      </c>
      <c r="T207" s="92">
        <v>9.1</v>
      </c>
      <c r="U207" s="88">
        <v>9.5</v>
      </c>
      <c r="V207" s="88"/>
      <c r="W207" s="88">
        <v>15</v>
      </c>
      <c r="X207" s="92">
        <v>9.3000000000000007</v>
      </c>
      <c r="Y207" s="88">
        <v>7.2</v>
      </c>
      <c r="Z207" s="88"/>
      <c r="AA207" s="88">
        <v>15</v>
      </c>
      <c r="AB207" s="92">
        <v>9.8000000000000007</v>
      </c>
      <c r="AC207" s="88">
        <v>8.1</v>
      </c>
      <c r="AD207" s="88"/>
      <c r="AE207" s="88">
        <v>15</v>
      </c>
      <c r="AF207" s="92">
        <v>7.1</v>
      </c>
      <c r="AG207" s="88">
        <v>8.1999999999999993</v>
      </c>
      <c r="AH207" s="88"/>
      <c r="AI207" s="88">
        <v>35</v>
      </c>
      <c r="AJ207" s="92">
        <v>4.0999999999999996</v>
      </c>
      <c r="AK207" s="88">
        <v>5.4</v>
      </c>
      <c r="AL207" s="88"/>
      <c r="AM207" s="88">
        <v>100</v>
      </c>
      <c r="AN207" s="92"/>
      <c r="AO207" s="88"/>
      <c r="AP207" s="88"/>
    </row>
    <row r="208" spans="1:42" x14ac:dyDescent="0.2">
      <c r="A208" s="19" t="s">
        <v>1187</v>
      </c>
      <c r="B208" s="19">
        <v>423</v>
      </c>
      <c r="C208" s="37">
        <v>2</v>
      </c>
      <c r="D208" s="37">
        <v>7.8</v>
      </c>
      <c r="E208" s="37">
        <v>6.9</v>
      </c>
      <c r="F208" s="37"/>
      <c r="G208" s="37">
        <v>5</v>
      </c>
      <c r="H208" s="37">
        <v>8.4</v>
      </c>
      <c r="I208" s="37">
        <v>9.4</v>
      </c>
      <c r="J208" s="37"/>
      <c r="K208" s="88">
        <v>15</v>
      </c>
      <c r="L208" s="92">
        <v>6</v>
      </c>
      <c r="M208" s="88">
        <v>7.4</v>
      </c>
      <c r="N208" s="88"/>
      <c r="O208" s="88">
        <v>15</v>
      </c>
      <c r="P208" s="92">
        <v>9.3000000000000007</v>
      </c>
      <c r="Q208" s="88">
        <v>6.7</v>
      </c>
      <c r="R208" s="88"/>
      <c r="S208" s="88">
        <v>15</v>
      </c>
      <c r="T208" s="92">
        <v>6.9</v>
      </c>
      <c r="U208" s="88">
        <v>7.4</v>
      </c>
      <c r="V208" s="88"/>
      <c r="W208" s="88">
        <v>50</v>
      </c>
      <c r="X208" s="92">
        <v>6.3</v>
      </c>
      <c r="Y208" s="88">
        <v>5.5</v>
      </c>
      <c r="Z208" s="88"/>
      <c r="AA208" s="88">
        <v>50</v>
      </c>
      <c r="AB208" s="92">
        <v>6.1</v>
      </c>
      <c r="AC208" s="88">
        <v>6</v>
      </c>
      <c r="AD208" s="88"/>
      <c r="AE208" s="88">
        <v>70</v>
      </c>
      <c r="AF208" s="92">
        <v>2.8</v>
      </c>
      <c r="AG208" s="88">
        <v>4.8</v>
      </c>
      <c r="AH208" s="88"/>
      <c r="AI208" s="88">
        <v>98</v>
      </c>
      <c r="AJ208" s="92"/>
      <c r="AK208" s="88"/>
      <c r="AL208" s="88"/>
      <c r="AM208" s="88">
        <v>98</v>
      </c>
      <c r="AN208" s="92"/>
      <c r="AO208" s="88"/>
      <c r="AP208" s="88"/>
    </row>
    <row r="209" spans="1:42" x14ac:dyDescent="0.2">
      <c r="A209" s="19" t="s">
        <v>1188</v>
      </c>
      <c r="B209" s="19">
        <v>424</v>
      </c>
      <c r="C209" s="37">
        <v>2</v>
      </c>
      <c r="D209" s="37">
        <v>8.5</v>
      </c>
      <c r="E209" s="37">
        <v>7.4</v>
      </c>
      <c r="F209" s="37"/>
      <c r="G209" s="37">
        <v>5</v>
      </c>
      <c r="H209" s="37">
        <v>7.4</v>
      </c>
      <c r="I209" s="37">
        <v>8.8000000000000007</v>
      </c>
      <c r="J209" s="37"/>
      <c r="K209" s="88">
        <v>10</v>
      </c>
      <c r="L209" s="92">
        <v>6.3</v>
      </c>
      <c r="M209" s="88">
        <v>6.4</v>
      </c>
      <c r="N209" s="88"/>
      <c r="O209" s="88">
        <v>15</v>
      </c>
      <c r="P209" s="92">
        <v>6</v>
      </c>
      <c r="Q209" s="88">
        <v>5.3</v>
      </c>
      <c r="R209" s="88"/>
      <c r="S209" s="88">
        <v>20</v>
      </c>
      <c r="T209" s="92">
        <v>5.8</v>
      </c>
      <c r="U209" s="88">
        <v>6.9</v>
      </c>
      <c r="V209" s="88"/>
      <c r="W209" s="88">
        <v>40</v>
      </c>
      <c r="X209" s="92">
        <v>5.3</v>
      </c>
      <c r="Y209" s="88">
        <v>5.4</v>
      </c>
      <c r="Z209" s="88"/>
      <c r="AA209" s="88">
        <v>40</v>
      </c>
      <c r="AB209" s="92">
        <v>5.5</v>
      </c>
      <c r="AC209" s="88">
        <v>5.6</v>
      </c>
      <c r="AD209" s="88"/>
      <c r="AE209" s="88">
        <v>45</v>
      </c>
      <c r="AF209" s="92">
        <v>4.3</v>
      </c>
      <c r="AG209" s="88">
        <v>4.5999999999999996</v>
      </c>
      <c r="AH209" s="88"/>
      <c r="AI209" s="88">
        <v>90</v>
      </c>
      <c r="AJ209" s="92">
        <v>3.1</v>
      </c>
      <c r="AK209" s="88">
        <v>4.4000000000000004</v>
      </c>
      <c r="AL209" s="88"/>
      <c r="AM209" s="88">
        <v>100</v>
      </c>
      <c r="AN209" s="92"/>
      <c r="AO209" s="88"/>
      <c r="AP209" s="88"/>
    </row>
    <row r="210" spans="1:42" x14ac:dyDescent="0.2">
      <c r="A210" s="13" t="s">
        <v>1190</v>
      </c>
      <c r="B210" s="13">
        <v>425</v>
      </c>
      <c r="C210" s="1">
        <v>100</v>
      </c>
      <c r="D210" s="1"/>
      <c r="E210" s="1"/>
      <c r="F210" s="1" t="s">
        <v>1810</v>
      </c>
      <c r="G210" s="1">
        <v>100</v>
      </c>
      <c r="H210" s="1"/>
      <c r="I210" s="1"/>
      <c r="J210" s="1"/>
      <c r="K210" s="89">
        <v>100</v>
      </c>
      <c r="L210" s="93"/>
      <c r="M210" s="89"/>
      <c r="N210" s="89"/>
      <c r="O210" s="89">
        <v>100</v>
      </c>
      <c r="P210" s="93"/>
      <c r="Q210" s="89"/>
      <c r="R210" s="89"/>
      <c r="S210" s="89">
        <v>100</v>
      </c>
      <c r="T210" s="93"/>
      <c r="U210" s="89"/>
      <c r="V210" s="89"/>
      <c r="W210" s="89">
        <v>100</v>
      </c>
      <c r="X210" s="93"/>
      <c r="Y210" s="89"/>
      <c r="Z210" s="89"/>
      <c r="AA210" s="89">
        <v>100</v>
      </c>
      <c r="AB210" s="93"/>
      <c r="AC210" s="89"/>
      <c r="AD210" s="89"/>
      <c r="AE210" s="89">
        <v>100</v>
      </c>
      <c r="AF210" s="93"/>
      <c r="AG210" s="89"/>
      <c r="AH210" s="89"/>
      <c r="AI210" s="89">
        <v>100</v>
      </c>
      <c r="AJ210" s="93"/>
      <c r="AK210" s="89"/>
      <c r="AL210" s="89"/>
      <c r="AM210" s="89">
        <v>100</v>
      </c>
      <c r="AN210" s="93"/>
      <c r="AO210" s="89"/>
      <c r="AP210" s="89"/>
    </row>
    <row r="211" spans="1:42" x14ac:dyDescent="0.2">
      <c r="A211" s="13" t="s">
        <v>1193</v>
      </c>
      <c r="B211" s="13">
        <v>428</v>
      </c>
      <c r="C211" s="1">
        <v>100</v>
      </c>
      <c r="D211" s="1"/>
      <c r="E211" s="1"/>
      <c r="F211" s="1" t="s">
        <v>1810</v>
      </c>
      <c r="G211" s="1">
        <v>100</v>
      </c>
      <c r="H211" s="1"/>
      <c r="I211" s="1"/>
      <c r="J211" s="1"/>
      <c r="K211" s="89">
        <v>100</v>
      </c>
      <c r="L211" s="93"/>
      <c r="M211" s="89"/>
      <c r="N211" s="89"/>
      <c r="O211" s="89">
        <v>100</v>
      </c>
      <c r="P211" s="93"/>
      <c r="Q211" s="89"/>
      <c r="R211" s="89"/>
      <c r="S211" s="89">
        <v>100</v>
      </c>
      <c r="T211" s="93"/>
      <c r="U211" s="89"/>
      <c r="V211" s="89"/>
      <c r="W211" s="89">
        <v>100</v>
      </c>
      <c r="X211" s="93"/>
      <c r="Y211" s="89"/>
      <c r="Z211" s="89"/>
      <c r="AA211" s="89">
        <v>100</v>
      </c>
      <c r="AB211" s="93"/>
      <c r="AC211" s="89"/>
      <c r="AD211" s="89"/>
      <c r="AE211" s="89">
        <v>100</v>
      </c>
      <c r="AF211" s="93"/>
      <c r="AG211" s="89"/>
      <c r="AH211" s="89"/>
      <c r="AI211" s="89">
        <v>100</v>
      </c>
      <c r="AJ211" s="93"/>
      <c r="AK211" s="89"/>
      <c r="AL211" s="89"/>
      <c r="AM211" s="89">
        <v>100</v>
      </c>
      <c r="AN211" s="93"/>
      <c r="AO211" s="89"/>
      <c r="AP211" s="89"/>
    </row>
    <row r="212" spans="1:42" x14ac:dyDescent="0.2">
      <c r="A212" s="13" t="s">
        <v>1194</v>
      </c>
      <c r="B212" s="13">
        <v>429</v>
      </c>
      <c r="C212" s="1">
        <v>80</v>
      </c>
      <c r="D212" s="1">
        <v>7.1</v>
      </c>
      <c r="E212" s="1">
        <v>8.4</v>
      </c>
      <c r="F212" s="1" t="s">
        <v>1810</v>
      </c>
      <c r="G212" s="1">
        <v>80</v>
      </c>
      <c r="H212" s="1">
        <v>6.9</v>
      </c>
      <c r="I212" s="1">
        <v>7.1</v>
      </c>
      <c r="J212" s="1"/>
      <c r="K212" s="89">
        <v>95</v>
      </c>
      <c r="L212" s="93">
        <v>6.7</v>
      </c>
      <c r="M212" s="89">
        <v>8.9</v>
      </c>
      <c r="N212" s="89"/>
      <c r="O212" s="89">
        <v>95</v>
      </c>
      <c r="P212" s="93">
        <v>6.7</v>
      </c>
      <c r="Q212" s="89">
        <v>6.5</v>
      </c>
      <c r="R212" s="89"/>
      <c r="S212" s="89">
        <v>95</v>
      </c>
      <c r="T212" s="93"/>
      <c r="U212" s="89"/>
      <c r="V212" s="89"/>
      <c r="W212" s="89">
        <v>95</v>
      </c>
      <c r="X212" s="93"/>
      <c r="Y212" s="89"/>
      <c r="Z212" s="89"/>
      <c r="AA212" s="89">
        <v>95</v>
      </c>
      <c r="AB212" s="93"/>
      <c r="AC212" s="89"/>
      <c r="AD212" s="89"/>
      <c r="AE212" s="89">
        <v>95</v>
      </c>
      <c r="AF212" s="93"/>
      <c r="AG212" s="89"/>
      <c r="AH212" s="89"/>
      <c r="AI212" s="89">
        <v>98</v>
      </c>
      <c r="AJ212" s="93"/>
      <c r="AK212" s="89"/>
      <c r="AL212" s="89"/>
      <c r="AM212" s="89">
        <v>100</v>
      </c>
      <c r="AN212" s="93"/>
      <c r="AO212" s="89"/>
      <c r="AP212" s="89"/>
    </row>
    <row r="213" spans="1:42" x14ac:dyDescent="0.2">
      <c r="A213" s="13" t="s">
        <v>1197</v>
      </c>
      <c r="B213" s="13">
        <v>432</v>
      </c>
      <c r="C213" s="1">
        <v>95</v>
      </c>
      <c r="D213" s="1">
        <v>5.5</v>
      </c>
      <c r="E213" s="1">
        <v>7.2</v>
      </c>
      <c r="F213" s="1" t="s">
        <v>1810</v>
      </c>
      <c r="G213" s="1">
        <v>95</v>
      </c>
      <c r="H213" s="1">
        <v>5.3</v>
      </c>
      <c r="I213" s="1">
        <v>5.8</v>
      </c>
      <c r="J213" s="1"/>
      <c r="K213" s="89">
        <v>95</v>
      </c>
      <c r="L213" s="93">
        <v>5.0999999999999996</v>
      </c>
      <c r="M213" s="89">
        <v>5.3</v>
      </c>
      <c r="N213" s="89"/>
      <c r="O213" s="89">
        <v>98</v>
      </c>
      <c r="P213" s="93">
        <v>5.7</v>
      </c>
      <c r="Q213" s="89">
        <v>4.2</v>
      </c>
      <c r="R213" s="89"/>
      <c r="S213" s="89">
        <v>98</v>
      </c>
      <c r="T213" s="93"/>
      <c r="U213" s="89"/>
      <c r="V213" s="89"/>
      <c r="W213" s="89">
        <v>98</v>
      </c>
      <c r="X213" s="93"/>
      <c r="Y213" s="89"/>
      <c r="Z213" s="89"/>
      <c r="AA213" s="89">
        <v>98</v>
      </c>
      <c r="AB213" s="93"/>
      <c r="AC213" s="89"/>
      <c r="AD213" s="89"/>
      <c r="AE213" s="89">
        <v>100</v>
      </c>
      <c r="AF213" s="93"/>
      <c r="AG213" s="89"/>
      <c r="AH213" s="89"/>
      <c r="AI213" s="89">
        <v>100</v>
      </c>
      <c r="AJ213" s="93"/>
      <c r="AK213" s="89"/>
      <c r="AL213" s="89"/>
      <c r="AM213" s="89">
        <v>100</v>
      </c>
      <c r="AN213" s="93"/>
      <c r="AO213" s="89"/>
      <c r="AP213" s="89"/>
    </row>
    <row r="214" spans="1:42" x14ac:dyDescent="0.2">
      <c r="A214" s="19" t="s">
        <v>1199</v>
      </c>
      <c r="B214" s="19">
        <v>433</v>
      </c>
      <c r="C214" s="37">
        <v>5</v>
      </c>
      <c r="D214" s="37">
        <v>14.8</v>
      </c>
      <c r="E214" s="37">
        <v>12.1</v>
      </c>
      <c r="F214" s="37"/>
      <c r="G214" s="37">
        <v>5</v>
      </c>
      <c r="H214" s="37">
        <v>15.3</v>
      </c>
      <c r="I214" s="37">
        <v>14.5</v>
      </c>
      <c r="J214" s="37"/>
      <c r="K214" s="88">
        <v>10</v>
      </c>
      <c r="L214" s="92">
        <v>14.2</v>
      </c>
      <c r="M214" s="88">
        <v>11.7</v>
      </c>
      <c r="N214" s="88"/>
      <c r="O214" s="88">
        <v>10</v>
      </c>
      <c r="P214" s="92">
        <v>15.6</v>
      </c>
      <c r="Q214" s="88">
        <v>12.1</v>
      </c>
      <c r="R214" s="88"/>
      <c r="S214" s="88">
        <v>10</v>
      </c>
      <c r="T214" s="92">
        <v>13.5</v>
      </c>
      <c r="U214" s="88">
        <v>11.7</v>
      </c>
      <c r="V214" s="88"/>
      <c r="W214" s="88">
        <v>25</v>
      </c>
      <c r="X214" s="92">
        <v>11.1</v>
      </c>
      <c r="Y214" s="88">
        <v>9</v>
      </c>
      <c r="Z214" s="88"/>
      <c r="AA214" s="88">
        <v>25</v>
      </c>
      <c r="AB214" s="92">
        <v>9.4</v>
      </c>
      <c r="AC214" s="88">
        <v>9.4</v>
      </c>
      <c r="AD214" s="88"/>
      <c r="AE214" s="88">
        <v>35</v>
      </c>
      <c r="AF214" s="92">
        <v>6.6</v>
      </c>
      <c r="AG214" s="88">
        <v>6.5</v>
      </c>
      <c r="AH214" s="88"/>
      <c r="AI214" s="88">
        <v>80</v>
      </c>
      <c r="AJ214" s="92">
        <v>5.9</v>
      </c>
      <c r="AK214" s="88">
        <v>3.2</v>
      </c>
      <c r="AL214" s="88"/>
      <c r="AM214" s="88">
        <v>98</v>
      </c>
      <c r="AN214" s="92"/>
      <c r="AO214" s="88"/>
      <c r="AP214" s="88"/>
    </row>
    <row r="215" spans="1:42" x14ac:dyDescent="0.2">
      <c r="A215" s="19" t="s">
        <v>1202</v>
      </c>
      <c r="B215" s="19">
        <v>436</v>
      </c>
      <c r="C215" s="37">
        <v>5</v>
      </c>
      <c r="D215" s="37">
        <v>14.3</v>
      </c>
      <c r="E215" s="37">
        <v>16.2</v>
      </c>
      <c r="F215" s="37"/>
      <c r="G215" s="37">
        <v>5</v>
      </c>
      <c r="H215" s="37">
        <v>15.5</v>
      </c>
      <c r="I215" s="37">
        <v>12.9</v>
      </c>
      <c r="J215" s="37"/>
      <c r="K215" s="88">
        <v>10</v>
      </c>
      <c r="L215" s="92">
        <v>13.1</v>
      </c>
      <c r="M215" s="88">
        <v>11.8</v>
      </c>
      <c r="N215" s="88"/>
      <c r="O215" s="88">
        <v>15</v>
      </c>
      <c r="P215" s="92">
        <v>15.4</v>
      </c>
      <c r="Q215" s="88">
        <v>12.7</v>
      </c>
      <c r="R215" s="88"/>
      <c r="S215" s="88">
        <v>15</v>
      </c>
      <c r="T215" s="92">
        <v>13.5</v>
      </c>
      <c r="U215" s="88">
        <v>12.8</v>
      </c>
      <c r="V215" s="88"/>
      <c r="W215" s="88">
        <v>25</v>
      </c>
      <c r="X215" s="92">
        <v>9.6999999999999993</v>
      </c>
      <c r="Y215" s="88">
        <v>12.7</v>
      </c>
      <c r="Z215" s="88"/>
      <c r="AA215" s="88">
        <v>25</v>
      </c>
      <c r="AB215" s="92">
        <v>10.7</v>
      </c>
      <c r="AC215" s="88">
        <v>9</v>
      </c>
      <c r="AD215" s="88"/>
      <c r="AE215" s="88">
        <v>25</v>
      </c>
      <c r="AF215" s="92">
        <v>7.5</v>
      </c>
      <c r="AG215" s="88">
        <v>7.8</v>
      </c>
      <c r="AH215" s="88"/>
      <c r="AI215" s="88">
        <v>35</v>
      </c>
      <c r="AJ215" s="92">
        <v>4.9000000000000004</v>
      </c>
      <c r="AK215" s="88">
        <v>4.5</v>
      </c>
      <c r="AL215" s="88"/>
      <c r="AM215" s="88">
        <v>90</v>
      </c>
      <c r="AN215" s="92">
        <v>2.8</v>
      </c>
      <c r="AO215" s="88">
        <v>3.3</v>
      </c>
      <c r="AP215" s="88"/>
    </row>
    <row r="216" spans="1:42" x14ac:dyDescent="0.2">
      <c r="A216" s="19" t="s">
        <v>1203</v>
      </c>
      <c r="B216" s="19">
        <v>437</v>
      </c>
      <c r="C216" s="37">
        <v>5</v>
      </c>
      <c r="D216" s="37">
        <v>14.1</v>
      </c>
      <c r="E216" s="37">
        <v>13.5</v>
      </c>
      <c r="F216" s="37"/>
      <c r="G216" s="37">
        <v>5</v>
      </c>
      <c r="H216" s="37">
        <v>12.5</v>
      </c>
      <c r="I216" s="37">
        <v>12.5</v>
      </c>
      <c r="J216" s="37"/>
      <c r="K216" s="88">
        <v>10</v>
      </c>
      <c r="L216" s="92">
        <v>10.5</v>
      </c>
      <c r="M216" s="88">
        <v>11.8</v>
      </c>
      <c r="N216" s="88"/>
      <c r="O216" s="88">
        <v>10</v>
      </c>
      <c r="P216" s="92">
        <v>10.6</v>
      </c>
      <c r="Q216" s="88">
        <v>11.9</v>
      </c>
      <c r="R216" s="88"/>
      <c r="S216" s="88">
        <v>10</v>
      </c>
      <c r="T216" s="92">
        <v>12</v>
      </c>
      <c r="U216" s="88">
        <v>10.3</v>
      </c>
      <c r="V216" s="88"/>
      <c r="W216" s="88">
        <v>15</v>
      </c>
      <c r="X216" s="92">
        <v>7.1</v>
      </c>
      <c r="Y216" s="88">
        <v>11.2</v>
      </c>
      <c r="Z216" s="88"/>
      <c r="AA216" s="88">
        <v>15</v>
      </c>
      <c r="AB216" s="92">
        <v>11.9</v>
      </c>
      <c r="AC216" s="88">
        <v>9.4</v>
      </c>
      <c r="AD216" s="88"/>
      <c r="AE216" s="88">
        <v>20</v>
      </c>
      <c r="AF216" s="92">
        <v>10.4</v>
      </c>
      <c r="AG216" s="88">
        <v>10.6</v>
      </c>
      <c r="AH216" s="88"/>
      <c r="AI216" s="88">
        <v>30</v>
      </c>
      <c r="AJ216" s="92">
        <v>7.6</v>
      </c>
      <c r="AK216" s="88">
        <v>7.9</v>
      </c>
      <c r="AL216" s="88"/>
      <c r="AM216" s="88">
        <v>98</v>
      </c>
      <c r="AN216" s="92"/>
      <c r="AO216" s="88"/>
      <c r="AP216" s="88"/>
    </row>
    <row r="217" spans="1:42" x14ac:dyDescent="0.2">
      <c r="A217" s="19" t="s">
        <v>1206</v>
      </c>
      <c r="B217" s="19">
        <v>440</v>
      </c>
      <c r="C217" s="37">
        <v>10</v>
      </c>
      <c r="D217" s="37">
        <v>11</v>
      </c>
      <c r="E217" s="37">
        <v>12.4</v>
      </c>
      <c r="F217" s="37"/>
      <c r="G217" s="37">
        <v>10</v>
      </c>
      <c r="H217" s="37">
        <v>12.9</v>
      </c>
      <c r="I217" s="37">
        <v>12.2</v>
      </c>
      <c r="J217" s="37"/>
      <c r="K217" s="88">
        <v>15</v>
      </c>
      <c r="L217" s="92">
        <v>12.7</v>
      </c>
      <c r="M217" s="88">
        <v>11.4</v>
      </c>
      <c r="N217" s="88"/>
      <c r="O217" s="88">
        <v>15</v>
      </c>
      <c r="P217" s="92">
        <v>10.3</v>
      </c>
      <c r="Q217" s="88">
        <v>10.5</v>
      </c>
      <c r="R217" s="88"/>
      <c r="S217" s="88">
        <v>15</v>
      </c>
      <c r="T217" s="92">
        <v>10.8</v>
      </c>
      <c r="U217" s="88">
        <v>12.4</v>
      </c>
      <c r="V217" s="88"/>
      <c r="W217" s="88">
        <v>35</v>
      </c>
      <c r="X217" s="92">
        <v>10.1</v>
      </c>
      <c r="Y217" s="88">
        <v>9.4</v>
      </c>
      <c r="Z217" s="88"/>
      <c r="AA217" s="88">
        <v>35</v>
      </c>
      <c r="AB217" s="92">
        <v>11.7</v>
      </c>
      <c r="AC217" s="88">
        <v>10.4</v>
      </c>
      <c r="AD217" s="88"/>
      <c r="AE217" s="88">
        <v>45</v>
      </c>
      <c r="AF217" s="92">
        <v>9.3000000000000007</v>
      </c>
      <c r="AG217" s="88">
        <v>9.6999999999999993</v>
      </c>
      <c r="AH217" s="88"/>
      <c r="AI217" s="88">
        <v>50</v>
      </c>
      <c r="AJ217" s="92">
        <v>8.1999999999999993</v>
      </c>
      <c r="AK217" s="88">
        <v>4.8</v>
      </c>
      <c r="AL217" s="88"/>
      <c r="AM217" s="88">
        <v>98</v>
      </c>
      <c r="AN217" s="92"/>
      <c r="AO217" s="88"/>
      <c r="AP217" s="88"/>
    </row>
    <row r="218" spans="1:42" x14ac:dyDescent="0.2">
      <c r="A218" s="13" t="s">
        <v>1226</v>
      </c>
      <c r="B218" s="13">
        <v>457</v>
      </c>
      <c r="C218" s="1">
        <v>5</v>
      </c>
      <c r="D218" s="1">
        <v>7.3</v>
      </c>
      <c r="E218" s="1">
        <v>8</v>
      </c>
      <c r="F218" s="1"/>
      <c r="G218" s="1">
        <v>5</v>
      </c>
      <c r="H218" s="1">
        <v>7.2</v>
      </c>
      <c r="I218" s="1">
        <v>6.3</v>
      </c>
      <c r="J218" s="1"/>
      <c r="K218" s="89">
        <v>10</v>
      </c>
      <c r="L218" s="93">
        <v>7.8</v>
      </c>
      <c r="M218" s="89">
        <v>7</v>
      </c>
      <c r="N218" s="89"/>
      <c r="O218" s="89">
        <v>15</v>
      </c>
      <c r="P218" s="93">
        <v>6.7</v>
      </c>
      <c r="Q218" s="89">
        <v>6.7</v>
      </c>
      <c r="R218" s="89"/>
      <c r="S218" s="89">
        <v>20</v>
      </c>
      <c r="T218" s="93">
        <v>6.5</v>
      </c>
      <c r="U218" s="89">
        <v>7.4</v>
      </c>
      <c r="V218" s="89"/>
      <c r="W218" s="89">
        <v>40</v>
      </c>
      <c r="X218" s="93">
        <v>5.4</v>
      </c>
      <c r="Y218" s="89">
        <v>5.7</v>
      </c>
      <c r="Z218" s="89"/>
      <c r="AA218" s="89">
        <v>40</v>
      </c>
      <c r="AB218" s="93">
        <v>5.4</v>
      </c>
      <c r="AC218" s="89">
        <v>5.8</v>
      </c>
      <c r="AD218" s="89"/>
      <c r="AE218" s="89">
        <v>45</v>
      </c>
      <c r="AF218" s="93">
        <v>5.5</v>
      </c>
      <c r="AG218" s="89">
        <v>5</v>
      </c>
      <c r="AH218" s="89"/>
      <c r="AI218" s="89">
        <v>60</v>
      </c>
      <c r="AJ218" s="93">
        <v>4.9000000000000004</v>
      </c>
      <c r="AK218" s="89">
        <v>3.8</v>
      </c>
      <c r="AL218" s="89"/>
      <c r="AM218" s="89">
        <v>98</v>
      </c>
      <c r="AN218" s="93"/>
      <c r="AO218" s="89"/>
      <c r="AP218" s="89"/>
    </row>
    <row r="219" spans="1:42" x14ac:dyDescent="0.2">
      <c r="A219" s="13" t="s">
        <v>1227</v>
      </c>
      <c r="B219" s="13">
        <v>458</v>
      </c>
      <c r="C219" s="1">
        <v>5</v>
      </c>
      <c r="D219" s="1">
        <v>11.9</v>
      </c>
      <c r="E219" s="1">
        <v>11.2</v>
      </c>
      <c r="F219" s="1"/>
      <c r="G219" s="1">
        <v>5</v>
      </c>
      <c r="H219" s="1">
        <v>12.4</v>
      </c>
      <c r="I219" s="1">
        <v>10.199999999999999</v>
      </c>
      <c r="J219" s="1"/>
      <c r="K219" s="89">
        <v>5</v>
      </c>
      <c r="L219" s="93">
        <v>10</v>
      </c>
      <c r="M219" s="89">
        <v>10.5</v>
      </c>
      <c r="N219" s="89"/>
      <c r="O219" s="89">
        <v>5</v>
      </c>
      <c r="P219" s="93">
        <v>10.5</v>
      </c>
      <c r="Q219" s="89">
        <v>10.5</v>
      </c>
      <c r="R219" s="89"/>
      <c r="S219" s="89">
        <v>5</v>
      </c>
      <c r="T219" s="93">
        <v>9</v>
      </c>
      <c r="U219" s="89">
        <v>10.199999999999999</v>
      </c>
      <c r="V219" s="89"/>
      <c r="W219" s="89">
        <v>10</v>
      </c>
      <c r="X219" s="93">
        <v>9.6999999999999993</v>
      </c>
      <c r="Y219" s="89">
        <v>9</v>
      </c>
      <c r="Z219" s="89"/>
      <c r="AA219" s="89">
        <v>10</v>
      </c>
      <c r="AB219" s="93">
        <v>9.6999999999999993</v>
      </c>
      <c r="AC219" s="89">
        <v>10</v>
      </c>
      <c r="AD219" s="89"/>
      <c r="AE219" s="89">
        <v>15</v>
      </c>
      <c r="AF219" s="93">
        <v>9</v>
      </c>
      <c r="AG219" s="89">
        <v>6.3</v>
      </c>
      <c r="AH219" s="89"/>
      <c r="AI219" s="89">
        <v>45</v>
      </c>
      <c r="AJ219" s="93">
        <v>7.4</v>
      </c>
      <c r="AK219" s="89">
        <v>5.6</v>
      </c>
      <c r="AL219" s="89"/>
      <c r="AM219" s="89">
        <v>100</v>
      </c>
      <c r="AN219" s="93"/>
      <c r="AO219" s="89"/>
      <c r="AP219" s="89"/>
    </row>
    <row r="220" spans="1:42" x14ac:dyDescent="0.2">
      <c r="A220" s="13" t="s">
        <v>1228</v>
      </c>
      <c r="B220" s="13">
        <v>459</v>
      </c>
      <c r="C220" s="1">
        <v>5</v>
      </c>
      <c r="D220" s="1">
        <v>9.1</v>
      </c>
      <c r="E220" s="1">
        <v>9.3000000000000007</v>
      </c>
      <c r="F220" s="1"/>
      <c r="G220" s="1">
        <v>5</v>
      </c>
      <c r="H220" s="1">
        <v>6.9</v>
      </c>
      <c r="I220" s="1">
        <v>10.1</v>
      </c>
      <c r="J220" s="1"/>
      <c r="K220" s="89">
        <v>5</v>
      </c>
      <c r="L220" s="93">
        <v>8.1</v>
      </c>
      <c r="M220" s="89">
        <v>9.4</v>
      </c>
      <c r="N220" s="89"/>
      <c r="O220" s="89">
        <v>10</v>
      </c>
      <c r="P220" s="93">
        <v>7.8</v>
      </c>
      <c r="Q220" s="89">
        <v>8.1</v>
      </c>
      <c r="R220" s="89"/>
      <c r="S220" s="89">
        <v>10</v>
      </c>
      <c r="T220" s="93">
        <v>8.6999999999999993</v>
      </c>
      <c r="U220" s="89">
        <v>9.5</v>
      </c>
      <c r="V220" s="89"/>
      <c r="W220" s="89">
        <v>20</v>
      </c>
      <c r="X220" s="93">
        <v>8.3000000000000007</v>
      </c>
      <c r="Y220" s="89">
        <v>9</v>
      </c>
      <c r="Z220" s="89"/>
      <c r="AA220" s="89">
        <v>20</v>
      </c>
      <c r="AB220" s="93">
        <v>6.3</v>
      </c>
      <c r="AC220" s="89">
        <v>7.7</v>
      </c>
      <c r="AD220" s="89"/>
      <c r="AE220" s="89">
        <v>25</v>
      </c>
      <c r="AF220" s="93">
        <v>7</v>
      </c>
      <c r="AG220" s="89">
        <v>5.8</v>
      </c>
      <c r="AH220" s="89"/>
      <c r="AI220" s="89">
        <v>30</v>
      </c>
      <c r="AJ220" s="93">
        <v>4.9000000000000004</v>
      </c>
      <c r="AK220" s="89">
        <v>4.9000000000000004</v>
      </c>
      <c r="AL220" s="89"/>
      <c r="AM220" s="89">
        <v>98</v>
      </c>
      <c r="AN220" s="93"/>
      <c r="AO220" s="89"/>
      <c r="AP220" s="89"/>
    </row>
    <row r="221" spans="1:42" x14ac:dyDescent="0.2">
      <c r="A221" s="13" t="s">
        <v>1229</v>
      </c>
      <c r="B221" s="13">
        <v>460</v>
      </c>
      <c r="C221" s="1">
        <v>15</v>
      </c>
      <c r="D221" s="1">
        <v>6.2</v>
      </c>
      <c r="E221" s="1">
        <v>5.9</v>
      </c>
      <c r="F221" s="1"/>
      <c r="G221" s="1">
        <v>15</v>
      </c>
      <c r="H221" s="1">
        <v>5.8</v>
      </c>
      <c r="I221" s="1">
        <v>5.2</v>
      </c>
      <c r="J221" s="1"/>
      <c r="K221" s="89">
        <v>15</v>
      </c>
      <c r="L221" s="93">
        <v>5.0999999999999996</v>
      </c>
      <c r="M221" s="89">
        <v>5.5</v>
      </c>
      <c r="N221" s="89"/>
      <c r="O221" s="89">
        <v>15</v>
      </c>
      <c r="P221" s="93">
        <v>5.3</v>
      </c>
      <c r="Q221" s="89">
        <v>4.5999999999999996</v>
      </c>
      <c r="R221" s="89"/>
      <c r="S221" s="89">
        <v>15</v>
      </c>
      <c r="T221" s="93">
        <v>4.7</v>
      </c>
      <c r="U221" s="89">
        <v>5.3</v>
      </c>
      <c r="V221" s="89"/>
      <c r="W221" s="89">
        <v>40</v>
      </c>
      <c r="X221" s="93">
        <v>4.5</v>
      </c>
      <c r="Y221" s="89">
        <v>4.5</v>
      </c>
      <c r="Z221" s="89"/>
      <c r="AA221" s="89">
        <v>45</v>
      </c>
      <c r="AB221" s="93">
        <v>3.4</v>
      </c>
      <c r="AC221" s="89">
        <v>5.9</v>
      </c>
      <c r="AD221" s="89"/>
      <c r="AE221" s="89">
        <v>65</v>
      </c>
      <c r="AF221" s="93">
        <v>3.5</v>
      </c>
      <c r="AG221" s="89">
        <v>1.4</v>
      </c>
      <c r="AH221" s="89"/>
      <c r="AI221" s="89">
        <v>85</v>
      </c>
      <c r="AJ221" s="93">
        <v>3.9</v>
      </c>
      <c r="AK221" s="89">
        <v>4.8</v>
      </c>
      <c r="AL221" s="89"/>
      <c r="AM221" s="89">
        <v>100</v>
      </c>
      <c r="AN221" s="93"/>
      <c r="AO221" s="89"/>
      <c r="AP221" s="89"/>
    </row>
    <row r="222" spans="1:42" x14ac:dyDescent="0.2">
      <c r="A222" s="13" t="s">
        <v>1230</v>
      </c>
      <c r="B222" s="13">
        <v>461</v>
      </c>
      <c r="C222" s="1">
        <v>10</v>
      </c>
      <c r="D222" s="1">
        <v>8</v>
      </c>
      <c r="E222" s="1">
        <v>8.5</v>
      </c>
      <c r="F222" s="1"/>
      <c r="G222" s="1">
        <v>10</v>
      </c>
      <c r="H222" s="1">
        <v>10.199999999999999</v>
      </c>
      <c r="I222" s="1">
        <v>11.1</v>
      </c>
      <c r="J222" s="1"/>
      <c r="K222" s="89">
        <v>10</v>
      </c>
      <c r="L222" s="93">
        <v>7.2</v>
      </c>
      <c r="M222" s="89">
        <v>7</v>
      </c>
      <c r="N222" s="89"/>
      <c r="O222" s="89">
        <v>10</v>
      </c>
      <c r="P222" s="93">
        <v>8.1999999999999993</v>
      </c>
      <c r="Q222" s="89">
        <v>10.7</v>
      </c>
      <c r="R222" s="89"/>
      <c r="S222" s="89">
        <v>15</v>
      </c>
      <c r="T222" s="93">
        <v>6.3</v>
      </c>
      <c r="U222" s="89">
        <v>9.5</v>
      </c>
      <c r="V222" s="89"/>
      <c r="W222" s="89">
        <v>30</v>
      </c>
      <c r="X222" s="93">
        <v>5.6</v>
      </c>
      <c r="Y222" s="89">
        <v>6.9</v>
      </c>
      <c r="Z222" s="89"/>
      <c r="AA222" s="89">
        <v>35</v>
      </c>
      <c r="AB222" s="93">
        <v>8.3000000000000007</v>
      </c>
      <c r="AC222" s="89">
        <v>8.9</v>
      </c>
      <c r="AD222" s="89"/>
      <c r="AE222" s="89">
        <v>40</v>
      </c>
      <c r="AF222" s="93">
        <v>7.4</v>
      </c>
      <c r="AG222" s="89">
        <v>7.1</v>
      </c>
      <c r="AH222" s="89"/>
      <c r="AI222" s="89">
        <v>55</v>
      </c>
      <c r="AJ222" s="93">
        <v>5.0999999999999996</v>
      </c>
      <c r="AK222" s="89">
        <v>7.9</v>
      </c>
      <c r="AL222" s="89"/>
      <c r="AM222" s="89">
        <v>98</v>
      </c>
      <c r="AN222" s="93"/>
      <c r="AO222" s="89"/>
      <c r="AP222" s="89"/>
    </row>
    <row r="223" spans="1:42" x14ac:dyDescent="0.2">
      <c r="A223" s="13" t="s">
        <v>1231</v>
      </c>
      <c r="B223" s="13">
        <v>462</v>
      </c>
      <c r="C223" s="1">
        <v>10</v>
      </c>
      <c r="D223" s="1">
        <v>9.3000000000000007</v>
      </c>
      <c r="E223" s="1">
        <v>10.199999999999999</v>
      </c>
      <c r="F223" s="1"/>
      <c r="G223" s="1">
        <v>10</v>
      </c>
      <c r="H223" s="1">
        <v>11.5</v>
      </c>
      <c r="I223" s="1">
        <v>10.8</v>
      </c>
      <c r="J223" s="1"/>
      <c r="K223" s="89">
        <v>10</v>
      </c>
      <c r="L223" s="93">
        <v>9.9</v>
      </c>
      <c r="M223" s="89">
        <v>9.1999999999999993</v>
      </c>
      <c r="N223" s="89"/>
      <c r="O223" s="89">
        <v>15</v>
      </c>
      <c r="P223" s="93">
        <v>7</v>
      </c>
      <c r="Q223" s="89">
        <v>8.3000000000000007</v>
      </c>
      <c r="R223" s="89"/>
      <c r="S223" s="89">
        <v>20</v>
      </c>
      <c r="T223" s="93">
        <v>7.5</v>
      </c>
      <c r="U223" s="89">
        <v>7.5</v>
      </c>
      <c r="V223" s="89"/>
      <c r="W223" s="89">
        <v>40</v>
      </c>
      <c r="X223" s="93">
        <v>6.7</v>
      </c>
      <c r="Y223" s="89">
        <v>6</v>
      </c>
      <c r="Z223" s="89"/>
      <c r="AA223" s="89">
        <v>40</v>
      </c>
      <c r="AB223" s="93">
        <v>7.9</v>
      </c>
      <c r="AC223" s="89">
        <v>6.6</v>
      </c>
      <c r="AD223" s="89"/>
      <c r="AE223" s="89">
        <v>45</v>
      </c>
      <c r="AF223" s="93">
        <v>6.2</v>
      </c>
      <c r="AG223" s="89">
        <v>7.7</v>
      </c>
      <c r="AH223" s="89"/>
      <c r="AI223" s="89">
        <v>65</v>
      </c>
      <c r="AJ223" s="93">
        <v>9.4</v>
      </c>
      <c r="AK223" s="89">
        <v>4.8</v>
      </c>
      <c r="AL223" s="89"/>
      <c r="AM223" s="89">
        <v>98</v>
      </c>
      <c r="AN223" s="93"/>
      <c r="AO223" s="89"/>
      <c r="AP223" s="89"/>
    </row>
    <row r="224" spans="1:42" x14ac:dyDescent="0.2">
      <c r="A224" s="13" t="s">
        <v>1232</v>
      </c>
      <c r="B224" s="13">
        <v>463</v>
      </c>
      <c r="C224" s="1">
        <v>10</v>
      </c>
      <c r="D224" s="1">
        <v>8</v>
      </c>
      <c r="E224" s="1">
        <v>12.8</v>
      </c>
      <c r="F224" s="1"/>
      <c r="G224" s="1">
        <v>10</v>
      </c>
      <c r="H224" s="1">
        <v>11</v>
      </c>
      <c r="I224" s="1">
        <v>13.1</v>
      </c>
      <c r="J224" s="1"/>
      <c r="K224" s="89">
        <v>10</v>
      </c>
      <c r="L224" s="93">
        <v>10.4</v>
      </c>
      <c r="M224" s="89">
        <v>12</v>
      </c>
      <c r="N224" s="89"/>
      <c r="O224" s="89">
        <v>15</v>
      </c>
      <c r="P224" s="93">
        <v>9.1999999999999993</v>
      </c>
      <c r="Q224" s="89">
        <v>12</v>
      </c>
      <c r="R224" s="89"/>
      <c r="S224" s="89">
        <v>20</v>
      </c>
      <c r="T224" s="93">
        <v>10.9</v>
      </c>
      <c r="U224" s="89">
        <v>9.9</v>
      </c>
      <c r="V224" s="89"/>
      <c r="W224" s="89">
        <v>40</v>
      </c>
      <c r="X224" s="93">
        <v>10.5</v>
      </c>
      <c r="Y224" s="89">
        <v>7.1</v>
      </c>
      <c r="Z224" s="89"/>
      <c r="AA224" s="89">
        <v>45</v>
      </c>
      <c r="AB224" s="93">
        <v>4.9000000000000004</v>
      </c>
      <c r="AC224" s="89">
        <v>6.1</v>
      </c>
      <c r="AD224" s="89"/>
      <c r="AE224" s="89">
        <v>60</v>
      </c>
      <c r="AF224" s="93">
        <v>3.9</v>
      </c>
      <c r="AG224" s="89">
        <v>6.8</v>
      </c>
      <c r="AH224" s="89"/>
      <c r="AI224" s="89">
        <v>95</v>
      </c>
      <c r="AJ224" s="93"/>
      <c r="AK224" s="89"/>
      <c r="AL224" s="89"/>
      <c r="AM224" s="89">
        <v>100</v>
      </c>
      <c r="AN224" s="93"/>
      <c r="AO224" s="89"/>
      <c r="AP224" s="89"/>
    </row>
    <row r="225" spans="1:42" x14ac:dyDescent="0.2">
      <c r="A225" s="13" t="s">
        <v>1233</v>
      </c>
      <c r="B225" s="13">
        <v>464</v>
      </c>
      <c r="C225" s="1">
        <v>5</v>
      </c>
      <c r="D225" s="1">
        <v>7.7</v>
      </c>
      <c r="E225" s="1">
        <v>10.3</v>
      </c>
      <c r="F225" s="1"/>
      <c r="G225" s="1">
        <v>5</v>
      </c>
      <c r="H225" s="1">
        <v>6.4</v>
      </c>
      <c r="I225" s="59">
        <v>8.6999999999999993</v>
      </c>
      <c r="J225" s="1"/>
      <c r="K225" s="89">
        <v>5</v>
      </c>
      <c r="L225" s="93">
        <v>6.3</v>
      </c>
      <c r="M225" s="90">
        <v>5.4</v>
      </c>
      <c r="N225" s="89"/>
      <c r="O225" s="89">
        <v>10</v>
      </c>
      <c r="P225" s="93">
        <v>7.9</v>
      </c>
      <c r="Q225" s="90">
        <v>5.9</v>
      </c>
      <c r="R225" s="89"/>
      <c r="S225" s="89">
        <v>15</v>
      </c>
      <c r="T225" s="93">
        <v>7.6</v>
      </c>
      <c r="U225" s="90">
        <v>6.3</v>
      </c>
      <c r="V225" s="89"/>
      <c r="W225" s="89">
        <v>30</v>
      </c>
      <c r="X225" s="93">
        <v>6.8</v>
      </c>
      <c r="Y225" s="90">
        <v>4.9000000000000004</v>
      </c>
      <c r="Z225" s="89"/>
      <c r="AA225" s="89">
        <v>35</v>
      </c>
      <c r="AB225" s="93">
        <v>6.8</v>
      </c>
      <c r="AC225" s="90">
        <v>6.5</v>
      </c>
      <c r="AD225" s="89"/>
      <c r="AE225" s="89">
        <v>50</v>
      </c>
      <c r="AF225" s="93">
        <v>5.4</v>
      </c>
      <c r="AG225" s="90">
        <v>3.8</v>
      </c>
      <c r="AH225" s="89"/>
      <c r="AI225" s="89">
        <v>95</v>
      </c>
      <c r="AJ225" s="93"/>
      <c r="AK225" s="90"/>
      <c r="AL225" s="89"/>
      <c r="AM225" s="89">
        <v>100</v>
      </c>
      <c r="AN225" s="93"/>
      <c r="AO225" s="90"/>
      <c r="AP225" s="89"/>
    </row>
    <row r="226" spans="1:42" x14ac:dyDescent="0.2">
      <c r="A226" s="19" t="s">
        <v>1244</v>
      </c>
      <c r="B226" s="19">
        <v>473</v>
      </c>
      <c r="C226" s="37">
        <v>55</v>
      </c>
      <c r="D226" s="37">
        <v>12.3</v>
      </c>
      <c r="E226" s="37">
        <v>9.1</v>
      </c>
      <c r="F226" s="37" t="s">
        <v>1810</v>
      </c>
      <c r="G226" s="37">
        <v>55</v>
      </c>
      <c r="H226" s="37">
        <v>13.1</v>
      </c>
      <c r="I226" s="37">
        <v>8.9</v>
      </c>
      <c r="J226" s="37"/>
      <c r="K226" s="88">
        <v>60</v>
      </c>
      <c r="L226" s="92">
        <v>13</v>
      </c>
      <c r="M226" s="88">
        <v>9.1</v>
      </c>
      <c r="N226" s="88"/>
      <c r="O226" s="88">
        <v>60</v>
      </c>
      <c r="P226" s="92">
        <v>13</v>
      </c>
      <c r="Q226" s="88">
        <v>8.4</v>
      </c>
      <c r="R226" s="88"/>
      <c r="S226" s="88">
        <v>60</v>
      </c>
      <c r="T226" s="92">
        <v>9</v>
      </c>
      <c r="U226" s="88">
        <v>13.4</v>
      </c>
      <c r="V226" s="88"/>
      <c r="W226" s="88">
        <v>65</v>
      </c>
      <c r="X226" s="92">
        <v>8</v>
      </c>
      <c r="Y226" s="88">
        <v>8</v>
      </c>
      <c r="Z226" s="88"/>
      <c r="AA226" s="88">
        <v>70</v>
      </c>
      <c r="AB226" s="92">
        <v>6</v>
      </c>
      <c r="AC226" s="88">
        <v>4.4000000000000004</v>
      </c>
      <c r="AD226" s="88"/>
      <c r="AE226" s="88">
        <v>75</v>
      </c>
      <c r="AF226" s="92">
        <v>3</v>
      </c>
      <c r="AG226" s="88">
        <v>6.1</v>
      </c>
      <c r="AH226" s="88"/>
      <c r="AI226" s="88">
        <v>95</v>
      </c>
      <c r="AJ226" s="92"/>
      <c r="AK226" s="88"/>
      <c r="AL226" s="88"/>
      <c r="AM226" s="88">
        <v>100</v>
      </c>
      <c r="AN226" s="92"/>
      <c r="AO226" s="88"/>
      <c r="AP226" s="88"/>
    </row>
    <row r="227" spans="1:42" x14ac:dyDescent="0.2">
      <c r="A227" s="19" t="s">
        <v>1245</v>
      </c>
      <c r="B227" s="19">
        <v>474</v>
      </c>
      <c r="C227" s="37">
        <v>80</v>
      </c>
      <c r="D227" s="37">
        <v>5.6</v>
      </c>
      <c r="E227" s="37">
        <v>7.5</v>
      </c>
      <c r="F227" s="37" t="s">
        <v>1810</v>
      </c>
      <c r="G227" s="37">
        <v>80</v>
      </c>
      <c r="H227" s="37">
        <v>9</v>
      </c>
      <c r="I227" s="37">
        <v>5.0999999999999996</v>
      </c>
      <c r="J227" s="37"/>
      <c r="K227" s="88">
        <v>95</v>
      </c>
      <c r="L227" s="92"/>
      <c r="M227" s="88"/>
      <c r="N227" s="88"/>
      <c r="O227" s="88">
        <v>95</v>
      </c>
      <c r="P227" s="92"/>
      <c r="Q227" s="88"/>
      <c r="R227" s="88"/>
      <c r="S227" s="88">
        <v>95</v>
      </c>
      <c r="T227" s="92"/>
      <c r="U227" s="88"/>
      <c r="V227" s="88"/>
      <c r="W227" s="88">
        <v>95</v>
      </c>
      <c r="X227" s="92"/>
      <c r="Y227" s="88"/>
      <c r="Z227" s="88"/>
      <c r="AA227" s="88">
        <v>95</v>
      </c>
      <c r="AB227" s="92"/>
      <c r="AC227" s="88"/>
      <c r="AD227" s="88"/>
      <c r="AE227" s="88">
        <v>95</v>
      </c>
      <c r="AF227" s="92"/>
      <c r="AG227" s="88"/>
      <c r="AH227" s="88"/>
      <c r="AI227" s="88">
        <v>98</v>
      </c>
      <c r="AJ227" s="92"/>
      <c r="AK227" s="88"/>
      <c r="AL227" s="88"/>
      <c r="AM227" s="88">
        <v>100</v>
      </c>
      <c r="AN227" s="92"/>
      <c r="AO227" s="88"/>
      <c r="AP227" s="88"/>
    </row>
    <row r="228" spans="1:42" x14ac:dyDescent="0.2">
      <c r="A228" s="19" t="s">
        <v>1246</v>
      </c>
      <c r="B228" s="19">
        <v>475</v>
      </c>
      <c r="C228" s="37">
        <v>85</v>
      </c>
      <c r="D228" s="37">
        <v>9.8000000000000007</v>
      </c>
      <c r="E228" s="37">
        <v>9.6</v>
      </c>
      <c r="F228" s="37" t="s">
        <v>1811</v>
      </c>
      <c r="G228" s="37">
        <v>85</v>
      </c>
      <c r="H228" s="37">
        <v>8.1999999999999993</v>
      </c>
      <c r="I228" s="37">
        <v>5.9</v>
      </c>
      <c r="J228" s="37"/>
      <c r="K228" s="88">
        <v>95</v>
      </c>
      <c r="L228" s="92"/>
      <c r="M228" s="88"/>
      <c r="N228" s="88"/>
      <c r="O228" s="88">
        <v>95</v>
      </c>
      <c r="P228" s="92"/>
      <c r="Q228" s="88"/>
      <c r="R228" s="88"/>
      <c r="S228" s="88">
        <v>95</v>
      </c>
      <c r="T228" s="92"/>
      <c r="U228" s="88"/>
      <c r="V228" s="88"/>
      <c r="W228" s="88">
        <v>95</v>
      </c>
      <c r="X228" s="92"/>
      <c r="Y228" s="88"/>
      <c r="Z228" s="88"/>
      <c r="AA228" s="88">
        <v>98</v>
      </c>
      <c r="AB228" s="92"/>
      <c r="AC228" s="88"/>
      <c r="AD228" s="88"/>
      <c r="AE228" s="88">
        <v>98</v>
      </c>
      <c r="AF228" s="92"/>
      <c r="AG228" s="88"/>
      <c r="AH228" s="88"/>
      <c r="AI228" s="88">
        <v>98</v>
      </c>
      <c r="AJ228" s="92"/>
      <c r="AK228" s="88"/>
      <c r="AL228" s="88"/>
      <c r="AM228" s="88">
        <v>100</v>
      </c>
      <c r="AN228" s="92"/>
      <c r="AO228" s="88"/>
      <c r="AP228" s="88"/>
    </row>
    <row r="229" spans="1:42" x14ac:dyDescent="0.2">
      <c r="A229" s="19" t="s">
        <v>1247</v>
      </c>
      <c r="B229" s="19">
        <v>476</v>
      </c>
      <c r="C229" s="37">
        <v>95</v>
      </c>
      <c r="D229" s="37">
        <v>9.4</v>
      </c>
      <c r="E229" s="37">
        <v>8.9</v>
      </c>
      <c r="F229" s="37" t="s">
        <v>1810</v>
      </c>
      <c r="G229" s="37">
        <v>98</v>
      </c>
      <c r="H229" s="37"/>
      <c r="I229" s="37"/>
      <c r="J229" s="37"/>
      <c r="K229" s="88">
        <v>98</v>
      </c>
      <c r="L229" s="92"/>
      <c r="M229" s="88"/>
      <c r="N229" s="88"/>
      <c r="O229" s="88">
        <v>98</v>
      </c>
      <c r="P229" s="92"/>
      <c r="Q229" s="88"/>
      <c r="R229" s="88"/>
      <c r="S229" s="88">
        <v>98</v>
      </c>
      <c r="T229" s="92"/>
      <c r="U229" s="88"/>
      <c r="V229" s="88"/>
      <c r="W229" s="88">
        <v>98</v>
      </c>
      <c r="X229" s="92"/>
      <c r="Y229" s="88"/>
      <c r="Z229" s="88"/>
      <c r="AA229" s="88">
        <v>100</v>
      </c>
      <c r="AB229" s="92"/>
      <c r="AC229" s="88"/>
      <c r="AD229" s="88"/>
      <c r="AE229" s="88">
        <v>100</v>
      </c>
      <c r="AF229" s="92"/>
      <c r="AG229" s="88"/>
      <c r="AH229" s="88"/>
      <c r="AI229" s="88">
        <v>100</v>
      </c>
      <c r="AJ229" s="92"/>
      <c r="AK229" s="88"/>
      <c r="AL229" s="88"/>
      <c r="AM229" s="88">
        <v>100</v>
      </c>
      <c r="AN229" s="92"/>
      <c r="AO229" s="88"/>
      <c r="AP229" s="88"/>
    </row>
    <row r="230" spans="1:42" x14ac:dyDescent="0.2">
      <c r="A230" s="19" t="s">
        <v>1248</v>
      </c>
      <c r="B230" s="19">
        <v>477</v>
      </c>
      <c r="C230" s="37">
        <v>70</v>
      </c>
      <c r="D230" s="37">
        <v>8.5</v>
      </c>
      <c r="E230" s="37">
        <v>8.9</v>
      </c>
      <c r="F230" s="37" t="s">
        <v>1810</v>
      </c>
      <c r="G230" s="37">
        <v>70</v>
      </c>
      <c r="H230" s="37">
        <v>10.199999999999999</v>
      </c>
      <c r="I230" s="37">
        <v>8.3000000000000007</v>
      </c>
      <c r="J230" s="37"/>
      <c r="K230" s="88">
        <v>80</v>
      </c>
      <c r="L230" s="92">
        <v>9.4</v>
      </c>
      <c r="M230" s="88">
        <v>9.9</v>
      </c>
      <c r="N230" s="88"/>
      <c r="O230" s="88">
        <v>80</v>
      </c>
      <c r="P230" s="92">
        <v>9.3000000000000007</v>
      </c>
      <c r="Q230" s="88">
        <v>6.8</v>
      </c>
      <c r="R230" s="88"/>
      <c r="S230" s="88">
        <v>80</v>
      </c>
      <c r="T230" s="92">
        <v>9.9</v>
      </c>
      <c r="U230" s="88">
        <v>9.9</v>
      </c>
      <c r="V230" s="88"/>
      <c r="W230" s="88">
        <v>85</v>
      </c>
      <c r="X230" s="92">
        <v>7</v>
      </c>
      <c r="Y230" s="88">
        <v>9.6</v>
      </c>
      <c r="Z230" s="88"/>
      <c r="AA230" s="88">
        <v>85</v>
      </c>
      <c r="AB230" s="92">
        <v>6.9</v>
      </c>
      <c r="AC230" s="88">
        <v>6.2</v>
      </c>
      <c r="AD230" s="88"/>
      <c r="AE230" s="88">
        <v>95</v>
      </c>
      <c r="AF230" s="92">
        <v>4.5</v>
      </c>
      <c r="AG230" s="88">
        <v>5.9</v>
      </c>
      <c r="AH230" s="88"/>
      <c r="AI230" s="88">
        <v>98</v>
      </c>
      <c r="AJ230" s="92"/>
      <c r="AK230" s="88"/>
      <c r="AL230" s="88"/>
      <c r="AM230" s="88">
        <v>100</v>
      </c>
      <c r="AN230" s="92"/>
      <c r="AO230" s="88"/>
      <c r="AP230" s="88"/>
    </row>
    <row r="231" spans="1:42" x14ac:dyDescent="0.2">
      <c r="A231" s="19" t="s">
        <v>1249</v>
      </c>
      <c r="B231" s="19">
        <v>478</v>
      </c>
      <c r="C231" s="37">
        <v>95</v>
      </c>
      <c r="D231" s="37">
        <v>10.3</v>
      </c>
      <c r="E231" s="37">
        <v>8.6</v>
      </c>
      <c r="F231" s="37" t="s">
        <v>1810</v>
      </c>
      <c r="G231" s="37">
        <v>95</v>
      </c>
      <c r="H231" s="37">
        <v>9.8000000000000007</v>
      </c>
      <c r="I231" s="37">
        <v>6.9</v>
      </c>
      <c r="J231" s="37"/>
      <c r="K231" s="88">
        <v>98</v>
      </c>
      <c r="L231" s="92"/>
      <c r="M231" s="88"/>
      <c r="N231" s="88"/>
      <c r="O231" s="88">
        <v>98</v>
      </c>
      <c r="P231" s="92"/>
      <c r="Q231" s="88"/>
      <c r="R231" s="88"/>
      <c r="S231" s="88">
        <v>98</v>
      </c>
      <c r="T231" s="92"/>
      <c r="U231" s="88"/>
      <c r="V231" s="88"/>
      <c r="W231" s="88">
        <v>98</v>
      </c>
      <c r="X231" s="92"/>
      <c r="Y231" s="88"/>
      <c r="Z231" s="88"/>
      <c r="AA231" s="88">
        <v>98</v>
      </c>
      <c r="AB231" s="92"/>
      <c r="AC231" s="88"/>
      <c r="AD231" s="88"/>
      <c r="AE231" s="88">
        <v>98</v>
      </c>
      <c r="AF231" s="92"/>
      <c r="AG231" s="88"/>
      <c r="AH231" s="88"/>
      <c r="AI231" s="88">
        <v>100</v>
      </c>
      <c r="AJ231" s="92"/>
      <c r="AK231" s="88"/>
      <c r="AL231" s="88"/>
      <c r="AM231" s="88">
        <v>100</v>
      </c>
      <c r="AN231" s="92"/>
      <c r="AO231" s="88"/>
      <c r="AP231" s="88"/>
    </row>
    <row r="232" spans="1:42" x14ac:dyDescent="0.2">
      <c r="A232" s="19" t="s">
        <v>1250</v>
      </c>
      <c r="B232" s="19">
        <v>479</v>
      </c>
      <c r="C232" s="37">
        <v>100</v>
      </c>
      <c r="D232" s="37"/>
      <c r="E232" s="37"/>
      <c r="F232" s="37" t="s">
        <v>1810</v>
      </c>
      <c r="G232" s="37">
        <v>100</v>
      </c>
      <c r="H232" s="37"/>
      <c r="I232" s="37"/>
      <c r="J232" s="37"/>
      <c r="K232" s="88">
        <v>98</v>
      </c>
      <c r="L232" s="92"/>
      <c r="M232" s="88"/>
      <c r="N232" s="88"/>
      <c r="O232" s="88">
        <v>100</v>
      </c>
      <c r="P232" s="92"/>
      <c r="Q232" s="88"/>
      <c r="R232" s="88"/>
      <c r="S232" s="88">
        <v>100</v>
      </c>
      <c r="T232" s="92"/>
      <c r="U232" s="88"/>
      <c r="V232" s="88"/>
      <c r="W232" s="88">
        <v>100</v>
      </c>
      <c r="X232" s="92"/>
      <c r="Y232" s="88"/>
      <c r="Z232" s="88"/>
      <c r="AA232" s="88">
        <v>100</v>
      </c>
      <c r="AB232" s="92"/>
      <c r="AC232" s="88"/>
      <c r="AD232" s="88"/>
      <c r="AE232" s="88">
        <v>100</v>
      </c>
      <c r="AF232" s="92"/>
      <c r="AG232" s="88"/>
      <c r="AH232" s="88"/>
      <c r="AI232" s="88">
        <v>100</v>
      </c>
      <c r="AJ232" s="92"/>
      <c r="AK232" s="88"/>
      <c r="AL232" s="88"/>
      <c r="AM232" s="88">
        <v>100</v>
      </c>
      <c r="AN232" s="92"/>
      <c r="AO232" s="88"/>
      <c r="AP232" s="88"/>
    </row>
    <row r="233" spans="1:42" x14ac:dyDescent="0.2">
      <c r="A233" s="19" t="s">
        <v>1251</v>
      </c>
      <c r="B233" s="19">
        <v>480</v>
      </c>
      <c r="C233" s="37">
        <v>90</v>
      </c>
      <c r="D233" s="37">
        <v>4.9000000000000004</v>
      </c>
      <c r="E233" s="37">
        <v>5.8</v>
      </c>
      <c r="F233" s="37" t="s">
        <v>1811</v>
      </c>
      <c r="G233" s="37">
        <v>90</v>
      </c>
      <c r="H233" s="37">
        <v>5.5</v>
      </c>
      <c r="I233" s="37">
        <v>6.2</v>
      </c>
      <c r="J233" s="37"/>
      <c r="K233" s="88">
        <v>98</v>
      </c>
      <c r="L233" s="92"/>
      <c r="M233" s="88"/>
      <c r="N233" s="88"/>
      <c r="O233" s="88">
        <v>98</v>
      </c>
      <c r="P233" s="92"/>
      <c r="Q233" s="88"/>
      <c r="R233" s="88"/>
      <c r="S233" s="88">
        <v>98</v>
      </c>
      <c r="T233" s="92"/>
      <c r="U233" s="88"/>
      <c r="V233" s="88"/>
      <c r="W233" s="88">
        <v>98</v>
      </c>
      <c r="X233" s="92"/>
      <c r="Y233" s="88"/>
      <c r="Z233" s="88"/>
      <c r="AA233" s="88">
        <v>98</v>
      </c>
      <c r="AB233" s="92"/>
      <c r="AC233" s="88"/>
      <c r="AD233" s="88"/>
      <c r="AE233" s="88">
        <v>98</v>
      </c>
      <c r="AF233" s="92"/>
      <c r="AG233" s="88"/>
      <c r="AH233" s="88"/>
      <c r="AI233" s="88">
        <v>100</v>
      </c>
      <c r="AJ233" s="92"/>
      <c r="AK233" s="88"/>
      <c r="AL233" s="88"/>
      <c r="AM233" s="88">
        <v>100</v>
      </c>
      <c r="AN233" s="92"/>
      <c r="AO233" s="88"/>
      <c r="AP233" s="88"/>
    </row>
    <row r="234" spans="1:42" x14ac:dyDescent="0.2">
      <c r="A234" s="13" t="s">
        <v>1253</v>
      </c>
      <c r="B234" s="13">
        <v>481</v>
      </c>
      <c r="C234" s="1">
        <v>2</v>
      </c>
      <c r="D234" s="1">
        <v>7.2</v>
      </c>
      <c r="E234" s="1">
        <v>8.5</v>
      </c>
      <c r="F234" s="1"/>
      <c r="G234" s="1">
        <v>2</v>
      </c>
      <c r="H234" s="1">
        <v>9.9</v>
      </c>
      <c r="I234" s="1">
        <v>8.4</v>
      </c>
      <c r="J234" s="1"/>
      <c r="K234" s="89">
        <v>5</v>
      </c>
      <c r="L234" s="93">
        <v>7.6</v>
      </c>
      <c r="M234" s="89">
        <v>6.2</v>
      </c>
      <c r="N234" s="89"/>
      <c r="O234" s="89">
        <v>5</v>
      </c>
      <c r="P234" s="93">
        <v>6.4</v>
      </c>
      <c r="Q234" s="89">
        <v>8.6999999999999993</v>
      </c>
      <c r="R234" s="89"/>
      <c r="S234" s="89">
        <v>5</v>
      </c>
      <c r="T234" s="93">
        <v>6.8</v>
      </c>
      <c r="U234" s="89">
        <v>5.6</v>
      </c>
      <c r="V234" s="89"/>
      <c r="W234" s="89">
        <v>15</v>
      </c>
      <c r="X234" s="93">
        <v>6.5</v>
      </c>
      <c r="Y234" s="89">
        <v>5.3</v>
      </c>
      <c r="Z234" s="89"/>
      <c r="AA234" s="89">
        <v>15</v>
      </c>
      <c r="AB234" s="93">
        <v>5.2</v>
      </c>
      <c r="AC234" s="89">
        <v>6.4</v>
      </c>
      <c r="AD234" s="89"/>
      <c r="AE234" s="89">
        <v>15</v>
      </c>
      <c r="AF234" s="93">
        <v>4.8</v>
      </c>
      <c r="AG234" s="89">
        <v>3.6</v>
      </c>
      <c r="AH234" s="89"/>
      <c r="AI234" s="89">
        <v>50</v>
      </c>
      <c r="AJ234" s="93">
        <v>5.3</v>
      </c>
      <c r="AK234" s="89">
        <v>4.9000000000000004</v>
      </c>
      <c r="AL234" s="89"/>
      <c r="AM234" s="89">
        <v>95</v>
      </c>
      <c r="AN234" s="93">
        <v>3.9</v>
      </c>
      <c r="AO234" s="89">
        <v>3.2</v>
      </c>
      <c r="AP234" s="89"/>
    </row>
    <row r="235" spans="1:42" x14ac:dyDescent="0.2">
      <c r="A235" s="13" t="s">
        <v>1254</v>
      </c>
      <c r="B235" s="13">
        <v>482</v>
      </c>
      <c r="C235" s="1">
        <v>2</v>
      </c>
      <c r="D235" s="1">
        <v>9.5</v>
      </c>
      <c r="E235" s="1">
        <v>9.1</v>
      </c>
      <c r="F235" s="1"/>
      <c r="G235" s="1">
        <v>2</v>
      </c>
      <c r="H235" s="1">
        <v>10.7</v>
      </c>
      <c r="I235" s="1">
        <v>12.6</v>
      </c>
      <c r="J235" s="1"/>
      <c r="K235" s="89">
        <v>5</v>
      </c>
      <c r="L235" s="93">
        <v>11.7</v>
      </c>
      <c r="M235" s="89">
        <v>7.6</v>
      </c>
      <c r="N235" s="89"/>
      <c r="O235" s="89">
        <v>5</v>
      </c>
      <c r="P235" s="93">
        <v>10.1</v>
      </c>
      <c r="Q235" s="89">
        <v>12.5</v>
      </c>
      <c r="R235" s="89"/>
      <c r="S235" s="89">
        <v>5</v>
      </c>
      <c r="T235" s="93">
        <v>8.4</v>
      </c>
      <c r="U235" s="89">
        <v>11.1</v>
      </c>
      <c r="V235" s="89"/>
      <c r="W235" s="89">
        <v>10</v>
      </c>
      <c r="X235" s="93">
        <v>8.3000000000000007</v>
      </c>
      <c r="Y235" s="89">
        <v>9.4</v>
      </c>
      <c r="Z235" s="89"/>
      <c r="AA235" s="89">
        <v>10</v>
      </c>
      <c r="AB235" s="93">
        <v>12.8</v>
      </c>
      <c r="AC235" s="89">
        <v>8.9</v>
      </c>
      <c r="AD235" s="89"/>
      <c r="AE235" s="89">
        <v>15</v>
      </c>
      <c r="AF235" s="93">
        <v>7.6</v>
      </c>
      <c r="AG235" s="89">
        <v>11</v>
      </c>
      <c r="AH235" s="89"/>
      <c r="AI235" s="89">
        <v>45</v>
      </c>
      <c r="AJ235" s="93">
        <v>4</v>
      </c>
      <c r="AK235" s="89">
        <v>5.3</v>
      </c>
      <c r="AL235" s="89"/>
      <c r="AM235" s="89">
        <v>80</v>
      </c>
      <c r="AN235" s="93">
        <v>4.8</v>
      </c>
      <c r="AO235" s="89">
        <v>5</v>
      </c>
      <c r="AP235" s="89"/>
    </row>
    <row r="236" spans="1:42" x14ac:dyDescent="0.2">
      <c r="A236" s="13" t="s">
        <v>1255</v>
      </c>
      <c r="B236" s="13">
        <v>483</v>
      </c>
      <c r="C236" s="1">
        <v>2</v>
      </c>
      <c r="D236" s="1">
        <v>11.2</v>
      </c>
      <c r="E236" s="1">
        <v>10.9</v>
      </c>
      <c r="F236" s="1"/>
      <c r="G236" s="1">
        <v>2</v>
      </c>
      <c r="H236" s="1">
        <v>10.8</v>
      </c>
      <c r="I236" s="1">
        <v>9.9</v>
      </c>
      <c r="J236" s="1"/>
      <c r="K236" s="89">
        <v>10</v>
      </c>
      <c r="L236" s="93">
        <v>10.3</v>
      </c>
      <c r="M236" s="89">
        <v>8.4</v>
      </c>
      <c r="N236" s="89"/>
      <c r="O236" s="89">
        <v>10</v>
      </c>
      <c r="P236" s="93">
        <v>8.3000000000000007</v>
      </c>
      <c r="Q236" s="89">
        <v>7.3</v>
      </c>
      <c r="R236" s="89"/>
      <c r="S236" s="89">
        <v>10</v>
      </c>
      <c r="T236" s="93">
        <v>9</v>
      </c>
      <c r="U236" s="89">
        <v>9.6</v>
      </c>
      <c r="V236" s="89"/>
      <c r="W236" s="89">
        <v>25</v>
      </c>
      <c r="X236" s="93">
        <v>9.1999999999999993</v>
      </c>
      <c r="Y236" s="89">
        <v>6.5</v>
      </c>
      <c r="Z236" s="89"/>
      <c r="AA236" s="89">
        <v>35</v>
      </c>
      <c r="AB236" s="93">
        <v>7.3</v>
      </c>
      <c r="AC236" s="89">
        <v>7.8</v>
      </c>
      <c r="AD236" s="89"/>
      <c r="AE236" s="89">
        <v>45</v>
      </c>
      <c r="AF236" s="93">
        <v>8.1</v>
      </c>
      <c r="AG236" s="89">
        <v>6.7</v>
      </c>
      <c r="AH236" s="89"/>
      <c r="AI236" s="89">
        <v>95</v>
      </c>
      <c r="AJ236" s="93"/>
      <c r="AK236" s="89"/>
      <c r="AL236" s="89"/>
      <c r="AM236" s="89">
        <v>100</v>
      </c>
      <c r="AN236" s="93"/>
      <c r="AO236" s="89"/>
      <c r="AP236" s="89"/>
    </row>
    <row r="237" spans="1:42" x14ac:dyDescent="0.2">
      <c r="A237" s="13" t="s">
        <v>1256</v>
      </c>
      <c r="B237" s="13">
        <v>484</v>
      </c>
      <c r="C237" s="1">
        <v>5</v>
      </c>
      <c r="D237" s="1">
        <v>9.3000000000000007</v>
      </c>
      <c r="E237" s="1">
        <v>9.5</v>
      </c>
      <c r="F237" s="1"/>
      <c r="G237" s="1">
        <v>5</v>
      </c>
      <c r="H237" s="1">
        <v>11.2</v>
      </c>
      <c r="I237" s="1">
        <v>9.8000000000000007</v>
      </c>
      <c r="J237" s="1"/>
      <c r="K237" s="89">
        <v>5</v>
      </c>
      <c r="L237" s="93">
        <v>11.2</v>
      </c>
      <c r="M237" s="89">
        <v>9.3000000000000007</v>
      </c>
      <c r="N237" s="89"/>
      <c r="O237" s="89">
        <v>5</v>
      </c>
      <c r="P237" s="93">
        <v>10.8</v>
      </c>
      <c r="Q237" s="89">
        <v>10.3</v>
      </c>
      <c r="R237" s="89"/>
      <c r="S237" s="89">
        <v>5</v>
      </c>
      <c r="T237" s="93">
        <v>11</v>
      </c>
      <c r="U237" s="89">
        <v>10.8</v>
      </c>
      <c r="V237" s="89"/>
      <c r="W237" s="89">
        <v>10</v>
      </c>
      <c r="X237" s="93">
        <v>9.9</v>
      </c>
      <c r="Y237" s="89">
        <v>9</v>
      </c>
      <c r="Z237" s="89"/>
      <c r="AA237" s="89">
        <v>10</v>
      </c>
      <c r="AB237" s="93">
        <v>11.5</v>
      </c>
      <c r="AC237" s="89">
        <v>10.6</v>
      </c>
      <c r="AD237" s="89"/>
      <c r="AE237" s="89">
        <v>10</v>
      </c>
      <c r="AF237" s="93">
        <v>6.8</v>
      </c>
      <c r="AG237" s="89">
        <v>8.8000000000000007</v>
      </c>
      <c r="AH237" s="89"/>
      <c r="AI237" s="89">
        <v>15</v>
      </c>
      <c r="AJ237" s="93">
        <v>3.5</v>
      </c>
      <c r="AK237" s="89">
        <v>6.4</v>
      </c>
      <c r="AL237" s="89"/>
      <c r="AM237" s="89">
        <v>95</v>
      </c>
      <c r="AN237" s="93">
        <v>5.3</v>
      </c>
      <c r="AO237" s="89">
        <v>4.0999999999999996</v>
      </c>
      <c r="AP237" s="89"/>
    </row>
    <row r="238" spans="1:42" x14ac:dyDescent="0.2">
      <c r="A238" s="13" t="s">
        <v>1257</v>
      </c>
      <c r="B238" s="13">
        <v>485</v>
      </c>
      <c r="C238" s="1">
        <v>5</v>
      </c>
      <c r="D238" s="1">
        <v>12.7</v>
      </c>
      <c r="E238" s="1">
        <v>9.9</v>
      </c>
      <c r="F238" s="1"/>
      <c r="G238" s="1">
        <v>5</v>
      </c>
      <c r="H238" s="1">
        <v>8.9</v>
      </c>
      <c r="I238" s="1">
        <v>9</v>
      </c>
      <c r="J238" s="1"/>
      <c r="K238" s="89">
        <v>5</v>
      </c>
      <c r="L238" s="93">
        <v>8.1</v>
      </c>
      <c r="M238" s="89">
        <v>9.9</v>
      </c>
      <c r="N238" s="89"/>
      <c r="O238" s="89">
        <v>15</v>
      </c>
      <c r="P238" s="93">
        <v>7.2</v>
      </c>
      <c r="Q238" s="89">
        <v>10.199999999999999</v>
      </c>
      <c r="R238" s="89"/>
      <c r="S238" s="89">
        <v>15</v>
      </c>
      <c r="T238" s="93">
        <v>7.9</v>
      </c>
      <c r="U238" s="89">
        <v>8.9</v>
      </c>
      <c r="V238" s="89"/>
      <c r="W238" s="89">
        <v>30</v>
      </c>
      <c r="X238" s="93">
        <v>8.6999999999999993</v>
      </c>
      <c r="Y238" s="89">
        <v>7.7</v>
      </c>
      <c r="Z238" s="89"/>
      <c r="AA238" s="89">
        <v>30</v>
      </c>
      <c r="AB238" s="93">
        <v>9.6</v>
      </c>
      <c r="AC238" s="89">
        <v>9.9</v>
      </c>
      <c r="AD238" s="89"/>
      <c r="AE238" s="89">
        <v>30</v>
      </c>
      <c r="AF238" s="93">
        <v>5.5</v>
      </c>
      <c r="AG238" s="89">
        <v>7.6</v>
      </c>
      <c r="AH238" s="89"/>
      <c r="AI238" s="89">
        <v>35</v>
      </c>
      <c r="AJ238" s="93">
        <v>12.9</v>
      </c>
      <c r="AK238" s="89">
        <v>7.9</v>
      </c>
      <c r="AL238" s="89"/>
      <c r="AM238" s="89">
        <v>98</v>
      </c>
      <c r="AN238" s="93"/>
      <c r="AO238" s="89"/>
      <c r="AP238" s="89"/>
    </row>
    <row r="239" spans="1:42" x14ac:dyDescent="0.2">
      <c r="A239" s="13" t="s">
        <v>1258</v>
      </c>
      <c r="B239" s="13">
        <v>486</v>
      </c>
      <c r="C239" s="1">
        <v>5</v>
      </c>
      <c r="D239" s="1">
        <v>8.8000000000000007</v>
      </c>
      <c r="E239" s="1">
        <v>8.8000000000000007</v>
      </c>
      <c r="F239" s="1"/>
      <c r="G239" s="1">
        <v>5</v>
      </c>
      <c r="H239" s="1">
        <v>10</v>
      </c>
      <c r="I239" s="1">
        <v>6.4</v>
      </c>
      <c r="J239" s="1"/>
      <c r="K239" s="89">
        <v>5</v>
      </c>
      <c r="L239" s="93">
        <v>7.4</v>
      </c>
      <c r="M239" s="89">
        <v>8</v>
      </c>
      <c r="N239" s="89"/>
      <c r="O239" s="89">
        <v>5</v>
      </c>
      <c r="P239" s="93">
        <v>8.4</v>
      </c>
      <c r="Q239" s="89">
        <v>8.1999999999999993</v>
      </c>
      <c r="R239" s="89"/>
      <c r="S239" s="89">
        <v>5</v>
      </c>
      <c r="T239" s="93">
        <v>7.4</v>
      </c>
      <c r="U239" s="89">
        <v>8</v>
      </c>
      <c r="V239" s="89"/>
      <c r="W239" s="89">
        <v>10</v>
      </c>
      <c r="X239" s="93">
        <v>8.6</v>
      </c>
      <c r="Y239" s="89">
        <v>6.4</v>
      </c>
      <c r="Z239" s="89"/>
      <c r="AA239" s="89">
        <v>10</v>
      </c>
      <c r="AB239" s="93">
        <v>6.2</v>
      </c>
      <c r="AC239" s="89">
        <v>8.3000000000000007</v>
      </c>
      <c r="AD239" s="89"/>
      <c r="AE239" s="89">
        <v>15</v>
      </c>
      <c r="AF239" s="93">
        <v>5.3</v>
      </c>
      <c r="AG239" s="89">
        <v>5.8</v>
      </c>
      <c r="AH239" s="89"/>
      <c r="AI239" s="89">
        <v>30</v>
      </c>
      <c r="AJ239" s="93">
        <v>1.8</v>
      </c>
      <c r="AK239" s="89">
        <v>5.2</v>
      </c>
      <c r="AL239" s="89"/>
      <c r="AM239" s="89">
        <v>98</v>
      </c>
      <c r="AN239" s="93"/>
      <c r="AO239" s="89"/>
      <c r="AP239" s="89"/>
    </row>
    <row r="240" spans="1:42" x14ac:dyDescent="0.2">
      <c r="A240" s="13" t="s">
        <v>1259</v>
      </c>
      <c r="B240" s="13">
        <v>487</v>
      </c>
      <c r="C240" s="1">
        <v>10</v>
      </c>
      <c r="D240" s="1">
        <v>8.6</v>
      </c>
      <c r="E240" s="1">
        <v>8.9</v>
      </c>
      <c r="F240" s="1"/>
      <c r="G240" s="1">
        <v>5</v>
      </c>
      <c r="H240" s="1">
        <v>12.1</v>
      </c>
      <c r="I240" s="1">
        <v>9.9</v>
      </c>
      <c r="J240" s="1"/>
      <c r="K240" s="89">
        <v>5</v>
      </c>
      <c r="L240" s="93">
        <v>8.9</v>
      </c>
      <c r="M240" s="89">
        <v>9.1</v>
      </c>
      <c r="N240" s="89"/>
      <c r="O240" s="89">
        <v>15</v>
      </c>
      <c r="P240" s="93">
        <v>10.199999999999999</v>
      </c>
      <c r="Q240" s="89">
        <v>10</v>
      </c>
      <c r="R240" s="89"/>
      <c r="S240" s="89">
        <v>15</v>
      </c>
      <c r="T240" s="93">
        <v>7.5</v>
      </c>
      <c r="U240" s="89">
        <v>9.6</v>
      </c>
      <c r="V240" s="89"/>
      <c r="W240" s="89">
        <v>40</v>
      </c>
      <c r="X240" s="93">
        <v>6.7</v>
      </c>
      <c r="Y240" s="89">
        <v>8.1</v>
      </c>
      <c r="Z240" s="89"/>
      <c r="AA240" s="89">
        <v>45</v>
      </c>
      <c r="AB240" s="93">
        <v>6.7</v>
      </c>
      <c r="AC240" s="89">
        <v>7.1</v>
      </c>
      <c r="AD240" s="89"/>
      <c r="AE240" s="89">
        <v>60</v>
      </c>
      <c r="AF240" s="93">
        <v>3.1</v>
      </c>
      <c r="AG240" s="89">
        <v>5.9</v>
      </c>
      <c r="AH240" s="89"/>
      <c r="AI240" s="89">
        <v>98</v>
      </c>
      <c r="AJ240" s="93"/>
      <c r="AK240" s="89"/>
      <c r="AL240" s="89"/>
      <c r="AM240" s="89">
        <v>100</v>
      </c>
      <c r="AN240" s="93"/>
      <c r="AO240" s="89"/>
      <c r="AP240" s="89"/>
    </row>
    <row r="241" spans="1:42" x14ac:dyDescent="0.2">
      <c r="A241" s="13" t="s">
        <v>1260</v>
      </c>
      <c r="B241" s="13">
        <v>488</v>
      </c>
      <c r="C241" s="1">
        <v>5</v>
      </c>
      <c r="D241" s="1">
        <v>9.9</v>
      </c>
      <c r="E241" s="1">
        <v>8.1</v>
      </c>
      <c r="F241" s="1"/>
      <c r="G241" s="1">
        <v>5</v>
      </c>
      <c r="H241" s="1">
        <v>14.8</v>
      </c>
      <c r="I241" s="1">
        <v>13.3</v>
      </c>
      <c r="J241" s="1"/>
      <c r="K241" s="89">
        <v>15</v>
      </c>
      <c r="L241" s="93">
        <v>7.2</v>
      </c>
      <c r="M241" s="89">
        <v>6.8</v>
      </c>
      <c r="N241" s="89"/>
      <c r="O241" s="89">
        <v>15</v>
      </c>
      <c r="P241" s="93">
        <v>6.8</v>
      </c>
      <c r="Q241" s="89">
        <v>8.3000000000000007</v>
      </c>
      <c r="R241" s="89"/>
      <c r="S241" s="89">
        <v>15</v>
      </c>
      <c r="T241" s="93">
        <v>6.7</v>
      </c>
      <c r="U241" s="89">
        <v>7.1</v>
      </c>
      <c r="V241" s="89"/>
      <c r="W241" s="89">
        <v>30</v>
      </c>
      <c r="X241" s="93">
        <v>6.4</v>
      </c>
      <c r="Y241" s="89">
        <v>7</v>
      </c>
      <c r="Z241" s="89"/>
      <c r="AA241" s="89">
        <v>30</v>
      </c>
      <c r="AB241" s="93">
        <v>9.3000000000000007</v>
      </c>
      <c r="AC241" s="89">
        <v>5.3</v>
      </c>
      <c r="AD241" s="89"/>
      <c r="AE241" s="89">
        <v>40</v>
      </c>
      <c r="AF241" s="93">
        <v>5.2</v>
      </c>
      <c r="AG241" s="89">
        <v>4.4000000000000004</v>
      </c>
      <c r="AH241" s="89"/>
      <c r="AI241" s="89">
        <v>75</v>
      </c>
      <c r="AJ241" s="93">
        <v>5.0999999999999996</v>
      </c>
      <c r="AK241" s="89">
        <v>4</v>
      </c>
      <c r="AL241" s="89"/>
      <c r="AM241" s="89">
        <v>100</v>
      </c>
      <c r="AN241" s="93"/>
      <c r="AO241" s="89"/>
      <c r="AP241" s="89"/>
    </row>
    <row r="242" spans="1:42" x14ac:dyDescent="0.2">
      <c r="A242" s="19" t="s">
        <v>1271</v>
      </c>
      <c r="B242" s="19">
        <v>497</v>
      </c>
      <c r="C242" s="37">
        <v>10</v>
      </c>
      <c r="D242" s="37">
        <v>16.100000000000001</v>
      </c>
      <c r="E242" s="37">
        <v>17.3</v>
      </c>
      <c r="F242" s="37"/>
      <c r="G242" s="37">
        <v>10</v>
      </c>
      <c r="H242" s="37">
        <v>17.7</v>
      </c>
      <c r="I242" s="37">
        <v>19.3</v>
      </c>
      <c r="J242" s="37"/>
      <c r="K242" s="88">
        <v>10</v>
      </c>
      <c r="L242" s="92">
        <v>13.9</v>
      </c>
      <c r="M242" s="88">
        <v>13</v>
      </c>
      <c r="N242" s="88"/>
      <c r="O242" s="88">
        <v>10</v>
      </c>
      <c r="P242" s="92">
        <v>14.2</v>
      </c>
      <c r="Q242" s="88">
        <v>13.4</v>
      </c>
      <c r="R242" s="88"/>
      <c r="S242" s="88">
        <v>10</v>
      </c>
      <c r="T242" s="92">
        <v>11.5</v>
      </c>
      <c r="U242" s="88">
        <v>13.3</v>
      </c>
      <c r="V242" s="88"/>
      <c r="W242" s="88">
        <v>15</v>
      </c>
      <c r="X242" s="92">
        <v>12.8</v>
      </c>
      <c r="Y242" s="88">
        <v>8.8000000000000007</v>
      </c>
      <c r="Z242" s="88"/>
      <c r="AA242" s="88">
        <v>20</v>
      </c>
      <c r="AB242" s="92">
        <v>10.4</v>
      </c>
      <c r="AC242" s="88">
        <v>12</v>
      </c>
      <c r="AD242" s="88"/>
      <c r="AE242" s="88">
        <v>25</v>
      </c>
      <c r="AF242" s="92">
        <v>6.8</v>
      </c>
      <c r="AG242" s="88">
        <v>9</v>
      </c>
      <c r="AH242" s="88"/>
      <c r="AI242" s="88">
        <v>40</v>
      </c>
      <c r="AJ242" s="92">
        <v>10.8</v>
      </c>
      <c r="AK242" s="88">
        <v>11.5</v>
      </c>
      <c r="AL242" s="88"/>
      <c r="AM242" s="88">
        <v>98</v>
      </c>
      <c r="AN242" s="92"/>
      <c r="AO242" s="88"/>
      <c r="AP242" s="88"/>
    </row>
    <row r="243" spans="1:42" x14ac:dyDescent="0.2">
      <c r="A243" s="19" t="s">
        <v>1275</v>
      </c>
      <c r="B243" s="19">
        <v>500</v>
      </c>
      <c r="C243" s="37">
        <v>15</v>
      </c>
      <c r="D243" s="37">
        <v>11.7</v>
      </c>
      <c r="E243" s="37">
        <v>12.1</v>
      </c>
      <c r="F243" s="37"/>
      <c r="G243" s="37">
        <v>15</v>
      </c>
      <c r="H243" s="37">
        <v>12.7</v>
      </c>
      <c r="I243" s="37">
        <v>11.4</v>
      </c>
      <c r="J243" s="37"/>
      <c r="K243" s="88">
        <v>15</v>
      </c>
      <c r="L243" s="92">
        <v>11.3</v>
      </c>
      <c r="M243" s="88">
        <v>8.6</v>
      </c>
      <c r="N243" s="88"/>
      <c r="O243" s="88">
        <v>20</v>
      </c>
      <c r="P243" s="92">
        <v>11.1</v>
      </c>
      <c r="Q243" s="88">
        <v>11.3</v>
      </c>
      <c r="R243" s="88"/>
      <c r="S243" s="88">
        <v>20</v>
      </c>
      <c r="T243" s="92">
        <v>8.8000000000000007</v>
      </c>
      <c r="U243" s="88">
        <v>8.3000000000000007</v>
      </c>
      <c r="V243" s="88"/>
      <c r="W243" s="88">
        <v>25</v>
      </c>
      <c r="X243" s="92">
        <v>9.9</v>
      </c>
      <c r="Y243" s="88">
        <v>9.8000000000000007</v>
      </c>
      <c r="Z243" s="88"/>
      <c r="AA243" s="88">
        <v>25</v>
      </c>
      <c r="AB243" s="92">
        <v>8.1999999999999993</v>
      </c>
      <c r="AC243" s="88">
        <v>10.7</v>
      </c>
      <c r="AD243" s="88"/>
      <c r="AE243" s="88">
        <v>30</v>
      </c>
      <c r="AF243" s="92">
        <v>6.9</v>
      </c>
      <c r="AG243" s="88">
        <v>8</v>
      </c>
      <c r="AH243" s="88"/>
      <c r="AI243" s="88">
        <v>45</v>
      </c>
      <c r="AJ243" s="92">
        <v>8</v>
      </c>
      <c r="AK243" s="88">
        <v>7.2</v>
      </c>
      <c r="AL243" s="88"/>
      <c r="AM243" s="88">
        <v>95</v>
      </c>
      <c r="AN243" s="92">
        <v>6.5</v>
      </c>
      <c r="AO243" s="88">
        <v>5.8</v>
      </c>
      <c r="AP243" s="88"/>
    </row>
    <row r="244" spans="1:42" x14ac:dyDescent="0.2">
      <c r="A244" s="19" t="s">
        <v>1276</v>
      </c>
      <c r="B244" s="19">
        <v>501</v>
      </c>
      <c r="C244" s="37">
        <v>5</v>
      </c>
      <c r="D244" s="37">
        <v>20</v>
      </c>
      <c r="E244" s="37">
        <v>20.399999999999999</v>
      </c>
      <c r="F244" s="37"/>
      <c r="G244" s="37">
        <v>5</v>
      </c>
      <c r="H244" s="37">
        <v>18.600000000000001</v>
      </c>
      <c r="I244" s="37">
        <v>20.8</v>
      </c>
      <c r="J244" s="37"/>
      <c r="K244" s="88">
        <v>5</v>
      </c>
      <c r="L244" s="92">
        <v>18.5</v>
      </c>
      <c r="M244" s="88">
        <v>12.1</v>
      </c>
      <c r="N244" s="88"/>
      <c r="O244" s="88">
        <v>5</v>
      </c>
      <c r="P244" s="92">
        <v>18.899999999999999</v>
      </c>
      <c r="Q244" s="88">
        <v>17.5</v>
      </c>
      <c r="R244" s="88"/>
      <c r="S244" s="88">
        <v>5</v>
      </c>
      <c r="T244" s="92">
        <v>17</v>
      </c>
      <c r="U244" s="88">
        <v>15.7</v>
      </c>
      <c r="V244" s="88"/>
      <c r="W244" s="88">
        <v>5</v>
      </c>
      <c r="X244" s="92">
        <v>15.5</v>
      </c>
      <c r="Y244" s="88">
        <v>16.899999999999999</v>
      </c>
      <c r="Z244" s="88"/>
      <c r="AA244" s="88">
        <v>5</v>
      </c>
      <c r="AB244" s="92">
        <v>14.3</v>
      </c>
      <c r="AC244" s="88">
        <v>15.4</v>
      </c>
      <c r="AD244" s="88"/>
      <c r="AE244" s="88">
        <v>10</v>
      </c>
      <c r="AF244" s="92">
        <v>15</v>
      </c>
      <c r="AG244" s="88">
        <v>12.4</v>
      </c>
      <c r="AH244" s="88"/>
      <c r="AI244" s="88">
        <v>15</v>
      </c>
      <c r="AJ244" s="92">
        <v>5.5</v>
      </c>
      <c r="AK244" s="88">
        <v>13.4</v>
      </c>
      <c r="AL244" s="88"/>
      <c r="AM244" s="88">
        <v>65</v>
      </c>
      <c r="AN244" s="92">
        <v>10.9</v>
      </c>
      <c r="AO244" s="88">
        <v>9.9</v>
      </c>
      <c r="AP244" s="88"/>
    </row>
    <row r="245" spans="1:42" x14ac:dyDescent="0.2">
      <c r="A245" s="19" t="s">
        <v>1279</v>
      </c>
      <c r="B245" s="19">
        <v>504</v>
      </c>
      <c r="C245" s="37">
        <v>5</v>
      </c>
      <c r="D245" s="37">
        <v>10.3</v>
      </c>
      <c r="E245" s="37">
        <v>11.9</v>
      </c>
      <c r="F245" s="37"/>
      <c r="G245" s="37">
        <v>5</v>
      </c>
      <c r="H245" s="37">
        <v>11</v>
      </c>
      <c r="I245" s="37">
        <v>12.9</v>
      </c>
      <c r="J245" s="37"/>
      <c r="K245" s="88">
        <v>10</v>
      </c>
      <c r="L245" s="92">
        <v>10.3</v>
      </c>
      <c r="M245" s="88">
        <v>8.9</v>
      </c>
      <c r="N245" s="88"/>
      <c r="O245" s="88">
        <v>15</v>
      </c>
      <c r="P245" s="92">
        <v>8</v>
      </c>
      <c r="Q245" s="88">
        <v>8.4</v>
      </c>
      <c r="R245" s="88"/>
      <c r="S245" s="88">
        <v>15</v>
      </c>
      <c r="T245" s="92">
        <v>8.6999999999999993</v>
      </c>
      <c r="U245" s="88">
        <v>9.5</v>
      </c>
      <c r="V245" s="88"/>
      <c r="W245" s="88">
        <v>25</v>
      </c>
      <c r="X245" s="92">
        <v>7.8</v>
      </c>
      <c r="Y245" s="88">
        <v>7.8</v>
      </c>
      <c r="Z245" s="88"/>
      <c r="AA245" s="88">
        <v>25</v>
      </c>
      <c r="AB245" s="92">
        <v>8</v>
      </c>
      <c r="AC245" s="88">
        <v>8.9</v>
      </c>
      <c r="AD245" s="88"/>
      <c r="AE245" s="88">
        <v>25</v>
      </c>
      <c r="AF245" s="92">
        <v>6.1</v>
      </c>
      <c r="AG245" s="88">
        <v>7.1</v>
      </c>
      <c r="AH245" s="88"/>
      <c r="AI245" s="88">
        <v>30</v>
      </c>
      <c r="AJ245" s="92">
        <v>3.6</v>
      </c>
      <c r="AK245" s="88">
        <v>5.9</v>
      </c>
      <c r="AL245" s="88"/>
      <c r="AM245" s="88">
        <v>65</v>
      </c>
      <c r="AN245" s="92">
        <v>4.5</v>
      </c>
      <c r="AO245" s="88">
        <v>7</v>
      </c>
      <c r="AP245" s="88"/>
    </row>
    <row r="246" spans="1:42" x14ac:dyDescent="0.2">
      <c r="A246" s="13" t="s">
        <v>1282</v>
      </c>
      <c r="B246" s="13">
        <v>506</v>
      </c>
      <c r="C246" s="1">
        <v>100</v>
      </c>
      <c r="D246" s="1"/>
      <c r="E246" s="1"/>
      <c r="F246" s="1" t="s">
        <v>1810</v>
      </c>
      <c r="G246" s="1">
        <v>100</v>
      </c>
      <c r="H246" s="1"/>
      <c r="I246" s="1"/>
      <c r="J246" s="1"/>
      <c r="K246" s="89">
        <v>100</v>
      </c>
      <c r="L246" s="93"/>
      <c r="M246" s="89"/>
      <c r="N246" s="89"/>
      <c r="O246" s="89">
        <v>100</v>
      </c>
      <c r="P246" s="93"/>
      <c r="Q246" s="89"/>
      <c r="R246" s="89"/>
      <c r="S246" s="89">
        <v>100</v>
      </c>
      <c r="T246" s="93"/>
      <c r="U246" s="89"/>
      <c r="V246" s="89"/>
      <c r="W246" s="89">
        <v>100</v>
      </c>
      <c r="X246" s="93"/>
      <c r="Y246" s="89"/>
      <c r="Z246" s="89"/>
      <c r="AA246" s="89">
        <v>100</v>
      </c>
      <c r="AB246" s="93"/>
      <c r="AC246" s="89"/>
      <c r="AD246" s="89"/>
      <c r="AE246" s="89">
        <v>100</v>
      </c>
      <c r="AF246" s="93"/>
      <c r="AG246" s="89"/>
      <c r="AH246" s="89"/>
      <c r="AI246" s="89">
        <v>100</v>
      </c>
      <c r="AJ246" s="93"/>
      <c r="AK246" s="89"/>
      <c r="AL246" s="89"/>
      <c r="AM246" s="89">
        <v>100</v>
      </c>
      <c r="AN246" s="93"/>
      <c r="AO246" s="89"/>
      <c r="AP246" s="89"/>
    </row>
    <row r="247" spans="1:42" x14ac:dyDescent="0.2">
      <c r="A247" s="13" t="s">
        <v>1283</v>
      </c>
      <c r="B247" s="13">
        <v>507</v>
      </c>
      <c r="C247" s="1">
        <v>100</v>
      </c>
      <c r="D247" s="1"/>
      <c r="E247" s="1"/>
      <c r="F247" s="1" t="s">
        <v>1810</v>
      </c>
      <c r="G247" s="1">
        <v>100</v>
      </c>
      <c r="H247" s="1"/>
      <c r="I247" s="1"/>
      <c r="J247" s="1"/>
      <c r="K247" s="89">
        <v>100</v>
      </c>
      <c r="L247" s="93"/>
      <c r="M247" s="89"/>
      <c r="N247" s="89"/>
      <c r="O247" s="89">
        <v>100</v>
      </c>
      <c r="P247" s="93"/>
      <c r="Q247" s="89"/>
      <c r="R247" s="89"/>
      <c r="S247" s="89">
        <v>100</v>
      </c>
      <c r="T247" s="93"/>
      <c r="U247" s="89"/>
      <c r="V247" s="89"/>
      <c r="W247" s="89">
        <v>100</v>
      </c>
      <c r="X247" s="93"/>
      <c r="Y247" s="89"/>
      <c r="Z247" s="89"/>
      <c r="AA247" s="89">
        <v>100</v>
      </c>
      <c r="AB247" s="93"/>
      <c r="AC247" s="89"/>
      <c r="AD247" s="89"/>
      <c r="AE247" s="89">
        <v>100</v>
      </c>
      <c r="AF247" s="93"/>
      <c r="AG247" s="89"/>
      <c r="AH247" s="89"/>
      <c r="AI247" s="89">
        <v>100</v>
      </c>
      <c r="AJ247" s="93"/>
      <c r="AK247" s="89"/>
      <c r="AL247" s="89"/>
      <c r="AM247" s="89">
        <v>100</v>
      </c>
      <c r="AN247" s="93"/>
      <c r="AO247" s="89"/>
      <c r="AP247" s="89"/>
    </row>
    <row r="248" spans="1:42" x14ac:dyDescent="0.2">
      <c r="A248" s="13" t="s">
        <v>1286</v>
      </c>
      <c r="B248" s="13">
        <v>510</v>
      </c>
      <c r="C248" s="1">
        <v>100</v>
      </c>
      <c r="D248" s="1"/>
      <c r="E248" s="1"/>
      <c r="F248" s="1" t="s">
        <v>1810</v>
      </c>
      <c r="G248" s="1">
        <v>100</v>
      </c>
      <c r="H248" s="1"/>
      <c r="I248" s="1"/>
      <c r="J248" s="1"/>
      <c r="K248" s="89">
        <v>100</v>
      </c>
      <c r="L248" s="93"/>
      <c r="M248" s="89"/>
      <c r="N248" s="89"/>
      <c r="O248" s="89">
        <v>100</v>
      </c>
      <c r="P248" s="93"/>
      <c r="Q248" s="89"/>
      <c r="R248" s="89"/>
      <c r="S248" s="89">
        <v>100</v>
      </c>
      <c r="T248" s="93"/>
      <c r="U248" s="89"/>
      <c r="V248" s="89"/>
      <c r="W248" s="89">
        <v>100</v>
      </c>
      <c r="X248" s="93"/>
      <c r="Y248" s="89"/>
      <c r="Z248" s="89"/>
      <c r="AA248" s="89">
        <v>100</v>
      </c>
      <c r="AB248" s="93"/>
      <c r="AC248" s="89"/>
      <c r="AD248" s="89"/>
      <c r="AE248" s="89">
        <v>100</v>
      </c>
      <c r="AF248" s="93"/>
      <c r="AG248" s="89"/>
      <c r="AH248" s="89"/>
      <c r="AI248" s="89">
        <v>100</v>
      </c>
      <c r="AJ248" s="93"/>
      <c r="AK248" s="89"/>
      <c r="AL248" s="89"/>
      <c r="AM248" s="89">
        <v>100</v>
      </c>
      <c r="AN248" s="93"/>
      <c r="AO248" s="89"/>
      <c r="AP248" s="89"/>
    </row>
    <row r="249" spans="1:42" x14ac:dyDescent="0.2">
      <c r="A249" s="13" t="s">
        <v>1287</v>
      </c>
      <c r="B249" s="13">
        <v>511</v>
      </c>
      <c r="C249" s="1">
        <v>100</v>
      </c>
      <c r="D249" s="1"/>
      <c r="E249" s="1"/>
      <c r="F249" s="1" t="s">
        <v>1810</v>
      </c>
      <c r="G249" s="1">
        <v>100</v>
      </c>
      <c r="H249" s="1"/>
      <c r="I249" s="1"/>
      <c r="J249" s="1"/>
      <c r="K249" s="89">
        <v>100</v>
      </c>
      <c r="L249" s="93"/>
      <c r="M249" s="89"/>
      <c r="N249" s="89"/>
      <c r="O249" s="89">
        <v>100</v>
      </c>
      <c r="P249" s="93"/>
      <c r="Q249" s="89"/>
      <c r="R249" s="89"/>
      <c r="S249" s="89">
        <v>100</v>
      </c>
      <c r="T249" s="93"/>
      <c r="U249" s="89"/>
      <c r="V249" s="89"/>
      <c r="W249" s="89">
        <v>100</v>
      </c>
      <c r="X249" s="93"/>
      <c r="Y249" s="89"/>
      <c r="Z249" s="89"/>
      <c r="AA249" s="89">
        <v>100</v>
      </c>
      <c r="AB249" s="93"/>
      <c r="AC249" s="89"/>
      <c r="AD249" s="89"/>
      <c r="AE249" s="89">
        <v>100</v>
      </c>
      <c r="AF249" s="93"/>
      <c r="AG249" s="89"/>
      <c r="AH249" s="89"/>
      <c r="AI249" s="89">
        <v>100</v>
      </c>
      <c r="AJ249" s="93"/>
      <c r="AK249" s="89"/>
      <c r="AL249" s="89"/>
      <c r="AM249" s="89">
        <v>100</v>
      </c>
      <c r="AN249" s="93"/>
      <c r="AO249" s="89"/>
      <c r="AP249" s="89"/>
    </row>
    <row r="250" spans="1:42" x14ac:dyDescent="0.2">
      <c r="A250" s="19" t="s">
        <v>1300</v>
      </c>
      <c r="B250" s="19">
        <v>521</v>
      </c>
      <c r="C250" s="37">
        <v>100</v>
      </c>
      <c r="D250" s="37"/>
      <c r="E250" s="37"/>
      <c r="F250" s="37" t="s">
        <v>1810</v>
      </c>
      <c r="G250" s="37">
        <v>100</v>
      </c>
      <c r="H250" s="37"/>
      <c r="I250" s="37"/>
      <c r="J250" s="37"/>
      <c r="K250" s="88">
        <v>100</v>
      </c>
      <c r="L250" s="92"/>
      <c r="M250" s="88"/>
      <c r="N250" s="88"/>
      <c r="O250" s="88">
        <v>100</v>
      </c>
      <c r="P250" s="92"/>
      <c r="Q250" s="88"/>
      <c r="R250" s="88"/>
      <c r="S250" s="88">
        <v>100</v>
      </c>
      <c r="T250" s="92"/>
      <c r="U250" s="88"/>
      <c r="V250" s="88"/>
      <c r="W250" s="88">
        <v>100</v>
      </c>
      <c r="X250" s="92"/>
      <c r="Y250" s="88"/>
      <c r="Z250" s="88"/>
      <c r="AA250" s="88">
        <v>100</v>
      </c>
      <c r="AB250" s="92"/>
      <c r="AC250" s="88"/>
      <c r="AD250" s="88"/>
      <c r="AE250" s="88">
        <v>100</v>
      </c>
      <c r="AF250" s="92"/>
      <c r="AG250" s="88"/>
      <c r="AH250" s="88"/>
      <c r="AI250" s="88">
        <v>100</v>
      </c>
      <c r="AJ250" s="92"/>
      <c r="AK250" s="88"/>
      <c r="AL250" s="88"/>
      <c r="AM250" s="88">
        <v>100</v>
      </c>
      <c r="AN250" s="92"/>
      <c r="AO250" s="88"/>
      <c r="AP250" s="88"/>
    </row>
    <row r="251" spans="1:42" x14ac:dyDescent="0.2">
      <c r="A251" s="19" t="s">
        <v>1301</v>
      </c>
      <c r="B251" s="19">
        <v>522</v>
      </c>
      <c r="C251" s="37">
        <v>100</v>
      </c>
      <c r="D251" s="37"/>
      <c r="E251" s="37"/>
      <c r="F251" s="37" t="s">
        <v>1810</v>
      </c>
      <c r="G251" s="37">
        <v>100</v>
      </c>
      <c r="H251" s="37"/>
      <c r="I251" s="37"/>
      <c r="J251" s="37"/>
      <c r="K251" s="88">
        <v>100</v>
      </c>
      <c r="L251" s="92"/>
      <c r="M251" s="88"/>
      <c r="N251" s="88"/>
      <c r="O251" s="88">
        <v>100</v>
      </c>
      <c r="P251" s="92"/>
      <c r="Q251" s="88"/>
      <c r="R251" s="88"/>
      <c r="S251" s="88">
        <v>100</v>
      </c>
      <c r="T251" s="92"/>
      <c r="U251" s="88"/>
      <c r="V251" s="88"/>
      <c r="W251" s="88">
        <v>100</v>
      </c>
      <c r="X251" s="92"/>
      <c r="Y251" s="88"/>
      <c r="Z251" s="88"/>
      <c r="AA251" s="88">
        <v>100</v>
      </c>
      <c r="AB251" s="92"/>
      <c r="AC251" s="88"/>
      <c r="AD251" s="88"/>
      <c r="AE251" s="88">
        <v>100</v>
      </c>
      <c r="AF251" s="92"/>
      <c r="AG251" s="88"/>
      <c r="AH251" s="88"/>
      <c r="AI251" s="88">
        <v>100</v>
      </c>
      <c r="AJ251" s="92"/>
      <c r="AK251" s="88"/>
      <c r="AL251" s="88"/>
      <c r="AM251" s="88">
        <v>100</v>
      </c>
      <c r="AN251" s="92"/>
      <c r="AO251" s="88"/>
      <c r="AP251" s="88"/>
    </row>
    <row r="252" spans="1:42" x14ac:dyDescent="0.2">
      <c r="A252" s="19" t="s">
        <v>1302</v>
      </c>
      <c r="B252" s="19">
        <v>523</v>
      </c>
      <c r="C252" s="37">
        <v>100</v>
      </c>
      <c r="D252" s="37"/>
      <c r="E252" s="37"/>
      <c r="F252" s="37" t="s">
        <v>1810</v>
      </c>
      <c r="G252" s="37">
        <v>100</v>
      </c>
      <c r="H252" s="37"/>
      <c r="I252" s="37"/>
      <c r="J252" s="37"/>
      <c r="K252" s="88">
        <v>100</v>
      </c>
      <c r="L252" s="92"/>
      <c r="M252" s="88"/>
      <c r="N252" s="88"/>
      <c r="O252" s="88">
        <v>100</v>
      </c>
      <c r="P252" s="92"/>
      <c r="Q252" s="88"/>
      <c r="R252" s="88"/>
      <c r="S252" s="88">
        <v>100</v>
      </c>
      <c r="T252" s="92"/>
      <c r="U252" s="88"/>
      <c r="V252" s="88"/>
      <c r="W252" s="88">
        <v>100</v>
      </c>
      <c r="X252" s="92"/>
      <c r="Y252" s="88"/>
      <c r="Z252" s="88"/>
      <c r="AA252" s="88">
        <v>100</v>
      </c>
      <c r="AB252" s="92"/>
      <c r="AC252" s="88"/>
      <c r="AD252" s="88"/>
      <c r="AE252" s="88">
        <v>100</v>
      </c>
      <c r="AF252" s="92"/>
      <c r="AG252" s="88"/>
      <c r="AH252" s="88"/>
      <c r="AI252" s="88">
        <v>100</v>
      </c>
      <c r="AJ252" s="92"/>
      <c r="AK252" s="88"/>
      <c r="AL252" s="88"/>
      <c r="AM252" s="88">
        <v>100</v>
      </c>
      <c r="AN252" s="92"/>
      <c r="AO252" s="88"/>
      <c r="AP252" s="88"/>
    </row>
    <row r="253" spans="1:42" x14ac:dyDescent="0.2">
      <c r="A253" s="19" t="s">
        <v>1303</v>
      </c>
      <c r="B253" s="19">
        <v>524</v>
      </c>
      <c r="C253" s="37">
        <v>100</v>
      </c>
      <c r="D253" s="37"/>
      <c r="E253" s="37"/>
      <c r="F253" s="37" t="s">
        <v>1810</v>
      </c>
      <c r="G253" s="37">
        <v>100</v>
      </c>
      <c r="H253" s="37"/>
      <c r="I253" s="37"/>
      <c r="J253" s="37"/>
      <c r="K253" s="88">
        <v>100</v>
      </c>
      <c r="L253" s="92"/>
      <c r="M253" s="88"/>
      <c r="N253" s="88"/>
      <c r="O253" s="88">
        <v>100</v>
      </c>
      <c r="P253" s="92"/>
      <c r="Q253" s="88"/>
      <c r="R253" s="88"/>
      <c r="S253" s="88">
        <v>100</v>
      </c>
      <c r="T253" s="92"/>
      <c r="U253" s="88"/>
      <c r="V253" s="88"/>
      <c r="W253" s="88">
        <v>100</v>
      </c>
      <c r="X253" s="92"/>
      <c r="Y253" s="88"/>
      <c r="Z253" s="88"/>
      <c r="AA253" s="88">
        <v>100</v>
      </c>
      <c r="AB253" s="92"/>
      <c r="AC253" s="88"/>
      <c r="AD253" s="88"/>
      <c r="AE253" s="88">
        <v>100</v>
      </c>
      <c r="AF253" s="92"/>
      <c r="AG253" s="88"/>
      <c r="AH253" s="88"/>
      <c r="AI253" s="88">
        <v>100</v>
      </c>
      <c r="AJ253" s="92"/>
      <c r="AK253" s="88"/>
      <c r="AL253" s="88"/>
      <c r="AM253" s="88">
        <v>100</v>
      </c>
      <c r="AN253" s="92"/>
      <c r="AO253" s="88"/>
      <c r="AP253" s="88"/>
    </row>
    <row r="254" spans="1:42" x14ac:dyDescent="0.2">
      <c r="A254" s="19" t="s">
        <v>1304</v>
      </c>
      <c r="B254" s="19">
        <v>525</v>
      </c>
      <c r="C254" s="37">
        <v>100</v>
      </c>
      <c r="D254" s="37"/>
      <c r="E254" s="37"/>
      <c r="F254" s="37" t="s">
        <v>1810</v>
      </c>
      <c r="G254" s="37">
        <v>100</v>
      </c>
      <c r="H254" s="37"/>
      <c r="I254" s="37"/>
      <c r="J254" s="37"/>
      <c r="K254" s="88">
        <v>100</v>
      </c>
      <c r="L254" s="92"/>
      <c r="M254" s="88"/>
      <c r="N254" s="88"/>
      <c r="O254" s="88">
        <v>100</v>
      </c>
      <c r="P254" s="92"/>
      <c r="Q254" s="88"/>
      <c r="R254" s="88"/>
      <c r="S254" s="88">
        <v>100</v>
      </c>
      <c r="T254" s="92"/>
      <c r="U254" s="88"/>
      <c r="V254" s="88"/>
      <c r="W254" s="88">
        <v>100</v>
      </c>
      <c r="X254" s="92"/>
      <c r="Y254" s="88"/>
      <c r="Z254" s="88"/>
      <c r="AA254" s="88">
        <v>100</v>
      </c>
      <c r="AB254" s="92"/>
      <c r="AC254" s="88"/>
      <c r="AD254" s="88"/>
      <c r="AE254" s="88">
        <v>100</v>
      </c>
      <c r="AF254" s="92"/>
      <c r="AG254" s="88"/>
      <c r="AH254" s="88"/>
      <c r="AI254" s="88">
        <v>100</v>
      </c>
      <c r="AJ254" s="92"/>
      <c r="AK254" s="88"/>
      <c r="AL254" s="88"/>
      <c r="AM254" s="88">
        <v>100</v>
      </c>
      <c r="AN254" s="92"/>
      <c r="AO254" s="88"/>
      <c r="AP254" s="88"/>
    </row>
    <row r="255" spans="1:42" x14ac:dyDescent="0.2">
      <c r="A255" s="19" t="s">
        <v>1305</v>
      </c>
      <c r="B255" s="19">
        <v>526</v>
      </c>
      <c r="C255" s="37">
        <v>100</v>
      </c>
      <c r="D255" s="37"/>
      <c r="E255" s="37"/>
      <c r="F255" s="37" t="s">
        <v>1810</v>
      </c>
      <c r="G255" s="37">
        <v>100</v>
      </c>
      <c r="H255" s="37"/>
      <c r="I255" s="37"/>
      <c r="J255" s="37"/>
      <c r="K255" s="88">
        <v>100</v>
      </c>
      <c r="L255" s="92"/>
      <c r="M255" s="88"/>
      <c r="N255" s="88"/>
      <c r="O255" s="88">
        <v>100</v>
      </c>
      <c r="P255" s="92"/>
      <c r="Q255" s="88"/>
      <c r="R255" s="88"/>
      <c r="S255" s="88">
        <v>100</v>
      </c>
      <c r="T255" s="92"/>
      <c r="U255" s="88"/>
      <c r="V255" s="88"/>
      <c r="W255" s="88">
        <v>100</v>
      </c>
      <c r="X255" s="92"/>
      <c r="Y255" s="88"/>
      <c r="Z255" s="88"/>
      <c r="AA255" s="88">
        <v>100</v>
      </c>
      <c r="AB255" s="92"/>
      <c r="AC255" s="88"/>
      <c r="AD255" s="88"/>
      <c r="AE255" s="88">
        <v>100</v>
      </c>
      <c r="AF255" s="92"/>
      <c r="AG255" s="88"/>
      <c r="AH255" s="88"/>
      <c r="AI255" s="88">
        <v>100</v>
      </c>
      <c r="AJ255" s="92"/>
      <c r="AK255" s="88"/>
      <c r="AL255" s="88"/>
      <c r="AM255" s="88">
        <v>100</v>
      </c>
      <c r="AN255" s="92"/>
      <c r="AO255" s="88"/>
      <c r="AP255" s="88"/>
    </row>
    <row r="256" spans="1:42" x14ac:dyDescent="0.2">
      <c r="A256" s="19" t="s">
        <v>1306</v>
      </c>
      <c r="B256" s="19">
        <v>527</v>
      </c>
      <c r="C256" s="37">
        <v>100</v>
      </c>
      <c r="D256" s="37"/>
      <c r="E256" s="37"/>
      <c r="F256" s="37" t="s">
        <v>1810</v>
      </c>
      <c r="G256" s="37">
        <v>100</v>
      </c>
      <c r="H256" s="37"/>
      <c r="I256" s="37"/>
      <c r="J256" s="37"/>
      <c r="K256" s="88">
        <v>100</v>
      </c>
      <c r="L256" s="92"/>
      <c r="M256" s="88"/>
      <c r="N256" s="88"/>
      <c r="O256" s="88">
        <v>100</v>
      </c>
      <c r="P256" s="92"/>
      <c r="Q256" s="88"/>
      <c r="R256" s="88"/>
      <c r="S256" s="88">
        <v>100</v>
      </c>
      <c r="T256" s="92"/>
      <c r="U256" s="88"/>
      <c r="V256" s="88"/>
      <c r="W256" s="88">
        <v>100</v>
      </c>
      <c r="X256" s="92"/>
      <c r="Y256" s="88"/>
      <c r="Z256" s="88"/>
      <c r="AA256" s="88">
        <v>100</v>
      </c>
      <c r="AB256" s="92"/>
      <c r="AC256" s="88"/>
      <c r="AD256" s="88"/>
      <c r="AE256" s="88">
        <v>100</v>
      </c>
      <c r="AF256" s="92"/>
      <c r="AG256" s="88"/>
      <c r="AH256" s="88"/>
      <c r="AI256" s="88">
        <v>100</v>
      </c>
      <c r="AJ256" s="92"/>
      <c r="AK256" s="88"/>
      <c r="AL256" s="88"/>
      <c r="AM256" s="88">
        <v>100</v>
      </c>
      <c r="AN256" s="92"/>
      <c r="AO256" s="88"/>
      <c r="AP256" s="88"/>
    </row>
    <row r="257" spans="1:42" x14ac:dyDescent="0.2">
      <c r="A257" s="19" t="s">
        <v>1307</v>
      </c>
      <c r="B257" s="19">
        <v>528</v>
      </c>
      <c r="C257" s="37">
        <v>100</v>
      </c>
      <c r="D257" s="37"/>
      <c r="E257" s="37"/>
      <c r="F257" s="37" t="s">
        <v>1810</v>
      </c>
      <c r="G257" s="37">
        <v>100</v>
      </c>
      <c r="H257" s="37"/>
      <c r="I257" s="37"/>
      <c r="J257" s="37"/>
      <c r="K257" s="88">
        <v>100</v>
      </c>
      <c r="L257" s="92"/>
      <c r="M257" s="88"/>
      <c r="N257" s="88"/>
      <c r="O257" s="88">
        <v>100</v>
      </c>
      <c r="P257" s="92"/>
      <c r="Q257" s="88"/>
      <c r="R257" s="88"/>
      <c r="S257" s="88">
        <v>100</v>
      </c>
      <c r="T257" s="92"/>
      <c r="U257" s="88"/>
      <c r="V257" s="88"/>
      <c r="W257" s="88">
        <v>100</v>
      </c>
      <c r="X257" s="92"/>
      <c r="Y257" s="88"/>
      <c r="Z257" s="88"/>
      <c r="AA257" s="88">
        <v>100</v>
      </c>
      <c r="AB257" s="92"/>
      <c r="AC257" s="88"/>
      <c r="AD257" s="88"/>
      <c r="AE257" s="88">
        <v>100</v>
      </c>
      <c r="AF257" s="92"/>
      <c r="AG257" s="88"/>
      <c r="AH257" s="88"/>
      <c r="AI257" s="88">
        <v>100</v>
      </c>
      <c r="AJ257" s="92"/>
      <c r="AK257" s="88"/>
      <c r="AL257" s="88"/>
      <c r="AM257" s="88">
        <v>100</v>
      </c>
      <c r="AN257" s="92"/>
      <c r="AO257" s="88"/>
      <c r="AP257" s="88"/>
    </row>
    <row r="258" spans="1:42" x14ac:dyDescent="0.2">
      <c r="A258" s="13" t="s">
        <v>1309</v>
      </c>
      <c r="B258" s="13">
        <v>529</v>
      </c>
      <c r="C258" s="1">
        <v>100</v>
      </c>
      <c r="D258" s="1"/>
      <c r="E258" s="1"/>
      <c r="F258" s="1" t="s">
        <v>1810</v>
      </c>
      <c r="G258" s="1">
        <v>100</v>
      </c>
      <c r="H258" s="1"/>
      <c r="I258" s="1"/>
      <c r="J258" s="1"/>
      <c r="K258" s="89">
        <v>100</v>
      </c>
      <c r="L258" s="93"/>
      <c r="M258" s="89"/>
      <c r="N258" s="89"/>
      <c r="O258" s="89">
        <v>100</v>
      </c>
      <c r="P258" s="93"/>
      <c r="Q258" s="89"/>
      <c r="R258" s="89"/>
      <c r="S258" s="89">
        <v>100</v>
      </c>
      <c r="T258" s="93"/>
      <c r="U258" s="89"/>
      <c r="V258" s="89"/>
      <c r="W258" s="89">
        <v>100</v>
      </c>
      <c r="X258" s="93"/>
      <c r="Y258" s="89"/>
      <c r="Z258" s="89"/>
      <c r="AA258" s="89">
        <v>100</v>
      </c>
      <c r="AB258" s="93"/>
      <c r="AC258" s="89"/>
      <c r="AD258" s="89"/>
      <c r="AE258" s="89">
        <v>100</v>
      </c>
      <c r="AF258" s="93"/>
      <c r="AG258" s="89"/>
      <c r="AH258" s="89"/>
      <c r="AI258" s="89">
        <v>100</v>
      </c>
      <c r="AJ258" s="93"/>
      <c r="AK258" s="89"/>
      <c r="AL258" s="89"/>
      <c r="AM258" s="89">
        <v>100</v>
      </c>
      <c r="AN258" s="93"/>
      <c r="AO258" s="89"/>
      <c r="AP258" s="89"/>
    </row>
    <row r="259" spans="1:42" x14ac:dyDescent="0.2">
      <c r="A259" s="13" t="s">
        <v>1310</v>
      </c>
      <c r="B259" s="13">
        <v>530</v>
      </c>
      <c r="C259" s="1">
        <v>98</v>
      </c>
      <c r="D259" s="1"/>
      <c r="E259" s="1"/>
      <c r="F259" s="1" t="s">
        <v>1810</v>
      </c>
      <c r="G259" s="1">
        <v>100</v>
      </c>
      <c r="H259" s="1"/>
      <c r="I259" s="1"/>
      <c r="J259" s="1"/>
      <c r="K259" s="89">
        <v>100</v>
      </c>
      <c r="L259" s="93"/>
      <c r="M259" s="89"/>
      <c r="N259" s="89"/>
      <c r="O259" s="89">
        <v>100</v>
      </c>
      <c r="P259" s="93"/>
      <c r="Q259" s="89"/>
      <c r="R259" s="89"/>
      <c r="S259" s="89">
        <v>100</v>
      </c>
      <c r="T259" s="93"/>
      <c r="U259" s="89"/>
      <c r="V259" s="89"/>
      <c r="W259" s="89">
        <v>100</v>
      </c>
      <c r="X259" s="93"/>
      <c r="Y259" s="89"/>
      <c r="Z259" s="89"/>
      <c r="AA259" s="89">
        <v>100</v>
      </c>
      <c r="AB259" s="93"/>
      <c r="AC259" s="89"/>
      <c r="AD259" s="89"/>
      <c r="AE259" s="89">
        <v>100</v>
      </c>
      <c r="AF259" s="93"/>
      <c r="AG259" s="89"/>
      <c r="AH259" s="89"/>
      <c r="AI259" s="89">
        <v>100</v>
      </c>
      <c r="AJ259" s="93"/>
      <c r="AK259" s="89"/>
      <c r="AL259" s="89"/>
      <c r="AM259" s="89">
        <v>100</v>
      </c>
      <c r="AN259" s="93"/>
      <c r="AO259" s="89"/>
      <c r="AP259" s="89"/>
    </row>
    <row r="260" spans="1:42" x14ac:dyDescent="0.2">
      <c r="A260" s="13" t="s">
        <v>1311</v>
      </c>
      <c r="B260" s="13">
        <v>531</v>
      </c>
      <c r="C260" s="1">
        <v>95</v>
      </c>
      <c r="D260" s="1"/>
      <c r="E260" s="1"/>
      <c r="F260" s="1" t="s">
        <v>1810</v>
      </c>
      <c r="G260" s="1">
        <v>98</v>
      </c>
      <c r="H260" s="1"/>
      <c r="I260" s="1"/>
      <c r="J260" s="1"/>
      <c r="K260" s="89">
        <v>100</v>
      </c>
      <c r="L260" s="93"/>
      <c r="M260" s="89"/>
      <c r="N260" s="89"/>
      <c r="O260" s="89">
        <v>100</v>
      </c>
      <c r="P260" s="93"/>
      <c r="Q260" s="89"/>
      <c r="R260" s="89"/>
      <c r="S260" s="89">
        <v>100</v>
      </c>
      <c r="T260" s="93"/>
      <c r="U260" s="89"/>
      <c r="V260" s="89"/>
      <c r="W260" s="89">
        <v>100</v>
      </c>
      <c r="X260" s="93"/>
      <c r="Y260" s="89"/>
      <c r="Z260" s="89"/>
      <c r="AA260" s="89">
        <v>100</v>
      </c>
      <c r="AB260" s="93"/>
      <c r="AC260" s="89"/>
      <c r="AD260" s="89"/>
      <c r="AE260" s="89">
        <v>100</v>
      </c>
      <c r="AF260" s="93"/>
      <c r="AG260" s="89"/>
      <c r="AH260" s="89"/>
      <c r="AI260" s="89">
        <v>100</v>
      </c>
      <c r="AJ260" s="93"/>
      <c r="AK260" s="89"/>
      <c r="AL260" s="89"/>
      <c r="AM260" s="89">
        <v>100</v>
      </c>
      <c r="AN260" s="93"/>
      <c r="AO260" s="89"/>
      <c r="AP260" s="89"/>
    </row>
    <row r="261" spans="1:42" x14ac:dyDescent="0.2">
      <c r="A261" s="13" t="s">
        <v>1312</v>
      </c>
      <c r="B261" s="13">
        <v>532</v>
      </c>
      <c r="C261" s="1">
        <v>100</v>
      </c>
      <c r="D261" s="1"/>
      <c r="E261" s="1"/>
      <c r="F261" s="1" t="s">
        <v>1810</v>
      </c>
      <c r="G261" s="1">
        <v>100</v>
      </c>
      <c r="H261" s="1"/>
      <c r="I261" s="1"/>
      <c r="J261" s="1"/>
      <c r="K261" s="89">
        <v>100</v>
      </c>
      <c r="L261" s="93"/>
      <c r="M261" s="89"/>
      <c r="N261" s="89"/>
      <c r="O261" s="89">
        <v>100</v>
      </c>
      <c r="P261" s="93"/>
      <c r="Q261" s="89"/>
      <c r="R261" s="89"/>
      <c r="S261" s="89">
        <v>100</v>
      </c>
      <c r="T261" s="93"/>
      <c r="U261" s="89"/>
      <c r="V261" s="89"/>
      <c r="W261" s="89">
        <v>100</v>
      </c>
      <c r="X261" s="93"/>
      <c r="Y261" s="89"/>
      <c r="Z261" s="89"/>
      <c r="AA261" s="89">
        <v>100</v>
      </c>
      <c r="AB261" s="93"/>
      <c r="AC261" s="89"/>
      <c r="AD261" s="89"/>
      <c r="AE261" s="89">
        <v>100</v>
      </c>
      <c r="AF261" s="93"/>
      <c r="AG261" s="89"/>
      <c r="AH261" s="89"/>
      <c r="AI261" s="89">
        <v>100</v>
      </c>
      <c r="AJ261" s="93"/>
      <c r="AK261" s="89"/>
      <c r="AL261" s="89"/>
      <c r="AM261" s="89">
        <v>100</v>
      </c>
      <c r="AN261" s="93"/>
      <c r="AO261" s="89"/>
      <c r="AP261" s="89"/>
    </row>
    <row r="262" spans="1:42" x14ac:dyDescent="0.2">
      <c r="A262" s="13" t="s">
        <v>1313</v>
      </c>
      <c r="B262" s="13">
        <v>533</v>
      </c>
      <c r="C262" s="1">
        <v>95</v>
      </c>
      <c r="D262" s="1"/>
      <c r="E262" s="1"/>
      <c r="F262" s="1" t="s">
        <v>1810</v>
      </c>
      <c r="G262" s="1">
        <v>98</v>
      </c>
      <c r="H262" s="1"/>
      <c r="I262" s="1"/>
      <c r="J262" s="1"/>
      <c r="K262" s="89">
        <v>98</v>
      </c>
      <c r="L262" s="93"/>
      <c r="M262" s="89"/>
      <c r="N262" s="89"/>
      <c r="O262" s="89">
        <v>98</v>
      </c>
      <c r="P262" s="93"/>
      <c r="Q262" s="89"/>
      <c r="R262" s="89"/>
      <c r="S262" s="89">
        <v>98</v>
      </c>
      <c r="T262" s="93"/>
      <c r="U262" s="89"/>
      <c r="V262" s="89"/>
      <c r="W262" s="89">
        <v>98</v>
      </c>
      <c r="X262" s="93"/>
      <c r="Y262" s="89"/>
      <c r="Z262" s="89"/>
      <c r="AA262" s="89">
        <v>98</v>
      </c>
      <c r="AB262" s="93"/>
      <c r="AC262" s="89"/>
      <c r="AD262" s="89"/>
      <c r="AE262" s="89">
        <v>100</v>
      </c>
      <c r="AF262" s="93"/>
      <c r="AG262" s="89"/>
      <c r="AH262" s="89"/>
      <c r="AI262" s="89">
        <v>100</v>
      </c>
      <c r="AJ262" s="93"/>
      <c r="AK262" s="89"/>
      <c r="AL262" s="89"/>
      <c r="AM262" s="89">
        <v>100</v>
      </c>
      <c r="AN262" s="93"/>
      <c r="AO262" s="89"/>
      <c r="AP262" s="89"/>
    </row>
    <row r="263" spans="1:42" x14ac:dyDescent="0.2">
      <c r="A263" s="13" t="s">
        <v>1314</v>
      </c>
      <c r="B263" s="13">
        <v>534</v>
      </c>
      <c r="C263" s="1">
        <v>95</v>
      </c>
      <c r="D263" s="1"/>
      <c r="E263" s="1"/>
      <c r="F263" s="1" t="s">
        <v>1810</v>
      </c>
      <c r="G263" s="1">
        <v>100</v>
      </c>
      <c r="H263" s="1"/>
      <c r="I263" s="1"/>
      <c r="J263" s="1"/>
      <c r="K263" s="89">
        <v>100</v>
      </c>
      <c r="L263" s="93"/>
      <c r="M263" s="89"/>
      <c r="N263" s="89"/>
      <c r="O263" s="89">
        <v>100</v>
      </c>
      <c r="P263" s="93"/>
      <c r="Q263" s="89"/>
      <c r="R263" s="89"/>
      <c r="S263" s="89">
        <v>100</v>
      </c>
      <c r="T263" s="93"/>
      <c r="U263" s="89"/>
      <c r="V263" s="89"/>
      <c r="W263" s="89">
        <v>100</v>
      </c>
      <c r="X263" s="93"/>
      <c r="Y263" s="89"/>
      <c r="Z263" s="89"/>
      <c r="AA263" s="89">
        <v>100</v>
      </c>
      <c r="AC263" s="89"/>
      <c r="AD263" s="89"/>
      <c r="AE263" s="89">
        <v>100</v>
      </c>
      <c r="AG263" s="89"/>
      <c r="AH263" s="89"/>
      <c r="AI263" s="89">
        <v>100</v>
      </c>
      <c r="AK263" s="89"/>
      <c r="AL263" s="89"/>
      <c r="AM263" s="89">
        <v>100</v>
      </c>
      <c r="AO263" s="89"/>
      <c r="AP263" s="89"/>
    </row>
    <row r="264" spans="1:42" x14ac:dyDescent="0.2">
      <c r="A264" s="13" t="s">
        <v>1315</v>
      </c>
      <c r="B264" s="13">
        <v>535</v>
      </c>
      <c r="C264" s="1">
        <v>70</v>
      </c>
      <c r="D264" s="1">
        <v>14</v>
      </c>
      <c r="E264" s="1">
        <v>10.9</v>
      </c>
      <c r="F264" s="1" t="s">
        <v>1810</v>
      </c>
      <c r="G264" s="1">
        <v>70</v>
      </c>
      <c r="H264" s="1">
        <v>15.9</v>
      </c>
      <c r="I264" s="1">
        <v>12.2</v>
      </c>
      <c r="J264" s="1"/>
      <c r="K264" s="89">
        <v>90</v>
      </c>
      <c r="L264" s="93"/>
      <c r="M264" s="89"/>
      <c r="N264" s="89"/>
      <c r="O264" s="89">
        <v>90</v>
      </c>
      <c r="P264" s="93"/>
      <c r="Q264" s="89"/>
      <c r="R264" s="89"/>
      <c r="S264" s="89">
        <v>90</v>
      </c>
      <c r="T264" s="93">
        <v>12.9</v>
      </c>
      <c r="U264" s="89">
        <v>13.3</v>
      </c>
      <c r="V264" s="89"/>
      <c r="W264" s="89">
        <v>90</v>
      </c>
      <c r="X264" s="93">
        <v>12.8</v>
      </c>
      <c r="Y264" s="89">
        <v>13.5</v>
      </c>
      <c r="Z264" s="89"/>
      <c r="AA264" s="89">
        <v>95</v>
      </c>
      <c r="AB264" s="93">
        <v>13</v>
      </c>
      <c r="AC264" s="89">
        <v>11.5</v>
      </c>
      <c r="AD264" s="89"/>
      <c r="AE264" s="89">
        <v>95</v>
      </c>
      <c r="AF264" s="93">
        <v>9.1999999999999993</v>
      </c>
      <c r="AG264" s="89">
        <v>7.8</v>
      </c>
      <c r="AH264" s="89"/>
      <c r="AI264" s="89">
        <v>98</v>
      </c>
      <c r="AJ264" s="93"/>
      <c r="AK264" s="89"/>
      <c r="AL264" s="89"/>
      <c r="AM264" s="89">
        <v>100</v>
      </c>
      <c r="AN264" s="93"/>
      <c r="AO264" s="89"/>
      <c r="AP264" s="89"/>
    </row>
    <row r="265" spans="1:42" x14ac:dyDescent="0.2">
      <c r="A265" s="13" t="s">
        <v>1316</v>
      </c>
      <c r="B265" s="13">
        <v>536</v>
      </c>
      <c r="C265" s="1">
        <v>95</v>
      </c>
      <c r="D265" s="1"/>
      <c r="E265" s="1"/>
      <c r="F265" s="1" t="s">
        <v>1810</v>
      </c>
      <c r="G265" s="1">
        <v>98</v>
      </c>
      <c r="H265" s="1"/>
      <c r="I265" s="1"/>
      <c r="J265" s="1"/>
      <c r="K265" s="89">
        <v>100</v>
      </c>
      <c r="L265" s="93"/>
      <c r="M265" s="89"/>
      <c r="N265" s="89"/>
      <c r="O265" s="89">
        <v>100</v>
      </c>
      <c r="P265" s="93"/>
      <c r="Q265" s="89"/>
      <c r="R265" s="89"/>
      <c r="S265" s="89">
        <v>100</v>
      </c>
      <c r="T265" s="93"/>
      <c r="U265" s="89"/>
      <c r="V265" s="89"/>
      <c r="W265" s="89">
        <v>100</v>
      </c>
      <c r="X265" s="93"/>
      <c r="Y265" s="89"/>
      <c r="Z265" s="89"/>
      <c r="AA265" s="89">
        <v>100</v>
      </c>
      <c r="AB265" s="93"/>
      <c r="AC265" s="89"/>
      <c r="AD265" s="89"/>
      <c r="AE265" s="89">
        <v>100</v>
      </c>
      <c r="AF265" s="93"/>
      <c r="AG265" s="89"/>
      <c r="AH265" s="89"/>
      <c r="AI265" s="89">
        <v>100</v>
      </c>
      <c r="AJ265" s="93"/>
      <c r="AK265" s="89"/>
      <c r="AL265" s="89"/>
      <c r="AM265" s="89">
        <v>100</v>
      </c>
      <c r="AN265" s="93"/>
      <c r="AO265" s="89"/>
      <c r="AP265" s="89"/>
    </row>
    <row r="266" spans="1:42" x14ac:dyDescent="0.2">
      <c r="A266" s="19" t="s">
        <v>1327</v>
      </c>
      <c r="B266" s="19">
        <v>545</v>
      </c>
      <c r="C266" s="37">
        <v>10</v>
      </c>
      <c r="D266" s="37">
        <v>16.2</v>
      </c>
      <c r="E266" s="37">
        <v>18.5</v>
      </c>
      <c r="F266" s="37"/>
      <c r="G266" s="37">
        <v>15</v>
      </c>
      <c r="H266" s="37">
        <v>17.3</v>
      </c>
      <c r="I266" s="37">
        <v>16.100000000000001</v>
      </c>
      <c r="J266" s="37"/>
      <c r="K266" s="88">
        <v>20</v>
      </c>
      <c r="L266" s="92">
        <v>15.8</v>
      </c>
      <c r="M266" s="88">
        <v>16.2</v>
      </c>
      <c r="N266" s="88"/>
      <c r="O266" s="88">
        <v>25</v>
      </c>
      <c r="P266" s="92">
        <v>15.7</v>
      </c>
      <c r="Q266" s="88">
        <v>14.4</v>
      </c>
      <c r="R266" s="88"/>
      <c r="S266" s="88">
        <v>35</v>
      </c>
      <c r="T266" s="92">
        <v>13.9</v>
      </c>
      <c r="U266" s="88">
        <v>15</v>
      </c>
      <c r="V266" s="88"/>
      <c r="W266" s="88">
        <v>55</v>
      </c>
      <c r="X266" s="92">
        <v>14.6</v>
      </c>
      <c r="Y266" s="88">
        <v>16.5</v>
      </c>
      <c r="Z266" s="88"/>
      <c r="AA266" s="88">
        <v>55</v>
      </c>
      <c r="AB266" s="92">
        <v>13.2</v>
      </c>
      <c r="AC266" s="88">
        <v>15.4</v>
      </c>
      <c r="AD266" s="88"/>
      <c r="AE266" s="88">
        <v>60</v>
      </c>
      <c r="AF266" s="92">
        <v>7.7</v>
      </c>
      <c r="AG266" s="88">
        <v>9.6</v>
      </c>
      <c r="AH266" s="88"/>
      <c r="AI266" s="88">
        <v>65</v>
      </c>
      <c r="AJ266" s="92">
        <v>8.4</v>
      </c>
      <c r="AK266" s="88">
        <v>9</v>
      </c>
      <c r="AL266" s="88"/>
      <c r="AM266" s="88">
        <v>98</v>
      </c>
      <c r="AN266" s="92"/>
      <c r="AO266" s="88"/>
      <c r="AP266" s="88"/>
    </row>
    <row r="267" spans="1:42" x14ac:dyDescent="0.2">
      <c r="A267" s="19" t="s">
        <v>1330</v>
      </c>
      <c r="B267" s="19">
        <v>548</v>
      </c>
      <c r="C267" s="37">
        <v>15</v>
      </c>
      <c r="D267" s="37">
        <v>14.3</v>
      </c>
      <c r="E267" s="37">
        <v>9.6999999999999993</v>
      </c>
      <c r="F267" s="37"/>
      <c r="G267" s="37">
        <v>15</v>
      </c>
      <c r="H267" s="37">
        <v>12.5</v>
      </c>
      <c r="I267" s="37">
        <v>9.3000000000000007</v>
      </c>
      <c r="J267" s="37"/>
      <c r="K267" s="88">
        <v>15</v>
      </c>
      <c r="L267" s="92">
        <v>11.7</v>
      </c>
      <c r="M267" s="88">
        <v>11</v>
      </c>
      <c r="N267" s="88"/>
      <c r="O267" s="88">
        <v>15</v>
      </c>
      <c r="P267" s="92">
        <v>11.2</v>
      </c>
      <c r="Q267" s="88">
        <v>12.1</v>
      </c>
      <c r="R267" s="88"/>
      <c r="S267" s="88">
        <v>15</v>
      </c>
      <c r="T267" s="92">
        <v>8.4</v>
      </c>
      <c r="U267" s="88">
        <v>11.1</v>
      </c>
      <c r="V267" s="88"/>
      <c r="W267" s="88">
        <v>25</v>
      </c>
      <c r="X267" s="92">
        <v>9.3000000000000007</v>
      </c>
      <c r="Y267" s="88">
        <v>8</v>
      </c>
      <c r="Z267" s="88"/>
      <c r="AA267" s="88">
        <v>25</v>
      </c>
      <c r="AB267" s="92">
        <v>10.199999999999999</v>
      </c>
      <c r="AC267" s="88">
        <v>10.8</v>
      </c>
      <c r="AD267" s="88"/>
      <c r="AE267" s="88">
        <v>30</v>
      </c>
      <c r="AF267" s="92">
        <v>6.6</v>
      </c>
      <c r="AG267" s="88">
        <v>8.6</v>
      </c>
      <c r="AH267" s="88"/>
      <c r="AI267" s="88">
        <v>30</v>
      </c>
      <c r="AJ267" s="92">
        <v>6.4</v>
      </c>
      <c r="AK267" s="88">
        <v>5</v>
      </c>
      <c r="AL267" s="88"/>
      <c r="AM267" s="88">
        <v>95</v>
      </c>
      <c r="AN267" s="92">
        <v>7.6</v>
      </c>
      <c r="AO267" s="88">
        <v>4.0999999999999996</v>
      </c>
      <c r="AP267" s="88"/>
    </row>
    <row r="268" spans="1:42" x14ac:dyDescent="0.2">
      <c r="A268" s="19" t="s">
        <v>1331</v>
      </c>
      <c r="B268" s="19">
        <v>549</v>
      </c>
      <c r="C268" s="37">
        <v>15</v>
      </c>
      <c r="D268" s="37">
        <v>9</v>
      </c>
      <c r="E268" s="37">
        <v>9.6</v>
      </c>
      <c r="F268" s="37"/>
      <c r="G268" s="37">
        <v>20</v>
      </c>
      <c r="H268" s="37">
        <v>8.4</v>
      </c>
      <c r="I268" s="37">
        <v>7</v>
      </c>
      <c r="J268" s="37"/>
      <c r="K268" s="88">
        <v>20</v>
      </c>
      <c r="L268" s="92">
        <v>7.7</v>
      </c>
      <c r="M268" s="88">
        <v>7.1</v>
      </c>
      <c r="N268" s="88"/>
      <c r="O268" s="88">
        <v>40</v>
      </c>
      <c r="P268" s="92">
        <v>6.1</v>
      </c>
      <c r="Q268" s="88">
        <v>6.8</v>
      </c>
      <c r="R268" s="88"/>
      <c r="S268" s="88">
        <v>50</v>
      </c>
      <c r="T268" s="92">
        <v>7.7</v>
      </c>
      <c r="U268" s="88">
        <v>8.1</v>
      </c>
      <c r="V268" s="88"/>
      <c r="W268" s="88">
        <v>75</v>
      </c>
      <c r="X268" s="92">
        <v>4</v>
      </c>
      <c r="Y268" s="88">
        <v>5.5</v>
      </c>
      <c r="Z268" s="88"/>
      <c r="AA268" s="88">
        <v>80</v>
      </c>
      <c r="AB268" s="92">
        <v>6.9</v>
      </c>
      <c r="AC268" s="88">
        <v>7.6</v>
      </c>
      <c r="AD268" s="88"/>
      <c r="AE268" s="88">
        <v>85</v>
      </c>
      <c r="AF268" s="92">
        <v>7.4</v>
      </c>
      <c r="AG268" s="88">
        <v>5.8</v>
      </c>
      <c r="AH268" s="88"/>
      <c r="AI268" s="88">
        <v>90</v>
      </c>
      <c r="AJ268" s="92">
        <v>5.4</v>
      </c>
      <c r="AK268" s="88">
        <v>5.3</v>
      </c>
      <c r="AL268" s="88"/>
      <c r="AM268" s="88">
        <v>95</v>
      </c>
      <c r="AN268" s="92">
        <v>5.3</v>
      </c>
      <c r="AO268" s="88">
        <v>4</v>
      </c>
      <c r="AP268" s="88"/>
    </row>
    <row r="269" spans="1:42" x14ac:dyDescent="0.2">
      <c r="A269" s="19" t="s">
        <v>1334</v>
      </c>
      <c r="B269" s="19">
        <v>552</v>
      </c>
      <c r="C269" s="37">
        <v>20</v>
      </c>
      <c r="D269" s="37">
        <v>11.7</v>
      </c>
      <c r="E269" s="37">
        <v>12.2</v>
      </c>
      <c r="F269" s="37"/>
      <c r="G269" s="37">
        <v>20</v>
      </c>
      <c r="H269" s="37">
        <v>12</v>
      </c>
      <c r="I269" s="37">
        <v>11.7</v>
      </c>
      <c r="J269" s="37"/>
      <c r="K269" s="88">
        <v>20</v>
      </c>
      <c r="L269" s="92">
        <v>13.5</v>
      </c>
      <c r="M269" s="88">
        <v>14.4</v>
      </c>
      <c r="N269" s="88"/>
      <c r="O269" s="88">
        <v>40</v>
      </c>
      <c r="P269" s="92">
        <v>10.7</v>
      </c>
      <c r="Q269" s="88">
        <v>10.5</v>
      </c>
      <c r="R269" s="88"/>
      <c r="S269" s="88">
        <v>50</v>
      </c>
      <c r="T269" s="92">
        <v>11.1</v>
      </c>
      <c r="U269" s="88">
        <v>11.5</v>
      </c>
      <c r="V269" s="88"/>
      <c r="W269" s="88">
        <v>75</v>
      </c>
      <c r="X269" s="92">
        <v>5.9</v>
      </c>
      <c r="Y269" s="88">
        <v>9.1</v>
      </c>
      <c r="Z269" s="88"/>
      <c r="AA269" s="88">
        <v>80</v>
      </c>
      <c r="AB269" s="92">
        <v>11.3</v>
      </c>
      <c r="AC269" s="88">
        <v>12.8</v>
      </c>
      <c r="AD269" s="88"/>
      <c r="AE269" s="88">
        <v>85</v>
      </c>
      <c r="AF269" s="92">
        <v>6.8</v>
      </c>
      <c r="AG269" s="88">
        <v>8.1999999999999993</v>
      </c>
      <c r="AH269" s="88"/>
      <c r="AI269" s="88">
        <v>90</v>
      </c>
      <c r="AJ269" s="92">
        <v>9</v>
      </c>
      <c r="AK269" s="88">
        <v>10.199999999999999</v>
      </c>
      <c r="AL269" s="88"/>
      <c r="AM269" s="88">
        <v>98</v>
      </c>
      <c r="AN269" s="92"/>
      <c r="AO269" s="88"/>
      <c r="AP269" s="88"/>
    </row>
    <row r="270" spans="1:42" x14ac:dyDescent="0.2">
      <c r="A270" s="13" t="s">
        <v>1336</v>
      </c>
      <c r="B270" s="13">
        <v>553</v>
      </c>
      <c r="C270" s="1">
        <v>5</v>
      </c>
      <c r="D270" s="1">
        <v>11.9</v>
      </c>
      <c r="E270" s="1">
        <v>15.1</v>
      </c>
      <c r="F270" s="1"/>
      <c r="G270" s="1">
        <v>10</v>
      </c>
      <c r="H270" s="1">
        <v>14.2</v>
      </c>
      <c r="I270" s="1">
        <v>12.6</v>
      </c>
      <c r="J270" s="1"/>
      <c r="K270" s="89">
        <v>10</v>
      </c>
      <c r="L270" s="93">
        <v>9.3000000000000007</v>
      </c>
      <c r="M270" s="89">
        <v>9.3000000000000007</v>
      </c>
      <c r="N270" s="89"/>
      <c r="O270" s="89">
        <v>15</v>
      </c>
      <c r="P270" s="93">
        <v>11.3</v>
      </c>
      <c r="Q270" s="89">
        <v>11.9</v>
      </c>
      <c r="R270" s="89"/>
      <c r="S270" s="89">
        <v>15</v>
      </c>
      <c r="T270" s="93">
        <v>11.5</v>
      </c>
      <c r="U270" s="89">
        <v>10.199999999999999</v>
      </c>
      <c r="V270" s="89"/>
      <c r="W270" s="89">
        <v>25</v>
      </c>
      <c r="X270" s="93">
        <v>9.6999999999999993</v>
      </c>
      <c r="Y270" s="89">
        <v>8.4</v>
      </c>
      <c r="Z270" s="89"/>
      <c r="AA270" s="89">
        <v>30</v>
      </c>
      <c r="AB270" s="93">
        <v>7.6</v>
      </c>
      <c r="AC270" s="89">
        <v>8.5</v>
      </c>
      <c r="AD270" s="89"/>
      <c r="AE270" s="89">
        <v>40</v>
      </c>
      <c r="AF270" s="93">
        <v>5.3</v>
      </c>
      <c r="AG270" s="89">
        <v>6.5</v>
      </c>
      <c r="AH270" s="89"/>
      <c r="AI270" s="89">
        <v>60</v>
      </c>
      <c r="AJ270" s="93">
        <v>5.7</v>
      </c>
      <c r="AK270" s="89">
        <v>4.5999999999999996</v>
      </c>
      <c r="AL270" s="89"/>
      <c r="AM270" s="89">
        <v>90</v>
      </c>
      <c r="AN270" s="93">
        <v>5</v>
      </c>
      <c r="AO270" s="89">
        <v>5.6</v>
      </c>
      <c r="AP270" s="89"/>
    </row>
    <row r="271" spans="1:42" x14ac:dyDescent="0.2">
      <c r="A271" s="13" t="s">
        <v>1337</v>
      </c>
      <c r="B271" s="13">
        <v>554</v>
      </c>
      <c r="C271" s="1">
        <v>5</v>
      </c>
      <c r="D271" s="1">
        <v>12.7</v>
      </c>
      <c r="E271" s="1">
        <v>13.8</v>
      </c>
      <c r="F271" s="1"/>
      <c r="G271" s="1">
        <v>5</v>
      </c>
      <c r="H271" s="1">
        <v>16.5</v>
      </c>
      <c r="I271" s="1">
        <v>14.7</v>
      </c>
      <c r="J271" s="1"/>
      <c r="K271" s="89">
        <v>10</v>
      </c>
      <c r="L271" s="93">
        <v>13</v>
      </c>
      <c r="M271" s="89">
        <v>12</v>
      </c>
      <c r="N271" s="89"/>
      <c r="O271" s="89">
        <v>10</v>
      </c>
      <c r="P271" s="93">
        <v>16.399999999999999</v>
      </c>
      <c r="Q271" s="89">
        <v>13.6</v>
      </c>
      <c r="R271" s="89"/>
      <c r="S271" s="89">
        <v>10</v>
      </c>
      <c r="T271" s="93">
        <v>13</v>
      </c>
      <c r="U271" s="89">
        <v>13.9</v>
      </c>
      <c r="V271" s="89"/>
      <c r="W271" s="89">
        <v>20</v>
      </c>
      <c r="X271" s="93">
        <v>10.6</v>
      </c>
      <c r="Y271" s="89">
        <v>11.7</v>
      </c>
      <c r="Z271" s="89"/>
      <c r="AA271" s="89">
        <v>20</v>
      </c>
      <c r="AB271" s="93">
        <v>12.2</v>
      </c>
      <c r="AC271" s="89">
        <v>10.1</v>
      </c>
      <c r="AD271" s="89"/>
      <c r="AE271" s="89">
        <v>25</v>
      </c>
      <c r="AF271" s="93">
        <v>9.4</v>
      </c>
      <c r="AG271" s="89">
        <v>7.7</v>
      </c>
      <c r="AH271" s="89"/>
      <c r="AI271" s="89">
        <v>30</v>
      </c>
      <c r="AJ271" s="93">
        <v>5.5</v>
      </c>
      <c r="AK271" s="89">
        <v>10.4</v>
      </c>
      <c r="AL271" s="89"/>
      <c r="AM271" s="89">
        <v>85</v>
      </c>
      <c r="AN271" s="93">
        <v>7.4</v>
      </c>
      <c r="AO271" s="89">
        <v>7.4</v>
      </c>
      <c r="AP271" s="89"/>
    </row>
    <row r="272" spans="1:42" x14ac:dyDescent="0.2">
      <c r="A272" s="13" t="s">
        <v>1338</v>
      </c>
      <c r="B272" s="13">
        <v>555</v>
      </c>
      <c r="C272" s="1">
        <v>5</v>
      </c>
      <c r="D272" s="1">
        <v>12.8</v>
      </c>
      <c r="E272" s="1">
        <v>12.2</v>
      </c>
      <c r="F272" s="1"/>
      <c r="G272" s="1">
        <v>5</v>
      </c>
      <c r="H272" s="1">
        <v>15.4</v>
      </c>
      <c r="I272" s="1">
        <v>13.8</v>
      </c>
      <c r="J272" s="1"/>
      <c r="K272" s="89">
        <v>5</v>
      </c>
      <c r="L272" s="93">
        <v>12.6</v>
      </c>
      <c r="M272" s="89">
        <v>14.2</v>
      </c>
      <c r="N272" s="89"/>
      <c r="O272" s="89">
        <v>5</v>
      </c>
      <c r="P272" s="93">
        <v>11.3</v>
      </c>
      <c r="Q272" s="89">
        <v>12.8</v>
      </c>
      <c r="R272" s="89"/>
      <c r="S272" s="89">
        <v>5</v>
      </c>
      <c r="T272" s="93">
        <v>13.6</v>
      </c>
      <c r="U272" s="89">
        <v>8</v>
      </c>
      <c r="V272" s="89"/>
      <c r="W272" s="89">
        <v>10</v>
      </c>
      <c r="X272" s="93">
        <v>9.6999999999999993</v>
      </c>
      <c r="Y272" s="89">
        <v>6.1</v>
      </c>
      <c r="Z272" s="89"/>
      <c r="AA272" s="89">
        <v>10</v>
      </c>
      <c r="AB272" s="93">
        <v>10.6</v>
      </c>
      <c r="AC272" s="89">
        <v>9.5</v>
      </c>
      <c r="AD272" s="89"/>
      <c r="AE272" s="89">
        <v>10</v>
      </c>
      <c r="AF272" s="93">
        <v>8.1999999999999993</v>
      </c>
      <c r="AG272" s="89">
        <v>8.9</v>
      </c>
      <c r="AH272" s="89"/>
      <c r="AI272" s="89">
        <v>20</v>
      </c>
      <c r="AJ272" s="93">
        <v>5.5</v>
      </c>
      <c r="AK272" s="89">
        <v>8.9</v>
      </c>
      <c r="AL272" s="89"/>
      <c r="AM272" s="89">
        <v>80</v>
      </c>
      <c r="AN272" s="93">
        <v>7.5</v>
      </c>
      <c r="AO272" s="89">
        <v>5.8</v>
      </c>
      <c r="AP272" s="89"/>
    </row>
    <row r="273" spans="1:42" x14ac:dyDescent="0.2">
      <c r="A273" s="13" t="s">
        <v>1339</v>
      </c>
      <c r="B273" s="13">
        <v>556</v>
      </c>
      <c r="C273" s="1">
        <v>5</v>
      </c>
      <c r="D273" s="1">
        <v>15.4</v>
      </c>
      <c r="E273" s="1">
        <v>16.899999999999999</v>
      </c>
      <c r="F273" s="1"/>
      <c r="G273" s="1">
        <v>5</v>
      </c>
      <c r="H273" s="1">
        <v>19</v>
      </c>
      <c r="I273" s="1">
        <v>19.600000000000001</v>
      </c>
      <c r="J273" s="1"/>
      <c r="K273" s="89">
        <v>5</v>
      </c>
      <c r="L273" s="93">
        <v>15.5</v>
      </c>
      <c r="M273" s="89">
        <v>20.100000000000001</v>
      </c>
      <c r="N273" s="89"/>
      <c r="O273" s="89">
        <v>5</v>
      </c>
      <c r="P273" s="93">
        <v>17.899999999999999</v>
      </c>
      <c r="Q273" s="89">
        <v>13.5</v>
      </c>
      <c r="R273" s="89"/>
      <c r="S273" s="89">
        <v>5</v>
      </c>
      <c r="T273" s="93">
        <v>15.6</v>
      </c>
      <c r="U273" s="89">
        <v>16.7</v>
      </c>
      <c r="V273" s="89"/>
      <c r="W273" s="89">
        <v>5</v>
      </c>
      <c r="X273" s="93">
        <v>14.4</v>
      </c>
      <c r="Y273" s="89">
        <v>15.1</v>
      </c>
      <c r="Z273" s="89"/>
      <c r="AA273" s="89">
        <v>5</v>
      </c>
      <c r="AB273" s="93">
        <v>6.8</v>
      </c>
      <c r="AC273" s="89">
        <v>16</v>
      </c>
      <c r="AD273" s="89"/>
      <c r="AE273" s="89">
        <v>10</v>
      </c>
      <c r="AF273" s="93">
        <v>10</v>
      </c>
      <c r="AG273" s="89">
        <v>8</v>
      </c>
      <c r="AH273" s="89"/>
      <c r="AI273" s="89">
        <v>70</v>
      </c>
      <c r="AJ273" s="93">
        <v>3.1</v>
      </c>
      <c r="AK273" s="89">
        <v>7.4</v>
      </c>
      <c r="AL273" s="89"/>
      <c r="AM273" s="89">
        <v>100</v>
      </c>
      <c r="AN273" s="93"/>
      <c r="AO273" s="89"/>
      <c r="AP273" s="89"/>
    </row>
    <row r="274" spans="1:42" x14ac:dyDescent="0.2">
      <c r="A274" s="13" t="s">
        <v>1340</v>
      </c>
      <c r="B274" s="13">
        <v>557</v>
      </c>
      <c r="C274" s="1">
        <v>5</v>
      </c>
      <c r="D274" s="1">
        <v>16.5</v>
      </c>
      <c r="E274" s="1">
        <v>12.6</v>
      </c>
      <c r="F274" s="1"/>
      <c r="G274" s="1">
        <v>5</v>
      </c>
      <c r="H274" s="1">
        <v>13.2</v>
      </c>
      <c r="I274" s="1">
        <v>14.6</v>
      </c>
      <c r="J274" s="1"/>
      <c r="K274" s="89">
        <v>5</v>
      </c>
      <c r="L274" s="93">
        <v>15.1</v>
      </c>
      <c r="M274" s="89">
        <v>14.4</v>
      </c>
      <c r="N274" s="89"/>
      <c r="O274" s="89">
        <v>5</v>
      </c>
      <c r="P274" s="93">
        <v>12.6</v>
      </c>
      <c r="Q274" s="89">
        <v>16.100000000000001</v>
      </c>
      <c r="R274" s="89"/>
      <c r="S274" s="89">
        <v>5</v>
      </c>
      <c r="T274" s="93">
        <v>11.5</v>
      </c>
      <c r="U274" s="89">
        <v>15.1</v>
      </c>
      <c r="V274" s="89"/>
      <c r="W274" s="89">
        <v>10</v>
      </c>
      <c r="X274" s="93">
        <v>14.2</v>
      </c>
      <c r="Y274" s="89">
        <v>11.3</v>
      </c>
      <c r="Z274" s="89"/>
      <c r="AA274" s="89">
        <v>10</v>
      </c>
      <c r="AB274" s="93">
        <v>13.7</v>
      </c>
      <c r="AC274" s="89">
        <v>13.3</v>
      </c>
      <c r="AD274" s="89"/>
      <c r="AE274" s="89">
        <v>10</v>
      </c>
      <c r="AF274" s="93">
        <v>8.6</v>
      </c>
      <c r="AG274" s="89">
        <v>11.5</v>
      </c>
      <c r="AH274" s="89"/>
      <c r="AI274" s="89">
        <v>25</v>
      </c>
      <c r="AJ274" s="93">
        <v>5.9</v>
      </c>
      <c r="AK274" s="89">
        <v>6.3</v>
      </c>
      <c r="AL274" s="89"/>
      <c r="AM274" s="89">
        <v>95</v>
      </c>
      <c r="AN274" s="93">
        <v>6.6</v>
      </c>
      <c r="AO274" s="89">
        <v>4.8</v>
      </c>
      <c r="AP274" s="89"/>
    </row>
    <row r="275" spans="1:42" x14ac:dyDescent="0.2">
      <c r="A275" s="13" t="s">
        <v>1341</v>
      </c>
      <c r="B275" s="13">
        <v>558</v>
      </c>
      <c r="C275" s="1">
        <v>5</v>
      </c>
      <c r="D275" s="1">
        <v>12.8</v>
      </c>
      <c r="E275" s="1">
        <v>14.7</v>
      </c>
      <c r="F275" s="1"/>
      <c r="G275" s="1">
        <v>5</v>
      </c>
      <c r="H275" s="1">
        <v>12.3</v>
      </c>
      <c r="I275" s="1">
        <v>15</v>
      </c>
      <c r="J275" s="1"/>
      <c r="K275" s="89">
        <v>5</v>
      </c>
      <c r="L275" s="93">
        <v>10.7</v>
      </c>
      <c r="M275" s="89">
        <v>11.6</v>
      </c>
      <c r="N275" s="89"/>
      <c r="O275" s="90">
        <v>5</v>
      </c>
      <c r="P275" s="93">
        <v>11.3</v>
      </c>
      <c r="Q275" s="89">
        <v>10.7</v>
      </c>
      <c r="R275" s="89"/>
      <c r="S275" s="90">
        <v>10</v>
      </c>
      <c r="T275" s="93">
        <v>12.2</v>
      </c>
      <c r="U275" s="89">
        <v>11.5</v>
      </c>
      <c r="V275" s="89"/>
      <c r="W275" s="90">
        <v>10</v>
      </c>
      <c r="X275" s="93">
        <v>10.3</v>
      </c>
      <c r="Y275" s="89">
        <v>13.7</v>
      </c>
      <c r="Z275" s="89"/>
      <c r="AA275" s="90">
        <v>10</v>
      </c>
      <c r="AB275" s="93">
        <v>10.1</v>
      </c>
      <c r="AC275" s="89">
        <v>11.5</v>
      </c>
      <c r="AD275" s="89"/>
      <c r="AE275" s="90">
        <v>15</v>
      </c>
      <c r="AF275" s="93">
        <v>9.1999999999999993</v>
      </c>
      <c r="AG275" s="89">
        <v>12.5</v>
      </c>
      <c r="AH275" s="89"/>
      <c r="AI275" s="90">
        <v>25</v>
      </c>
      <c r="AJ275" s="93">
        <v>9.4</v>
      </c>
      <c r="AK275" s="89">
        <v>6</v>
      </c>
      <c r="AL275" s="89"/>
      <c r="AM275" s="90">
        <v>85</v>
      </c>
      <c r="AN275" s="93">
        <v>6.6</v>
      </c>
      <c r="AO275" s="89">
        <v>6.7</v>
      </c>
      <c r="AP275" s="89"/>
    </row>
    <row r="276" spans="1:42" x14ac:dyDescent="0.2">
      <c r="A276" s="13" t="s">
        <v>1342</v>
      </c>
      <c r="B276" s="13">
        <v>559</v>
      </c>
      <c r="C276" s="1">
        <v>10</v>
      </c>
      <c r="D276" s="1">
        <v>8.6</v>
      </c>
      <c r="E276" s="1">
        <v>10.6</v>
      </c>
      <c r="F276" s="1"/>
      <c r="G276" s="1">
        <v>15</v>
      </c>
      <c r="H276" s="1">
        <v>9.4</v>
      </c>
      <c r="I276" s="1">
        <v>9</v>
      </c>
      <c r="J276" s="1"/>
      <c r="K276" s="89">
        <v>15</v>
      </c>
      <c r="L276" s="93">
        <v>6.9</v>
      </c>
      <c r="M276" s="89">
        <v>9.9</v>
      </c>
      <c r="N276" s="89"/>
      <c r="O276" s="89">
        <v>20</v>
      </c>
      <c r="P276" s="93">
        <v>8.3000000000000007</v>
      </c>
      <c r="Q276" s="89">
        <v>7.8</v>
      </c>
      <c r="R276" s="89"/>
      <c r="S276" s="89">
        <v>30</v>
      </c>
      <c r="T276" s="93">
        <v>7.7</v>
      </c>
      <c r="U276" s="89">
        <v>8.4</v>
      </c>
      <c r="V276" s="89"/>
      <c r="W276" s="89">
        <v>40</v>
      </c>
      <c r="X276" s="93">
        <v>5.2</v>
      </c>
      <c r="Y276" s="89">
        <v>6.1</v>
      </c>
      <c r="Z276" s="89"/>
      <c r="AA276" s="89">
        <v>45</v>
      </c>
      <c r="AB276" s="93">
        <v>6.3</v>
      </c>
      <c r="AC276" s="89">
        <v>5.2</v>
      </c>
      <c r="AD276" s="89"/>
      <c r="AE276" s="89">
        <v>50</v>
      </c>
      <c r="AF276" s="93">
        <v>3.5</v>
      </c>
      <c r="AG276" s="89">
        <v>6.4</v>
      </c>
      <c r="AH276" s="89"/>
      <c r="AI276" s="89">
        <v>65</v>
      </c>
      <c r="AJ276" s="93">
        <v>8.4</v>
      </c>
      <c r="AK276" s="89">
        <v>6.3</v>
      </c>
      <c r="AL276" s="89"/>
      <c r="AM276" s="89">
        <v>90</v>
      </c>
      <c r="AN276" s="93">
        <v>8</v>
      </c>
      <c r="AO276" s="89">
        <v>4.8</v>
      </c>
      <c r="AP276" s="89"/>
    </row>
    <row r="277" spans="1:42" x14ac:dyDescent="0.2">
      <c r="A277" s="13" t="s">
        <v>1343</v>
      </c>
      <c r="B277" s="13">
        <v>560</v>
      </c>
      <c r="C277" s="1">
        <v>5</v>
      </c>
      <c r="D277" s="1">
        <v>15</v>
      </c>
      <c r="E277" s="1">
        <v>14.6</v>
      </c>
      <c r="F277" s="1"/>
      <c r="G277" s="1">
        <v>5</v>
      </c>
      <c r="H277" s="1">
        <v>14</v>
      </c>
      <c r="I277" s="1">
        <v>13</v>
      </c>
      <c r="J277" s="1"/>
      <c r="K277" s="89">
        <v>10</v>
      </c>
      <c r="L277" s="93">
        <v>12.2</v>
      </c>
      <c r="M277" s="89">
        <v>11.4</v>
      </c>
      <c r="N277" s="89"/>
      <c r="O277" s="89">
        <v>15</v>
      </c>
      <c r="P277" s="93">
        <v>11.3</v>
      </c>
      <c r="Q277" s="89">
        <v>11.9</v>
      </c>
      <c r="R277" s="89"/>
      <c r="S277" s="89">
        <v>20</v>
      </c>
      <c r="T277" s="93">
        <v>13.3</v>
      </c>
      <c r="U277" s="89">
        <v>12.8</v>
      </c>
      <c r="V277" s="89"/>
      <c r="W277" s="89">
        <v>30</v>
      </c>
      <c r="X277" s="93">
        <v>12</v>
      </c>
      <c r="Y277" s="89">
        <v>11.4</v>
      </c>
      <c r="Z277" s="89"/>
      <c r="AA277" s="89">
        <v>30</v>
      </c>
      <c r="AB277" s="93">
        <v>11.8</v>
      </c>
      <c r="AC277" s="89">
        <v>9.9</v>
      </c>
      <c r="AD277" s="89"/>
      <c r="AE277" s="89">
        <v>30</v>
      </c>
      <c r="AF277" s="93">
        <v>9.4</v>
      </c>
      <c r="AG277" s="89">
        <v>8.4</v>
      </c>
      <c r="AH277" s="89"/>
      <c r="AI277" s="89">
        <v>40</v>
      </c>
      <c r="AJ277" s="93">
        <v>8.8000000000000007</v>
      </c>
      <c r="AK277" s="89">
        <v>8.8000000000000007</v>
      </c>
      <c r="AL277" s="89"/>
      <c r="AM277" s="89">
        <v>90</v>
      </c>
      <c r="AN277" s="93">
        <v>6.7</v>
      </c>
      <c r="AO277" s="89">
        <v>8.4</v>
      </c>
      <c r="AP277" s="89"/>
    </row>
    <row r="278" spans="1:42" x14ac:dyDescent="0.2">
      <c r="A278" s="19" t="s">
        <v>1345</v>
      </c>
      <c r="B278" s="19">
        <v>561</v>
      </c>
      <c r="C278" s="37">
        <v>90</v>
      </c>
      <c r="D278" s="37">
        <v>12.7</v>
      </c>
      <c r="E278" s="37">
        <v>12.7</v>
      </c>
      <c r="F278" s="37" t="s">
        <v>1810</v>
      </c>
      <c r="G278" s="37">
        <v>95</v>
      </c>
      <c r="H278" s="37">
        <v>11.5</v>
      </c>
      <c r="I278" s="37">
        <v>12.1</v>
      </c>
      <c r="J278" s="37"/>
      <c r="K278" s="88">
        <v>98</v>
      </c>
      <c r="L278" s="92"/>
      <c r="M278" s="88"/>
      <c r="N278" s="88"/>
      <c r="O278" s="88">
        <v>98</v>
      </c>
      <c r="P278" s="92"/>
      <c r="Q278" s="88"/>
      <c r="R278" s="88"/>
      <c r="S278" s="88">
        <v>98</v>
      </c>
      <c r="T278" s="92"/>
      <c r="U278" s="88"/>
      <c r="V278" s="88"/>
      <c r="W278" s="88">
        <v>98</v>
      </c>
      <c r="X278" s="92"/>
      <c r="Y278" s="88"/>
      <c r="Z278" s="88"/>
      <c r="AA278" s="88">
        <v>100</v>
      </c>
      <c r="AB278" s="92"/>
      <c r="AC278" s="88"/>
      <c r="AD278" s="88"/>
      <c r="AE278" s="88">
        <v>100</v>
      </c>
      <c r="AF278" s="92"/>
      <c r="AG278" s="88"/>
      <c r="AH278" s="88"/>
      <c r="AI278" s="88">
        <v>100</v>
      </c>
      <c r="AJ278" s="92"/>
      <c r="AK278" s="88"/>
      <c r="AL278" s="88"/>
      <c r="AM278" s="88">
        <v>100</v>
      </c>
      <c r="AN278" s="92"/>
      <c r="AO278" s="88"/>
      <c r="AP278" s="88"/>
    </row>
    <row r="279" spans="1:42" x14ac:dyDescent="0.2">
      <c r="A279" s="19" t="s">
        <v>1348</v>
      </c>
      <c r="B279" s="19">
        <v>564</v>
      </c>
      <c r="C279" s="37">
        <v>100</v>
      </c>
      <c r="D279" s="37"/>
      <c r="E279" s="37"/>
      <c r="F279" s="37" t="s">
        <v>1810</v>
      </c>
      <c r="G279" s="37">
        <v>100</v>
      </c>
      <c r="H279" s="37"/>
      <c r="I279" s="37"/>
      <c r="J279" s="37"/>
      <c r="K279" s="88">
        <v>100</v>
      </c>
      <c r="L279" s="92"/>
      <c r="M279" s="88"/>
      <c r="N279" s="88"/>
      <c r="O279" s="88">
        <v>100</v>
      </c>
      <c r="P279" s="92"/>
      <c r="Q279" s="88"/>
      <c r="R279" s="88"/>
      <c r="S279" s="88">
        <v>100</v>
      </c>
      <c r="T279" s="92"/>
      <c r="U279" s="88"/>
      <c r="V279" s="88"/>
      <c r="W279" s="88">
        <v>100</v>
      </c>
      <c r="X279" s="92"/>
      <c r="Y279" s="88"/>
      <c r="Z279" s="88"/>
      <c r="AA279" s="88">
        <v>100</v>
      </c>
      <c r="AB279" s="92"/>
      <c r="AC279" s="88"/>
      <c r="AD279" s="88"/>
      <c r="AE279" s="88">
        <v>100</v>
      </c>
      <c r="AF279" s="92"/>
      <c r="AG279" s="88"/>
      <c r="AH279" s="88"/>
      <c r="AI279" s="88">
        <v>100</v>
      </c>
      <c r="AJ279" s="92"/>
      <c r="AK279" s="88"/>
      <c r="AL279" s="88"/>
      <c r="AM279" s="88">
        <v>100</v>
      </c>
      <c r="AN279" s="92"/>
      <c r="AO279" s="88"/>
      <c r="AP279" s="88"/>
    </row>
    <row r="280" spans="1:42" x14ac:dyDescent="0.2">
      <c r="A280" s="19" t="s">
        <v>1349</v>
      </c>
      <c r="B280" s="19">
        <v>565</v>
      </c>
      <c r="C280" s="37">
        <v>100</v>
      </c>
      <c r="D280" s="37"/>
      <c r="E280" s="37"/>
      <c r="F280" s="37" t="s">
        <v>1810</v>
      </c>
      <c r="G280" s="37">
        <v>100</v>
      </c>
      <c r="H280" s="37"/>
      <c r="I280" s="37"/>
      <c r="J280" s="37"/>
      <c r="K280" s="88">
        <v>100</v>
      </c>
      <c r="L280" s="92"/>
      <c r="M280" s="88"/>
      <c r="N280" s="88"/>
      <c r="O280" s="88">
        <v>100</v>
      </c>
      <c r="P280" s="92"/>
      <c r="Q280" s="88"/>
      <c r="R280" s="88"/>
      <c r="S280" s="88">
        <v>100</v>
      </c>
      <c r="T280" s="92"/>
      <c r="U280" s="88"/>
      <c r="V280" s="88"/>
      <c r="W280" s="88">
        <v>100</v>
      </c>
      <c r="X280" s="92"/>
      <c r="Y280" s="88"/>
      <c r="Z280" s="88"/>
      <c r="AA280" s="88">
        <v>100</v>
      </c>
      <c r="AB280" s="92"/>
      <c r="AC280" s="88"/>
      <c r="AD280" s="88"/>
      <c r="AE280" s="88">
        <v>100</v>
      </c>
      <c r="AF280" s="92"/>
      <c r="AG280" s="88"/>
      <c r="AH280" s="88"/>
      <c r="AI280" s="88">
        <v>100</v>
      </c>
      <c r="AJ280" s="92"/>
      <c r="AK280" s="88"/>
      <c r="AL280" s="88"/>
      <c r="AM280" s="88">
        <v>100</v>
      </c>
      <c r="AN280" s="92"/>
      <c r="AO280" s="88"/>
      <c r="AP280" s="88"/>
    </row>
    <row r="281" spans="1:42" x14ac:dyDescent="0.2">
      <c r="A281" s="19" t="s">
        <v>1352</v>
      </c>
      <c r="B281" s="19">
        <v>568</v>
      </c>
      <c r="C281" s="37">
        <v>100</v>
      </c>
      <c r="D281" s="37"/>
      <c r="E281" s="37"/>
      <c r="F281" s="37" t="s">
        <v>1810</v>
      </c>
      <c r="G281" s="37">
        <v>100</v>
      </c>
      <c r="H281" s="37"/>
      <c r="I281" s="37"/>
      <c r="J281" s="37"/>
      <c r="K281" s="88">
        <v>100</v>
      </c>
      <c r="L281" s="92"/>
      <c r="M281" s="88"/>
      <c r="N281" s="88"/>
      <c r="O281" s="88">
        <v>100</v>
      </c>
      <c r="P281" s="92"/>
      <c r="Q281" s="88"/>
      <c r="R281" s="88"/>
      <c r="S281" s="88">
        <v>100</v>
      </c>
      <c r="T281" s="92"/>
      <c r="U281" s="88"/>
      <c r="V281" s="88"/>
      <c r="W281" s="88">
        <v>100</v>
      </c>
      <c r="X281" s="92"/>
      <c r="Y281" s="88"/>
      <c r="Z281" s="88"/>
      <c r="AA281" s="88">
        <v>100</v>
      </c>
      <c r="AB281" s="92"/>
      <c r="AC281" s="88"/>
      <c r="AD281" s="88"/>
      <c r="AE281" s="88">
        <v>100</v>
      </c>
      <c r="AF281" s="92"/>
      <c r="AG281" s="88"/>
      <c r="AH281" s="88"/>
      <c r="AI281" s="88">
        <v>100</v>
      </c>
      <c r="AJ281" s="92"/>
      <c r="AK281" s="88"/>
      <c r="AL281" s="88"/>
      <c r="AM281" s="88">
        <v>100</v>
      </c>
      <c r="AN281" s="92"/>
      <c r="AO281" s="88"/>
      <c r="AP281" s="88"/>
    </row>
  </sheetData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92503-9B37-4535-82C1-397FF03C11A7}">
  <dimension ref="B1:E19"/>
  <sheetViews>
    <sheetView workbookViewId="0">
      <selection activeCell="C25" sqref="C25"/>
    </sheetView>
  </sheetViews>
  <sheetFormatPr baseColWidth="10" defaultColWidth="8.83203125" defaultRowHeight="16" x14ac:dyDescent="0.2"/>
  <cols>
    <col min="2" max="2" width="46.33203125" customWidth="1"/>
    <col min="3" max="3" width="141.33203125" bestFit="1" customWidth="1"/>
    <col min="4" max="4" width="17.1640625" bestFit="1" customWidth="1"/>
    <col min="5" max="5" width="176.83203125" customWidth="1"/>
    <col min="6" max="6" width="148.83203125" customWidth="1"/>
    <col min="7" max="7" width="34.1640625" customWidth="1"/>
    <col min="8" max="8" width="22.6640625" customWidth="1"/>
    <col min="10" max="10" width="30" customWidth="1"/>
    <col min="12" max="12" width="19.33203125" customWidth="1"/>
    <col min="14" max="14" width="22.33203125" customWidth="1"/>
    <col min="16" max="16" width="16" customWidth="1"/>
  </cols>
  <sheetData>
    <row r="1" spans="2:5" x14ac:dyDescent="0.2">
      <c r="B1" t="s">
        <v>1822</v>
      </c>
      <c r="C1" t="s">
        <v>1823</v>
      </c>
      <c r="D1" t="s">
        <v>1824</v>
      </c>
    </row>
    <row r="2" spans="2:5" x14ac:dyDescent="0.2">
      <c r="B2" t="s">
        <v>1825</v>
      </c>
      <c r="C2" s="36" t="s">
        <v>1826</v>
      </c>
      <c r="D2" t="s">
        <v>1827</v>
      </c>
      <c r="E2" t="s">
        <v>1828</v>
      </c>
    </row>
    <row r="3" spans="2:5" x14ac:dyDescent="0.2">
      <c r="B3" t="s">
        <v>1829</v>
      </c>
      <c r="C3" t="s">
        <v>1830</v>
      </c>
      <c r="D3" t="s">
        <v>1827</v>
      </c>
      <c r="E3" t="s">
        <v>1831</v>
      </c>
    </row>
    <row r="4" spans="2:5" x14ac:dyDescent="0.2">
      <c r="B4" t="s">
        <v>1832</v>
      </c>
      <c r="C4" s="36" t="s">
        <v>1833</v>
      </c>
      <c r="D4" t="s">
        <v>1827</v>
      </c>
      <c r="E4" t="s">
        <v>1834</v>
      </c>
    </row>
    <row r="6" spans="2:5" x14ac:dyDescent="0.2">
      <c r="B6" t="s">
        <v>1835</v>
      </c>
      <c r="C6" t="s">
        <v>1836</v>
      </c>
      <c r="D6" t="s">
        <v>1837</v>
      </c>
      <c r="E6" t="s">
        <v>1838</v>
      </c>
    </row>
    <row r="7" spans="2:5" x14ac:dyDescent="0.2">
      <c r="B7" t="s">
        <v>1839</v>
      </c>
      <c r="C7" s="36" t="s">
        <v>1840</v>
      </c>
      <c r="E7" t="s">
        <v>1841</v>
      </c>
    </row>
    <row r="9" spans="2:5" x14ac:dyDescent="0.2">
      <c r="B9" t="s">
        <v>1842</v>
      </c>
      <c r="C9" t="s">
        <v>1843</v>
      </c>
      <c r="D9" t="s">
        <v>1844</v>
      </c>
      <c r="E9" s="55" t="s">
        <v>1874</v>
      </c>
    </row>
    <row r="10" spans="2:5" x14ac:dyDescent="0.2">
      <c r="B10" t="s">
        <v>1845</v>
      </c>
      <c r="C10" t="s">
        <v>1846</v>
      </c>
      <c r="D10" t="s">
        <v>1844</v>
      </c>
    </row>
    <row r="11" spans="2:5" x14ac:dyDescent="0.2">
      <c r="B11" t="s">
        <v>1847</v>
      </c>
      <c r="C11" t="s">
        <v>1848</v>
      </c>
      <c r="D11" t="s">
        <v>1849</v>
      </c>
      <c r="E11" s="49" t="s">
        <v>1875</v>
      </c>
    </row>
    <row r="12" spans="2:5" x14ac:dyDescent="0.2">
      <c r="B12" t="s">
        <v>1850</v>
      </c>
      <c r="C12" t="s">
        <v>1851</v>
      </c>
      <c r="D12" t="s">
        <v>1852</v>
      </c>
      <c r="E12">
        <v>16.059999999999999</v>
      </c>
    </row>
    <row r="13" spans="2:5" x14ac:dyDescent="0.2">
      <c r="B13" t="s">
        <v>1853</v>
      </c>
      <c r="C13" t="s">
        <v>1854</v>
      </c>
      <c r="D13" t="s">
        <v>1855</v>
      </c>
      <c r="E13" t="s">
        <v>1872</v>
      </c>
    </row>
    <row r="14" spans="2:5" x14ac:dyDescent="0.2">
      <c r="B14" t="s">
        <v>1856</v>
      </c>
      <c r="C14" t="s">
        <v>1857</v>
      </c>
      <c r="D14" t="s">
        <v>1858</v>
      </c>
      <c r="E14" t="s">
        <v>1871</v>
      </c>
    </row>
    <row r="15" spans="2:5" x14ac:dyDescent="0.2">
      <c r="B15" t="s">
        <v>1859</v>
      </c>
      <c r="C15" t="s">
        <v>1860</v>
      </c>
      <c r="D15" t="s">
        <v>1861</v>
      </c>
      <c r="E15" t="s">
        <v>1876</v>
      </c>
    </row>
    <row r="16" spans="2:5" x14ac:dyDescent="0.2">
      <c r="B16" t="s">
        <v>1862</v>
      </c>
      <c r="C16" t="s">
        <v>1863</v>
      </c>
      <c r="D16" t="s">
        <v>1852</v>
      </c>
    </row>
    <row r="17" spans="2:5" x14ac:dyDescent="0.2">
      <c r="E17" t="s">
        <v>1878</v>
      </c>
    </row>
    <row r="19" spans="2:5" x14ac:dyDescent="0.2">
      <c r="B19" s="56" t="s">
        <v>1864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Project Team Document" ma:contentTypeID="0x010100AEF50ADC353F4C40B6CB6F507651354600A42D190307577B4BBC000994F605742C" ma:contentTypeVersion="26" ma:contentTypeDescription="Ein neues Dokument erstellen." ma:contentTypeScope="" ma:versionID="3cdeab6a69e1fb3a6965eed4577f1e92">
  <xsd:schema xmlns:xsd="http://www.w3.org/2001/XMLSchema" xmlns:xs="http://www.w3.org/2001/XMLSchema" xmlns:p="http://schemas.microsoft.com/office/2006/metadata/properties" xmlns:ns2="aae20006-c030-41fe-b652-418d6fc404cc" xmlns:ns3="b60a5488-d65d-43a1-936c-ba0ae12b932f" xmlns:ns4="8f368d7d-4e33-4768-9628-100db9c4cadc" targetNamespace="http://schemas.microsoft.com/office/2006/metadata/properties" ma:root="true" ma:fieldsID="99c95243ba18e78ec8f090156438ab40" ns2:_="" ns3:_="" ns4:_="">
    <xsd:import namespace="aae20006-c030-41fe-b652-418d6fc404cc"/>
    <xsd:import namespace="b60a5488-d65d-43a1-936c-ba0ae12b932f"/>
    <xsd:import namespace="8f368d7d-4e33-4768-9628-100db9c4cadc"/>
    <xsd:element name="properties">
      <xsd:complexType>
        <xsd:sequence>
          <xsd:element name="documentManagement">
            <xsd:complexType>
              <xsd:all>
                <xsd:element ref="ns2:CsProjectCategory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3:MediaServiceSearchProperties" minOccurs="0"/>
                <xsd:element ref="ns3:lcf76f155ced4ddcb4097134ff3c332f" minOccurs="0"/>
                <xsd:element ref="ns4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Acces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e20006-c030-41fe-b652-418d6fc404cc" elementFormDefault="qualified">
    <xsd:import namespace="http://schemas.microsoft.com/office/2006/documentManagement/types"/>
    <xsd:import namespace="http://schemas.microsoft.com/office/infopath/2007/PartnerControls"/>
    <xsd:element name="CsProjectCategory" ma:index="8" nillable="true" ma:displayName="Project Category" ma:default="External" ma:internalName="CsProjectCategory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0a5488-d65d-43a1-936c-ba0ae12b93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6" nillable="true" ma:taxonomy="true" ma:internalName="lcf76f155ced4ddcb4097134ff3c332f" ma:taxonomyFieldName="MediaServiceImageTags" ma:displayName="Tag immagine" ma:readOnly="false" ma:fieldId="{5cf76f15-5ced-4ddc-b409-7134ff3c332f}" ma:taxonomyMulti="true" ma:sspId="0b7171bb-596a-4e91-9267-dbf12aecd5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Access" ma:index="22" nillable="true" ma:displayName="Access" ma:format="Dropdown" ma:list="UserInfo" ma:SharePointGroup="0" ma:internalName="Access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368d7d-4e33-4768-9628-100db9c4c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7ef46912-a0d6-4ade-804b-904c69350f77}" ma:internalName="TaxCatchAll" ma:showField="CatchAllData" ma:web="8f368d7d-4e33-4768-9628-100db9c4ca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sProjectCategory xmlns="aae20006-c030-41fe-b652-418d6fc404cc">External</CsProjectCategory>
    <TaxCatchAll xmlns="8f368d7d-4e33-4768-9628-100db9c4cadc" xsi:nil="true"/>
    <lcf76f155ced4ddcb4097134ff3c332f xmlns="b60a5488-d65d-43a1-936c-ba0ae12b932f">
      <Terms xmlns="http://schemas.microsoft.com/office/infopath/2007/PartnerControls"/>
    </lcf76f155ced4ddcb4097134ff3c332f>
    <Access xmlns="b60a5488-d65d-43a1-936c-ba0ae12b932f">
      <UserInfo>
        <DisplayName/>
        <AccountId xsi:nil="true"/>
        <AccountType/>
      </UserInfo>
    </Access>
  </documentManagement>
</p:properties>
</file>

<file path=customXml/itemProps1.xml><?xml version="1.0" encoding="utf-8"?>
<ds:datastoreItem xmlns:ds="http://schemas.openxmlformats.org/officeDocument/2006/customXml" ds:itemID="{176C5FDF-1DC7-458A-A288-7651FED46C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2D2E1B2-638F-4592-A964-C03CB144B1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e20006-c030-41fe-b652-418d6fc404cc"/>
    <ds:schemaRef ds:uri="b60a5488-d65d-43a1-936c-ba0ae12b932f"/>
    <ds:schemaRef ds:uri="8f368d7d-4e33-4768-9628-100db9c4ca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DE5C9F7-731F-4B6C-9DF5-BFF5E2257986}">
  <ds:schemaRefs>
    <ds:schemaRef ds:uri="http://purl.org/dc/dcmitype/"/>
    <ds:schemaRef ds:uri="http://www.w3.org/XML/1998/namespace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aae20006-c030-41fe-b652-418d6fc404cc"/>
    <ds:schemaRef ds:uri="http://schemas.microsoft.com/office/infopath/2007/PartnerControls"/>
    <ds:schemaRef ds:uri="http://schemas.openxmlformats.org/package/2006/metadata/core-properties"/>
    <ds:schemaRef ds:uri="8f368d7d-4e33-4768-9628-100db9c4cadc"/>
    <ds:schemaRef ds:uri="b60a5488-d65d-43a1-936c-ba0ae12b932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7</vt:i4>
      </vt:variant>
    </vt:vector>
  </HeadingPairs>
  <TitlesOfParts>
    <vt:vector size="21" baseType="lpstr">
      <vt:lpstr>All_labels</vt:lpstr>
      <vt:lpstr>Label_Compartment</vt:lpstr>
      <vt:lpstr>Soil Water</vt:lpstr>
      <vt:lpstr>Soil Respiration</vt:lpstr>
      <vt:lpstr>Soil isotope CN</vt:lpstr>
      <vt:lpstr>Litterfall_Bryophytes</vt:lpstr>
      <vt:lpstr>Phenology</vt:lpstr>
      <vt:lpstr>Growth_Measurements_D_H</vt:lpstr>
      <vt:lpstr>SLA</vt:lpstr>
      <vt:lpstr>Chlorophyll content</vt:lpstr>
      <vt:lpstr>Fluoropen QY</vt:lpstr>
      <vt:lpstr>Tree Condition</vt:lpstr>
      <vt:lpstr>Senescence</vt:lpstr>
      <vt:lpstr>Read me</vt:lpstr>
      <vt:lpstr>All_labels!Area_stampa</vt:lpstr>
      <vt:lpstr>SLA!Print_Area</vt:lpstr>
      <vt:lpstr>All_labels!Print_Titles</vt:lpstr>
      <vt:lpstr>Growth_Measurements_D_H!Print_Titles</vt:lpstr>
      <vt:lpstr>Phenology!Print_Titles</vt:lpstr>
      <vt:lpstr>SLA!Print_Titles</vt:lpstr>
      <vt:lpstr>'Soil Water'!Print_Titles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Y. Vitasse</dc:creator>
  <cp:keywords/>
  <dc:description/>
  <cp:lastModifiedBy>Pascal Schneider</cp:lastModifiedBy>
  <cp:revision/>
  <dcterms:created xsi:type="dcterms:W3CDTF">2023-10-05T05:50:26Z</dcterms:created>
  <dcterms:modified xsi:type="dcterms:W3CDTF">2025-11-06T20:00:38Z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0x010100AEF50ADC353F4C40B6CB6F507651354600A42D190307577B4BBC000994F605742C</vt:lpwstr>
  </property>
  <property fmtid="{D5CDD505-2E9C-101B-9397-08002B2CF9AE}" pid="3" name="MediaServiceImageTags">
    <vt:lpwstr/>
  </property>
</Properties>
</file>